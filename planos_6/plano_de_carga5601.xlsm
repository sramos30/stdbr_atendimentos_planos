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05.04.26 - Wen De\Miscellaneous\"/>
    </mc:Choice>
  </mc:AlternateContent>
  <xr:revisionPtr revIDLastSave="0" documentId="13_ncr:1_{66DA4AFD-9C57-4AF0-B943-F2D3D6EAF841}"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Relato!$A$1:$J$286</definedName>
    <definedName name="_xlnm.Print_Area" localSheetId="9">'Relato (WPC)'!$A$1:$J$313</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72" i="3" l="1"/>
  <c r="E243" i="3"/>
  <c r="L107" i="7"/>
  <c r="M107" i="7" s="1"/>
  <c r="L104" i="7"/>
  <c r="M104" i="7" s="1"/>
  <c r="L101" i="7"/>
  <c r="M102"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7" i="3"/>
  <c r="A3" i="3"/>
  <c r="A29" i="3" s="1"/>
  <c r="M83" i="7" l="1"/>
  <c r="N84" i="7" s="1"/>
  <c r="M64" i="7"/>
  <c r="N66" i="7" s="1"/>
  <c r="M101" i="7"/>
  <c r="N103" i="7" s="1"/>
  <c r="M40" i="7"/>
  <c r="N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O42" i="7" l="1"/>
  <c r="N81" i="7"/>
  <c r="O84" i="7"/>
  <c r="O66"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8" i="24" l="1"/>
  <c r="G86" i="24"/>
  <c r="G77" i="24"/>
  <c r="I85" i="24"/>
  <c r="K85"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55" i="3"/>
  <c r="G254" i="3"/>
  <c r="G253" i="3"/>
  <c r="G252" i="3"/>
  <c r="G251" i="3"/>
  <c r="G250" i="3"/>
  <c r="G249" i="3"/>
  <c r="G248" i="3"/>
  <c r="G247" i="3"/>
  <c r="G246" i="3"/>
  <c r="G245" i="3"/>
  <c r="G244" i="3"/>
  <c r="G243" i="3"/>
  <c r="G236" i="3"/>
  <c r="G235" i="3"/>
  <c r="G234" i="3"/>
  <c r="G233" i="3"/>
  <c r="G232" i="3"/>
  <c r="G231" i="3"/>
  <c r="G230" i="3"/>
  <c r="G229" i="3"/>
  <c r="G228" i="3"/>
  <c r="G227" i="3"/>
  <c r="G226" i="3"/>
  <c r="G225" i="3"/>
  <c r="G224" i="3"/>
  <c r="A33" i="14"/>
  <c r="I168" i="3"/>
  <c r="G16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0" i="3"/>
  <c r="F79" i="14" l="1"/>
  <c r="F74" i="14"/>
  <c r="F69" i="14"/>
  <c r="F58" i="3"/>
  <c r="F59" i="3"/>
  <c r="F54" i="3"/>
  <c r="F53" i="3"/>
  <c r="J104" i="3"/>
  <c r="J122" i="14" s="1"/>
  <c r="J103" i="3"/>
  <c r="J121" i="14" s="1"/>
  <c r="J102" i="3"/>
  <c r="J120" i="14" s="1"/>
  <c r="J101" i="3"/>
  <c r="J119" i="14" s="1"/>
  <c r="J100" i="3"/>
  <c r="J118" i="14" s="1"/>
  <c r="J99" i="3"/>
  <c r="J117" i="14" s="1"/>
  <c r="J98" i="3"/>
  <c r="J116" i="14" s="1"/>
  <c r="AN4" i="5" l="1"/>
  <c r="D11" i="5" l="1"/>
  <c r="A63" i="3" l="1"/>
  <c r="A62" i="3"/>
  <c r="A58" i="3"/>
  <c r="A53" i="3"/>
  <c r="D261" i="14"/>
  <c r="D260" i="14"/>
  <c r="D259" i="14"/>
  <c r="D258" i="14"/>
  <c r="D257" i="14"/>
  <c r="D256" i="14"/>
  <c r="D255" i="14"/>
  <c r="D254" i="14"/>
  <c r="D253" i="14"/>
  <c r="D252" i="14"/>
  <c r="D251" i="14"/>
  <c r="D250" i="14"/>
  <c r="E5" i="5" l="1"/>
  <c r="F71" i="24" s="1"/>
  <c r="A36" i="3"/>
  <c r="A36" i="14"/>
  <c r="A29" i="14" l="1"/>
  <c r="AO4" i="5"/>
  <c r="L164" i="3"/>
  <c r="AN8" i="5" l="1"/>
  <c r="AN6" i="5"/>
  <c r="AN7" i="5"/>
  <c r="AN5" i="5"/>
  <c r="I163" i="3"/>
  <c r="I185" i="14" s="1"/>
  <c r="G163" i="3"/>
  <c r="G185" i="14" s="1"/>
  <c r="G190" i="14"/>
  <c r="I190" i="14"/>
  <c r="I164" i="3"/>
  <c r="I186" i="14" s="1"/>
  <c r="G165" i="3"/>
  <c r="G187" i="14" s="1"/>
  <c r="G16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8" i="3"/>
  <c r="E128" i="3"/>
  <c r="E138" i="3"/>
  <c r="E146" i="14" l="1"/>
  <c r="E156" i="14"/>
  <c r="G188" i="14"/>
  <c r="A203" i="3"/>
  <c r="I166" i="3"/>
  <c r="I188" i="14" s="1"/>
  <c r="G166" i="3"/>
  <c r="A1" i="3"/>
  <c r="B116" i="14" l="1"/>
  <c r="H216" i="3"/>
  <c r="E149" i="14" l="1"/>
  <c r="E148" i="14"/>
  <c r="E131" i="3"/>
  <c r="E130" i="3"/>
  <c r="I165" i="3" l="1"/>
  <c r="I187" i="14" s="1"/>
  <c r="G267" i="14"/>
  <c r="G246" i="14"/>
  <c r="G240" i="3"/>
  <c r="G221" i="3"/>
  <c r="C17" i="16" l="1"/>
  <c r="C34" i="16"/>
  <c r="J274" i="3" l="1"/>
  <c r="J273" i="3"/>
  <c r="J27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01" i="14"/>
  <c r="H300" i="14"/>
  <c r="H299" i="14"/>
  <c r="F301" i="14"/>
  <c r="F300" i="14"/>
  <c r="F299" i="14"/>
  <c r="E301" i="14"/>
  <c r="E300" i="14"/>
  <c r="E299" i="14"/>
  <c r="D301" i="14"/>
  <c r="D300" i="14"/>
  <c r="D299" i="14"/>
  <c r="I292" i="14"/>
  <c r="I301" i="14" s="1"/>
  <c r="I291" i="14"/>
  <c r="I300" i="14" s="1"/>
  <c r="I290" i="14"/>
  <c r="I299" i="14" s="1"/>
  <c r="H292" i="14"/>
  <c r="H291" i="14"/>
  <c r="H290" i="14"/>
  <c r="F292" i="14"/>
  <c r="F291" i="14"/>
  <c r="F290" i="14"/>
  <c r="E292" i="14"/>
  <c r="E291" i="14"/>
  <c r="E290" i="14"/>
  <c r="D292" i="14"/>
  <c r="D291" i="14"/>
  <c r="D290" i="14"/>
  <c r="C292" i="14"/>
  <c r="C301" i="14" s="1"/>
  <c r="C291" i="14"/>
  <c r="C300" i="14" s="1"/>
  <c r="C290" i="14"/>
  <c r="C299" i="14" s="1"/>
  <c r="B292" i="14"/>
  <c r="B301" i="14" s="1"/>
  <c r="B291" i="14"/>
  <c r="B300" i="14" s="1"/>
  <c r="B290" i="14"/>
  <c r="B299" i="14" s="1"/>
  <c r="H270" i="14"/>
  <c r="F282" i="14"/>
  <c r="F281" i="14"/>
  <c r="F280" i="14"/>
  <c r="F279" i="14"/>
  <c r="F278" i="14"/>
  <c r="F277" i="14"/>
  <c r="F276" i="14"/>
  <c r="F275" i="14"/>
  <c r="F274" i="14"/>
  <c r="F273" i="14"/>
  <c r="F272" i="14"/>
  <c r="F271" i="14"/>
  <c r="F270" i="14"/>
  <c r="E282" i="14"/>
  <c r="E281" i="14"/>
  <c r="E280" i="14"/>
  <c r="E279" i="14"/>
  <c r="E278" i="14"/>
  <c r="E277" i="14"/>
  <c r="E276" i="14"/>
  <c r="E275" i="14"/>
  <c r="E274" i="14"/>
  <c r="E273" i="14"/>
  <c r="E272" i="14"/>
  <c r="E271" i="14"/>
  <c r="E270" i="14"/>
  <c r="D282" i="14"/>
  <c r="D281" i="14"/>
  <c r="D280" i="14"/>
  <c r="D279" i="14"/>
  <c r="D278" i="14"/>
  <c r="D277" i="14"/>
  <c r="D276" i="14"/>
  <c r="D275" i="14"/>
  <c r="D274" i="14"/>
  <c r="D273" i="14"/>
  <c r="D272" i="14"/>
  <c r="D271" i="14"/>
  <c r="D270" i="14"/>
  <c r="I261" i="14"/>
  <c r="I260" i="14"/>
  <c r="I259" i="14"/>
  <c r="I258" i="14"/>
  <c r="I257" i="14"/>
  <c r="I256" i="14"/>
  <c r="I255" i="14"/>
  <c r="I254" i="14"/>
  <c r="I253" i="14"/>
  <c r="I252" i="14"/>
  <c r="I251" i="14"/>
  <c r="I250" i="14"/>
  <c r="I249" i="14"/>
  <c r="F261" i="14"/>
  <c r="F260" i="14"/>
  <c r="F259" i="14"/>
  <c r="F258" i="14"/>
  <c r="F257" i="14"/>
  <c r="F256" i="14"/>
  <c r="F255" i="14"/>
  <c r="F254" i="14"/>
  <c r="F253" i="14"/>
  <c r="F252" i="14"/>
  <c r="F251" i="14"/>
  <c r="F250" i="14"/>
  <c r="F249" i="14"/>
  <c r="H275" i="3"/>
  <c r="J275" i="3"/>
  <c r="E261" i="14"/>
  <c r="E260" i="14"/>
  <c r="E259" i="14"/>
  <c r="E258" i="14"/>
  <c r="E257" i="14"/>
  <c r="E256" i="14"/>
  <c r="E255" i="14"/>
  <c r="E254" i="14"/>
  <c r="E253" i="14"/>
  <c r="E252" i="14"/>
  <c r="E251" i="14"/>
  <c r="E250" i="14"/>
  <c r="C261" i="14"/>
  <c r="C260" i="14"/>
  <c r="C259" i="14"/>
  <c r="C258" i="14"/>
  <c r="C257" i="14"/>
  <c r="C256" i="14"/>
  <c r="C255" i="14"/>
  <c r="C253" i="14"/>
  <c r="C252" i="14"/>
  <c r="C251" i="14"/>
  <c r="C250" i="14"/>
  <c r="B261" i="14"/>
  <c r="B260" i="14"/>
  <c r="B259" i="14"/>
  <c r="B280" i="14" s="1"/>
  <c r="B258" i="14"/>
  <c r="B279" i="14" s="1"/>
  <c r="B257" i="14"/>
  <c r="B278" i="14" s="1"/>
  <c r="B256" i="14"/>
  <c r="B277" i="14" s="1"/>
  <c r="B255" i="14"/>
  <c r="B276" i="14" s="1"/>
  <c r="B254" i="14"/>
  <c r="B275" i="14" s="1"/>
  <c r="B253" i="14"/>
  <c r="B274" i="14" s="1"/>
  <c r="B252" i="14"/>
  <c r="B273" i="14" s="1"/>
  <c r="B251" i="14"/>
  <c r="B272" i="14" s="1"/>
  <c r="B250" i="14"/>
  <c r="B271" i="14" s="1"/>
  <c r="A261" i="14"/>
  <c r="A260" i="14"/>
  <c r="A267" i="14"/>
  <c r="A268" i="14"/>
  <c r="A269" i="14"/>
  <c r="A259" i="14"/>
  <c r="A258" i="14"/>
  <c r="A257" i="14"/>
  <c r="A256" i="14"/>
  <c r="A255" i="14"/>
  <c r="A254" i="14"/>
  <c r="A253" i="14"/>
  <c r="A252" i="14"/>
  <c r="A251" i="14"/>
  <c r="A250" i="14"/>
  <c r="A249" i="14"/>
  <c r="E249" i="14"/>
  <c r="D249" i="14"/>
  <c r="C249" i="14"/>
  <c r="B249" i="14"/>
  <c r="B270" i="14" s="1"/>
  <c r="C25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D18" i="13"/>
  <c r="G250" i="14"/>
  <c r="G258" i="14"/>
  <c r="G252" i="14"/>
  <c r="G256" i="14"/>
  <c r="G257" i="14"/>
  <c r="G251" i="14"/>
  <c r="G270" i="14"/>
  <c r="G278" i="14"/>
  <c r="G275" i="14"/>
  <c r="G282" i="14"/>
  <c r="G271" i="14"/>
  <c r="G279" i="14"/>
  <c r="G272" i="14"/>
  <c r="G273" i="14"/>
  <c r="G276" i="14"/>
  <c r="G277" i="14"/>
  <c r="G281" i="14"/>
  <c r="G274" i="14"/>
  <c r="G255" i="14"/>
  <c r="G253" i="14"/>
  <c r="G259" i="14"/>
  <c r="G280" i="14"/>
  <c r="G254" i="14"/>
  <c r="G260" i="14"/>
  <c r="G261" i="14"/>
  <c r="G249" i="14"/>
  <c r="G34" i="11"/>
  <c r="L14" i="25" s="1"/>
  <c r="D12" i="13"/>
  <c r="E18" i="13" s="1"/>
  <c r="D11" i="13"/>
  <c r="E17" i="13" s="1"/>
  <c r="J292" i="14"/>
  <c r="J291" i="14"/>
  <c r="G292" i="14"/>
  <c r="G291" i="14"/>
  <c r="J299" i="14"/>
  <c r="J300" i="14"/>
  <c r="H293" i="14"/>
  <c r="G301" i="14"/>
  <c r="G300" i="14"/>
  <c r="G290" i="14"/>
  <c r="J301" i="14"/>
  <c r="G299" i="14"/>
  <c r="H302" i="14"/>
  <c r="J290" i="14"/>
  <c r="E11" i="13" l="1"/>
  <c r="E12" i="13"/>
  <c r="J302" i="14"/>
  <c r="I310" i="14" s="1"/>
  <c r="J293" i="14"/>
  <c r="F310" i="14" s="1"/>
  <c r="I312" i="14"/>
  <c r="F312" i="14"/>
  <c r="I309" i="14"/>
  <c r="F309" i="14"/>
  <c r="I308" i="14"/>
  <c r="F308" i="14"/>
  <c r="I307" i="14"/>
  <c r="F307" i="14"/>
  <c r="C282" i="14"/>
  <c r="B282" i="14"/>
  <c r="A282" i="14"/>
  <c r="C281" i="14"/>
  <c r="B281" i="14"/>
  <c r="A281" i="14"/>
  <c r="C280" i="14"/>
  <c r="A280" i="14"/>
  <c r="C279" i="14"/>
  <c r="A279" i="14"/>
  <c r="C278" i="14"/>
  <c r="A278" i="14"/>
  <c r="C277" i="14"/>
  <c r="A277" i="14"/>
  <c r="C276" i="14"/>
  <c r="A276" i="14"/>
  <c r="C275" i="14"/>
  <c r="A275" i="14"/>
  <c r="C274" i="14"/>
  <c r="A274" i="14"/>
  <c r="C273" i="14"/>
  <c r="C272" i="14"/>
  <c r="C271" i="14"/>
  <c r="C270"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0" i="14"/>
  <c r="J240" i="14" s="1"/>
  <c r="A254" i="3"/>
  <c r="B254" i="3"/>
  <c r="C254" i="3"/>
  <c r="I254" i="3"/>
  <c r="A255" i="3"/>
  <c r="B255" i="3"/>
  <c r="C255" i="3"/>
  <c r="I255" i="3"/>
  <c r="I281" i="14" l="1"/>
  <c r="I282" i="14"/>
  <c r="E84" i="3"/>
  <c r="E83" i="3"/>
  <c r="E85" i="3"/>
  <c r="M85" i="3"/>
  <c r="E150" i="3"/>
  <c r="I22" i="3" l="1"/>
  <c r="H75" i="5"/>
  <c r="G225" i="14" s="1"/>
  <c r="E86"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5" i="3"/>
  <c r="E112" i="3"/>
  <c r="E111" i="3"/>
  <c r="E110" i="3"/>
  <c r="G38" i="24" l="1"/>
  <c r="F71" i="3"/>
  <c r="F66"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47" i="14" s="1"/>
  <c r="A209"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9" i="3"/>
  <c r="E157" i="14" s="1"/>
  <c r="I190" i="3"/>
  <c r="I213" i="14"/>
  <c r="G190"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6" i="3" s="1"/>
  <c r="P3" i="7"/>
  <c r="P97" i="7" s="1"/>
  <c r="I202" i="14"/>
  <c r="I207" i="14"/>
  <c r="I212" i="14" s="1"/>
  <c r="P29" i="5"/>
  <c r="F3" i="7" s="1"/>
  <c r="O31" i="5"/>
  <c r="K31" i="5" s="1"/>
  <c r="H54" i="5" s="1"/>
  <c r="G33" i="5"/>
  <c r="AN33" i="5" s="1"/>
  <c r="AG31" i="5"/>
  <c r="AC31" i="5" s="1"/>
  <c r="AF58" i="5"/>
  <c r="I219" i="14" s="1"/>
  <c r="J212" i="14"/>
  <c r="J267" i="14"/>
  <c r="AN36" i="5"/>
  <c r="AN35" i="5"/>
  <c r="AE33" i="5"/>
  <c r="I214" i="14" s="1"/>
  <c r="J214" i="14"/>
  <c r="C253" i="3"/>
  <c r="C252" i="3"/>
  <c r="C251" i="3"/>
  <c r="C250" i="3"/>
  <c r="C249" i="3"/>
  <c r="C248" i="3"/>
  <c r="C247" i="3"/>
  <c r="C246" i="3"/>
  <c r="C245" i="3"/>
  <c r="C244" i="3"/>
  <c r="C243" i="3"/>
  <c r="B244" i="3"/>
  <c r="B245" i="3"/>
  <c r="B246" i="3"/>
  <c r="B247" i="3"/>
  <c r="B248" i="3"/>
  <c r="B249" i="3"/>
  <c r="B250" i="3"/>
  <c r="B251" i="3"/>
  <c r="B252" i="3"/>
  <c r="B253" i="3"/>
  <c r="B243" i="3"/>
  <c r="A244" i="3"/>
  <c r="A271" i="14" s="1"/>
  <c r="A245" i="3"/>
  <c r="A272" i="14" s="1"/>
  <c r="A246" i="3"/>
  <c r="A273" i="14" s="1"/>
  <c r="A247" i="3"/>
  <c r="A248" i="3"/>
  <c r="A249" i="3"/>
  <c r="A250" i="3"/>
  <c r="A251" i="3"/>
  <c r="A252" i="3"/>
  <c r="A253" i="3"/>
  <c r="A243" i="3"/>
  <c r="A270" i="14" s="1"/>
  <c r="H266" i="3"/>
  <c r="J265" i="3"/>
  <c r="J264" i="3"/>
  <c r="J263" i="3"/>
  <c r="I244" i="3"/>
  <c r="I245" i="3"/>
  <c r="I246" i="3"/>
  <c r="I247" i="3"/>
  <c r="I248" i="3"/>
  <c r="I249" i="3"/>
  <c r="I250" i="3"/>
  <c r="I251" i="3"/>
  <c r="I252" i="3"/>
  <c r="I253" i="3"/>
  <c r="I24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9" i="14"/>
  <c r="I273" i="14"/>
  <c r="I277" i="14"/>
  <c r="I271" i="14"/>
  <c r="I276" i="14"/>
  <c r="I278" i="14"/>
  <c r="I272" i="14"/>
  <c r="J243" i="3"/>
  <c r="I270" i="14"/>
  <c r="J270" i="14" s="1"/>
  <c r="I275" i="14"/>
  <c r="I280" i="14"/>
  <c r="I274" i="14"/>
  <c r="O39" i="5"/>
  <c r="O46" i="5" s="1"/>
  <c r="J47" i="5" s="1"/>
  <c r="Z54" i="5"/>
  <c r="N6" i="16"/>
  <c r="AG39" i="5"/>
  <c r="AG46" i="5" s="1"/>
  <c r="AB47" i="5" s="1"/>
  <c r="H53" i="5"/>
  <c r="C6" i="16"/>
  <c r="H58" i="5"/>
  <c r="N58" i="5"/>
  <c r="G219" i="14" s="1"/>
  <c r="H212" i="14"/>
  <c r="J246" i="14"/>
  <c r="Z53" i="5"/>
  <c r="H214" i="14"/>
  <c r="AN32" i="5"/>
  <c r="M33" i="5"/>
  <c r="G214" i="14" s="1"/>
  <c r="AQ35" i="5"/>
  <c r="AQ36" i="5"/>
  <c r="J26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3" i="16"/>
  <c r="D13" i="16" s="1"/>
  <c r="K15" i="16"/>
  <c r="D15" i="16" s="1"/>
  <c r="K17" i="16"/>
  <c r="K16" i="16" s="1"/>
  <c r="H282" i="14"/>
  <c r="J282" i="14" s="1"/>
  <c r="J25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4" i="3" s="1"/>
  <c r="O50" i="5"/>
  <c r="AG50" i="5"/>
  <c r="O42" i="5"/>
  <c r="J43" i="5" s="1"/>
  <c r="AQ33" i="5"/>
  <c r="AQ32" i="5"/>
  <c r="L230" i="14"/>
  <c r="N230" i="14" s="1"/>
  <c r="G3" i="3"/>
  <c r="O17" i="16" l="1"/>
  <c r="AB51" i="5"/>
  <c r="Z57" i="5" s="1"/>
  <c r="D17" i="16"/>
  <c r="J51" i="5"/>
  <c r="H57" i="5" s="1"/>
  <c r="H59" i="5" s="1"/>
  <c r="H61" i="5" s="1"/>
  <c r="H63" i="5" s="1"/>
  <c r="H281" i="14"/>
  <c r="J281" i="14" s="1"/>
  <c r="J254" i="3"/>
  <c r="H276" i="14"/>
  <c r="J276" i="14" s="1"/>
  <c r="J249" i="3"/>
  <c r="H274" i="14"/>
  <c r="J274" i="14" s="1"/>
  <c r="J247" i="3"/>
  <c r="H273" i="14"/>
  <c r="J273" i="14" s="1"/>
  <c r="J246" i="3"/>
  <c r="H275" i="14"/>
  <c r="J275" i="14" s="1"/>
  <c r="J248" i="3"/>
  <c r="H280" i="14"/>
  <c r="J280" i="14" s="1"/>
  <c r="J253" i="3"/>
  <c r="H271" i="14"/>
  <c r="J244" i="3"/>
  <c r="H272" i="14"/>
  <c r="J272" i="14" s="1"/>
  <c r="J245" i="3"/>
  <c r="H277" i="14"/>
  <c r="J277" i="14" s="1"/>
  <c r="J250" i="3"/>
  <c r="H279" i="14"/>
  <c r="J279" i="14" s="1"/>
  <c r="J252" i="3"/>
  <c r="H278" i="14"/>
  <c r="J278" i="14" s="1"/>
  <c r="J251" i="3"/>
  <c r="L228" i="14"/>
  <c r="M228" i="14" s="1"/>
  <c r="M230" i="14"/>
  <c r="O230" i="14" s="1"/>
  <c r="J221" i="3"/>
  <c r="J240" i="3"/>
  <c r="I285" i="3"/>
  <c r="I282" i="3"/>
  <c r="I281" i="3"/>
  <c r="I280" i="3"/>
  <c r="F285" i="3"/>
  <c r="F282" i="3"/>
  <c r="F281" i="3"/>
  <c r="F280" i="3"/>
  <c r="A208" i="3"/>
  <c r="A207" i="3"/>
  <c r="Z59" i="5" l="1"/>
  <c r="Z61" i="5" s="1"/>
  <c r="Z63" i="5" s="1"/>
  <c r="I199" i="3" s="1"/>
  <c r="I195" i="3"/>
  <c r="J271" i="14"/>
  <c r="N228" i="14"/>
  <c r="O228" i="14" s="1"/>
  <c r="P228" i="14" s="1"/>
  <c r="P230"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89" i="14" s="1"/>
  <c r="E166" i="3"/>
  <c r="C166" i="3"/>
  <c r="A166" i="3"/>
  <c r="I197" i="3" l="1"/>
  <c r="A232" i="14"/>
  <c r="L229" i="14"/>
  <c r="A237" i="14" s="1"/>
  <c r="I189" i="3"/>
  <c r="G173" i="3"/>
  <c r="I173" i="3"/>
  <c r="G178" i="3"/>
  <c r="G183" i="3"/>
  <c r="I183" i="3"/>
  <c r="I178" i="3"/>
  <c r="H160" i="3"/>
  <c r="A41" i="3"/>
  <c r="I211" i="3"/>
  <c r="H209" i="3"/>
  <c r="H208" i="3"/>
  <c r="J209" i="3"/>
  <c r="J208" i="3"/>
  <c r="J207" i="3"/>
  <c r="E74" i="3"/>
  <c r="H155" i="3" l="1"/>
  <c r="H218" i="3"/>
  <c r="I218" i="3" s="1"/>
  <c r="J218" i="3" s="1"/>
  <c r="H217" i="3"/>
  <c r="H159" i="3" s="1"/>
  <c r="H158" i="3"/>
  <c r="G218" i="3"/>
  <c r="E152" i="3"/>
  <c r="E151" i="3"/>
  <c r="E149" i="3"/>
  <c r="E148" i="3"/>
  <c r="E143" i="3"/>
  <c r="E142" i="3"/>
  <c r="E141" i="3"/>
  <c r="E140" i="3"/>
  <c r="E133" i="3"/>
  <c r="E132" i="3"/>
  <c r="I123" i="3"/>
  <c r="I122" i="3"/>
  <c r="I121" i="3"/>
  <c r="I120" i="3"/>
  <c r="I119" i="3"/>
  <c r="F123" i="3"/>
  <c r="F122" i="3"/>
  <c r="F121" i="3"/>
  <c r="F120" i="3"/>
  <c r="F119" i="3"/>
  <c r="E123" i="3"/>
  <c r="E122" i="3"/>
  <c r="E121" i="3"/>
  <c r="E120" i="3"/>
  <c r="E119" i="3"/>
  <c r="E114" i="3"/>
  <c r="B104" i="3"/>
  <c r="B103" i="3"/>
  <c r="B102" i="3"/>
  <c r="B101" i="3"/>
  <c r="B100" i="3"/>
  <c r="B99" i="3"/>
  <c r="B98" i="3"/>
  <c r="E92" i="3"/>
  <c r="E91" i="3"/>
  <c r="E89" i="3"/>
  <c r="E82" i="3"/>
  <c r="E81" i="3"/>
  <c r="E80" i="3"/>
  <c r="E79" i="3"/>
  <c r="E78" i="3"/>
  <c r="E77" i="3"/>
  <c r="E76" i="3"/>
  <c r="E75"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8" i="3"/>
  <c r="S89" i="5"/>
  <c r="AA87" i="5"/>
  <c r="AA86" i="5"/>
  <c r="M11" i="10"/>
  <c r="G123" i="3"/>
  <c r="G122" i="3"/>
  <c r="G121" i="3"/>
  <c r="G120" i="3"/>
  <c r="G119" i="3"/>
  <c r="I99" i="3"/>
  <c r="A34" i="3"/>
  <c r="A48" i="3" s="1"/>
  <c r="E87" i="3" l="1"/>
  <c r="E29" i="6"/>
  <c r="H29" i="6"/>
  <c r="C29" i="6"/>
  <c r="F117" i="14"/>
  <c r="G29" i="6"/>
  <c r="F121" i="14"/>
  <c r="F99" i="3"/>
  <c r="F103" i="3"/>
  <c r="D29" i="6"/>
  <c r="F118" i="14"/>
  <c r="F100" i="3"/>
  <c r="F104" i="3"/>
  <c r="B29" i="6"/>
  <c r="F101" i="3"/>
  <c r="F29" i="6"/>
  <c r="F120" i="14"/>
  <c r="F98" i="3"/>
  <c r="F102" i="3"/>
  <c r="AC86" i="5"/>
  <c r="G41" i="11"/>
  <c r="AC87" i="5"/>
  <c r="G42" i="11"/>
  <c r="Z69" i="5"/>
  <c r="AF69" i="5" s="1"/>
  <c r="I283" i="3"/>
  <c r="F283"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J256" i="3" l="1"/>
  <c r="H256" i="3"/>
  <c r="R37" i="7"/>
  <c r="R94" i="7" s="1"/>
  <c r="P94" i="7"/>
  <c r="F105" i="3"/>
  <c r="F123" i="14"/>
  <c r="I41" i="11"/>
  <c r="H249" i="14"/>
  <c r="I42" i="11"/>
  <c r="D109" i="7"/>
  <c r="D99" i="3"/>
  <c r="D100" i="3"/>
  <c r="I100" i="3" s="1"/>
  <c r="J224"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4" i="3"/>
  <c r="I286" i="3" s="1"/>
  <c r="J283" i="14"/>
  <c r="I311" i="14" s="1"/>
  <c r="I313" i="14" s="1"/>
  <c r="H283" i="14"/>
  <c r="J249" i="14"/>
  <c r="D102" i="3"/>
  <c r="I102" i="3" s="1"/>
  <c r="G175" i="3"/>
  <c r="G174" i="3"/>
  <c r="G184" i="3"/>
  <c r="G180" i="3"/>
  <c r="G179" i="3"/>
  <c r="E18" i="10"/>
  <c r="G187" i="3"/>
  <c r="AF68" i="5" l="1"/>
  <c r="AF72" i="5"/>
  <c r="Z72" i="5"/>
  <c r="Z74" i="5" s="1"/>
  <c r="I201" i="3" s="1"/>
  <c r="D104" i="3"/>
  <c r="I104" i="3" s="1"/>
  <c r="D103" i="3"/>
  <c r="I103" i="3" s="1"/>
  <c r="E20" i="10"/>
  <c r="G185" i="3"/>
  <c r="G189" i="3" s="1"/>
  <c r="I223" i="14" l="1"/>
  <c r="I200" i="3"/>
  <c r="H189" i="3"/>
  <c r="G196" i="3"/>
  <c r="H191" i="3"/>
  <c r="G191" i="3"/>
  <c r="M10" i="10"/>
  <c r="P11" i="10" s="1"/>
  <c r="M19" i="10" s="1"/>
  <c r="P19" i="10" s="1"/>
  <c r="AE39" i="5" s="1"/>
  <c r="G194" i="3"/>
  <c r="H207"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0" i="14"/>
  <c r="AI42" i="5"/>
  <c r="AE43" i="5" s="1"/>
  <c r="I217" i="14" s="1"/>
  <c r="AI46" i="5"/>
  <c r="AE47" i="5" s="1"/>
  <c r="J230" i="14" s="1"/>
  <c r="AI50" i="5"/>
  <c r="Q39" i="5"/>
  <c r="M37" i="5"/>
  <c r="G209" i="14" s="1"/>
  <c r="Q45" i="5"/>
  <c r="H16" i="7"/>
  <c r="H253" i="14"/>
  <c r="J253" i="14" s="1"/>
  <c r="H31" i="7"/>
  <c r="H258" i="14"/>
  <c r="J258" i="14" s="1"/>
  <c r="H61" i="7"/>
  <c r="H58" i="7"/>
  <c r="H52" i="7"/>
  <c r="H19" i="7"/>
  <c r="H254" i="14"/>
  <c r="J254" i="14" s="1"/>
  <c r="H73" i="7"/>
  <c r="H260" i="14"/>
  <c r="J260" i="14" s="1"/>
  <c r="H49" i="7"/>
  <c r="H40" i="7"/>
  <c r="H79" i="7"/>
  <c r="H85" i="7"/>
  <c r="H88" i="7"/>
  <c r="H55" i="7"/>
  <c r="H46" i="7"/>
  <c r="H64" i="7"/>
  <c r="H82" i="7"/>
  <c r="H70" i="7"/>
  <c r="H22" i="7"/>
  <c r="H255" i="14"/>
  <c r="J255" i="14" s="1"/>
  <c r="H28" i="7"/>
  <c r="H257" i="14"/>
  <c r="J257" i="14" s="1"/>
  <c r="H43" i="7"/>
  <c r="H25" i="7"/>
  <c r="H256" i="14"/>
  <c r="J256" i="14" s="1"/>
  <c r="H67" i="7"/>
  <c r="H76" i="7"/>
  <c r="H34" i="7"/>
  <c r="H259" i="14"/>
  <c r="J259" i="14" s="1"/>
  <c r="H13" i="7"/>
  <c r="H252" i="14"/>
  <c r="J252" i="14" s="1"/>
  <c r="H37" i="7"/>
  <c r="H10" i="7"/>
  <c r="H7" i="7"/>
  <c r="H98" i="7"/>
  <c r="F110" i="7"/>
  <c r="H91" i="7"/>
  <c r="F94" i="7"/>
  <c r="G195" i="3"/>
  <c r="AE51" i="5" l="1"/>
  <c r="AF57" i="5" s="1"/>
  <c r="I218" i="14" s="1"/>
  <c r="O34" i="16"/>
  <c r="D27" i="16"/>
  <c r="K32" i="16"/>
  <c r="D32" i="16" s="1"/>
  <c r="K34" i="16"/>
  <c r="K33" i="16" s="1"/>
  <c r="K30" i="16"/>
  <c r="D30" i="16" s="1"/>
  <c r="J225" i="3"/>
  <c r="J226" i="3"/>
  <c r="H251" i="14"/>
  <c r="J251" i="14" s="1"/>
  <c r="J236" i="3"/>
  <c r="H261" i="14"/>
  <c r="J261" i="14" s="1"/>
  <c r="J250" i="14"/>
  <c r="H237" i="3"/>
  <c r="Q46" i="5"/>
  <c r="M47" i="5" s="1"/>
  <c r="H230" i="14" s="1"/>
  <c r="Q42" i="5"/>
  <c r="M43" i="5" s="1"/>
  <c r="G217" i="14" s="1"/>
  <c r="Q50" i="5"/>
  <c r="J227" i="3"/>
  <c r="J230" i="3"/>
  <c r="J229" i="3"/>
  <c r="J234" i="3"/>
  <c r="J233" i="3"/>
  <c r="J232" i="3"/>
  <c r="J235" i="3"/>
  <c r="J228" i="3"/>
  <c r="J231" i="3"/>
  <c r="H94" i="7"/>
  <c r="G197" i="3"/>
  <c r="D34" i="16" l="1"/>
  <c r="M51" i="5"/>
  <c r="N57" i="5" s="1"/>
  <c r="H262" i="14"/>
  <c r="J262" i="14"/>
  <c r="F311" i="14" s="1"/>
  <c r="F313" i="14" s="1"/>
  <c r="AF59" i="5"/>
  <c r="AF61" i="5" s="1"/>
  <c r="I220" i="14" s="1"/>
  <c r="J237" i="3"/>
  <c r="G199" i="3"/>
  <c r="N59" i="5" l="1"/>
  <c r="N61" i="5" s="1"/>
  <c r="G218" i="14"/>
  <c r="AF63" i="5"/>
  <c r="I222" i="14" s="1"/>
  <c r="F284" i="3"/>
  <c r="F286" i="3" s="1"/>
  <c r="H68" i="5"/>
  <c r="N63" i="5" l="1"/>
  <c r="G222" i="14" s="1"/>
  <c r="G220" i="14"/>
  <c r="AF74" i="5"/>
  <c r="H72" i="5"/>
  <c r="G223" i="14" s="1"/>
  <c r="N68" i="5"/>
  <c r="N72" i="5"/>
  <c r="I224" i="14" l="1"/>
  <c r="N74" i="5"/>
  <c r="G224" i="14" s="1"/>
  <c r="H74" i="5"/>
  <c r="G200" i="3"/>
  <c r="A234" i="14" l="1"/>
  <c r="A228" i="14"/>
  <c r="A235" i="14" s="1"/>
  <c r="N77" i="5"/>
  <c r="G226" i="14" s="1"/>
  <c r="AF75" i="5"/>
  <c r="H77" i="5"/>
  <c r="Z75" i="5"/>
  <c r="G201" i="3"/>
  <c r="A211" i="3" l="1"/>
  <c r="A205" i="3"/>
  <c r="A212" i="3" s="1"/>
  <c r="AF77" i="5"/>
  <c r="AF79" i="5" s="1"/>
  <c r="Z77" i="5"/>
  <c r="E36" i="11" s="1"/>
  <c r="G35" i="24" s="1"/>
  <c r="G203" i="3"/>
  <c r="C10" i="13" l="1"/>
  <c r="D10" i="13" s="1"/>
  <c r="E10" i="13" s="1"/>
  <c r="AI79" i="5"/>
  <c r="I228" i="14"/>
  <c r="I235" i="14"/>
  <c r="H175" i="14" s="1"/>
  <c r="B9" i="6"/>
  <c r="B10" i="6" s="1"/>
  <c r="B11" i="6" s="1"/>
  <c r="C16" i="13"/>
  <c r="D16" i="13" s="1"/>
  <c r="E16" i="13" s="1"/>
  <c r="I205" i="3"/>
  <c r="I212" i="3"/>
  <c r="G213" i="3" s="1"/>
  <c r="Z79" i="5"/>
  <c r="G36" i="11" s="1"/>
  <c r="K35" i="24" l="1"/>
  <c r="G236" i="14"/>
  <c r="A236" i="14" s="1"/>
  <c r="AC79" i="5"/>
  <c r="H157" i="3"/>
  <c r="A213" i="3"/>
  <c r="I213"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<sst xmlns="http://schemas.openxmlformats.org/spreadsheetml/2006/main" count="1658" uniqueCount="790">
  <si>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</si>
  <si>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</si>
  <si>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</si>
  <si>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</si>
  <si>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</si>
  <si>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</si>
  <si>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</si>
  <si>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</si>
  <si>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</si>
  <si>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</si>
  <si>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</si>
  <si>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</si>
  <si>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</si>
  <si>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</si>
  <si>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</si>
  <si>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</si>
  <si>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</si>
  <si>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</si>
  <si>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</si>
  <si>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</si>
  <si>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</si>
  <si>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</si>
  <si>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</si>
  <si>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</si>
  <si>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</si>
  <si>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</si>
  <si>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</si>
  <si>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</si>
  <si>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</si>
  <si>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</si>
  <si>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</si>
  <si>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</si>
  <si>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</si>
  <si>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</si>
  <si>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</si>
  <si>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</si>
  <si>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</si>
  <si>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</si>
  <si>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</si>
  <si>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</si>
  <si>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</si>
  <si>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</si>
  <si>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</si>
  <si>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</si>
  <si>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</si>
  <si>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</si>
  <si>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</si>
  <si>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</si>
  <si>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</si>
  <si>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</si>
  <si>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</si>
  <si>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</si>
  <si>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</si>
  <si>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</si>
  <si>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</si>
  <si>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</si>
  <si>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</si>
  <si>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</si>
  <si>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</si>
  <si>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</si>
  <si>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</si>
  <si>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</si>
  <si>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</si>
  <si>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</si>
  <si>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</si>
  <si>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</si>
  <si>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</si>
  <si>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</si>
  <si>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</si>
  <si>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</si>
  <si>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</si>
  <si>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</si>
  <si>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</si>
  <si>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</si>
  <si>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</si>
  <si>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</si>
  <si>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</si>
  <si>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</si>
  <si>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</si>
  <si>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</si>
  <si>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</si>
  <si>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</si>
  <si>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</si>
  <si>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</si>
  <si>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</si>
  <si>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</si>
  <si>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</si>
  <si>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</si>
  <si>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</si>
  <si>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</si>
  <si>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</si>
  <si>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</si>
  <si>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</si>
  <si>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</si>
  <si>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</si>
  <si>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</si>
  <si>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</si>
  <si>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</si>
  <si>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</si>
  <si>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</si>
  <si>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</si>
  <si>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</si>
  <si>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</si>
  <si>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</si>
  <si>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</si>
  <si>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</si>
  <si>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</si>
  <si>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</si>
  <si>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</si>
  <si>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</si>
  <si>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</si>
  <si>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</si>
  <si>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</si>
  <si>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</si>
  <si>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</si>
  <si>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</si>
  <si>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</si>
  <si>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</si>
  <si>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</si>
  <si>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</si>
  <si>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</si>
  <si>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</si>
  <si>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</si>
  <si>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</si>
  <si>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</si>
  <si>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</si>
  <si>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</si>
  <si>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</si>
  <si>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</si>
  <si>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</si>
  <si>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</si>
  <si>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</si>
  <si>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</si>
  <si>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</si>
  <si>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</si>
  <si>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</si>
  <si>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</si>
  <si>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</si>
  <si>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</si>
  <si>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</si>
  <si>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</si>
  <si>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</si>
  <si>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</si>
  <si>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</si>
  <si>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</si>
  <si>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</si>
  <si>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</si>
  <si>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</si>
  <si>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</si>
  <si>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</si>
  <si>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</si>
  <si>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</si>
  <si>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</si>
  <si>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</si>
  <si>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</si>
  <si>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</si>
  <si>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</si>
  <si>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</si>
  <si>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</si>
  <si>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</si>
  <si>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</si>
  <si>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</si>
  <si>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</si>
  <si>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</si>
  <si>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</si>
  <si>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</si>
  <si>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</si>
  <si>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</si>
  <si>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</si>
  <si>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</si>
  <si>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</si>
  <si>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</si>
  <si>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</si>
  <si>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</si>
  <si>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</si>
  <si>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</si>
  <si>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</si>
  <si>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</si>
  <si>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</si>
  <si>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</si>
  <si>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</si>
  <si>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</si>
  <si>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</si>
  <si>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</si>
  <si>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</si>
  <si>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</si>
  <si>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</si>
  <si>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</si>
  <si>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</si>
  <si>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</si>
  <si>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</si>
  <si>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</si>
  <si>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</si>
  <si>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</si>
  <si>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</si>
  <si>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</si>
  <si>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</si>
  <si>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</si>
  <si>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</si>
  <si>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</si>
  <si>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</si>
  <si>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</si>
  <si>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</si>
  <si>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</si>
  <si>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</si>
  <si>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</si>
  <si>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</si>
  <si>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</si>
  <si>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</si>
  <si>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</si>
  <si>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</si>
  <si>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</si>
  <si>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</si>
  <si>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</si>
  <si>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</si>
  <si>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</si>
  <si>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</si>
  <si>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</si>
  <si>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</si>
  <si>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</si>
  <si>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</si>
  <si>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</si>
  <si>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</si>
  <si>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</si>
  <si>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</si>
  <si>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</si>
  <si>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</si>
  <si>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</si>
  <si>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</si>
  <si>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</si>
  <si>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</si>
  <si>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</si>
  <si>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</si>
  <si>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</si>
  <si>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</si>
  <si>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</si>
  <si>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</si>
  <si>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</si>
  <si>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</si>
  <si>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</si>
  <si>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</si>
  <si>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</si>
  <si>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</si>
  <si>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</si>
  <si>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</si>
  <si>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</si>
  <si>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</si>
  <si>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</si>
  <si>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</si>
  <si>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</si>
  <si>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</si>
  <si>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</si>
  <si>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</si>
  <si>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</si>
  <si>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</si>
  <si>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</si>
  <si>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</si>
  <si>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</si>
  <si>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</si>
  <si>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</si>
  <si>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</si>
  <si>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</si>
  <si>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</si>
  <si>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</si>
  <si>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</si>
  <si>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</si>
  <si>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</si>
  <si>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</si>
  <si>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</si>
  <si>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</si>
  <si>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</si>
  <si>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</si>
  <si>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</si>
  <si>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</si>
  <si>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</si>
  <si>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</si>
  <si>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</si>
  <si>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</si>
  <si>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</si>
  <si>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</si>
  <si>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</si>
  <si>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</si>
  <si>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</si>
  <si>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</si>
  <si>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</si>
  <si>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</si>
  <si>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</si>
  <si>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</si>
  <si>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</si>
  <si>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</si>
  <si>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</si>
  <si>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</si>
  <si>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</si>
  <si>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</si>
  <si>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</si>
  <si>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</si>
  <si>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</si>
  <si>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</si>
  <si>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</si>
  <si>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</si>
  <si>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</si>
  <si>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</si>
  <si>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</si>
  <si>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</si>
  <si>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</si>
  <si>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</si>
  <si>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</si>
  <si>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</si>
  <si>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</si>
  <si>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</si>
  <si>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</si>
  <si>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</si>
  <si>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</si>
  <si>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</si>
  <si>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</si>
  <si>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</si>
  <si>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</si>
  <si>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</si>
  <si>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</si>
  <si>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</si>
  <si>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</si>
  <si>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</si>
  <si>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</si>
  <si>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</si>
  <si>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</si>
  <si>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</si>
  <si>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</si>
  <si>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</si>
  <si>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</si>
  <si>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</si>
  <si>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</si>
  <si>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</si>
  <si>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</si>
  <si>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</si>
  <si>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</si>
  <si>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</si>
  <si>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</si>
  <si>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</si>
  <si>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</si>
  <si>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</si>
  <si>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</si>
  <si>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</si>
  <si>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</si>
  <si>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</si>
  <si>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</si>
  <si>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</si>
  <si>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</si>
  <si>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</si>
  <si>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</si>
  <si>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</si>
  <si>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</si>
  <si>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</si>
  <si>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</si>
  <si>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</si>
  <si>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</si>
  <si>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</si>
  <si>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</si>
  <si>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</si>
  <si>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</si>
  <si>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</si>
  <si>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</si>
  <si>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</si>
  <si>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</si>
  <si>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</si>
  <si>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</si>
  <si>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</si>
  <si>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</si>
  <si>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</si>
  <si>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</si>
  <si>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</si>
  <si>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</si>
  <si>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</si>
  <si>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</si>
  <si>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</si>
  <si>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</si>
  <si>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</si>
  <si>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</si>
  <si>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</si>
  <si>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</si>
  <si>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</si>
  <si>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</si>
  <si>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</si>
  <si>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</si>
  <si>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</si>
  <si>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</si>
  <si>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</si>
  <si>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</si>
  <si>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</si>
  <si>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</si>
  <si>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</si>
  <si>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</si>
  <si>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</si>
  <si>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</si>
  <si>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</si>
  <si>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</si>
  <si>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</si>
  <si>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</si>
  <si>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</si>
  <si>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</si>
  <si>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</si>
  <si>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</si>
  <si>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</si>
  <si>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</si>
  <si>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</si>
  <si>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</si>
  <si>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</si>
  <si>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</si>
  <si>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</si>
  <si>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</si>
  <si>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</si>
  <si>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</si>
  <si>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</si>
  <si>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</si>
  <si>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</si>
  <si>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</si>
  <si>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</si>
  <si>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</si>
  <si>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</si>
  <si>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</si>
  <si>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</si>
  <si>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</si>
  <si>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</si>
  <si>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</si>
  <si>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</si>
  <si>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</si>
  <si>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</si>
  <si>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</si>
  <si>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</si>
  <si>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</si>
  <si>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</si>
  <si>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</si>
  <si>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</si>
  <si>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</si>
  <si>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</si>
  <si>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</si>
  <si>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</si>
  <si>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</si>
  <si>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</si>
  <si>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</si>
  <si>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</si>
  <si>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</si>
  <si>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</si>
  <si>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</si>
  <si>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</si>
  <si>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</si>
  <si>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</si>
  <si>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</si>
  <si>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</si>
  <si>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</si>
  <si>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</si>
  <si>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</si>
  <si>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</si>
  <si>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</si>
  <si>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</si>
  <si>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</si>
  <si>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</si>
  <si>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</si>
  <si>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</si>
  <si>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</si>
  <si>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</si>
  <si>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</si>
  <si>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</si>
  <si>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</si>
  <si>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</si>
  <si>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</si>
  <si>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</si>
  <si>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</si>
  <si>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</si>
  <si>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</si>
  <si>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</si>
  <si>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</si>
  <si>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</si>
  <si>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</si>
  <si>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</si>
  <si>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</si>
  <si>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</si>
  <si>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</si>
  <si>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</si>
  <si>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</si>
  <si>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</si>
  <si>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</si>
  <si>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</si>
  <si>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</si>
  <si>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</si>
  <si>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</si>
  <si>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</si>
  <si>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</si>
  <si>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</si>
  <si>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</si>
  <si>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</si>
  <si>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</si>
  <si>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</si>
  <si>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</si>
  <si>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</si>
  <si>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</si>
  <si>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</si>
  <si>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</si>
  <si>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</si>
  <si>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</si>
  <si>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</si>
  <si>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</si>
  <si>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</si>
  <si>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</si>
  <si>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</si>
  <si>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</si>
  <si>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</si>
  <si>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</si>
  <si>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</si>
  <si>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</si>
  <si>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</si>
  <si>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</si>
  <si>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</si>
  <si>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</si>
  <si>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</si>
  <si>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</si>
  <si>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</si>
  <si>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</si>
  <si>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</si>
  <si>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</si>
  <si>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</si>
  <si>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</si>
  <si>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</si>
  <si>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</si>
  <si>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</si>
  <si>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</si>
  <si>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</si>
  <si>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</si>
  <si>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</si>
  <si>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</si>
  <si>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</si>
  <si>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</si>
  <si>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</si>
  <si>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</si>
  <si>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</si>
  <si>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</si>
  <si>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</si>
  <si>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</si>
  <si>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</si>
  <si>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</si>
  <si>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</si>
  <si>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</si>
  <si>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</si>
  <si>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</si>
  <si>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</si>
  <si>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</si>
  <si>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</si>
  <si>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</si>
  <si>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</si>
  <si>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</si>
  <si>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</si>
  <si>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</si>
  <si>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</si>
  <si>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</si>
  <si>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</si>
  <si>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</si>
  <si>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</si>
  <si>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</si>
  <si>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</si>
  <si>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</si>
  <si>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</si>
  <si>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</si>
  <si>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</si>
  <si>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</si>
  <si>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</si>
  <si>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</si>
  <si>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</si>
  <si>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</si>
  <si>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</si>
  <si>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</si>
  <si>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</si>
  <si>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</si>
  <si>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</si>
  <si>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</si>
  <si>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</si>
  <si>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</si>
  <si>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</si>
  <si>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</si>
  <si>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</si>
  <si>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</si>
  <si>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</si>
  <si>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</si>
  <si>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</si>
  <si>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</si>
  <si>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</si>
  <si>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</si>
  <si>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</si>
  <si>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</si>
  <si>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</si>
  <si>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</si>
  <si>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</si>
  <si>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</si>
  <si>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</si>
  <si>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</si>
  <si>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</si>
  <si>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</si>
  <si>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</si>
  <si>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</si>
  <si>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</si>
  <si>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</si>
  <si>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</si>
  <si>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</si>
  <si>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</si>
  <si>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</si>
  <si>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</si>
  <si>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</si>
  <si>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</si>
  <si>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</si>
  <si>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</si>
  <si>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</si>
  <si>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</si>
  <si>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</si>
  <si>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</si>
  <si>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</si>
  <si>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</si>
  <si>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</si>
  <si>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</si>
  <si>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</si>
  <si>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</si>
  <si>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</si>
  <si>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</si>
  <si>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</si>
  <si>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</si>
  <si>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</si>
  <si>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</si>
  <si>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</si>
  <si>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</si>
  <si>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</si>
  <si>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</si>
  <si>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</si>
  <si>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</si>
  <si>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</si>
  <si>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</si>
  <si>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</si>
  <si>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</si>
  <si>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</si>
  <si>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</si>
  <si>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</si>
  <si>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</si>
  <si>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</si>
  <si>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</si>
  <si>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</si>
  <si>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</si>
  <si>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</si>
  <si>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</si>
  <si>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</si>
  <si>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</si>
  <si>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</si>
  <si>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</si>
  <si>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</si>
  <si>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</si>
  <si>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</si>
  <si>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</si>
  <si>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</si>
  <si>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</si>
  <si>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</si>
  <si>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</si>
  <si>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</si>
  <si>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</si>
  <si>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</si>
  <si>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</si>
  <si>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</si>
  <si>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</si>
  <si>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</si>
  <si>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</si>
  <si>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</si>
  <si>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</si>
  <si>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</si>
  <si>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</si>
  <si>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</si>
  <si>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</si>
  <si>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</si>
  <si>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</si>
  <si>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</si>
  <si>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</si>
  <si>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</si>
  <si>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</si>
  <si>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</si>
  <si>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</si>
  <si>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</si>
  <si>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</si>
  <si>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</si>
  <si>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</si>
  <si>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</si>
  <si>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</si>
  <si>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</si>
  <si>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</si>
  <si>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</si>
  <si>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</si>
  <si>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</si>
  <si>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</si>
  <si>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</si>
  <si>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</si>
  <si>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</si>
  <si>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</si>
  <si>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</si>
  <si>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</si>
  <si>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</si>
  <si>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</si>
  <si>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</si>
  <si>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</si>
  <si>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</si>
  <si>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</si>
  <si>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</si>
  <si>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</si>
  <si>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</si>
  <si>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</si>
  <si>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</si>
  <si>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</si>
  <si>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</si>
  <si>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</si>
  <si>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</si>
  <si>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</si>
  <si>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</si>
  <si>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</si>
  <si>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</si>
  <si>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</si>
  <si>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</si>
  <si>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</si>
  <si>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</si>
  <si>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</si>
  <si>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</si>
  <si>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</si>
  <si>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</si>
  <si>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</si>
  <si>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</si>
  <si>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</si>
  <si>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</si>
  <si>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</si>
  <si>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</si>
  <si>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</si>
  <si>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</si>
  <si>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</si>
  <si>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</si>
  <si>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</si>
  <si>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</si>
  <si>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</si>
  <si>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</si>
  <si>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</si>
  <si>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BTG 1</t>
  </si>
  <si>
    <t>BTG 2 V</t>
  </si>
  <si>
    <t xml:space="preserve"> Messrs. BTG Pactual Commodities Sertrading S/A,</t>
  </si>
  <si>
    <t xml:space="preserve"> Messrs. Amaggi &amp; LDC Terminais Portuários Paranaguá S.A,</t>
  </si>
  <si>
    <t>PGUA/DS/</t>
  </si>
  <si>
    <t>106/26</t>
  </si>
  <si>
    <t>Wen De</t>
  </si>
  <si>
    <t>Dalian Shipbuilding Industry Co., Ltd. (DSIC) / Dalian Shipyard</t>
  </si>
  <si>
    <t>VRMS4</t>
  </si>
  <si>
    <t>Hong Kong</t>
  </si>
  <si>
    <t>Hongkongese</t>
  </si>
  <si>
    <t>CCS</t>
  </si>
  <si>
    <t>FENGHUA SHIPPING S.A. - Hong Kong</t>
  </si>
  <si>
    <t>SHENZHEN Ocean Shipping Co., Ltd - China</t>
  </si>
  <si>
    <t xml:space="preserve">DSIC - Dalian Shipbuilding Industry Co., Ltd. </t>
  </si>
  <si>
    <t>12.11.2013</t>
  </si>
  <si>
    <t>DS410-050-4007JS</t>
  </si>
  <si>
    <t>DNV</t>
  </si>
  <si>
    <t>19.11.2013</t>
  </si>
  <si>
    <t>DS410-050-4011JS</t>
  </si>
  <si>
    <t>(As Consignees surveyors)</t>
  </si>
  <si>
    <t>Inner roads</t>
  </si>
  <si>
    <t>Lunamar</t>
  </si>
  <si>
    <t>Fine</t>
  </si>
  <si>
    <t>Ebb tide, &lt; 1knot</t>
  </si>
  <si>
    <t>K</t>
  </si>
  <si>
    <t>Boiler (S)</t>
  </si>
  <si>
    <t>Wharf</t>
  </si>
  <si>
    <t>Ebb tide, &gt;1knot</t>
  </si>
  <si>
    <t>FULL</t>
  </si>
  <si>
    <t>Soybeans</t>
  </si>
  <si>
    <t>One China Port</t>
  </si>
  <si>
    <t>Mr. Matheus Caggiano</t>
  </si>
  <si>
    <t>Mr. Jean Braga</t>
  </si>
  <si>
    <t>Directly applied on volumes.</t>
  </si>
  <si>
    <t>GAUGE</t>
  </si>
  <si>
    <t>OTHERS (GREY WATER)</t>
  </si>
  <si>
    <t>Yong Zhu</t>
  </si>
  <si>
    <t>Sheng Hua Sun</t>
  </si>
  <si>
    <t>De Qin Li</t>
  </si>
  <si>
    <t>Barley on bulk</t>
  </si>
  <si>
    <t>Zhangzhou, China</t>
  </si>
  <si>
    <t>1 WBT (P)</t>
  </si>
  <si>
    <t>1 WBT (S)</t>
  </si>
  <si>
    <t>2 WBT (P)</t>
  </si>
  <si>
    <t>2 WBT (S)</t>
  </si>
  <si>
    <t>3 WBT (P)</t>
  </si>
  <si>
    <t>3 WBT (S)</t>
  </si>
  <si>
    <t>4 WBT (P)</t>
  </si>
  <si>
    <t>4 WBT (S)</t>
  </si>
  <si>
    <t>5 WBT (P)</t>
  </si>
  <si>
    <t>5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</si>
</sst>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1">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xf numFmtId="43" fontId="1" fillId="0" borderId="0" applyFont="0" applyFill="0" applyBorder="0" applyAlignment="0" applyProtection="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5" fillId="8" borderId="61" xfId="3" applyFont="1" applyFill="1" applyBorder="1" applyAlignment="1" applyProtection="1">
      <alignment horizontal="center"/>
      <protection locked="0"/>
    </xf>
    <xf numFmtId="0" fontId="45" fillId="8" borderId="63" xfId="3" applyFont="1" applyFill="1" applyBorder="1" applyAlignment="1" applyProtection="1">
      <alignment horizontal="left" vertical="top" wrapText="1"/>
      <protection locked="0"/>
    </xf>
    <xf numFmtId="0" fontId="45" fillId="8" borderId="61" xfId="3" applyFont="1" applyFill="1" applyBorder="1" applyAlignment="1">
      <alignment horizontal="left" wrapText="1"/>
    </xf>
    <xf numFmtId="0" fontId="46" fillId="8" borderId="63" xfId="3" applyFont="1" applyFill="1" applyBorder="1"/>
    <xf numFmtId="0" fontId="46" fillId="8" borderId="62" xfId="3" applyFont="1" applyFill="1" applyBorder="1"/>
    <xf numFmtId="0" fontId="9" fillId="0" borderId="0" xfId="0" applyFont="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80" fontId="50" fillId="0" borderId="44" xfId="4" applyNumberFormat="1" applyFont="1" applyBorder="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1" fillId="0" borderId="74" xfId="4" applyNumberFormat="1" applyBorder="1"/>
    <xf numFmtId="168" fontId="1" fillId="0" borderId="75" xfId="4" applyNumberFormat="1" applyBorder="1"/>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3" fillId="13" borderId="0" xfId="4" applyFont="1" applyFill="1" applyAlignment="1">
      <alignment horizontal="left"/>
    </xf>
    <xf numFmtId="0" fontId="2" fillId="13" borderId="6" xfId="4"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172" fontId="3" fillId="8" borderId="64"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0" xfId="4" applyNumberFormat="1" applyFont="1" applyFill="1" applyBorder="1" applyAlignment="1" applyProtection="1">
      <alignment horizontal="center"/>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1">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2" xfId="10" xr:uid="{BB40A769-E38C-47B3-AFB1-5ED0C3AD7A12}"/>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10000</c:v>
                </c:pt>
                <c:pt idx="1">
                  <c:v>10000</c:v>
                </c:pt>
                <c:pt idx="2">
                  <c:v>0</c:v>
                </c:pt>
                <c:pt idx="3">
                  <c:v>0</c:v>
                </c:pt>
                <c:pt idx="4">
                  <c:v>13569.13</c:v>
                </c:pt>
                <c:pt idx="5">
                  <c:v>9000</c:v>
                </c:pt>
                <c:pt idx="6">
                  <c:v>5000</c:v>
                </c:pt>
                <c:pt idx="7">
                  <c:v>0</c:v>
                </c:pt>
                <c:pt idx="8">
                  <c:v>14500</c:v>
                </c:pt>
                <c:pt idx="9">
                  <c:v>0</c:v>
                </c:pt>
                <c:pt idx="10">
                  <c:v>8000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7160D90-C368-495B-8640-51F66911C3E0}"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51515D9-A4CB-462A-9809-7A2B0101B082}"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14.271620041521851</c:v>
                </c:pt>
                <c:pt idx="1">
                  <c:v>14.271620041521851</c:v>
                </c:pt>
                <c:pt idx="2">
                  <c:v>0</c:v>
                </c:pt>
                <c:pt idx="3">
                  <c:v>0</c:v>
                </c:pt>
                <c:pt idx="4">
                  <c:v>19.365346765401537</c:v>
                </c:pt>
                <c:pt idx="5">
                  <c:v>12.844458037369666</c:v>
                </c:pt>
                <c:pt idx="6">
                  <c:v>7.1358100207609256</c:v>
                </c:pt>
                <c:pt idx="7">
                  <c:v>0</c:v>
                </c:pt>
                <c:pt idx="8">
                  <c:v>20.693849060206684</c:v>
                </c:pt>
                <c:pt idx="9">
                  <c:v>0</c:v>
                </c:pt>
                <c:pt idx="10">
                  <c:v>11.417296033217481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O35" sqref="O3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143</v>
      </c>
      <c r="N3" s="883"/>
      <c r="O3" s="883"/>
      <c r="P3" s="883"/>
      <c r="Q3" s="883"/>
      <c r="R3" s="883"/>
      <c r="S3" s="883"/>
      <c r="T3" s="883"/>
      <c r="U3" s="883"/>
    </row>
    <row r="4" spans="1:21" ht="21" x14ac:dyDescent="0.35">
      <c r="A4" s="22" t="s">
        <v>144</v>
      </c>
      <c r="B4" s="22" t="s">
        <v>145</v>
      </c>
      <c r="C4" s="18"/>
      <c r="D4" s="18"/>
      <c r="E4" s="18"/>
      <c r="F4" s="18"/>
      <c r="G4" s="18"/>
      <c r="H4" s="18"/>
      <c r="I4" s="19"/>
      <c r="J4" s="19"/>
      <c r="K4" s="19"/>
      <c r="L4" s="19"/>
      <c r="M4" s="19"/>
      <c r="N4" s="19"/>
      <c r="O4" s="19"/>
    </row>
    <row r="5" spans="1:21" ht="18.75" x14ac:dyDescent="0.3">
      <c r="A5" s="23" t="s">
        <v>742</v>
      </c>
      <c r="B5" s="24" t="s">
        <v>743</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4" t="s">
        <v>148</v>
      </c>
      <c r="B7" s="867"/>
      <c r="C7" s="29"/>
      <c r="D7" s="29"/>
      <c r="E7" s="29"/>
      <c r="F7" s="29"/>
      <c r="G7" s="29"/>
      <c r="H7" s="29"/>
      <c r="I7" s="30"/>
      <c r="J7" s="30"/>
      <c r="K7" s="30"/>
      <c r="L7" s="30"/>
      <c r="M7" s="30"/>
      <c r="N7" s="30"/>
      <c r="O7" s="27" t="s">
        <v>149</v>
      </c>
      <c r="P7" s="28"/>
    </row>
    <row r="8" spans="1:21" ht="15.75" x14ac:dyDescent="0.25">
      <c r="A8" s="31" t="s">
        <v>48</v>
      </c>
      <c r="B8" s="719" t="s">
        <v>744</v>
      </c>
      <c r="C8" s="29"/>
      <c r="D8" s="29"/>
      <c r="E8" s="29"/>
      <c r="F8" s="29"/>
      <c r="G8" s="29"/>
      <c r="H8" s="29"/>
      <c r="I8" s="30"/>
      <c r="J8" s="30"/>
      <c r="K8" s="30"/>
      <c r="L8" s="30"/>
      <c r="M8" s="30"/>
      <c r="N8" s="30"/>
      <c r="O8" s="27" t="s">
        <v>150</v>
      </c>
    </row>
    <row r="9" spans="1:21" ht="15.75" x14ac:dyDescent="0.25">
      <c r="A9" s="31" t="s">
        <v>151</v>
      </c>
      <c r="B9" s="719">
        <v>2013</v>
      </c>
      <c r="C9" s="32"/>
      <c r="D9" s="32"/>
      <c r="E9" s="32"/>
      <c r="F9" s="29"/>
      <c r="G9" s="29"/>
      <c r="H9" s="29"/>
      <c r="I9" s="30"/>
      <c r="J9" s="30"/>
      <c r="K9" s="30"/>
      <c r="L9" s="30"/>
      <c r="M9" s="30"/>
      <c r="N9" s="30"/>
      <c r="O9" s="27" t="s">
        <v>152</v>
      </c>
    </row>
    <row r="10" spans="1:21" ht="15.75" x14ac:dyDescent="0.25">
      <c r="A10" s="31" t="s">
        <v>52</v>
      </c>
      <c r="B10" s="719">
        <v>9642772</v>
      </c>
      <c r="C10" s="29"/>
      <c r="D10" s="29"/>
      <c r="E10" s="29"/>
      <c r="F10" s="29"/>
      <c r="G10" s="29"/>
      <c r="H10" s="29"/>
      <c r="I10" s="30"/>
      <c r="J10" s="30"/>
      <c r="K10" s="30"/>
      <c r="L10" s="30"/>
      <c r="M10" s="30"/>
      <c r="N10" s="30"/>
      <c r="O10" s="27" t="s">
        <v>153</v>
      </c>
    </row>
    <row r="11" spans="1:21" ht="15.75" x14ac:dyDescent="0.25">
      <c r="A11" s="31" t="s">
        <v>62</v>
      </c>
      <c r="B11" s="719" t="s">
        <v>745</v>
      </c>
      <c r="C11" s="29"/>
      <c r="D11" s="29"/>
      <c r="E11" s="29"/>
      <c r="F11" s="29"/>
      <c r="G11" s="29"/>
      <c r="H11" s="29"/>
      <c r="I11" s="30"/>
      <c r="J11" s="30"/>
      <c r="K11" s="30"/>
      <c r="L11" s="30"/>
      <c r="M11" s="30"/>
      <c r="N11" s="30"/>
      <c r="O11" s="27" t="s">
        <v>154</v>
      </c>
    </row>
    <row r="12" spans="1:21" ht="15.75" x14ac:dyDescent="0.25">
      <c r="A12" s="31" t="s">
        <v>49</v>
      </c>
      <c r="B12" s="719" t="s">
        <v>746</v>
      </c>
      <c r="C12" s="29"/>
      <c r="D12" s="29"/>
      <c r="E12" s="29"/>
      <c r="F12" s="29"/>
      <c r="G12" s="29"/>
      <c r="H12" s="29"/>
      <c r="I12" s="30"/>
      <c r="J12" s="30"/>
      <c r="K12" s="30"/>
      <c r="L12" s="30"/>
      <c r="M12" s="30"/>
      <c r="N12" s="30"/>
      <c r="O12" s="27" t="s">
        <v>155</v>
      </c>
    </row>
    <row r="13" spans="1:21" ht="15.75" x14ac:dyDescent="0.25">
      <c r="A13" s="31" t="s">
        <v>50</v>
      </c>
      <c r="B13" s="719" t="s">
        <v>747</v>
      </c>
      <c r="C13" s="29"/>
      <c r="D13" s="29"/>
      <c r="E13" s="29"/>
      <c r="F13" s="29"/>
      <c r="G13" s="29"/>
      <c r="H13" s="29"/>
      <c r="I13" s="30"/>
      <c r="J13" s="30"/>
      <c r="K13" s="30"/>
      <c r="L13" s="30"/>
      <c r="M13" s="30"/>
      <c r="N13" s="30"/>
      <c r="O13" s="27" t="s">
        <v>156</v>
      </c>
    </row>
    <row r="14" spans="1:21" ht="15.75" x14ac:dyDescent="0.25">
      <c r="A14" s="31" t="s">
        <v>51</v>
      </c>
      <c r="B14" s="719" t="s">
        <v>748</v>
      </c>
      <c r="C14" s="29"/>
      <c r="D14" s="29"/>
      <c r="E14" s="29"/>
      <c r="F14" s="29"/>
      <c r="G14" s="29"/>
      <c r="H14" s="29"/>
      <c r="I14" s="30"/>
      <c r="J14" s="30"/>
      <c r="K14" s="30"/>
      <c r="L14" s="30"/>
      <c r="M14" s="30"/>
      <c r="N14" s="30"/>
      <c r="O14" s="33" t="s">
        <v>157</v>
      </c>
      <c r="P14" s="34" t="s">
        <v>571</v>
      </c>
    </row>
    <row r="15" spans="1:21" ht="15.75" x14ac:dyDescent="0.25">
      <c r="A15" s="31" t="s">
        <v>53</v>
      </c>
      <c r="B15" s="719">
        <v>229</v>
      </c>
      <c r="C15" s="29"/>
      <c r="D15" s="29"/>
      <c r="E15" s="29"/>
      <c r="F15" s="29"/>
      <c r="G15" s="29"/>
      <c r="H15" s="29"/>
      <c r="I15" s="30"/>
      <c r="J15" s="30"/>
      <c r="K15" s="30"/>
      <c r="L15" s="30"/>
      <c r="M15" s="30"/>
      <c r="N15" s="30"/>
      <c r="O15" s="19"/>
    </row>
    <row r="16" spans="1:21" ht="15.75" x14ac:dyDescent="0.25">
      <c r="A16" s="31" t="s">
        <v>54</v>
      </c>
      <c r="B16" s="719">
        <v>225.5</v>
      </c>
      <c r="C16" s="29"/>
      <c r="D16" s="29"/>
      <c r="E16" s="29"/>
      <c r="F16" s="35" t="s">
        <v>158</v>
      </c>
      <c r="G16" s="29"/>
      <c r="H16" s="29"/>
      <c r="I16" s="30"/>
      <c r="J16" s="35" t="s">
        <v>158</v>
      </c>
      <c r="K16" s="30"/>
      <c r="L16" s="30"/>
      <c r="M16" s="30"/>
      <c r="N16" s="30"/>
      <c r="O16" s="19"/>
    </row>
    <row r="17" spans="1:15" ht="15.75" x14ac:dyDescent="0.25">
      <c r="A17" s="31" t="s">
        <v>55</v>
      </c>
      <c r="B17" s="719">
        <v>20.100000000000001</v>
      </c>
      <c r="C17" s="29"/>
      <c r="D17" s="29"/>
      <c r="E17" s="29"/>
      <c r="F17" s="35" t="s">
        <v>159</v>
      </c>
      <c r="G17" s="29"/>
      <c r="H17" s="29"/>
      <c r="I17" s="30"/>
      <c r="J17" s="36" t="s">
        <v>160</v>
      </c>
      <c r="K17" s="30"/>
      <c r="L17" s="30"/>
      <c r="M17" s="30"/>
      <c r="N17" s="30"/>
      <c r="O17" s="19"/>
    </row>
    <row r="18" spans="1:15" ht="15.75" x14ac:dyDescent="0.25">
      <c r="A18" s="31" t="s">
        <v>56</v>
      </c>
      <c r="B18" s="719">
        <v>32.26</v>
      </c>
      <c r="C18" s="29"/>
      <c r="D18" s="29"/>
      <c r="E18" s="29"/>
      <c r="F18" s="35" t="s">
        <v>161</v>
      </c>
      <c r="G18" s="29"/>
      <c r="H18" s="29"/>
      <c r="I18" s="30"/>
      <c r="J18" s="36" t="s">
        <v>162</v>
      </c>
      <c r="K18" s="30"/>
      <c r="L18" s="30"/>
      <c r="M18" s="30"/>
      <c r="N18" s="30"/>
      <c r="O18" s="19"/>
    </row>
    <row r="19" spans="1:15" ht="15.75" x14ac:dyDescent="0.25">
      <c r="A19" s="31" t="s">
        <v>60</v>
      </c>
      <c r="B19" s="719">
        <v>13447.27</v>
      </c>
      <c r="C19" s="29"/>
      <c r="D19" s="29"/>
      <c r="E19" s="29"/>
      <c r="F19" s="35" t="s">
        <v>623</v>
      </c>
      <c r="G19" s="29"/>
      <c r="H19" s="29"/>
      <c r="I19" s="30"/>
      <c r="J19" s="36" t="s">
        <v>634</v>
      </c>
      <c r="K19" s="30"/>
      <c r="L19" s="30"/>
      <c r="M19" s="30"/>
      <c r="N19" s="30"/>
      <c r="O19" s="19"/>
    </row>
    <row r="20" spans="1:15" ht="15.75" x14ac:dyDescent="0.25">
      <c r="A20" s="31" t="s">
        <v>57</v>
      </c>
      <c r="B20" s="719">
        <v>44543</v>
      </c>
      <c r="C20" s="29"/>
      <c r="D20" s="29"/>
      <c r="E20" s="29"/>
      <c r="F20" s="36" t="s">
        <v>160</v>
      </c>
      <c r="G20" s="29"/>
      <c r="H20" s="29"/>
      <c r="I20" s="30"/>
      <c r="J20" s="36" t="s">
        <v>163</v>
      </c>
      <c r="K20" s="30"/>
      <c r="L20" s="30"/>
      <c r="M20" s="30"/>
      <c r="N20" s="30"/>
      <c r="O20" s="19"/>
    </row>
    <row r="21" spans="1:15" ht="15.75" x14ac:dyDescent="0.25">
      <c r="A21" s="31" t="s">
        <v>58</v>
      </c>
      <c r="B21" s="719">
        <v>26987</v>
      </c>
      <c r="C21" s="29"/>
      <c r="D21" s="29"/>
      <c r="E21" s="29"/>
      <c r="F21" s="36" t="s">
        <v>162</v>
      </c>
      <c r="G21" s="29"/>
      <c r="H21" s="29"/>
      <c r="I21" s="30"/>
      <c r="J21" s="35" t="s">
        <v>164</v>
      </c>
      <c r="K21" s="30"/>
      <c r="L21" s="30"/>
      <c r="M21" s="30"/>
      <c r="N21" s="30"/>
      <c r="O21" s="19"/>
    </row>
    <row r="22" spans="1:15" ht="15.75" hidden="1" customHeight="1" x14ac:dyDescent="0.25">
      <c r="B22" s="719"/>
      <c r="C22" s="29"/>
      <c r="D22" s="29"/>
      <c r="E22" s="29"/>
      <c r="F22" s="36" t="s">
        <v>165</v>
      </c>
      <c r="G22" s="29"/>
      <c r="H22" s="29"/>
      <c r="I22" s="30"/>
      <c r="J22" s="35" t="s">
        <v>166</v>
      </c>
      <c r="K22" s="30"/>
      <c r="L22" s="30"/>
      <c r="M22" s="30"/>
      <c r="N22" s="30"/>
      <c r="O22" s="19"/>
    </row>
    <row r="23" spans="1:15" ht="78.75" customHeight="1" x14ac:dyDescent="0.25">
      <c r="A23" s="37" t="s">
        <v>59</v>
      </c>
      <c r="B23" s="720" t="s">
        <v>749</v>
      </c>
      <c r="C23" s="29"/>
      <c r="D23" s="29"/>
      <c r="E23" s="29"/>
      <c r="F23" s="35" t="s">
        <v>164</v>
      </c>
      <c r="G23" s="29"/>
      <c r="H23" s="29"/>
      <c r="I23" s="30"/>
      <c r="J23" s="35" t="s">
        <v>167</v>
      </c>
      <c r="K23" s="30"/>
      <c r="L23" s="30"/>
      <c r="M23" s="30"/>
      <c r="N23" s="30"/>
      <c r="O23" s="19"/>
    </row>
    <row r="24" spans="1:15" ht="31.5" x14ac:dyDescent="0.25">
      <c r="A24" s="38" t="s">
        <v>63</v>
      </c>
      <c r="B24" s="721" t="s">
        <v>750</v>
      </c>
      <c r="C24" s="29"/>
      <c r="D24" s="29"/>
      <c r="E24" s="29"/>
      <c r="F24" s="35" t="s">
        <v>168</v>
      </c>
      <c r="G24" s="29"/>
      <c r="H24" s="29"/>
      <c r="I24" s="30"/>
      <c r="J24" s="35" t="s">
        <v>169</v>
      </c>
      <c r="K24" s="30"/>
      <c r="L24" s="30"/>
      <c r="M24" s="30"/>
      <c r="N24" s="30"/>
      <c r="O24" s="19"/>
    </row>
    <row r="25" spans="1:15" ht="15.75" x14ac:dyDescent="0.25">
      <c r="A25" s="885" t="s">
        <v>64</v>
      </c>
      <c r="B25" s="887" t="s">
        <v>751</v>
      </c>
      <c r="C25" s="29"/>
      <c r="D25" s="29"/>
      <c r="E25" s="29"/>
      <c r="F25" s="35" t="s">
        <v>168</v>
      </c>
      <c r="G25" s="29"/>
      <c r="H25" s="29"/>
      <c r="I25" s="30"/>
      <c r="J25" s="30" t="s">
        <v>625</v>
      </c>
      <c r="K25" s="30"/>
      <c r="L25" s="30"/>
      <c r="M25" s="30"/>
      <c r="N25" s="30"/>
      <c r="O25" s="19"/>
    </row>
    <row r="26" spans="1:15" ht="15.75" x14ac:dyDescent="0.25">
      <c r="A26" s="885"/>
      <c r="B26" s="888"/>
      <c r="C26" s="29"/>
      <c r="D26" s="29"/>
      <c r="E26" s="29"/>
      <c r="F26" s="35" t="s">
        <v>166</v>
      </c>
      <c r="G26" s="29"/>
      <c r="H26" s="29"/>
      <c r="I26" s="30"/>
      <c r="J26" s="30"/>
      <c r="K26" s="30"/>
      <c r="L26" s="30"/>
      <c r="M26" s="30"/>
      <c r="N26" s="30"/>
      <c r="O26" s="19"/>
    </row>
    <row r="27" spans="1:15" ht="15.75" x14ac:dyDescent="0.25">
      <c r="A27" s="886"/>
      <c r="B27" s="889"/>
      <c r="C27" s="29"/>
      <c r="D27" s="29"/>
      <c r="E27" s="29"/>
      <c r="F27" s="36" t="s">
        <v>170</v>
      </c>
      <c r="G27" s="29"/>
      <c r="H27" s="29"/>
      <c r="I27" s="30"/>
      <c r="J27" s="30"/>
      <c r="K27" s="30"/>
      <c r="L27" s="30"/>
      <c r="M27" s="30"/>
      <c r="N27" s="30"/>
      <c r="O27" s="19"/>
    </row>
    <row r="28" spans="1:15" ht="15.75" x14ac:dyDescent="0.25">
      <c r="A28" s="39"/>
      <c r="B28" s="39"/>
      <c r="C28" s="29"/>
      <c r="D28" s="29"/>
      <c r="E28" s="29"/>
      <c r="F28" s="35" t="s">
        <v>171</v>
      </c>
      <c r="G28" s="29"/>
      <c r="H28" s="29"/>
      <c r="I28" s="30"/>
      <c r="J28" s="30"/>
      <c r="K28" s="30"/>
      <c r="L28" s="30"/>
      <c r="M28" s="30"/>
      <c r="N28" s="30"/>
      <c r="O28" s="19"/>
    </row>
    <row r="29" spans="1:15" ht="15.75" x14ac:dyDescent="0.25">
      <c r="A29" s="867" t="s">
        <v>172</v>
      </c>
      <c r="B29" s="867"/>
      <c r="C29" s="29"/>
      <c r="D29" s="29"/>
      <c r="E29" s="29"/>
      <c r="F29" s="35" t="s">
        <v>173</v>
      </c>
      <c r="G29" s="29"/>
      <c r="H29" s="29"/>
      <c r="I29" s="30"/>
      <c r="J29" s="30"/>
      <c r="K29" s="30"/>
      <c r="L29" s="30"/>
      <c r="M29" s="30"/>
      <c r="N29" s="30"/>
      <c r="O29" s="19"/>
    </row>
    <row r="30" spans="1:15" ht="15.75" x14ac:dyDescent="0.25">
      <c r="A30" s="31" t="s">
        <v>174</v>
      </c>
      <c r="B30" s="40" t="s">
        <v>775</v>
      </c>
      <c r="C30" s="29"/>
      <c r="D30" s="29"/>
      <c r="E30" s="29"/>
      <c r="F30" s="35" t="s">
        <v>169</v>
      </c>
      <c r="G30" s="29"/>
      <c r="H30" s="29"/>
      <c r="I30" s="30"/>
      <c r="J30" s="30"/>
      <c r="K30" s="30"/>
      <c r="L30" s="30"/>
      <c r="M30" s="30"/>
      <c r="N30" s="30"/>
      <c r="O30" s="19"/>
    </row>
    <row r="31" spans="1:15" ht="15.75" x14ac:dyDescent="0.25">
      <c r="A31" s="31" t="s">
        <v>175</v>
      </c>
      <c r="B31" s="40" t="s">
        <v>776</v>
      </c>
      <c r="C31" s="29"/>
      <c r="D31" s="29"/>
      <c r="E31" s="29"/>
      <c r="F31" s="35" t="s">
        <v>176</v>
      </c>
      <c r="G31" s="29"/>
      <c r="H31" s="29"/>
      <c r="I31" s="30"/>
      <c r="J31" s="30"/>
      <c r="K31" s="30"/>
      <c r="L31" s="30"/>
      <c r="M31" s="30"/>
      <c r="N31" s="30"/>
      <c r="O31" s="19"/>
    </row>
    <row r="32" spans="1:15" ht="15.75" x14ac:dyDescent="0.25">
      <c r="A32" s="31" t="s">
        <v>177</v>
      </c>
      <c r="B32" s="574" t="s">
        <v>777</v>
      </c>
      <c r="C32" s="29"/>
      <c r="D32" s="29"/>
      <c r="E32" s="29"/>
      <c r="F32" s="35" t="s">
        <v>178</v>
      </c>
      <c r="G32" s="29"/>
      <c r="H32" s="29"/>
      <c r="I32" s="30"/>
      <c r="J32" s="30"/>
      <c r="K32" s="30"/>
      <c r="L32" s="30"/>
      <c r="M32" s="30"/>
      <c r="N32" s="30"/>
      <c r="O32" s="19"/>
    </row>
    <row r="33" spans="1:15" ht="15.75" hidden="1" customHeight="1" x14ac:dyDescent="0.25">
      <c r="A33" s="31"/>
      <c r="B33" s="40"/>
      <c r="C33" s="29"/>
      <c r="D33" s="29"/>
      <c r="E33" s="29"/>
      <c r="F33" s="35" t="s">
        <v>179</v>
      </c>
      <c r="G33" s="29"/>
      <c r="H33" s="29"/>
      <c r="I33" s="30"/>
      <c r="J33" s="30"/>
      <c r="K33" s="30"/>
      <c r="L33" s="30"/>
      <c r="M33" s="30"/>
      <c r="N33" s="30"/>
      <c r="O33" s="19"/>
    </row>
    <row r="34" spans="1:15" ht="15.75" x14ac:dyDescent="0.25">
      <c r="A34" s="41"/>
      <c r="B34" s="42"/>
      <c r="C34" s="29"/>
      <c r="D34" s="29"/>
      <c r="E34" s="29"/>
      <c r="F34" s="36" t="s">
        <v>180</v>
      </c>
      <c r="G34" s="29"/>
      <c r="H34" s="29"/>
      <c r="I34" s="30"/>
      <c r="J34" s="30"/>
      <c r="K34" s="30"/>
      <c r="L34" s="30"/>
      <c r="M34" s="30"/>
      <c r="N34" s="30"/>
      <c r="O34" s="19"/>
    </row>
    <row r="35" spans="1:15" ht="15.75" x14ac:dyDescent="0.25">
      <c r="A35" s="867" t="s">
        <v>181</v>
      </c>
      <c r="B35" s="867"/>
      <c r="C35" s="29"/>
      <c r="D35" s="29"/>
      <c r="E35" s="29"/>
      <c r="F35" s="43"/>
      <c r="G35" s="29"/>
      <c r="H35" s="29"/>
      <c r="I35" s="30"/>
      <c r="J35" s="30"/>
      <c r="K35" s="30"/>
      <c r="L35" s="30"/>
      <c r="M35" s="30"/>
      <c r="N35" s="30"/>
      <c r="O35" s="19"/>
    </row>
    <row r="36" spans="1:15" ht="15.75" x14ac:dyDescent="0.25">
      <c r="A36" s="31" t="s">
        <v>182</v>
      </c>
      <c r="B36" s="44" t="s">
        <v>778</v>
      </c>
      <c r="C36" s="29"/>
      <c r="D36" s="29"/>
      <c r="E36" s="29"/>
      <c r="F36" s="43"/>
      <c r="G36" s="29"/>
      <c r="H36" s="29"/>
      <c r="I36" s="30"/>
      <c r="J36" s="30"/>
      <c r="K36" s="30"/>
      <c r="L36" s="30"/>
      <c r="M36" s="30"/>
      <c r="N36" s="30"/>
      <c r="O36" s="19"/>
    </row>
    <row r="37" spans="1:15" ht="15.75" x14ac:dyDescent="0.25">
      <c r="A37" s="31" t="s">
        <v>101</v>
      </c>
      <c r="B37" s="44" t="s">
        <v>779</v>
      </c>
      <c r="C37" s="29"/>
      <c r="D37" s="29"/>
      <c r="E37" s="29"/>
      <c r="F37" s="29"/>
      <c r="G37" s="29"/>
      <c r="H37" s="29"/>
      <c r="I37" s="30"/>
      <c r="J37" s="30"/>
      <c r="K37" s="30"/>
      <c r="L37" s="30"/>
      <c r="M37" s="30"/>
      <c r="N37" s="30"/>
      <c r="O37" s="19"/>
    </row>
    <row r="38" spans="1:15" ht="15.75" x14ac:dyDescent="0.25">
      <c r="A38" s="31" t="s">
        <v>183</v>
      </c>
      <c r="B38" s="44" t="s">
        <v>769</v>
      </c>
      <c r="C38" s="29"/>
      <c r="D38" s="29"/>
      <c r="E38" s="29"/>
      <c r="F38" s="29"/>
      <c r="G38" s="29"/>
      <c r="H38" s="29"/>
      <c r="I38" s="30"/>
      <c r="J38" s="30"/>
      <c r="K38" s="30"/>
      <c r="L38" s="30"/>
      <c r="M38" s="30"/>
      <c r="N38" s="30"/>
      <c r="O38" s="19"/>
    </row>
    <row r="39" spans="1:15" ht="15.75" x14ac:dyDescent="0.25">
      <c r="A39" s="41"/>
      <c r="B39" s="42"/>
      <c r="C39" s="45"/>
      <c r="D39" s="45"/>
      <c r="E39" s="45"/>
      <c r="F39" s="45"/>
      <c r="G39" s="45"/>
      <c r="H39" s="45"/>
      <c r="I39" s="46"/>
      <c r="J39" s="46"/>
      <c r="K39" s="46"/>
      <c r="L39" s="46"/>
      <c r="M39" s="46"/>
      <c r="N39" s="46"/>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9" t="s">
        <v>158</v>
      </c>
      <c r="B41" s="879"/>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80" t="s">
        <v>158</v>
      </c>
      <c r="B43" s="880"/>
      <c r="C43" s="29"/>
      <c r="D43" s="29"/>
      <c r="E43" s="29"/>
      <c r="F43" s="29"/>
      <c r="G43" s="29"/>
      <c r="H43" s="29"/>
      <c r="I43" s="30"/>
      <c r="J43" s="30"/>
      <c r="K43" s="30"/>
      <c r="L43" s="30"/>
      <c r="M43" s="30"/>
      <c r="N43" s="30"/>
      <c r="O43" s="19"/>
    </row>
    <row r="44" spans="1:15" ht="15.75" x14ac:dyDescent="0.25">
      <c r="A44" s="47"/>
      <c r="B44" s="32"/>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7" t="s">
        <v>187</v>
      </c>
      <c r="B46" s="878"/>
      <c r="C46" s="19" t="b">
        <v>1</v>
      </c>
      <c r="D46" s="19" t="b">
        <v>1</v>
      </c>
      <c r="E46" s="48"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7" t="s">
        <v>188</v>
      </c>
      <c r="B47" s="878"/>
      <c r="C47" s="19" t="b">
        <v>1</v>
      </c>
      <c r="D47" s="19" t="b">
        <v>1</v>
      </c>
      <c r="E47" s="48" t="str">
        <f t="shared" si="0"/>
        <v xml:space="preserve"> Messrs. Cargill Agricola S/A., </v>
      </c>
      <c r="F47" s="29"/>
      <c r="G47" s="29"/>
      <c r="H47" s="29"/>
      <c r="I47" s="30"/>
      <c r="J47" s="30"/>
      <c r="K47" s="30"/>
      <c r="L47" s="30"/>
      <c r="M47" s="30"/>
      <c r="N47" s="30"/>
      <c r="O47" s="19"/>
    </row>
    <row r="48" spans="1:15" ht="15.75" customHeight="1" x14ac:dyDescent="0.25">
      <c r="A48" s="877" t="s">
        <v>740</v>
      </c>
      <c r="B48" s="878"/>
      <c r="C48" s="19" t="b">
        <v>1</v>
      </c>
      <c r="D48" s="19" t="b">
        <v>1</v>
      </c>
      <c r="E48" s="48" t="str">
        <f t="shared" si="0"/>
        <v xml:space="preserve"> Messrs. BTG Pactual Commodities Sertrading S/A, </v>
      </c>
      <c r="F48" s="29"/>
      <c r="G48" s="29"/>
      <c r="H48" s="29"/>
      <c r="I48" s="30"/>
      <c r="J48" s="30"/>
      <c r="K48" s="30"/>
      <c r="L48" s="30"/>
      <c r="M48" s="30"/>
      <c r="N48" s="30"/>
      <c r="O48" s="19"/>
    </row>
    <row r="49" spans="1:20" ht="15.75" customHeight="1" x14ac:dyDescent="0.25">
      <c r="A49" s="877" t="s">
        <v>595</v>
      </c>
      <c r="B49" s="878"/>
      <c r="C49" s="19" t="b">
        <v>1</v>
      </c>
      <c r="D49" s="19" t="b">
        <v>1</v>
      </c>
      <c r="E49" s="48" t="str">
        <f t="shared" si="0"/>
        <v xml:space="preserve"> Messrs. Cimbessul Terminal Portuario S/A, </v>
      </c>
      <c r="F49" s="29"/>
      <c r="G49" s="29"/>
      <c r="H49" s="29"/>
      <c r="I49" s="30"/>
      <c r="J49" s="30"/>
      <c r="K49" s="30"/>
      <c r="L49" s="30"/>
      <c r="M49" s="30"/>
      <c r="N49" s="30"/>
      <c r="O49" s="19"/>
    </row>
    <row r="50" spans="1:20" ht="15.75" customHeight="1" x14ac:dyDescent="0.25">
      <c r="A50" s="881" t="s">
        <v>371</v>
      </c>
      <c r="B50" s="882"/>
      <c r="C50" s="19" t="b">
        <v>0</v>
      </c>
      <c r="D50" s="19" t="b">
        <v>1</v>
      </c>
      <c r="E50" s="48" t="str">
        <f t="shared" si="0"/>
        <v/>
      </c>
      <c r="F50" s="29"/>
      <c r="G50" s="29"/>
      <c r="H50" s="29"/>
      <c r="I50" s="30"/>
      <c r="J50" s="30"/>
      <c r="K50" s="30"/>
      <c r="L50" s="30"/>
      <c r="M50" s="30"/>
      <c r="N50" s="30"/>
      <c r="O50" s="19"/>
    </row>
    <row r="51" spans="1:20" ht="15.75" customHeight="1" x14ac:dyDescent="0.25">
      <c r="A51" s="881" t="s">
        <v>372</v>
      </c>
      <c r="B51" s="882"/>
      <c r="C51" s="19" t="b">
        <v>1</v>
      </c>
      <c r="D51" s="19" t="b">
        <v>1</v>
      </c>
      <c r="E51" s="48"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373</v>
      </c>
      <c r="B52" s="882"/>
      <c r="C52" s="19" t="b">
        <v>0</v>
      </c>
      <c r="D52" s="19" t="b">
        <v>1</v>
      </c>
      <c r="E52" s="48" t="str">
        <f t="shared" si="0"/>
        <v/>
      </c>
      <c r="F52" s="29"/>
      <c r="G52" s="29"/>
      <c r="H52" s="29"/>
      <c r="I52" s="30"/>
      <c r="J52" s="30"/>
      <c r="K52" s="30"/>
      <c r="L52" s="30"/>
      <c r="M52" s="30"/>
      <c r="N52" s="30"/>
      <c r="O52" s="19"/>
    </row>
    <row r="53" spans="1:20" ht="15.75" customHeight="1" x14ac:dyDescent="0.25">
      <c r="A53" s="881" t="s">
        <v>741</v>
      </c>
      <c r="B53" s="882"/>
      <c r="C53" s="19" t="b">
        <v>1</v>
      </c>
      <c r="D53" s="19" t="b">
        <v>1</v>
      </c>
      <c r="E53" s="48" t="str">
        <f t="shared" si="0"/>
        <v xml:space="preserve"> Messrs. Amaggi &amp; LDC Terminais Portuários Paranaguá S.A, </v>
      </c>
      <c r="F53" s="19"/>
      <c r="G53" s="19"/>
      <c r="H53" s="19"/>
      <c r="I53" s="19"/>
      <c r="J53" s="19"/>
      <c r="K53" s="19"/>
      <c r="L53" s="429" t="s">
        <v>569</v>
      </c>
      <c r="M53" s="430"/>
      <c r="N53" s="430"/>
      <c r="O53" s="430"/>
      <c r="P53" s="430"/>
      <c r="Q53" s="430"/>
      <c r="R53" s="430"/>
      <c r="S53" s="430"/>
      <c r="T53" s="428"/>
    </row>
    <row r="54" spans="1:20" ht="15.75" customHeight="1" x14ac:dyDescent="0.25">
      <c r="A54" s="877" t="s">
        <v>596</v>
      </c>
      <c r="B54" s="878"/>
      <c r="C54" s="19" t="b">
        <v>1</v>
      </c>
      <c r="D54" s="19" t="b">
        <v>1</v>
      </c>
      <c r="E54" s="48"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189</v>
      </c>
      <c r="B55" s="871"/>
      <c r="C55" s="19" t="b">
        <v>0</v>
      </c>
      <c r="D55" s="19" t="b">
        <v>1</v>
      </c>
      <c r="E55" s="48" t="str">
        <f t="shared" si="0"/>
        <v/>
      </c>
      <c r="F55" s="19"/>
      <c r="G55" s="19"/>
      <c r="H55" s="19"/>
      <c r="I55" s="19"/>
      <c r="J55" s="19"/>
      <c r="K55" s="19"/>
      <c r="L55" s="429" t="s">
        <v>569</v>
      </c>
      <c r="M55" s="430"/>
      <c r="N55" s="430"/>
      <c r="O55" s="430"/>
      <c r="P55" s="430"/>
      <c r="Q55" s="430"/>
      <c r="R55" s="430"/>
      <c r="S55" s="430"/>
      <c r="T55" s="428"/>
    </row>
    <row r="56" spans="1:20" x14ac:dyDescent="0.2">
      <c r="A56" s="19"/>
      <c r="B56" s="19"/>
      <c r="C56" s="19"/>
      <c r="D56" s="19"/>
      <c r="E56" s="19"/>
      <c r="F56" s="19"/>
      <c r="G56" s="19"/>
      <c r="H56" s="19"/>
      <c r="I56" s="19"/>
      <c r="J56" s="19"/>
      <c r="K56" s="19"/>
      <c r="L56" s="19"/>
      <c r="M56" s="19"/>
      <c r="N56" s="19"/>
      <c r="O56" s="19"/>
    </row>
    <row r="57" spans="1:20" ht="15.75" x14ac:dyDescent="0.25">
      <c r="A57" s="867" t="s">
        <v>190</v>
      </c>
      <c r="B57" s="867"/>
      <c r="C57" s="19"/>
      <c r="D57" s="19"/>
      <c r="E57" s="19"/>
      <c r="F57" s="19"/>
      <c r="G57" s="19"/>
      <c r="H57" s="19"/>
      <c r="I57" s="19"/>
      <c r="J57" s="19"/>
      <c r="K57" s="19"/>
      <c r="L57" s="19"/>
      <c r="M57" s="19"/>
      <c r="N57" s="19"/>
      <c r="O57" s="19"/>
    </row>
    <row r="58" spans="1:20" ht="15.75" customHeight="1" x14ac:dyDescent="0.2">
      <c r="A58" s="407" t="s">
        <v>191</v>
      </c>
      <c r="B58" s="407" t="s">
        <v>731</v>
      </c>
      <c r="C58" s="19" t="b">
        <v>1</v>
      </c>
      <c r="D58" s="19" t="b">
        <v>1</v>
      </c>
      <c r="E58" s="48" t="str">
        <f t="shared" ref="E58:E64" si="1">IF(C58=D58,_xlfn.CONCAT(A58,", "),"")</f>
        <v xml:space="preserve">AG, </v>
      </c>
      <c r="F58" s="19"/>
      <c r="G58" s="19"/>
      <c r="H58" s="19"/>
      <c r="I58" s="19"/>
      <c r="J58" s="19"/>
      <c r="K58" s="19"/>
      <c r="L58" s="19"/>
      <c r="M58" s="19"/>
      <c r="N58" s="19"/>
      <c r="O58" s="19"/>
    </row>
    <row r="59" spans="1:20" ht="15.75" customHeight="1" x14ac:dyDescent="0.2">
      <c r="A59" s="407" t="s">
        <v>192</v>
      </c>
      <c r="B59" s="407" t="s">
        <v>193</v>
      </c>
      <c r="C59" s="19" t="b">
        <v>1</v>
      </c>
      <c r="D59" s="19" t="b">
        <v>1</v>
      </c>
      <c r="E59" s="48" t="str">
        <f t="shared" si="1"/>
        <v xml:space="preserve">CG, </v>
      </c>
      <c r="F59" s="19"/>
      <c r="G59" s="19"/>
      <c r="H59" s="19"/>
      <c r="I59" s="19"/>
      <c r="J59" s="19"/>
      <c r="K59" s="19"/>
      <c r="L59" s="19"/>
      <c r="M59" s="19"/>
      <c r="N59" s="19"/>
      <c r="O59" s="19"/>
    </row>
    <row r="60" spans="1:20" ht="15.75" customHeight="1" x14ac:dyDescent="0.2">
      <c r="A60" s="407" t="s">
        <v>194</v>
      </c>
      <c r="B60" s="407" t="s">
        <v>733</v>
      </c>
      <c r="C60" s="19" t="b">
        <v>1</v>
      </c>
      <c r="D60" s="19" t="b">
        <v>1</v>
      </c>
      <c r="E60" s="48" t="str">
        <f t="shared" si="1"/>
        <v xml:space="preserve">CB, </v>
      </c>
      <c r="F60" s="19"/>
      <c r="G60" s="19"/>
      <c r="H60" s="19"/>
      <c r="I60" s="19"/>
      <c r="J60" s="19"/>
      <c r="K60" s="19"/>
      <c r="L60" s="19"/>
      <c r="M60" s="19"/>
      <c r="N60" s="19"/>
      <c r="O60" s="19"/>
    </row>
    <row r="61" spans="1:20" ht="15.75" customHeight="1" x14ac:dyDescent="0.2">
      <c r="A61" s="407" t="s">
        <v>195</v>
      </c>
      <c r="B61" s="407" t="s">
        <v>739</v>
      </c>
      <c r="C61" s="19" t="b">
        <v>0</v>
      </c>
      <c r="D61" s="19" t="b">
        <v>1</v>
      </c>
      <c r="E61" s="48" t="str">
        <f t="shared" si="1"/>
        <v/>
      </c>
      <c r="F61" s="19"/>
      <c r="G61" s="19"/>
      <c r="H61" s="19"/>
      <c r="I61" s="19"/>
      <c r="J61" s="19"/>
      <c r="K61" s="19"/>
      <c r="L61" s="19"/>
      <c r="M61" s="19"/>
      <c r="N61" s="19"/>
      <c r="O61" s="19"/>
    </row>
    <row r="62" spans="1:20" ht="15.75" customHeight="1" x14ac:dyDescent="0.25">
      <c r="A62" s="407" t="s">
        <v>738</v>
      </c>
      <c r="B62" s="407" t="s">
        <v>196</v>
      </c>
      <c r="C62" s="19" t="b">
        <v>0</v>
      </c>
      <c r="D62" s="19" t="b">
        <v>1</v>
      </c>
      <c r="E62" s="48" t="str">
        <f t="shared" si="1"/>
        <v/>
      </c>
      <c r="F62" s="19"/>
      <c r="G62" s="19"/>
      <c r="H62" s="19"/>
      <c r="I62" s="19"/>
      <c r="J62" s="19"/>
      <c r="K62" s="19"/>
      <c r="L62" s="429" t="s">
        <v>570</v>
      </c>
      <c r="M62" s="431"/>
      <c r="N62" s="431"/>
      <c r="O62" s="431"/>
      <c r="P62" s="428"/>
      <c r="Q62" s="428"/>
      <c r="R62" s="428"/>
      <c r="S62" s="428"/>
      <c r="T62" s="428"/>
    </row>
    <row r="63" spans="1:20" ht="15.75" customHeight="1" x14ac:dyDescent="0.25">
      <c r="A63" s="407" t="s">
        <v>197</v>
      </c>
      <c r="B63" s="407" t="s">
        <v>198</v>
      </c>
      <c r="C63" s="19" t="b">
        <v>1</v>
      </c>
      <c r="D63" s="19" t="b">
        <v>1</v>
      </c>
      <c r="E63" s="48" t="str">
        <f t="shared" si="1"/>
        <v xml:space="preserve">CT, </v>
      </c>
      <c r="F63" s="19"/>
      <c r="G63" s="19"/>
      <c r="H63" s="19"/>
      <c r="I63" s="19"/>
      <c r="J63" s="19"/>
      <c r="K63" s="19"/>
      <c r="L63" s="429" t="s">
        <v>570</v>
      </c>
      <c r="M63" s="431"/>
      <c r="N63" s="431"/>
      <c r="O63" s="431"/>
      <c r="P63" s="428"/>
      <c r="Q63" s="428"/>
      <c r="R63" s="428"/>
      <c r="S63" s="428"/>
      <c r="T63" s="428"/>
    </row>
    <row r="64" spans="1:20" ht="15.75" customHeight="1" x14ac:dyDescent="0.25">
      <c r="A64" s="407" t="s">
        <v>199</v>
      </c>
      <c r="B64" s="407" t="s">
        <v>200</v>
      </c>
      <c r="C64" s="19" t="b">
        <v>0</v>
      </c>
      <c r="D64" s="19" t="b">
        <v>1</v>
      </c>
      <c r="E64" s="48" t="str">
        <f t="shared" si="1"/>
        <v/>
      </c>
      <c r="F64" s="19"/>
      <c r="G64" s="19"/>
      <c r="H64" s="19"/>
      <c r="I64" s="19"/>
      <c r="J64" s="19"/>
      <c r="K64" s="19"/>
      <c r="L64" s="429" t="s">
        <v>570</v>
      </c>
      <c r="M64" s="431"/>
      <c r="N64" s="431"/>
      <c r="O64" s="431"/>
      <c r="P64" s="428"/>
      <c r="Q64" s="428"/>
      <c r="R64" s="428"/>
      <c r="S64" s="428"/>
      <c r="T64" s="428"/>
    </row>
    <row r="65" spans="1:54" x14ac:dyDescent="0.2">
      <c r="A65" s="19"/>
      <c r="B65" s="19"/>
      <c r="C65" s="19" t="b">
        <v>1</v>
      </c>
      <c r="D65" s="19" t="b">
        <v>1</v>
      </c>
      <c r="E65" s="48" t="str">
        <f t="shared" ref="E65:E71" si="2">IF(C65=D65,_xlfn.CONCAT(B58,", "),"")</f>
        <v xml:space="preserve">ALTP, </v>
      </c>
      <c r="F65" s="19"/>
      <c r="G65" s="19"/>
      <c r="H65" s="19"/>
      <c r="I65" s="19"/>
      <c r="J65" s="19"/>
      <c r="K65" s="19"/>
      <c r="L65" s="19"/>
      <c r="M65" s="19"/>
      <c r="N65" s="19"/>
      <c r="O65" s="19"/>
    </row>
    <row r="66" spans="1:54" ht="15.75" x14ac:dyDescent="0.25">
      <c r="A66" s="867" t="s">
        <v>201</v>
      </c>
      <c r="B66" s="867"/>
      <c r="C66" s="19" t="b">
        <v>1</v>
      </c>
      <c r="D66" s="19" t="b">
        <v>1</v>
      </c>
      <c r="E66" s="48" t="str">
        <f t="shared" si="2"/>
        <v xml:space="preserve">RO, </v>
      </c>
      <c r="F66" s="19"/>
      <c r="G66" s="19"/>
      <c r="H66" s="19"/>
      <c r="I66" s="19"/>
      <c r="J66" s="19"/>
      <c r="K66" s="19"/>
      <c r="L66" s="19"/>
      <c r="M66" s="19"/>
      <c r="N66" s="19"/>
      <c r="O66" s="19"/>
    </row>
    <row r="67" spans="1:54" ht="15" x14ac:dyDescent="0.25">
      <c r="A67" s="49" t="s">
        <v>202</v>
      </c>
      <c r="B67" s="722" t="s">
        <v>752</v>
      </c>
      <c r="C67" s="19" t="b">
        <v>0</v>
      </c>
      <c r="D67" s="19" t="b">
        <v>1</v>
      </c>
      <c r="E67" s="48" t="str">
        <f t="shared" si="2"/>
        <v/>
      </c>
      <c r="F67" s="19"/>
      <c r="G67" s="19"/>
      <c r="H67" s="19"/>
      <c r="I67" s="19"/>
      <c r="J67" s="19"/>
      <c r="K67" s="19"/>
      <c r="L67" s="19"/>
      <c r="M67" s="19"/>
      <c r="N67" s="19"/>
      <c r="O67" s="19"/>
    </row>
    <row r="68" spans="1:54" ht="15" x14ac:dyDescent="0.25">
      <c r="A68" s="49" t="s">
        <v>203</v>
      </c>
      <c r="B68" s="722" t="s">
        <v>753</v>
      </c>
      <c r="C68" s="19" t="b">
        <v>1</v>
      </c>
      <c r="D68" s="19" t="b">
        <v>1</v>
      </c>
      <c r="E68" s="48" t="str">
        <f t="shared" si="2"/>
        <v xml:space="preserve">BTG 2 V, </v>
      </c>
      <c r="F68" s="19"/>
      <c r="G68" s="19"/>
      <c r="H68" s="19"/>
      <c r="I68" s="19"/>
      <c r="J68" s="19"/>
      <c r="K68" s="19"/>
      <c r="L68" s="19"/>
      <c r="M68" s="19"/>
      <c r="N68" s="19"/>
      <c r="O68" s="19"/>
    </row>
    <row r="69" spans="1:54" ht="15" x14ac:dyDescent="0.25">
      <c r="A69" s="49" t="s">
        <v>204</v>
      </c>
      <c r="B69" s="723" t="s">
        <v>754</v>
      </c>
      <c r="C69" s="19" t="b">
        <v>0</v>
      </c>
      <c r="D69" s="19" t="b">
        <v>1</v>
      </c>
      <c r="E69" s="48" t="str">
        <f t="shared" si="2"/>
        <v/>
      </c>
      <c r="F69" s="19"/>
      <c r="G69" s="19"/>
      <c r="H69" s="19"/>
      <c r="I69" s="19"/>
      <c r="J69" s="19"/>
      <c r="K69" s="19"/>
      <c r="L69" s="19"/>
      <c r="M69" s="19"/>
      <c r="N69" s="19"/>
      <c r="O69" s="19"/>
    </row>
    <row r="70" spans="1:54" ht="15" x14ac:dyDescent="0.25">
      <c r="A70" s="49" t="s">
        <v>205</v>
      </c>
      <c r="B70" s="723" t="s">
        <v>755</v>
      </c>
      <c r="C70" s="19" t="b">
        <v>0</v>
      </c>
      <c r="D70" s="19" t="b">
        <v>1</v>
      </c>
      <c r="E70" s="48" t="str">
        <f t="shared" si="2"/>
        <v/>
      </c>
      <c r="F70" s="19"/>
      <c r="G70" s="19"/>
      <c r="H70" s="19"/>
      <c r="I70" s="19"/>
      <c r="J70" s="19"/>
      <c r="K70" s="19"/>
      <c r="L70" s="19"/>
      <c r="M70" s="19"/>
      <c r="N70" s="19"/>
      <c r="O70" s="19"/>
    </row>
    <row r="71" spans="1:54" ht="15" x14ac:dyDescent="0.25">
      <c r="A71" s="49" t="s">
        <v>203</v>
      </c>
      <c r="B71" s="722" t="s">
        <v>756</v>
      </c>
      <c r="C71" s="19" t="b">
        <v>0</v>
      </c>
      <c r="D71" s="19" t="b">
        <v>1</v>
      </c>
      <c r="E71" s="48" t="str">
        <f t="shared" si="2"/>
        <v/>
      </c>
      <c r="F71" s="19"/>
      <c r="G71" s="19"/>
      <c r="H71" s="19"/>
      <c r="I71" s="19"/>
      <c r="J71" s="19"/>
      <c r="K71" s="19"/>
      <c r="L71" s="19"/>
      <c r="M71" s="19"/>
      <c r="N71" s="19"/>
      <c r="O71" s="19"/>
    </row>
    <row r="72" spans="1:54" ht="15.75" x14ac:dyDescent="0.25">
      <c r="A72" s="867" t="s">
        <v>206</v>
      </c>
      <c r="B72" s="867"/>
      <c r="C72" s="19"/>
      <c r="D72" s="19"/>
      <c r="E72" s="19"/>
      <c r="F72" s="19"/>
      <c r="G72" s="19"/>
      <c r="H72" s="19"/>
      <c r="I72" s="19"/>
      <c r="J72" s="19"/>
      <c r="K72" s="19"/>
      <c r="L72" s="19"/>
      <c r="M72" s="19"/>
      <c r="N72" s="19"/>
      <c r="O72" s="19"/>
    </row>
    <row r="73" spans="1:54" ht="15" x14ac:dyDescent="0.25">
      <c r="A73" s="49" t="s">
        <v>203</v>
      </c>
      <c r="B73" s="722">
        <v>2013</v>
      </c>
      <c r="C73" s="19"/>
      <c r="D73" s="19"/>
      <c r="E73" s="19"/>
      <c r="F73" s="19"/>
      <c r="G73" s="19"/>
      <c r="H73" s="19"/>
      <c r="I73" s="19"/>
      <c r="J73" s="19"/>
      <c r="K73" s="19"/>
      <c r="L73" s="19"/>
      <c r="M73" s="19"/>
      <c r="N73" s="19"/>
      <c r="O73" s="19"/>
    </row>
    <row r="74" spans="1:54" ht="15" x14ac:dyDescent="0.25">
      <c r="A74" s="49" t="s">
        <v>204</v>
      </c>
      <c r="B74" s="723" t="s">
        <v>757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207</v>
      </c>
      <c r="B76" s="872"/>
      <c r="C76" s="872"/>
      <c r="D76" s="872"/>
      <c r="E76" s="872"/>
      <c r="F76" s="872"/>
      <c r="G76" s="872"/>
      <c r="H76" s="872"/>
      <c r="I76" s="872"/>
      <c r="J76" s="872"/>
      <c r="K76" s="872"/>
      <c r="L76" s="872"/>
      <c r="M76" s="872"/>
      <c r="N76" s="872"/>
      <c r="O76" s="872"/>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row>
    <row r="77" spans="1:54" ht="15.75" x14ac:dyDescent="0.25">
      <c r="A77" s="873"/>
      <c r="B77" s="874"/>
      <c r="C77" s="51"/>
      <c r="D77" s="51"/>
      <c r="E77" s="51"/>
      <c r="F77" s="51"/>
      <c r="G77" s="51"/>
      <c r="H77" s="51"/>
      <c r="I77" s="51"/>
      <c r="J77" s="51"/>
      <c r="K77" s="51"/>
      <c r="L77" s="52" t="s">
        <v>82</v>
      </c>
      <c r="M77" s="53" t="s">
        <v>83</v>
      </c>
      <c r="N77" s="52" t="s">
        <v>84</v>
      </c>
      <c r="O77" s="52" t="s">
        <v>85</v>
      </c>
      <c r="Q77" s="54"/>
      <c r="R77" s="54"/>
      <c r="S77" s="54"/>
      <c r="T77" s="54"/>
      <c r="U77" s="54"/>
      <c r="V77" s="54"/>
      <c r="W77" s="55"/>
      <c r="X77" s="55"/>
      <c r="Y77" s="55"/>
      <c r="AA77" s="56"/>
      <c r="AB77" s="56"/>
      <c r="AC77" s="56"/>
      <c r="AD77" s="56"/>
      <c r="AE77" s="56"/>
      <c r="AF77" s="56"/>
      <c r="AG77" s="54"/>
      <c r="AH77" s="54"/>
      <c r="AJ77" s="54"/>
      <c r="AK77" s="54"/>
      <c r="AL77" s="54"/>
      <c r="AM77" s="54"/>
      <c r="AN77" s="54"/>
      <c r="AO77" s="54"/>
      <c r="AP77" s="54"/>
      <c r="AQ77" s="54"/>
      <c r="AR77" s="50"/>
      <c r="AS77" s="50"/>
      <c r="AU77" s="54"/>
      <c r="AV77" s="54"/>
      <c r="AW77" s="54"/>
      <c r="AX77" s="54"/>
      <c r="AY77" s="54"/>
      <c r="AZ77" s="54"/>
      <c r="BA77" s="54"/>
      <c r="BB77" s="50"/>
    </row>
    <row r="78" spans="1:54" ht="15.75" x14ac:dyDescent="0.25">
      <c r="A78" s="875" t="s">
        <v>86</v>
      </c>
      <c r="B78" s="876"/>
      <c r="C78" s="51"/>
      <c r="D78" s="51"/>
      <c r="E78" s="51"/>
      <c r="F78" s="51"/>
      <c r="G78" s="51"/>
      <c r="H78" s="51"/>
      <c r="I78" s="51"/>
      <c r="J78" s="51"/>
      <c r="K78" s="51"/>
      <c r="L78" s="57"/>
      <c r="M78" s="57"/>
      <c r="N78" s="58">
        <f>$O$78+Draft!$H$75</f>
        <v>13447.27</v>
      </c>
      <c r="O78" s="58"/>
      <c r="Q78" s="59"/>
      <c r="R78" s="59"/>
      <c r="S78" s="59"/>
      <c r="T78" s="59"/>
      <c r="U78" s="59"/>
      <c r="V78" s="59"/>
      <c r="W78" s="60"/>
      <c r="X78" s="60"/>
      <c r="Y78" s="60"/>
      <c r="AA78" s="59"/>
      <c r="AB78" s="59"/>
      <c r="AC78" s="59"/>
      <c r="AD78" s="59"/>
      <c r="AE78" s="59"/>
      <c r="AF78" s="61"/>
      <c r="AG78" s="62"/>
      <c r="AH78" s="62"/>
      <c r="AJ78" s="62"/>
      <c r="AK78" s="62"/>
      <c r="AL78" s="62"/>
      <c r="AM78" s="62"/>
      <c r="AN78" s="62"/>
      <c r="AO78" s="62"/>
      <c r="AP78" s="62"/>
      <c r="AQ78" s="63"/>
      <c r="AR78" s="63"/>
      <c r="AS78" s="63"/>
      <c r="AU78" s="62"/>
      <c r="AV78" s="62"/>
      <c r="AW78" s="62"/>
      <c r="AX78" s="62"/>
      <c r="AY78" s="62"/>
      <c r="AZ78" s="62"/>
      <c r="BA78" s="62"/>
      <c r="BB78" s="64"/>
    </row>
    <row r="79" spans="1:54" ht="15.75" x14ac:dyDescent="0.25">
      <c r="A79" s="875" t="s">
        <v>87</v>
      </c>
      <c r="B79" s="876"/>
      <c r="C79" s="51"/>
      <c r="D79" s="51"/>
      <c r="E79" s="51"/>
      <c r="F79" s="51"/>
      <c r="G79" s="51"/>
      <c r="H79" s="51"/>
      <c r="I79" s="51"/>
      <c r="J79" s="51"/>
      <c r="K79" s="51"/>
      <c r="L79" s="57"/>
      <c r="M79" s="57"/>
      <c r="N79" s="58">
        <f>$O$79+Draft!$H$75</f>
        <v>13447.27</v>
      </c>
      <c r="O79" s="58"/>
      <c r="Q79" s="59"/>
      <c r="R79" s="59"/>
      <c r="S79" s="59"/>
      <c r="T79" s="59"/>
      <c r="U79" s="59"/>
      <c r="V79" s="59"/>
      <c r="W79" s="60"/>
      <c r="X79" s="60"/>
      <c r="Y79" s="60"/>
      <c r="AA79" s="59"/>
      <c r="AB79" s="59"/>
      <c r="AC79" s="59"/>
      <c r="AD79" s="59"/>
      <c r="AE79" s="59"/>
      <c r="AF79" s="61"/>
      <c r="AG79" s="62"/>
      <c r="AH79" s="62"/>
      <c r="AJ79" s="62"/>
      <c r="AK79" s="62"/>
      <c r="AL79" s="62"/>
      <c r="AM79" s="62"/>
      <c r="AN79" s="62"/>
      <c r="AO79" s="62"/>
      <c r="AP79" s="62"/>
      <c r="AQ79" s="63"/>
      <c r="AR79" s="63"/>
      <c r="AS79" s="63"/>
      <c r="AU79" s="62"/>
      <c r="AV79" s="62"/>
      <c r="AW79" s="62"/>
      <c r="AX79" s="62"/>
      <c r="AY79" s="62"/>
      <c r="AZ79" s="62"/>
      <c r="BA79" s="62"/>
      <c r="BB79" s="64"/>
    </row>
    <row r="80" spans="1:54" ht="15.75" x14ac:dyDescent="0.25">
      <c r="A80" s="875" t="s">
        <v>88</v>
      </c>
      <c r="B80" s="876"/>
      <c r="C80" s="51"/>
      <c r="D80" s="51"/>
      <c r="E80" s="51"/>
      <c r="F80" s="51"/>
      <c r="G80" s="51"/>
      <c r="H80" s="51"/>
      <c r="I80" s="51"/>
      <c r="J80" s="51"/>
      <c r="K80" s="51"/>
      <c r="L80" s="57">
        <v>5.3739999999999997</v>
      </c>
      <c r="M80" s="57">
        <v>14.750999999999999</v>
      </c>
      <c r="N80" s="58">
        <f>$O$80+Draft!$H$75</f>
        <v>97720.37000000001</v>
      </c>
      <c r="O80" s="58">
        <v>84273.1</v>
      </c>
      <c r="Q80" s="59"/>
      <c r="R80" s="59"/>
      <c r="S80" s="59"/>
      <c r="T80" s="59"/>
      <c r="U80" s="59"/>
      <c r="V80" s="59"/>
      <c r="W80" s="60"/>
      <c r="X80" s="60"/>
      <c r="Y80" s="60"/>
      <c r="AA80" s="59"/>
      <c r="AB80" s="59"/>
      <c r="AC80" s="59"/>
      <c r="AD80" s="59"/>
      <c r="AE80" s="59"/>
      <c r="AF80" s="61"/>
      <c r="AG80" s="62"/>
      <c r="AH80" s="62"/>
      <c r="AJ80" s="62"/>
      <c r="AK80" s="62"/>
      <c r="AL80" s="62"/>
      <c r="AM80" s="62"/>
      <c r="AN80" s="62"/>
      <c r="AO80" s="62"/>
      <c r="AP80" s="62"/>
      <c r="AQ80" s="63"/>
      <c r="AR80" s="63"/>
      <c r="AS80" s="63"/>
      <c r="AU80" s="62"/>
      <c r="AV80" s="62"/>
      <c r="AW80" s="62"/>
      <c r="AX80" s="62"/>
      <c r="AY80" s="62"/>
      <c r="AZ80" s="62"/>
      <c r="BA80" s="62"/>
      <c r="BB80" s="64"/>
    </row>
    <row r="81" spans="1:54" ht="15.75" x14ac:dyDescent="0.25">
      <c r="A81" s="875" t="s">
        <v>89</v>
      </c>
      <c r="B81" s="876"/>
      <c r="C81" s="51"/>
      <c r="D81" s="51"/>
      <c r="E81" s="51"/>
      <c r="F81" s="51"/>
      <c r="G81" s="51"/>
      <c r="H81" s="51"/>
      <c r="I81" s="51"/>
      <c r="J81" s="51"/>
      <c r="K81" s="51"/>
      <c r="L81" s="57">
        <v>5.6749999999999998</v>
      </c>
      <c r="M81" s="57">
        <v>14.45</v>
      </c>
      <c r="N81" s="58">
        <f>$O$81+Draft!$H$75</f>
        <v>95544.17</v>
      </c>
      <c r="O81" s="58">
        <v>82096.899999999994</v>
      </c>
      <c r="Q81" s="59"/>
      <c r="R81" s="59"/>
      <c r="S81" s="59"/>
      <c r="T81" s="59"/>
      <c r="U81" s="59"/>
      <c r="V81" s="59"/>
      <c r="W81" s="60"/>
      <c r="X81" s="60"/>
      <c r="Y81" s="60"/>
      <c r="AA81" s="59"/>
      <c r="AB81" s="59"/>
      <c r="AC81" s="59"/>
      <c r="AD81" s="59"/>
      <c r="AE81" s="59"/>
      <c r="AF81" s="61"/>
      <c r="AG81" s="62"/>
      <c r="AH81" s="62"/>
      <c r="AJ81" s="62"/>
      <c r="AK81" s="62"/>
      <c r="AL81" s="62"/>
      <c r="AM81" s="62"/>
      <c r="AN81" s="62"/>
      <c r="AO81" s="62"/>
      <c r="AP81" s="62"/>
      <c r="AQ81" s="63"/>
      <c r="AR81" s="63"/>
      <c r="AS81" s="63"/>
      <c r="AU81" s="62"/>
      <c r="AV81" s="62"/>
      <c r="AW81" s="62"/>
      <c r="AX81" s="62"/>
      <c r="AY81" s="62"/>
      <c r="AZ81" s="62"/>
      <c r="BA81" s="62"/>
      <c r="BB81" s="64"/>
    </row>
    <row r="82" spans="1:54" ht="15.75" x14ac:dyDescent="0.25">
      <c r="A82" s="875" t="s">
        <v>90</v>
      </c>
      <c r="B82" s="876"/>
      <c r="C82" s="65"/>
      <c r="D82" s="65"/>
      <c r="E82" s="65"/>
      <c r="F82" s="65"/>
      <c r="G82" s="65"/>
      <c r="H82" s="65"/>
      <c r="I82" s="65"/>
      <c r="J82" s="65"/>
      <c r="K82" s="65"/>
      <c r="L82" s="57">
        <v>5.976</v>
      </c>
      <c r="M82" s="57">
        <v>14.148999999999999</v>
      </c>
      <c r="N82" s="58">
        <f>$O$82+Draft!$H$75</f>
        <v>93369.67</v>
      </c>
      <c r="O82" s="58">
        <v>79922.399999999994</v>
      </c>
      <c r="Q82" s="59"/>
      <c r="R82" s="59"/>
      <c r="S82" s="59"/>
      <c r="T82" s="59"/>
      <c r="U82" s="59"/>
      <c r="V82" s="59"/>
      <c r="W82" s="60"/>
      <c r="X82" s="60"/>
      <c r="Y82" s="60"/>
      <c r="AA82" s="59"/>
      <c r="AB82" s="59"/>
      <c r="AC82" s="59"/>
      <c r="AD82" s="59"/>
      <c r="AE82" s="59"/>
      <c r="AF82" s="61"/>
      <c r="AG82" s="62"/>
      <c r="AH82" s="62"/>
      <c r="AJ82" s="62"/>
      <c r="AK82" s="62"/>
      <c r="AL82" s="62"/>
      <c r="AM82" s="62"/>
      <c r="AN82" s="62"/>
      <c r="AO82" s="62"/>
      <c r="AP82" s="62"/>
      <c r="AQ82" s="63"/>
      <c r="AR82" s="63"/>
      <c r="AS82" s="63"/>
      <c r="AU82" s="62"/>
      <c r="AV82" s="62"/>
      <c r="AW82" s="62"/>
      <c r="AX82" s="62"/>
      <c r="AY82" s="62"/>
      <c r="AZ82" s="62"/>
      <c r="BA82" s="62"/>
      <c r="BB82" s="64"/>
    </row>
    <row r="83" spans="1:54" x14ac:dyDescent="0.2">
      <c r="A83" s="19"/>
      <c r="B83" s="19"/>
      <c r="C83" s="19"/>
      <c r="D83" s="19"/>
      <c r="E83" s="19"/>
      <c r="F83" s="19"/>
      <c r="G83" s="19"/>
      <c r="H83" s="19"/>
      <c r="I83" s="19"/>
      <c r="J83" s="19"/>
      <c r="K83" s="19"/>
      <c r="L83" s="19"/>
      <c r="M83" s="19"/>
      <c r="N83" s="19"/>
      <c r="O83" s="19"/>
    </row>
    <row r="84" spans="1:54" ht="15.75" x14ac:dyDescent="0.25">
      <c r="A84" s="867" t="s">
        <v>208</v>
      </c>
      <c r="B84" s="867"/>
      <c r="C84" s="19"/>
      <c r="D84" s="36" t="s">
        <v>680</v>
      </c>
      <c r="E84" s="19"/>
      <c r="F84" s="36"/>
      <c r="G84" s="19"/>
      <c r="H84" s="36"/>
      <c r="I84" s="19"/>
      <c r="J84" s="19"/>
      <c r="K84" s="19"/>
      <c r="L84" s="19"/>
      <c r="M84" s="19"/>
      <c r="N84" s="19"/>
      <c r="O84" s="19"/>
    </row>
    <row r="85" spans="1:54" ht="15" x14ac:dyDescent="0.25">
      <c r="A85" s="866" t="s">
        <v>680</v>
      </c>
      <c r="B85" s="866"/>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67" t="s">
        <v>211</v>
      </c>
      <c r="B87" s="867"/>
      <c r="C87" s="19"/>
      <c r="D87" s="36" t="s">
        <v>681</v>
      </c>
      <c r="E87" s="19"/>
      <c r="F87" s="19"/>
      <c r="G87" s="19"/>
      <c r="H87" s="19"/>
      <c r="I87" s="19"/>
      <c r="J87" s="19"/>
      <c r="K87" s="19"/>
      <c r="L87" s="19"/>
      <c r="M87" s="19"/>
      <c r="N87" s="19"/>
      <c r="O87" s="19"/>
    </row>
    <row r="88" spans="1:54" ht="15" x14ac:dyDescent="0.25">
      <c r="A88" s="868" t="s">
        <v>239</v>
      </c>
      <c r="B88" s="868"/>
      <c r="C88" s="19"/>
      <c r="D88" s="36" t="s">
        <v>682</v>
      </c>
      <c r="E88" s="19"/>
      <c r="F88" s="19"/>
      <c r="G88" s="19"/>
      <c r="H88" s="19"/>
      <c r="I88" s="19"/>
      <c r="J88" s="19"/>
      <c r="K88" s="19"/>
      <c r="L88" s="19"/>
      <c r="M88" s="19"/>
      <c r="N88" s="19"/>
      <c r="O88" s="19"/>
    </row>
    <row r="89" spans="1:54" ht="15" x14ac:dyDescent="0.25">
      <c r="A89" s="869" t="s">
        <v>758</v>
      </c>
      <c r="B89" s="869"/>
      <c r="C89" s="19"/>
      <c r="D89" s="36" t="s">
        <v>683</v>
      </c>
      <c r="E89" s="19"/>
      <c r="F89" s="19"/>
      <c r="G89" s="19"/>
      <c r="H89" s="19"/>
      <c r="I89" s="19"/>
      <c r="J89" s="19"/>
      <c r="K89" s="19"/>
      <c r="L89" s="19"/>
      <c r="M89" s="19"/>
      <c r="N89" s="19"/>
      <c r="O89" s="19"/>
    </row>
    <row r="90" spans="1:54" ht="15.75" x14ac:dyDescent="0.25">
      <c r="A90" s="867" t="s">
        <v>215</v>
      </c>
      <c r="B90" s="867"/>
      <c r="C90" s="19"/>
      <c r="D90" s="36" t="s">
        <v>213</v>
      </c>
      <c r="E90" s="19"/>
      <c r="F90" s="19"/>
      <c r="G90" s="19"/>
      <c r="H90" s="19"/>
      <c r="I90" s="19"/>
      <c r="J90" s="19"/>
      <c r="K90" s="19"/>
      <c r="L90" s="19"/>
      <c r="M90" s="19"/>
      <c r="N90" s="19"/>
      <c r="O90" s="19"/>
    </row>
    <row r="91" spans="1:54" ht="15" x14ac:dyDescent="0.25">
      <c r="A91" s="868"/>
      <c r="B91" s="868"/>
      <c r="C91" s="19"/>
      <c r="D91" s="35" t="s">
        <v>216</v>
      </c>
      <c r="E91" s="19"/>
      <c r="F91" s="19"/>
      <c r="G91" s="19"/>
      <c r="H91" s="19"/>
      <c r="I91" s="19"/>
      <c r="J91" s="19"/>
      <c r="K91" s="19"/>
      <c r="L91" s="19"/>
      <c r="M91" s="19"/>
      <c r="N91" s="19"/>
      <c r="O91" s="19"/>
    </row>
    <row r="92" spans="1:54" ht="15" x14ac:dyDescent="0.25">
      <c r="A92" s="869"/>
      <c r="B92" s="869"/>
      <c r="C92" s="19"/>
      <c r="D92" s="36" t="s">
        <v>601</v>
      </c>
      <c r="E92" s="19"/>
      <c r="F92" s="19"/>
      <c r="G92" s="19"/>
      <c r="H92" s="19"/>
      <c r="I92" s="19"/>
      <c r="J92" s="19"/>
      <c r="K92" s="19"/>
      <c r="L92" s="19"/>
      <c r="M92" s="19"/>
      <c r="N92" s="19"/>
      <c r="O92" s="19"/>
    </row>
    <row r="93" spans="1:54" ht="15.75" x14ac:dyDescent="0.25">
      <c r="A93" s="867" t="s">
        <v>218</v>
      </c>
      <c r="B93" s="867"/>
      <c r="C93" s="19"/>
      <c r="D93" s="36" t="s">
        <v>684</v>
      </c>
      <c r="E93" s="19"/>
      <c r="F93" s="19"/>
      <c r="G93" s="19"/>
      <c r="H93" s="19"/>
      <c r="I93" s="19"/>
      <c r="J93" s="19"/>
      <c r="K93" s="19"/>
      <c r="L93" s="19"/>
      <c r="M93" s="19"/>
      <c r="N93" s="19"/>
      <c r="O93" s="19"/>
    </row>
    <row r="94" spans="1:54" ht="15" x14ac:dyDescent="0.25">
      <c r="A94" s="868"/>
      <c r="B94" s="868"/>
      <c r="C94" s="19"/>
      <c r="D94" s="35" t="s">
        <v>685</v>
      </c>
      <c r="E94" s="19"/>
      <c r="F94" s="19"/>
      <c r="G94" s="19"/>
      <c r="H94" s="19"/>
      <c r="I94" s="19"/>
      <c r="J94" s="19"/>
      <c r="K94" s="19"/>
      <c r="L94" s="19"/>
      <c r="M94" s="19"/>
      <c r="N94" s="19"/>
      <c r="O94" s="19"/>
    </row>
    <row r="95" spans="1:54" ht="15" x14ac:dyDescent="0.25">
      <c r="A95" s="869"/>
      <c r="B95" s="869"/>
      <c r="C95" s="19"/>
      <c r="D95" s="35" t="s">
        <v>219</v>
      </c>
      <c r="E95" s="19"/>
      <c r="F95" s="19"/>
      <c r="G95" s="19"/>
      <c r="H95" s="19"/>
      <c r="I95" s="19"/>
      <c r="J95" s="19"/>
      <c r="K95" s="19"/>
      <c r="L95" s="19"/>
      <c r="M95" s="19"/>
      <c r="N95" s="19"/>
      <c r="O95" s="19"/>
    </row>
    <row r="96" spans="1:54" ht="15.75" x14ac:dyDescent="0.25">
      <c r="A96" s="867" t="s">
        <v>222</v>
      </c>
      <c r="B96" s="867"/>
      <c r="C96" s="19"/>
      <c r="D96" s="36" t="s">
        <v>220</v>
      </c>
      <c r="E96" s="19"/>
      <c r="F96" s="19"/>
      <c r="G96" s="19"/>
      <c r="H96" s="19"/>
      <c r="I96" s="19"/>
      <c r="J96" s="19"/>
      <c r="K96" s="19"/>
      <c r="L96" s="19"/>
      <c r="M96" s="19"/>
      <c r="N96" s="19"/>
      <c r="O96" s="19"/>
    </row>
    <row r="97" spans="1:15" ht="15.75" x14ac:dyDescent="0.25">
      <c r="A97" s="865" t="s">
        <v>727</v>
      </c>
      <c r="B97" s="865"/>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575</v>
      </c>
    </row>
    <row r="100" spans="1:15" ht="15" x14ac:dyDescent="0.25">
      <c r="D100" s="66" t="s">
        <v>223</v>
      </c>
    </row>
    <row r="101" spans="1:15" ht="15" x14ac:dyDescent="0.25">
      <c r="D101" s="66" t="s">
        <v>224</v>
      </c>
    </row>
    <row r="102" spans="1:15" ht="15" x14ac:dyDescent="0.25">
      <c r="D102" s="36" t="s">
        <v>225</v>
      </c>
    </row>
    <row r="103" spans="1:15" ht="15" x14ac:dyDescent="0.25">
      <c r="D103" s="36" t="s">
        <v>226</v>
      </c>
    </row>
    <row r="104" spans="1:15" ht="15" x14ac:dyDescent="0.25">
      <c r="D104" s="36" t="s">
        <v>686</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7" t="s">
        <v>227</v>
      </c>
    </row>
    <row r="111" spans="1:15" ht="14.25" x14ac:dyDescent="0.2">
      <c r="D111" s="68" t="s">
        <v>228</v>
      </c>
    </row>
    <row r="112" spans="1:15" ht="14.25" x14ac:dyDescent="0.2">
      <c r="D112" s="68" t="s">
        <v>229</v>
      </c>
    </row>
    <row r="113" spans="4:4" ht="14.25" x14ac:dyDescent="0.2">
      <c r="D113" s="67" t="s">
        <v>577</v>
      </c>
    </row>
    <row r="114" spans="4:4" ht="14.25" x14ac:dyDescent="0.2">
      <c r="D114" s="67" t="s">
        <v>230</v>
      </c>
    </row>
    <row r="115" spans="4:4" ht="14.25" x14ac:dyDescent="0.2">
      <c r="D115" s="69" t="s">
        <v>231</v>
      </c>
    </row>
    <row r="116" spans="4:4" ht="14.25" x14ac:dyDescent="0.2">
      <c r="D116" s="68" t="s">
        <v>232</v>
      </c>
    </row>
    <row r="117" spans="4:4" ht="14.25" x14ac:dyDescent="0.2">
      <c r="D117" s="68" t="s">
        <v>233</v>
      </c>
    </row>
    <row r="118" spans="4:4" ht="14.25" x14ac:dyDescent="0.2">
      <c r="D118" s="68" t="s">
        <v>234</v>
      </c>
    </row>
    <row r="119" spans="4:4" ht="14.25" x14ac:dyDescent="0.2">
      <c r="D119" s="67" t="s">
        <v>235</v>
      </c>
    </row>
    <row r="120" spans="4:4" ht="14.25" x14ac:dyDescent="0.2">
      <c r="D120" s="67" t="s">
        <v>236</v>
      </c>
    </row>
    <row r="121" spans="4:4" ht="14.25" x14ac:dyDescent="0.2">
      <c r="D121" s="68" t="s">
        <v>237</v>
      </c>
    </row>
    <row r="122" spans="4:4" ht="14.25" x14ac:dyDescent="0.2">
      <c r="D122" s="67" t="s">
        <v>238</v>
      </c>
    </row>
    <row r="123" spans="4:4" ht="14.25" x14ac:dyDescent="0.2">
      <c r="D123" s="68" t="s">
        <v>239</v>
      </c>
    </row>
    <row r="124" spans="4:4" ht="14.25" x14ac:dyDescent="0.2">
      <c r="D124" s="68" t="s">
        <v>240</v>
      </c>
    </row>
    <row r="125" spans="4:4" ht="14.25" x14ac:dyDescent="0.2">
      <c r="D125" s="68" t="s">
        <v>241</v>
      </c>
    </row>
    <row r="126" spans="4:4" ht="14.25" x14ac:dyDescent="0.2">
      <c r="D126" s="68" t="s">
        <v>242</v>
      </c>
    </row>
    <row r="127" spans="4:4" x14ac:dyDescent="0.2">
      <c r="D127" s="20" t="s">
        <v>639</v>
      </c>
    </row>
    <row r="128" spans="4:4" x14ac:dyDescent="0.2">
      <c r="D128" s="20" t="s">
        <v>641</v>
      </c>
    </row>
  </sheetData>
  <mergeCells count="44">
    <mergeCell ref="A35:B35"/>
    <mergeCell ref="M3:U3"/>
    <mergeCell ref="A7:B7"/>
    <mergeCell ref="A25:A27"/>
    <mergeCell ref="A29:B29"/>
    <mergeCell ref="B25:B27"/>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2" zoomScaleNormal="100" workbookViewId="0">
      <selection activeCell="AJ12" sqref="AJ12"/>
    </sheetView>
  </sheetViews>
  <sheetFormatPr defaultColWidth="3.7109375" defaultRowHeight="12.75" x14ac:dyDescent="0.2"/>
  <cols>
    <col min="1" max="34" width="5.7109375" style="70" customWidth="1"/>
    <col min="35" max="35" width="7.7109375" style="70" bestFit="1" customWidth="1"/>
    <col min="36" max="37" width="5.7109375" style="70" customWidth="1"/>
    <col min="38" max="38" width="5.5703125" style="70" customWidth="1"/>
    <col min="39" max="39" width="13.28515625" style="70" customWidth="1"/>
    <col min="40" max="40" width="8.5703125" style="70" customWidth="1"/>
    <col min="41" max="41" width="11.28515625" style="71" customWidth="1"/>
    <col min="42" max="42" width="3" style="71" customWidth="1"/>
    <col min="43" max="43" width="13.42578125" style="71" customWidth="1"/>
    <col min="44" max="47" width="3.7109375" style="71" customWidth="1"/>
    <col min="48" max="48" width="5.7109375" style="70" customWidth="1"/>
    <col min="49" max="51" width="3.7109375" style="70" customWidth="1"/>
    <col min="52" max="52" width="5.7109375" style="70" customWidth="1"/>
    <col min="53" max="66" width="3.7109375" style="70" customWidth="1"/>
    <col min="67" max="16384" width="3.7109375" style="70"/>
  </cols>
  <sheetData>
    <row r="1" spans="1:44" ht="78" customHeight="1" thickBot="1" x14ac:dyDescent="0.25"/>
    <row r="2" spans="1:44" ht="39.75" customHeight="1" thickBot="1" x14ac:dyDescent="0.25">
      <c r="A2" s="1117" t="s">
        <v>243</v>
      </c>
      <c r="B2" s="1118"/>
      <c r="C2" s="1118"/>
      <c r="D2" s="1118"/>
      <c r="E2" s="1118"/>
      <c r="F2" s="1118"/>
      <c r="G2" s="1118"/>
      <c r="H2" s="1118"/>
      <c r="I2" s="1118"/>
      <c r="J2" s="1118"/>
      <c r="K2" s="1118"/>
      <c r="L2" s="1118"/>
      <c r="M2" s="1118"/>
      <c r="N2" s="1118"/>
      <c r="O2" s="1118"/>
      <c r="P2" s="1118"/>
      <c r="Q2" s="1118"/>
      <c r="R2" s="1118"/>
      <c r="S2" s="649"/>
      <c r="T2" s="1118" t="s">
        <v>244</v>
      </c>
      <c r="U2" s="1118"/>
      <c r="V2" s="1118"/>
      <c r="W2" s="1118"/>
      <c r="X2" s="1118"/>
      <c r="Y2" s="1118"/>
      <c r="Z2" s="1118"/>
      <c r="AA2" s="1118"/>
      <c r="AB2" s="1118"/>
      <c r="AC2" s="1118"/>
      <c r="AD2" s="1118"/>
      <c r="AE2" s="1118"/>
      <c r="AF2" s="1118"/>
      <c r="AG2" s="1118"/>
      <c r="AH2" s="1118"/>
      <c r="AI2" s="1118"/>
      <c r="AJ2" s="1118"/>
      <c r="AK2" s="111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1" t="s">
        <v>561</v>
      </c>
      <c r="AP3" s="626"/>
      <c r="AQ3" s="626" t="s">
        <v>561</v>
      </c>
      <c r="AR3" s="626" t="s">
        <v>562</v>
      </c>
    </row>
    <row r="4" spans="1:44" ht="15" customHeight="1" x14ac:dyDescent="0.25">
      <c r="A4" s="1120" t="s">
        <v>203</v>
      </c>
      <c r="B4" s="1121"/>
      <c r="C4" s="1121"/>
      <c r="D4" s="1121"/>
      <c r="E4" s="1122">
        <v>46114</v>
      </c>
      <c r="F4" s="1122"/>
      <c r="G4" s="1122"/>
      <c r="H4" s="1122"/>
      <c r="I4" s="1122"/>
      <c r="J4" s="1122"/>
      <c r="K4" s="1122"/>
      <c r="L4" s="1121" t="s">
        <v>245</v>
      </c>
      <c r="M4" s="1121"/>
      <c r="N4" s="1121"/>
      <c r="O4" s="1125">
        <v>0.375</v>
      </c>
      <c r="P4" s="1125"/>
      <c r="Q4" s="1125"/>
      <c r="R4" s="1125"/>
      <c r="S4" s="638"/>
      <c r="T4" s="1121" t="s">
        <v>203</v>
      </c>
      <c r="U4" s="1121"/>
      <c r="V4" s="1121"/>
      <c r="W4" s="1121"/>
      <c r="X4" s="1122">
        <v>46117</v>
      </c>
      <c r="Y4" s="1122"/>
      <c r="Z4" s="1122"/>
      <c r="AA4" s="1122"/>
      <c r="AB4" s="1122"/>
      <c r="AC4" s="1122"/>
      <c r="AD4" s="1122"/>
      <c r="AE4" s="1121" t="s">
        <v>245</v>
      </c>
      <c r="AF4" s="1121"/>
      <c r="AG4" s="1121"/>
      <c r="AH4" s="1123">
        <v>0.25</v>
      </c>
      <c r="AI4" s="1123"/>
      <c r="AJ4" s="1123"/>
      <c r="AK4" s="1124"/>
      <c r="AN4" s="70" t="str">
        <f>IF(E6="Wharf","wharf","inner roads")</f>
        <v>inner roads</v>
      </c>
      <c r="AO4" s="70" t="str">
        <f>IF(X6="Wharf","wharf","inner roads")</f>
        <v>wharf</v>
      </c>
      <c r="AP4" s="626"/>
      <c r="AQ4" s="626" t="s">
        <v>602</v>
      </c>
      <c r="AR4" s="626" t="s">
        <v>563</v>
      </c>
    </row>
    <row r="5" spans="1:44" ht="15" customHeight="1" x14ac:dyDescent="0.25">
      <c r="A5" s="1133" t="s">
        <v>246</v>
      </c>
      <c r="B5" s="1126"/>
      <c r="C5" s="1126"/>
      <c r="D5" s="1126"/>
      <c r="E5" s="1134" t="str">
        <f>IFERROR(_xlfn.IFS(CAPA!A5=Draft!AQ3,Draft!AR3,CAPA!A5=AQ4,AR4),"Paranaguá, Br - Brazil")</f>
        <v>Paranaguá, Br - Brazil</v>
      </c>
      <c r="F5" s="1134"/>
      <c r="G5" s="1134"/>
      <c r="H5" s="1134"/>
      <c r="I5" s="1134"/>
      <c r="J5" s="1134"/>
      <c r="K5" s="1134"/>
      <c r="L5" s="1126" t="s">
        <v>247</v>
      </c>
      <c r="M5" s="1126"/>
      <c r="N5" s="1126"/>
      <c r="O5" s="1127">
        <v>0.37847222222222221</v>
      </c>
      <c r="P5" s="1127"/>
      <c r="Q5" s="1127"/>
      <c r="R5" s="1127"/>
      <c r="S5" s="638"/>
      <c r="T5" s="1126" t="s">
        <v>246</v>
      </c>
      <c r="U5" s="1126"/>
      <c r="V5" s="1126"/>
      <c r="W5" s="1126"/>
      <c r="X5" s="1134" t="str">
        <f>$E$5</f>
        <v>Paranaguá, Br - Brazil</v>
      </c>
      <c r="Y5" s="1134"/>
      <c r="Z5" s="1134"/>
      <c r="AA5" s="1134"/>
      <c r="AB5" s="1134"/>
      <c r="AC5" s="1134"/>
      <c r="AD5" s="1134"/>
      <c r="AE5" s="1126" t="s">
        <v>247</v>
      </c>
      <c r="AF5" s="1126"/>
      <c r="AG5" s="1126"/>
      <c r="AH5" s="1127">
        <v>0.26041666666666669</v>
      </c>
      <c r="AI5" s="1127"/>
      <c r="AJ5" s="1127"/>
      <c r="AK5" s="1128"/>
      <c r="AN5" s="70" t="str">
        <f>IF(AN4="wharf","berthed alongside wharf ","anchored at inner roads area ")</f>
        <v xml:space="preserve">anchored at inner roads area </v>
      </c>
      <c r="AO5" s="70"/>
      <c r="AP5" s="70"/>
      <c r="AQ5" s="70"/>
    </row>
    <row r="6" spans="1:44" ht="15" customHeight="1" x14ac:dyDescent="0.25">
      <c r="A6" s="1129" t="s">
        <v>248</v>
      </c>
      <c r="B6" s="1130"/>
      <c r="C6" s="1130"/>
      <c r="D6" s="1130"/>
      <c r="E6" s="1131" t="s">
        <v>759</v>
      </c>
      <c r="F6" s="1131"/>
      <c r="G6" s="1132"/>
      <c r="H6" s="1137">
        <v>8.3000000000000007</v>
      </c>
      <c r="I6" s="1138"/>
      <c r="J6" s="1137" t="str">
        <f>IF(E6="Wharf","berthed","anchored")</f>
        <v>anchored</v>
      </c>
      <c r="K6" s="1138"/>
      <c r="L6" s="1129" t="s">
        <v>249</v>
      </c>
      <c r="M6" s="1130"/>
      <c r="N6" s="1130"/>
      <c r="O6" s="1135">
        <v>0.5</v>
      </c>
      <c r="P6" s="1135"/>
      <c r="Q6" s="1135"/>
      <c r="R6" s="1135"/>
      <c r="S6" s="638"/>
      <c r="T6" s="1130" t="s">
        <v>248</v>
      </c>
      <c r="U6" s="1130"/>
      <c r="V6" s="1130"/>
      <c r="W6" s="1130"/>
      <c r="X6" s="1131" t="s">
        <v>765</v>
      </c>
      <c r="Y6" s="1131"/>
      <c r="Z6" s="1132"/>
      <c r="AA6" s="1137">
        <v>212</v>
      </c>
      <c r="AB6" s="1138"/>
      <c r="AC6" s="1137" t="str">
        <f>IF(X6="Wharf","berthed","anchored")</f>
        <v>berthed</v>
      </c>
      <c r="AD6" s="1138"/>
      <c r="AE6" s="1129" t="s">
        <v>249</v>
      </c>
      <c r="AF6" s="1130"/>
      <c r="AG6" s="1130"/>
      <c r="AH6" s="1135">
        <v>0.35416666666666669</v>
      </c>
      <c r="AI6" s="1135"/>
      <c r="AJ6" s="1135"/>
      <c r="AK6" s="1136"/>
      <c r="AN6" s="70" t="str">
        <f>IF(AO4="wharf","berthed alongside wharf ","anchored at inner roads area ")</f>
        <v xml:space="preserve">berthed alongside wharf </v>
      </c>
    </row>
    <row r="7" spans="1:44" ht="15" customHeight="1" x14ac:dyDescent="0.25">
      <c r="A7" s="1100" t="s">
        <v>250</v>
      </c>
      <c r="B7" s="1101"/>
      <c r="C7" s="1101"/>
      <c r="D7" s="1102"/>
      <c r="E7" s="1105" t="s">
        <v>761</v>
      </c>
      <c r="F7" s="1106"/>
      <c r="G7" s="1107"/>
      <c r="H7" s="1103"/>
      <c r="I7" s="1104"/>
      <c r="J7" s="1104"/>
      <c r="K7" s="1104"/>
      <c r="L7" s="1101" t="s">
        <v>251</v>
      </c>
      <c r="M7" s="1101"/>
      <c r="N7" s="1101"/>
      <c r="O7" s="1088">
        <v>0.1</v>
      </c>
      <c r="P7" s="1088"/>
      <c r="Q7" s="1088"/>
      <c r="R7" s="1088"/>
      <c r="S7" s="639"/>
      <c r="T7" s="1101" t="s">
        <v>250</v>
      </c>
      <c r="U7" s="1101"/>
      <c r="V7" s="1101"/>
      <c r="W7" s="1102"/>
      <c r="X7" s="1105" t="s">
        <v>761</v>
      </c>
      <c r="Y7" s="1106"/>
      <c r="Z7" s="1107"/>
      <c r="AA7" s="467"/>
      <c r="AB7" s="467"/>
      <c r="AC7" s="467"/>
      <c r="AD7" s="467"/>
      <c r="AE7" s="1101" t="s">
        <v>251</v>
      </c>
      <c r="AF7" s="1101"/>
      <c r="AG7" s="1101"/>
      <c r="AH7" s="1088">
        <v>0.1</v>
      </c>
      <c r="AI7" s="1088"/>
      <c r="AJ7" s="1088"/>
      <c r="AK7" s="1089"/>
      <c r="AN7" s="70" t="str">
        <f>IF(AN4="wharf","Atracado - berço ","Fundeado - área ")</f>
        <v xml:space="preserve">Fundeado - área </v>
      </c>
    </row>
    <row r="8" spans="1:44" ht="15" customHeight="1" x14ac:dyDescent="0.25">
      <c r="A8" s="1090" t="s">
        <v>252</v>
      </c>
      <c r="B8" s="1091"/>
      <c r="C8" s="1091"/>
      <c r="D8" s="1091"/>
      <c r="E8" s="1092" t="s">
        <v>762</v>
      </c>
      <c r="F8" s="1092"/>
      <c r="G8" s="1092"/>
      <c r="H8" s="468"/>
      <c r="I8" s="468"/>
      <c r="J8" s="468"/>
      <c r="K8" s="468"/>
      <c r="L8" s="1091" t="s">
        <v>253</v>
      </c>
      <c r="M8" s="1091"/>
      <c r="N8" s="1091"/>
      <c r="O8" s="1093">
        <v>1</v>
      </c>
      <c r="P8" s="1093"/>
      <c r="Q8" s="1093"/>
      <c r="R8" s="1093"/>
      <c r="S8" s="639"/>
      <c r="T8" s="1091" t="s">
        <v>252</v>
      </c>
      <c r="U8" s="1091"/>
      <c r="V8" s="1091"/>
      <c r="W8" s="1091"/>
      <c r="X8" s="1092" t="s">
        <v>766</v>
      </c>
      <c r="Y8" s="1092"/>
      <c r="Z8" s="1092"/>
      <c r="AA8" s="467"/>
      <c r="AB8" s="467"/>
      <c r="AC8" s="467"/>
      <c r="AD8" s="467"/>
      <c r="AE8" s="1091" t="s">
        <v>253</v>
      </c>
      <c r="AF8" s="1091"/>
      <c r="AG8" s="1091"/>
      <c r="AH8" s="1093">
        <v>1</v>
      </c>
      <c r="AI8" s="1093"/>
      <c r="AJ8" s="1093"/>
      <c r="AK8" s="1094"/>
      <c r="AM8" s="71">
        <v>0</v>
      </c>
      <c r="AN8" s="70" t="str">
        <f>IF(AO4="wharf","Atracado - berço ","Fundeado - área ")</f>
        <v xml:space="preserve">Atracado - berço </v>
      </c>
    </row>
    <row r="9" spans="1:44" ht="15" customHeight="1" x14ac:dyDescent="0.25">
      <c r="A9" s="1090" t="s">
        <v>254</v>
      </c>
      <c r="B9" s="1091"/>
      <c r="C9" s="1091"/>
      <c r="D9" s="1114"/>
      <c r="E9" s="1115" t="s">
        <v>760</v>
      </c>
      <c r="F9" s="1092"/>
      <c r="G9" s="1116"/>
      <c r="H9" s="468"/>
      <c r="I9" s="468"/>
      <c r="J9" s="468"/>
      <c r="K9" s="468"/>
      <c r="L9" s="432"/>
      <c r="M9" s="432"/>
      <c r="N9" s="432"/>
      <c r="O9" s="432"/>
      <c r="P9" s="469"/>
      <c r="Q9" s="469"/>
      <c r="R9" s="469"/>
      <c r="S9" s="639"/>
      <c r="T9" s="1091" t="s">
        <v>254</v>
      </c>
      <c r="U9" s="1091"/>
      <c r="V9" s="1091"/>
      <c r="W9" s="1114"/>
      <c r="X9" s="1115" t="s">
        <v>760</v>
      </c>
      <c r="Y9" s="1092"/>
      <c r="Z9" s="1116"/>
      <c r="AA9" s="467"/>
      <c r="AB9" s="467"/>
      <c r="AC9" s="467"/>
      <c r="AD9" s="467"/>
      <c r="AE9" s="470"/>
      <c r="AF9" s="470"/>
      <c r="AG9" s="470"/>
      <c r="AH9" s="470"/>
      <c r="AI9" s="469"/>
      <c r="AJ9" s="469"/>
      <c r="AK9" s="471"/>
    </row>
    <row r="10" spans="1:44" ht="15" customHeight="1" thickBot="1" x14ac:dyDescent="0.25">
      <c r="A10" s="72"/>
      <c r="B10" s="73"/>
      <c r="C10" s="73"/>
      <c r="D10" s="73"/>
      <c r="E10" s="73"/>
      <c r="F10" s="73"/>
      <c r="G10" s="73"/>
      <c r="H10" s="73"/>
      <c r="I10" s="73"/>
      <c r="J10" s="73"/>
      <c r="K10" s="73"/>
      <c r="L10" s="73"/>
      <c r="M10" s="73"/>
      <c r="N10" s="73"/>
      <c r="O10" s="73"/>
      <c r="P10" s="73"/>
      <c r="Q10" s="73"/>
      <c r="R10" s="73"/>
      <c r="S10" s="640"/>
      <c r="T10" s="73"/>
      <c r="U10" s="73"/>
      <c r="V10" s="73"/>
      <c r="W10" s="73"/>
      <c r="X10" s="73"/>
      <c r="Y10" s="73"/>
      <c r="Z10" s="73"/>
      <c r="AA10" s="73"/>
      <c r="AB10" s="73"/>
      <c r="AC10" s="73"/>
      <c r="AD10" s="73"/>
      <c r="AE10" s="73"/>
      <c r="AF10" s="73"/>
      <c r="AG10" s="73"/>
      <c r="AH10" s="73"/>
      <c r="AI10" s="73"/>
      <c r="AJ10" s="73"/>
      <c r="AK10" s="74"/>
    </row>
    <row r="11" spans="1:44" ht="15" customHeight="1" thickTop="1" thickBot="1" x14ac:dyDescent="0.25">
      <c r="A11" s="72"/>
      <c r="B11" s="73"/>
      <c r="C11" s="472" t="s">
        <v>255</v>
      </c>
      <c r="D11" s="1109">
        <f>CAPA!$B$16</f>
        <v>225.5</v>
      </c>
      <c r="E11" s="1110"/>
      <c r="F11" s="1111"/>
      <c r="G11" s="73"/>
      <c r="H11" s="73"/>
      <c r="I11" s="1112" t="s">
        <v>256</v>
      </c>
      <c r="J11" s="1112"/>
      <c r="K11" s="1113"/>
      <c r="L11" s="1109">
        <f>CAPA!$B$18</f>
        <v>32.26</v>
      </c>
      <c r="M11" s="1110"/>
      <c r="N11" s="1111"/>
      <c r="O11" s="73"/>
      <c r="P11" s="73"/>
      <c r="Q11" s="73"/>
      <c r="R11" s="73"/>
      <c r="S11" s="640"/>
      <c r="T11" s="73"/>
      <c r="U11" s="473" t="s">
        <v>255</v>
      </c>
      <c r="V11" s="1097">
        <f>D11</f>
        <v>225.5</v>
      </c>
      <c r="W11" s="1098"/>
      <c r="X11" s="1099"/>
      <c r="Y11" s="474"/>
      <c r="Z11" s="474"/>
      <c r="AA11" s="1095" t="s">
        <v>256</v>
      </c>
      <c r="AB11" s="1095"/>
      <c r="AC11" s="1096"/>
      <c r="AD11" s="1097">
        <f>L11</f>
        <v>32.26</v>
      </c>
      <c r="AE11" s="1098"/>
      <c r="AF11" s="1099"/>
      <c r="AG11" s="474"/>
      <c r="AH11" s="474"/>
      <c r="AI11" s="475"/>
      <c r="AJ11" s="475"/>
      <c r="AK11" s="74"/>
    </row>
    <row r="12" spans="1:44" ht="15" customHeight="1" thickTop="1" x14ac:dyDescent="0.2">
      <c r="A12" s="72"/>
      <c r="B12" s="73"/>
      <c r="C12" s="73"/>
      <c r="D12" s="73"/>
      <c r="E12" s="73"/>
      <c r="F12" s="73" t="s">
        <v>257</v>
      </c>
      <c r="G12" s="73"/>
      <c r="H12" s="73"/>
      <c r="I12" s="73"/>
      <c r="J12" s="73"/>
      <c r="K12" s="73"/>
      <c r="L12" s="73"/>
      <c r="M12" s="73"/>
      <c r="N12" s="73"/>
      <c r="O12" s="73"/>
      <c r="P12" s="73"/>
      <c r="Q12" s="73"/>
      <c r="R12" s="73"/>
      <c r="S12" s="640"/>
      <c r="T12" s="73"/>
      <c r="U12" s="475"/>
      <c r="V12" s="475"/>
      <c r="W12" s="475"/>
      <c r="X12" s="475"/>
      <c r="Y12" s="475"/>
      <c r="Z12" s="475"/>
      <c r="AA12" s="475"/>
      <c r="AB12" s="475"/>
      <c r="AC12" s="475"/>
      <c r="AD12" s="475"/>
      <c r="AE12" s="475"/>
      <c r="AF12" s="475"/>
      <c r="AG12" s="475"/>
      <c r="AH12" s="475"/>
      <c r="AI12" s="475"/>
      <c r="AJ12" s="475"/>
      <c r="AK12" s="74"/>
    </row>
    <row r="13" spans="1:44" ht="15" customHeight="1" x14ac:dyDescent="0.25">
      <c r="A13" s="72"/>
      <c r="B13" s="73"/>
      <c r="C13" s="1108" t="s">
        <v>258</v>
      </c>
      <c r="D13" s="1108"/>
      <c r="E13" s="1108"/>
      <c r="F13" s="1108"/>
      <c r="G13" s="1108"/>
      <c r="H13" s="1108"/>
      <c r="I13" s="1108"/>
      <c r="J13" s="1108"/>
      <c r="K13" s="1108"/>
      <c r="L13" s="1108"/>
      <c r="M13" s="1108"/>
      <c r="N13" s="1108"/>
      <c r="O13" s="1108"/>
      <c r="P13" s="1108"/>
      <c r="Q13" s="1108"/>
      <c r="R13" s="73"/>
      <c r="S13" s="640"/>
      <c r="T13" s="73"/>
      <c r="U13" s="1108" t="s">
        <v>258</v>
      </c>
      <c r="V13" s="1108"/>
      <c r="W13" s="1108"/>
      <c r="X13" s="1108"/>
      <c r="Y13" s="1108"/>
      <c r="Z13" s="1108"/>
      <c r="AA13" s="1108"/>
      <c r="AB13" s="1108"/>
      <c r="AC13" s="1108"/>
      <c r="AD13" s="1108"/>
      <c r="AE13" s="1108"/>
      <c r="AF13" s="1108"/>
      <c r="AG13" s="1108"/>
      <c r="AH13" s="1108"/>
      <c r="AI13" s="1108"/>
      <c r="AJ13" s="475"/>
      <c r="AK13" s="74"/>
    </row>
    <row r="14" spans="1:44" ht="15" customHeight="1" thickBot="1" x14ac:dyDescent="0.25">
      <c r="A14" s="72"/>
      <c r="B14" s="73"/>
      <c r="C14" s="73"/>
      <c r="D14" s="73"/>
      <c r="E14" s="73"/>
      <c r="F14" s="73"/>
      <c r="G14" s="73"/>
      <c r="H14" s="73"/>
      <c r="I14" s="73"/>
      <c r="J14" s="73"/>
      <c r="K14" s="73"/>
      <c r="L14" s="73"/>
      <c r="M14" s="73"/>
      <c r="N14" s="73"/>
      <c r="O14" s="73"/>
      <c r="P14" s="73"/>
      <c r="Q14" s="73"/>
      <c r="R14" s="73"/>
      <c r="S14" s="640"/>
      <c r="T14" s="73"/>
      <c r="U14" s="475"/>
      <c r="V14" s="475"/>
      <c r="W14" s="475"/>
      <c r="X14" s="475"/>
      <c r="Y14" s="475"/>
      <c r="Z14" s="475"/>
      <c r="AA14" s="475"/>
      <c r="AB14" s="475"/>
      <c r="AC14" s="475"/>
      <c r="AD14" s="475"/>
      <c r="AE14" s="475"/>
      <c r="AF14" s="475"/>
      <c r="AG14" s="475"/>
      <c r="AH14" s="475"/>
      <c r="AI14" s="475"/>
      <c r="AJ14" s="475"/>
      <c r="AK14" s="74"/>
    </row>
    <row r="15" spans="1:44" ht="15" customHeight="1" thickTop="1" thickBot="1" x14ac:dyDescent="0.25">
      <c r="A15" s="72"/>
      <c r="B15" s="73"/>
      <c r="C15" s="472" t="s">
        <v>259</v>
      </c>
      <c r="D15" s="1109">
        <v>12.78</v>
      </c>
      <c r="E15" s="1110"/>
      <c r="F15" s="1111"/>
      <c r="G15" s="472" t="s">
        <v>260</v>
      </c>
      <c r="H15" s="1109">
        <v>1.99</v>
      </c>
      <c r="I15" s="1110"/>
      <c r="J15" s="1111"/>
      <c r="K15" s="472" t="s">
        <v>261</v>
      </c>
      <c r="L15" s="1109">
        <v>8.85</v>
      </c>
      <c r="M15" s="1110"/>
      <c r="N15" s="1111"/>
      <c r="O15" s="73"/>
      <c r="P15" s="73"/>
      <c r="Q15" s="73"/>
      <c r="R15" s="73"/>
      <c r="S15" s="640"/>
      <c r="T15" s="73"/>
      <c r="U15" s="472" t="s">
        <v>259</v>
      </c>
      <c r="V15" s="1109">
        <f>D15</f>
        <v>12.78</v>
      </c>
      <c r="W15" s="1110"/>
      <c r="X15" s="1111"/>
      <c r="Y15" s="472" t="s">
        <v>260</v>
      </c>
      <c r="Z15" s="1109">
        <f>H15</f>
        <v>1.99</v>
      </c>
      <c r="AA15" s="1110"/>
      <c r="AB15" s="1111"/>
      <c r="AC15" s="472" t="s">
        <v>261</v>
      </c>
      <c r="AD15" s="1109">
        <v>9.85</v>
      </c>
      <c r="AE15" s="1110"/>
      <c r="AF15" s="1111"/>
      <c r="AG15" s="475"/>
      <c r="AH15" s="475"/>
      <c r="AI15" s="475"/>
      <c r="AJ15" s="475"/>
      <c r="AK15" s="74"/>
    </row>
    <row r="16" spans="1:44" ht="15" customHeight="1" thickTop="1" x14ac:dyDescent="0.2">
      <c r="A16" s="72"/>
      <c r="B16" s="73"/>
      <c r="C16" s="73"/>
      <c r="D16" s="73"/>
      <c r="E16" s="73"/>
      <c r="F16" s="73"/>
      <c r="G16" s="73"/>
      <c r="H16" s="73"/>
      <c r="I16" s="73"/>
      <c r="J16" s="73"/>
      <c r="K16" s="73"/>
      <c r="L16" s="73"/>
      <c r="M16" s="73"/>
      <c r="N16" s="73"/>
      <c r="O16" s="73"/>
      <c r="P16" s="73"/>
      <c r="Q16" s="73"/>
      <c r="R16" s="73"/>
      <c r="S16" s="640"/>
      <c r="T16" s="73"/>
      <c r="U16" s="475"/>
      <c r="V16" s="475"/>
      <c r="W16" s="475"/>
      <c r="X16" s="475"/>
      <c r="Y16" s="475"/>
      <c r="Z16" s="475"/>
      <c r="AA16" s="475"/>
      <c r="AB16" s="475"/>
      <c r="AC16" s="475"/>
      <c r="AD16" s="475"/>
      <c r="AE16" s="475"/>
      <c r="AF16" s="475"/>
      <c r="AG16" s="475"/>
      <c r="AH16" s="475"/>
      <c r="AI16" s="475"/>
      <c r="AJ16" s="475"/>
      <c r="AK16" s="74"/>
    </row>
    <row r="17" spans="1:43" ht="15" customHeight="1" thickBot="1" x14ac:dyDescent="0.25">
      <c r="A17" s="72"/>
      <c r="B17" s="73"/>
      <c r="C17" s="1081" t="s">
        <v>262</v>
      </c>
      <c r="D17" s="1081"/>
      <c r="E17" s="1081"/>
      <c r="F17" s="1081"/>
      <c r="G17" s="1081"/>
      <c r="H17" s="1081"/>
      <c r="I17" s="1081"/>
      <c r="J17" s="1081"/>
      <c r="K17" s="1081"/>
      <c r="L17" s="1081"/>
      <c r="M17" s="1081"/>
      <c r="N17" s="1081"/>
      <c r="O17" s="1081"/>
      <c r="P17" s="1081"/>
      <c r="Q17" s="1081"/>
      <c r="R17" s="73"/>
      <c r="S17" s="640"/>
      <c r="T17" s="73"/>
      <c r="U17" s="1081" t="s">
        <v>262</v>
      </c>
      <c r="V17" s="1081"/>
      <c r="W17" s="1081"/>
      <c r="X17" s="1081"/>
      <c r="Y17" s="1081"/>
      <c r="Z17" s="1081"/>
      <c r="AA17" s="1081"/>
      <c r="AB17" s="1081"/>
      <c r="AC17" s="1081"/>
      <c r="AD17" s="1081"/>
      <c r="AE17" s="1081"/>
      <c r="AF17" s="1081"/>
      <c r="AG17" s="1081"/>
      <c r="AH17" s="1081"/>
      <c r="AI17" s="1081"/>
      <c r="AJ17" s="475"/>
      <c r="AK17" s="74"/>
    </row>
    <row r="18" spans="1:43" ht="15" customHeight="1" thickTop="1" thickBot="1" x14ac:dyDescent="0.25">
      <c r="A18" s="72"/>
      <c r="B18" s="73"/>
      <c r="C18" s="472" t="s">
        <v>259</v>
      </c>
      <c r="D18" s="1082">
        <v>1.8499999999999999E-2</v>
      </c>
      <c r="E18" s="1083"/>
      <c r="F18" s="1084"/>
      <c r="G18" s="472" t="s">
        <v>260</v>
      </c>
      <c r="H18" s="1082">
        <v>1.8499999999999999E-2</v>
      </c>
      <c r="I18" s="1083"/>
      <c r="J18" s="1084"/>
      <c r="K18" s="472" t="s">
        <v>261</v>
      </c>
      <c r="L18" s="1082">
        <v>1.8499999999999999E-2</v>
      </c>
      <c r="M18" s="1083"/>
      <c r="N18" s="1084"/>
      <c r="O18" s="73"/>
      <c r="P18" s="73"/>
      <c r="Q18" s="73"/>
      <c r="R18" s="73"/>
      <c r="S18" s="640"/>
      <c r="T18" s="73"/>
      <c r="U18" s="472" t="s">
        <v>259</v>
      </c>
      <c r="V18" s="1085">
        <f>D18</f>
        <v>1.8499999999999999E-2</v>
      </c>
      <c r="W18" s="1086"/>
      <c r="X18" s="1087"/>
      <c r="Y18" s="472" t="s">
        <v>260</v>
      </c>
      <c r="Z18" s="1085">
        <f>H18</f>
        <v>1.8499999999999999E-2</v>
      </c>
      <c r="AA18" s="1086"/>
      <c r="AB18" s="1087"/>
      <c r="AC18" s="472" t="s">
        <v>261</v>
      </c>
      <c r="AD18" s="1085">
        <f>L18</f>
        <v>1.8499999999999999E-2</v>
      </c>
      <c r="AE18" s="1086"/>
      <c r="AF18" s="1087"/>
      <c r="AG18" s="475"/>
      <c r="AH18" s="475"/>
      <c r="AI18" s="475"/>
      <c r="AJ18" s="475"/>
      <c r="AK18" s="74"/>
    </row>
    <row r="19" spans="1:43" ht="15" customHeight="1" thickTop="1" thickBot="1" x14ac:dyDescent="0.25">
      <c r="A19" s="72"/>
      <c r="B19" s="73"/>
      <c r="C19" s="73"/>
      <c r="D19" s="476"/>
      <c r="E19" s="476"/>
      <c r="F19" s="476"/>
      <c r="G19" s="73"/>
      <c r="H19" s="73"/>
      <c r="I19" s="73"/>
      <c r="J19" s="73"/>
      <c r="K19" s="73"/>
      <c r="L19" s="73"/>
      <c r="M19" s="73"/>
      <c r="N19" s="73"/>
      <c r="O19" s="73"/>
      <c r="P19" s="73"/>
      <c r="Q19" s="73"/>
      <c r="R19" s="73"/>
      <c r="S19" s="640"/>
      <c r="T19" s="73"/>
      <c r="U19" s="475"/>
      <c r="V19" s="477"/>
      <c r="W19" s="477"/>
      <c r="X19" s="477"/>
      <c r="Y19" s="475"/>
      <c r="Z19" s="475"/>
      <c r="AA19" s="475"/>
      <c r="AB19" s="475"/>
      <c r="AC19" s="475"/>
      <c r="AD19" s="475"/>
      <c r="AE19" s="475"/>
      <c r="AF19" s="475"/>
      <c r="AG19" s="475"/>
      <c r="AH19" s="475"/>
      <c r="AI19" s="475"/>
      <c r="AJ19" s="475"/>
      <c r="AK19" s="74"/>
    </row>
    <row r="20" spans="1:43" ht="15" customHeight="1" thickTop="1" thickBot="1" x14ac:dyDescent="0.3">
      <c r="A20" s="75"/>
      <c r="B20" s="478"/>
      <c r="C20" s="1071" t="s">
        <v>263</v>
      </c>
      <c r="D20" s="1071"/>
      <c r="E20" s="1071"/>
      <c r="F20" s="1071"/>
      <c r="G20" s="1071"/>
      <c r="H20" s="1071"/>
      <c r="I20" s="1071"/>
      <c r="J20" s="1071"/>
      <c r="K20" s="1071"/>
      <c r="L20" s="1071"/>
      <c r="M20" s="1071"/>
      <c r="N20" s="1072"/>
      <c r="O20" s="1073"/>
      <c r="P20" s="1074"/>
      <c r="Q20" s="1075"/>
      <c r="R20" s="478"/>
      <c r="S20" s="638"/>
      <c r="T20" s="478"/>
      <c r="U20" s="1076" t="s">
        <v>263</v>
      </c>
      <c r="V20" s="1076"/>
      <c r="W20" s="1076"/>
      <c r="X20" s="1076"/>
      <c r="Y20" s="1076"/>
      <c r="Z20" s="1076"/>
      <c r="AA20" s="1076"/>
      <c r="AB20" s="1076"/>
      <c r="AC20" s="1076"/>
      <c r="AD20" s="1076"/>
      <c r="AE20" s="1076"/>
      <c r="AF20" s="1077"/>
      <c r="AG20" s="1073">
        <f>O20</f>
        <v>0</v>
      </c>
      <c r="AH20" s="1074"/>
      <c r="AI20" s="1075"/>
      <c r="AJ20" s="479"/>
      <c r="AK20" s="76"/>
    </row>
    <row r="21" spans="1:43" ht="15" customHeight="1" thickTop="1" thickBot="1" x14ac:dyDescent="0.3">
      <c r="A21" s="75"/>
      <c r="B21" s="478"/>
      <c r="C21" s="478"/>
      <c r="D21" s="478"/>
      <c r="E21" s="478"/>
      <c r="F21" s="478"/>
      <c r="G21" s="478"/>
      <c r="H21" s="478"/>
      <c r="I21" s="478"/>
      <c r="J21" s="478"/>
      <c r="K21" s="478"/>
      <c r="L21" s="478"/>
      <c r="M21" s="478"/>
      <c r="N21" s="478"/>
      <c r="O21" s="478"/>
      <c r="P21" s="478"/>
      <c r="Q21" s="478"/>
      <c r="R21" s="478"/>
      <c r="S21" s="638"/>
      <c r="T21" s="478"/>
      <c r="U21" s="479"/>
      <c r="V21" s="479"/>
      <c r="W21" s="479"/>
      <c r="X21" s="479"/>
      <c r="Y21" s="479"/>
      <c r="Z21" s="479"/>
      <c r="AA21" s="479"/>
      <c r="AB21" s="479"/>
      <c r="AC21" s="479"/>
      <c r="AD21" s="479"/>
      <c r="AE21" s="479"/>
      <c r="AF21" s="479"/>
      <c r="AG21" s="479"/>
      <c r="AH21" s="479"/>
      <c r="AI21" s="479"/>
      <c r="AJ21" s="479"/>
      <c r="AK21" s="76"/>
    </row>
    <row r="22" spans="1:43" ht="15" customHeight="1" thickTop="1" thickBot="1" x14ac:dyDescent="0.3">
      <c r="A22" s="75"/>
      <c r="B22" s="478"/>
      <c r="C22" s="480" t="s">
        <v>264</v>
      </c>
      <c r="D22" s="480"/>
      <c r="E22" s="478"/>
      <c r="F22" s="1078">
        <f>D11-D15-L15</f>
        <v>203.87</v>
      </c>
      <c r="G22" s="1079"/>
      <c r="H22" s="1080"/>
      <c r="I22" s="478"/>
      <c r="J22" s="480"/>
      <c r="K22" s="478"/>
      <c r="L22" s="478"/>
      <c r="M22" s="478"/>
      <c r="N22" s="478"/>
      <c r="O22" s="478"/>
      <c r="P22" s="478"/>
      <c r="Q22" s="478"/>
      <c r="R22" s="478"/>
      <c r="S22" s="638"/>
      <c r="T22" s="478"/>
      <c r="U22" s="480" t="s">
        <v>265</v>
      </c>
      <c r="V22" s="480"/>
      <c r="W22" s="478"/>
      <c r="X22" s="1078">
        <f>V11-V15-AD15</f>
        <v>202.87</v>
      </c>
      <c r="Y22" s="1079"/>
      <c r="Z22" s="1080"/>
      <c r="AA22" s="479"/>
      <c r="AB22" s="481"/>
      <c r="AC22" s="479"/>
      <c r="AD22" s="479"/>
      <c r="AE22" s="479"/>
      <c r="AF22" s="479"/>
      <c r="AG22" s="479"/>
      <c r="AH22" s="479"/>
      <c r="AI22" s="479"/>
      <c r="AJ22" s="479"/>
      <c r="AK22" s="76"/>
    </row>
    <row r="23" spans="1:43" ht="15" customHeight="1" thickTop="1" x14ac:dyDescent="0.25">
      <c r="A23" s="75"/>
      <c r="B23" s="478"/>
      <c r="C23" s="478"/>
      <c r="D23" s="478"/>
      <c r="E23" s="478"/>
      <c r="F23" s="478"/>
      <c r="G23" s="478"/>
      <c r="H23" s="478"/>
      <c r="I23" s="478"/>
      <c r="J23" s="478"/>
      <c r="K23" s="478"/>
      <c r="L23" s="478"/>
      <c r="M23" s="478"/>
      <c r="N23" s="478"/>
      <c r="O23" s="478"/>
      <c r="P23" s="478"/>
      <c r="Q23" s="478"/>
      <c r="R23" s="478"/>
      <c r="S23" s="638"/>
      <c r="T23" s="478"/>
      <c r="U23" s="479"/>
      <c r="V23" s="479"/>
      <c r="W23" s="479"/>
      <c r="X23" s="479"/>
      <c r="Y23" s="479"/>
      <c r="Z23" s="479"/>
      <c r="AA23" s="479"/>
      <c r="AB23" s="482"/>
      <c r="AC23" s="482"/>
      <c r="AD23" s="482"/>
      <c r="AE23" s="482"/>
      <c r="AF23" s="482"/>
      <c r="AG23" s="482"/>
      <c r="AH23" s="482"/>
      <c r="AI23" s="482"/>
      <c r="AJ23" s="479"/>
      <c r="AK23" s="76"/>
    </row>
    <row r="24" spans="1:43" ht="15" customHeight="1" thickBot="1" x14ac:dyDescent="0.3">
      <c r="A24" s="75"/>
      <c r="B24" s="478"/>
      <c r="C24" s="1067" t="s">
        <v>266</v>
      </c>
      <c r="D24" s="1067"/>
      <c r="E24" s="1070"/>
      <c r="F24" s="1070"/>
      <c r="G24" s="1067" t="s">
        <v>267</v>
      </c>
      <c r="H24" s="1067"/>
      <c r="I24" s="483"/>
      <c r="J24" s="1069" t="s">
        <v>268</v>
      </c>
      <c r="K24" s="1069"/>
      <c r="L24" s="483"/>
      <c r="M24" s="1069" t="s">
        <v>269</v>
      </c>
      <c r="N24" s="1069"/>
      <c r="O24" s="483"/>
      <c r="P24" s="1069" t="s">
        <v>270</v>
      </c>
      <c r="Q24" s="1069"/>
      <c r="R24" s="478"/>
      <c r="S24" s="638"/>
      <c r="T24" s="478"/>
      <c r="U24" s="1067" t="s">
        <v>266</v>
      </c>
      <c r="V24" s="1067"/>
      <c r="W24" s="1068"/>
      <c r="X24" s="1068"/>
      <c r="Y24" s="1067" t="s">
        <v>267</v>
      </c>
      <c r="Z24" s="1067"/>
      <c r="AA24" s="479"/>
      <c r="AB24" s="1069" t="s">
        <v>268</v>
      </c>
      <c r="AC24" s="1069"/>
      <c r="AD24" s="482"/>
      <c r="AE24" s="1069" t="s">
        <v>269</v>
      </c>
      <c r="AF24" s="1069"/>
      <c r="AG24" s="482"/>
      <c r="AH24" s="1069" t="s">
        <v>270</v>
      </c>
      <c r="AI24" s="1069"/>
      <c r="AJ24" s="479"/>
      <c r="AK24" s="76"/>
    </row>
    <row r="25" spans="1:43" ht="15" customHeight="1" thickTop="1" thickBot="1" x14ac:dyDescent="0.3">
      <c r="A25" s="75"/>
      <c r="B25" s="478"/>
      <c r="C25" s="1064">
        <v>4.58</v>
      </c>
      <c r="D25" s="1065"/>
      <c r="E25" s="1070"/>
      <c r="F25" s="1070"/>
      <c r="G25" s="1064">
        <v>4.72</v>
      </c>
      <c r="H25" s="1065"/>
      <c r="I25" s="483"/>
      <c r="J25" s="1052">
        <f>(C25+G25)/2</f>
        <v>4.6500000000000004</v>
      </c>
      <c r="K25" s="1053"/>
      <c r="L25" s="482">
        <f>G29*D15/F22</f>
        <v>0.15515034090351693</v>
      </c>
      <c r="M25" s="1061">
        <f>P25-J25</f>
        <v>-0.17370000000000108</v>
      </c>
      <c r="N25" s="1062"/>
      <c r="O25" s="483"/>
      <c r="P25" s="1063">
        <f>ROUND((J25-L25),4)-D18</f>
        <v>4.4762999999999993</v>
      </c>
      <c r="Q25" s="1053"/>
      <c r="R25" s="478"/>
      <c r="S25" s="638"/>
      <c r="T25" s="478"/>
      <c r="U25" s="1064">
        <v>13.14</v>
      </c>
      <c r="V25" s="1065"/>
      <c r="W25" s="1068"/>
      <c r="X25" s="1068"/>
      <c r="Y25" s="1064">
        <v>13.15</v>
      </c>
      <c r="Z25" s="1065"/>
      <c r="AA25" s="479"/>
      <c r="AB25" s="1052">
        <f>(U25+Y25)/2</f>
        <v>13.145</v>
      </c>
      <c r="AC25" s="1053"/>
      <c r="AD25" s="482">
        <f>Y29*V15/X22</f>
        <v>1.8898802188594395E-3</v>
      </c>
      <c r="AE25" s="1061">
        <f>AH25-AB25</f>
        <v>-2.0399999999998641E-2</v>
      </c>
      <c r="AF25" s="1062"/>
      <c r="AG25" s="482"/>
      <c r="AH25" s="1066">
        <f>ROUND((AB25-AD25),4)-V18</f>
        <v>13.124600000000001</v>
      </c>
      <c r="AI25" s="1053"/>
      <c r="AJ25" s="479"/>
      <c r="AK25" s="76"/>
    </row>
    <row r="26" spans="1:43" ht="15" customHeight="1" thickTop="1" thickBot="1" x14ac:dyDescent="0.3">
      <c r="A26" s="75"/>
      <c r="B26" s="478"/>
      <c r="C26" s="1064">
        <v>5.72</v>
      </c>
      <c r="D26" s="1065"/>
      <c r="E26" s="1070"/>
      <c r="F26" s="1070"/>
      <c r="G26" s="1064">
        <v>5.92</v>
      </c>
      <c r="H26" s="1065"/>
      <c r="I26" s="483"/>
      <c r="J26" s="1052">
        <f>(C26+G26)/2</f>
        <v>5.82</v>
      </c>
      <c r="K26" s="1053"/>
      <c r="L26" s="482">
        <f>G29*H15/F22</f>
        <v>2.4158777652425561E-2</v>
      </c>
      <c r="M26" s="1061">
        <f t="shared" ref="M26:M27" si="0">P26-J26</f>
        <v>-4.2700000000000848E-2</v>
      </c>
      <c r="N26" s="1062"/>
      <c r="O26" s="483"/>
      <c r="P26" s="1052">
        <f>ROUND((J26-L26),4)-H18</f>
        <v>5.7772999999999994</v>
      </c>
      <c r="Q26" s="1053"/>
      <c r="R26" s="478"/>
      <c r="S26" s="638"/>
      <c r="T26" s="478"/>
      <c r="U26" s="1064">
        <v>13.27</v>
      </c>
      <c r="V26" s="1065"/>
      <c r="W26" s="1068"/>
      <c r="X26" s="1068"/>
      <c r="Y26" s="1064">
        <v>13.28</v>
      </c>
      <c r="Z26" s="1065"/>
      <c r="AA26" s="479"/>
      <c r="AB26" s="1052">
        <f>(U26+Y26)/2</f>
        <v>13.274999999999999</v>
      </c>
      <c r="AC26" s="1053"/>
      <c r="AD26" s="482">
        <f>Y29*Z15/X22</f>
        <v>2.9427712328092997E-4</v>
      </c>
      <c r="AE26" s="1061">
        <f t="shared" ref="AE26:AE27" si="1">AH26-AB26</f>
        <v>-1.8799999999998818E-2</v>
      </c>
      <c r="AF26" s="1062"/>
      <c r="AG26" s="482"/>
      <c r="AH26" s="1066">
        <f>ROUND((AB26-AD26),4)-Z18</f>
        <v>13.2562</v>
      </c>
      <c r="AI26" s="1053"/>
      <c r="AJ26" s="479"/>
      <c r="AK26" s="76"/>
    </row>
    <row r="27" spans="1:43" ht="15" customHeight="1" thickTop="1" thickBot="1" x14ac:dyDescent="0.3">
      <c r="A27" s="75"/>
      <c r="B27" s="478"/>
      <c r="C27" s="1064">
        <v>7.13</v>
      </c>
      <c r="D27" s="1065"/>
      <c r="E27" s="1070"/>
      <c r="F27" s="1070"/>
      <c r="G27" s="1064">
        <v>7.12</v>
      </c>
      <c r="H27" s="1065"/>
      <c r="I27" s="483"/>
      <c r="J27" s="1052">
        <f>(C27+G27)/2</f>
        <v>7.125</v>
      </c>
      <c r="K27" s="1053"/>
      <c r="L27" s="482">
        <f>G29*L15/F22</f>
        <v>0.10743979006229458</v>
      </c>
      <c r="M27" s="1061">
        <f t="shared" si="0"/>
        <v>8.8899999999999757E-2</v>
      </c>
      <c r="N27" s="1062"/>
      <c r="O27" s="483"/>
      <c r="P27" s="1063">
        <f>ROUND((J27+L27),4)-L18</f>
        <v>7.2138999999999998</v>
      </c>
      <c r="Q27" s="1053"/>
      <c r="R27" s="478"/>
      <c r="S27" s="638"/>
      <c r="T27" s="478"/>
      <c r="U27" s="1064">
        <v>13.17</v>
      </c>
      <c r="V27" s="1065"/>
      <c r="W27" s="1068"/>
      <c r="X27" s="1068"/>
      <c r="Y27" s="1064">
        <v>13.18</v>
      </c>
      <c r="Z27" s="1065"/>
      <c r="AA27" s="479"/>
      <c r="AB27" s="1052">
        <f>(U27+Y27)/2</f>
        <v>13.175000000000001</v>
      </c>
      <c r="AC27" s="1053"/>
      <c r="AD27" s="482">
        <f>Y29*AD15/X22</f>
        <v>1.4565978212649046E-3</v>
      </c>
      <c r="AE27" s="1061">
        <f t="shared" si="1"/>
        <v>-1.699999999999946E-2</v>
      </c>
      <c r="AF27" s="1062"/>
      <c r="AG27" s="482"/>
      <c r="AH27" s="1066">
        <f>ROUND((AB27+AD27),4)-AD18</f>
        <v>13.158000000000001</v>
      </c>
      <c r="AI27" s="1053"/>
      <c r="AJ27" s="479"/>
      <c r="AK27" s="76"/>
    </row>
    <row r="28" spans="1:43" ht="15" customHeight="1" thickTop="1" thickBot="1" x14ac:dyDescent="0.3">
      <c r="A28" s="75"/>
      <c r="B28" s="478"/>
      <c r="C28" s="484"/>
      <c r="D28" s="484"/>
      <c r="E28" s="1070"/>
      <c r="F28" s="1070"/>
      <c r="G28" s="484"/>
      <c r="H28" s="484"/>
      <c r="I28" s="483"/>
      <c r="J28" s="485"/>
      <c r="K28" s="485"/>
      <c r="L28" s="483"/>
      <c r="M28" s="485"/>
      <c r="N28" s="485"/>
      <c r="O28" s="483"/>
      <c r="P28" s="485"/>
      <c r="Q28" s="485"/>
      <c r="R28" s="478"/>
      <c r="S28" s="638"/>
      <c r="T28" s="478"/>
      <c r="U28" s="486"/>
      <c r="V28" s="486"/>
      <c r="W28" s="1068"/>
      <c r="X28" s="1068"/>
      <c r="Y28" s="486"/>
      <c r="Z28" s="486"/>
      <c r="AA28" s="479"/>
      <c r="AB28" s="487"/>
      <c r="AC28" s="487"/>
      <c r="AD28" s="482"/>
      <c r="AE28" s="487"/>
      <c r="AF28" s="487"/>
      <c r="AG28" s="482"/>
      <c r="AH28" s="487"/>
      <c r="AI28" s="487"/>
      <c r="AJ28" s="479"/>
      <c r="AK28" s="76"/>
    </row>
    <row r="29" spans="1:43" ht="15" customHeight="1" thickTop="1" thickBot="1" x14ac:dyDescent="0.3">
      <c r="A29" s="75"/>
      <c r="B29" s="483"/>
      <c r="C29" s="1044" t="s">
        <v>271</v>
      </c>
      <c r="D29" s="1044"/>
      <c r="E29" s="1044"/>
      <c r="F29" s="1060"/>
      <c r="G29" s="1052">
        <f>($J$27-$J$25)</f>
        <v>2.4749999999999996</v>
      </c>
      <c r="H29" s="1053"/>
      <c r="I29" s="483"/>
      <c r="J29" s="483"/>
      <c r="K29" s="483"/>
      <c r="L29" s="483"/>
      <c r="M29" s="488" t="s">
        <v>272</v>
      </c>
      <c r="N29" s="483"/>
      <c r="O29" s="483"/>
      <c r="P29" s="1052">
        <f>($P$27-$P$25)</f>
        <v>2.7376000000000005</v>
      </c>
      <c r="Q29" s="1053"/>
      <c r="R29" s="483"/>
      <c r="S29" s="638"/>
      <c r="T29" s="478"/>
      <c r="U29" s="1044" t="s">
        <v>271</v>
      </c>
      <c r="V29" s="1044"/>
      <c r="W29" s="1044"/>
      <c r="X29" s="1060"/>
      <c r="Y29" s="1052">
        <f>(AB27-AB25)</f>
        <v>3.0000000000001137E-2</v>
      </c>
      <c r="Z29" s="1053"/>
      <c r="AA29" s="482"/>
      <c r="AB29" s="482"/>
      <c r="AC29" s="482"/>
      <c r="AD29" s="482"/>
      <c r="AE29" s="488" t="s">
        <v>272</v>
      </c>
      <c r="AF29" s="482"/>
      <c r="AG29" s="482"/>
      <c r="AH29" s="1052">
        <f>(AH27-AH25)</f>
        <v>3.3400000000000318E-2</v>
      </c>
      <c r="AI29" s="1053"/>
      <c r="AJ29" s="482"/>
      <c r="AK29" s="76"/>
    </row>
    <row r="30" spans="1:43" ht="15" customHeight="1" thickTop="1" thickBot="1" x14ac:dyDescent="0.3">
      <c r="A30" s="75"/>
      <c r="B30" s="483"/>
      <c r="C30" s="483"/>
      <c r="D30" s="483"/>
      <c r="E30" s="483"/>
      <c r="F30" s="483"/>
      <c r="G30" s="483"/>
      <c r="H30" s="483"/>
      <c r="I30" s="483"/>
      <c r="J30" s="483"/>
      <c r="K30" s="483"/>
      <c r="L30" s="483"/>
      <c r="M30" s="483"/>
      <c r="N30" s="483"/>
      <c r="O30" s="483"/>
      <c r="P30" s="483"/>
      <c r="Q30" s="483"/>
      <c r="R30" s="483"/>
      <c r="S30" s="638"/>
      <c r="T30" s="478"/>
      <c r="U30" s="482"/>
      <c r="V30" s="482"/>
      <c r="W30" s="482"/>
      <c r="X30" s="482"/>
      <c r="Y30" s="482"/>
      <c r="Z30" s="482"/>
      <c r="AA30" s="482"/>
      <c r="AB30" s="482"/>
      <c r="AC30" s="482"/>
      <c r="AD30" s="482"/>
      <c r="AE30" s="482"/>
      <c r="AF30" s="482"/>
      <c r="AG30" s="482"/>
      <c r="AH30" s="482"/>
      <c r="AI30" s="482"/>
      <c r="AJ30" s="482"/>
      <c r="AK30" s="76"/>
    </row>
    <row r="31" spans="1:43" ht="15" customHeight="1" thickTop="1" thickBot="1" x14ac:dyDescent="0.3">
      <c r="A31" s="75"/>
      <c r="B31" s="483"/>
      <c r="C31" s="1054" t="s">
        <v>273</v>
      </c>
      <c r="D31" s="1054"/>
      <c r="E31" s="1054"/>
      <c r="F31" s="1054"/>
      <c r="G31" s="1054"/>
      <c r="H31" s="1054"/>
      <c r="I31" s="1054"/>
      <c r="J31" s="1055"/>
      <c r="K31" s="1056">
        <f>$O$31</f>
        <v>5.7942499999999999</v>
      </c>
      <c r="L31" s="1057"/>
      <c r="M31" s="1058" t="s">
        <v>274</v>
      </c>
      <c r="N31" s="1059"/>
      <c r="O31" s="1051">
        <f>(((P25+P27)/2+P26)/2+P26)/2-O20</f>
        <v>5.7942499999999999</v>
      </c>
      <c r="P31" s="1051"/>
      <c r="Q31" s="1051"/>
      <c r="R31" s="483"/>
      <c r="S31" s="638"/>
      <c r="T31" s="478"/>
      <c r="U31" s="1054" t="s">
        <v>273</v>
      </c>
      <c r="V31" s="1054"/>
      <c r="W31" s="1054"/>
      <c r="X31" s="1054"/>
      <c r="Y31" s="1054"/>
      <c r="Z31" s="1054"/>
      <c r="AA31" s="1054"/>
      <c r="AB31" s="1055"/>
      <c r="AC31" s="1056">
        <f>AG31</f>
        <v>13.227475</v>
      </c>
      <c r="AD31" s="1057"/>
      <c r="AE31" s="1049" t="s">
        <v>274</v>
      </c>
      <c r="AF31" s="1050"/>
      <c r="AG31" s="1051">
        <f>(((AH25+AH27)/2+AH26)/2+AH26)/2-AG20</f>
        <v>13.227475</v>
      </c>
      <c r="AH31" s="1051"/>
      <c r="AI31" s="1051"/>
      <c r="AJ31" s="482"/>
      <c r="AK31" s="76"/>
    </row>
    <row r="32" spans="1:43" ht="15" customHeight="1" thickTop="1" thickBot="1" x14ac:dyDescent="0.3">
      <c r="A32" s="75"/>
      <c r="B32" s="483"/>
      <c r="C32" s="483"/>
      <c r="D32" s="483"/>
      <c r="E32" s="483"/>
      <c r="F32" s="483"/>
      <c r="G32" s="483"/>
      <c r="H32" s="483"/>
      <c r="I32" s="483"/>
      <c r="J32" s="483"/>
      <c r="K32" s="483"/>
      <c r="L32" s="483"/>
      <c r="M32" s="483"/>
      <c r="N32" s="483"/>
      <c r="O32" s="483"/>
      <c r="P32" s="483"/>
      <c r="Q32" s="483"/>
      <c r="R32" s="483"/>
      <c r="S32" s="638"/>
      <c r="T32" s="478"/>
      <c r="U32" s="482"/>
      <c r="V32" s="482"/>
      <c r="W32" s="482"/>
      <c r="X32" s="482"/>
      <c r="Y32" s="482"/>
      <c r="Z32" s="482"/>
      <c r="AA32" s="482"/>
      <c r="AB32" s="482"/>
      <c r="AC32" s="482"/>
      <c r="AD32" s="482"/>
      <c r="AE32" s="482"/>
      <c r="AF32" s="482"/>
      <c r="AG32" s="482"/>
      <c r="AH32" s="482"/>
      <c r="AI32" s="482"/>
      <c r="AJ32" s="482"/>
      <c r="AK32" s="76"/>
      <c r="AN32" s="70" t="str">
        <f>IFERROR(IF(G33&gt;8,"HOGGING",""),"")</f>
        <v/>
      </c>
      <c r="AQ32" s="71" t="str">
        <f>IFERROR(IF(AN32=M33,"hogging",""),"")</f>
        <v/>
      </c>
    </row>
    <row r="33" spans="1:52" ht="15" customHeight="1" thickTop="1" thickBot="1" x14ac:dyDescent="0.3">
      <c r="A33" s="75"/>
      <c r="B33" s="483"/>
      <c r="C33" s="1044" t="s">
        <v>275</v>
      </c>
      <c r="D33" s="1044"/>
      <c r="E33" s="1044"/>
      <c r="F33" s="483"/>
      <c r="G33" s="1052">
        <f>ABS(AVERAGE(P25,P27)-P26)*100</f>
        <v>6.7800000000000082</v>
      </c>
      <c r="H33" s="1053"/>
      <c r="I33" s="483"/>
      <c r="J33" s="483" t="s">
        <v>276</v>
      </c>
      <c r="K33" s="488"/>
      <c r="L33" s="483"/>
      <c r="M33" s="1052" t="str">
        <f>IF(G33=0,"",IF(AVERAGE(P25,P27)&gt;P26,"HOGGING","SAGGING"))</f>
        <v>HOGGING</v>
      </c>
      <c r="N33" s="1053"/>
      <c r="O33" s="483"/>
      <c r="P33" s="483"/>
      <c r="Q33" s="483"/>
      <c r="R33" s="483"/>
      <c r="S33" s="638"/>
      <c r="T33" s="478"/>
      <c r="U33" s="1044" t="s">
        <v>277</v>
      </c>
      <c r="V33" s="1044"/>
      <c r="W33" s="1044"/>
      <c r="X33" s="482"/>
      <c r="Y33" s="1052">
        <f>ABS(AVERAGE(AH25,AH27)-AH26)*100</f>
        <v>11.489999999999867</v>
      </c>
      <c r="Z33" s="1053"/>
      <c r="AA33" s="482"/>
      <c r="AB33" s="483" t="s">
        <v>276</v>
      </c>
      <c r="AC33" s="489"/>
      <c r="AD33" s="482"/>
      <c r="AE33" s="1052" t="str">
        <f>IF(Y33=0,"",IF(AVERAGE(AH25,AH27)&gt;AH26,"HOGGING","SAGGING"))</f>
        <v>SAGGING</v>
      </c>
      <c r="AF33" s="1053"/>
      <c r="AG33" s="482"/>
      <c r="AH33" s="482"/>
      <c r="AI33" s="482"/>
      <c r="AJ33" s="482"/>
      <c r="AK33" s="76"/>
      <c r="AN33" s="70" t="str">
        <f>IFERROR(IF(G33&gt;5,"SAGGING",""),"")</f>
        <v>SAGGING</v>
      </c>
      <c r="AQ33" s="71" t="str">
        <f>IFERROR(IF(AN33=M33,"sagging",""),"")</f>
        <v/>
      </c>
    </row>
    <row r="34" spans="1:52" ht="15" customHeight="1" thickTop="1" thickBot="1" x14ac:dyDescent="0.3">
      <c r="A34" s="75"/>
      <c r="B34" s="483"/>
      <c r="C34" s="490"/>
      <c r="D34" s="490"/>
      <c r="E34" s="490"/>
      <c r="F34" s="483"/>
      <c r="G34" s="433"/>
      <c r="H34" s="433"/>
      <c r="I34" s="483"/>
      <c r="J34" s="483"/>
      <c r="K34" s="488"/>
      <c r="L34" s="483"/>
      <c r="M34" s="433"/>
      <c r="N34" s="433"/>
      <c r="O34" s="483"/>
      <c r="P34" s="483"/>
      <c r="Q34" s="483"/>
      <c r="R34" s="483"/>
      <c r="S34" s="638"/>
      <c r="T34" s="478"/>
      <c r="U34" s="491"/>
      <c r="V34" s="491"/>
      <c r="W34" s="491"/>
      <c r="X34" s="482"/>
      <c r="Y34" s="434"/>
      <c r="Z34" s="434"/>
      <c r="AA34" s="482"/>
      <c r="AB34" s="482"/>
      <c r="AC34" s="489"/>
      <c r="AD34" s="482"/>
      <c r="AE34" s="434"/>
      <c r="AF34" s="434"/>
      <c r="AG34" s="482"/>
      <c r="AH34" s="482"/>
      <c r="AI34" s="482"/>
      <c r="AJ34" s="482"/>
      <c r="AK34" s="76"/>
    </row>
    <row r="35" spans="1:52" ht="15" customHeight="1" thickTop="1" thickBot="1" x14ac:dyDescent="0.3">
      <c r="A35" s="75"/>
      <c r="B35" s="483"/>
      <c r="C35" s="1044" t="s">
        <v>278</v>
      </c>
      <c r="D35" s="1044"/>
      <c r="E35" s="1044"/>
      <c r="F35" s="483"/>
      <c r="G35" s="1045">
        <f>ROUND(IF(C18="FORE",ABS(C26-G26)*100,ABS(C26-G26)*12),2)</f>
        <v>20</v>
      </c>
      <c r="H35" s="1046"/>
      <c r="I35" s="483"/>
      <c r="J35" s="483"/>
      <c r="K35" s="483" t="s">
        <v>279</v>
      </c>
      <c r="L35" s="483"/>
      <c r="M35" s="1047">
        <f>IF(G35=0,"",IF(C18="FORE",ABS(DEGREES(ATAN((C26-G26)/L11))),ABS(DEGREES(ATAN((C26*0.3048-G26*0.3048)/L11)))))</f>
        <v>0.35520796942454341</v>
      </c>
      <c r="N35" s="1048"/>
      <c r="O35" s="77" t="s">
        <v>127</v>
      </c>
      <c r="P35" s="78" t="str">
        <f>IF(C26=G26,"N",IF(C26&gt;G26,"P","S"))</f>
        <v>S</v>
      </c>
      <c r="Q35" s="483"/>
      <c r="R35" s="483"/>
      <c r="S35" s="638"/>
      <c r="T35" s="478"/>
      <c r="U35" s="1044" t="s">
        <v>278</v>
      </c>
      <c r="V35" s="1044"/>
      <c r="W35" s="1044"/>
      <c r="X35" s="482"/>
      <c r="Y35" s="1045">
        <f>ROUND(IF(U18="FORE",ABS(U26-Y26)*100,ABS(U26-Y26)*12),2)</f>
        <v>1</v>
      </c>
      <c r="Z35" s="1046"/>
      <c r="AA35" s="482"/>
      <c r="AB35" s="482"/>
      <c r="AC35" s="483" t="s">
        <v>279</v>
      </c>
      <c r="AD35" s="482"/>
      <c r="AE35" s="1047">
        <f>IF(Y35=0,"",IF(U18="FORE",ABS(DEGREES(ATAN((U26-Y26)/AD11))),ABS(DEGREES(ATAN((U26*0.3048-Y26*0.3048)/AD11)))))</f>
        <v>1.7760625442630698E-2</v>
      </c>
      <c r="AF35" s="1048"/>
      <c r="AG35" s="77" t="s">
        <v>127</v>
      </c>
      <c r="AH35" s="78" t="str">
        <f>IF(U26=Y26,"N",IF(U26&gt;Y26,"P","S"))</f>
        <v>S</v>
      </c>
      <c r="AI35" s="482"/>
      <c r="AJ35" s="482"/>
      <c r="AK35" s="76"/>
      <c r="AN35" s="70" t="str">
        <f>IFERROR(IF(Y33&gt;8,"HOGGING",""),"")</f>
        <v>HOGGING</v>
      </c>
      <c r="AQ35" s="71" t="str">
        <f>IFERROR(IF(AN35=AE33,"hogging",""),"")</f>
        <v/>
      </c>
    </row>
    <row r="36" spans="1:52" ht="15" customHeight="1" thickTop="1" thickBot="1" x14ac:dyDescent="0.3">
      <c r="A36" s="75"/>
      <c r="B36" s="483"/>
      <c r="C36" s="483"/>
      <c r="D36" s="483"/>
      <c r="E36" s="492"/>
      <c r="F36" s="483"/>
      <c r="G36" s="483"/>
      <c r="H36" s="483"/>
      <c r="I36" s="483"/>
      <c r="J36" s="483"/>
      <c r="K36" s="483"/>
      <c r="L36" s="483"/>
      <c r="M36" s="483"/>
      <c r="N36" s="483"/>
      <c r="O36" s="483"/>
      <c r="P36" s="483"/>
      <c r="Q36" s="483"/>
      <c r="R36" s="483"/>
      <c r="S36" s="638"/>
      <c r="T36" s="478"/>
      <c r="U36" s="482"/>
      <c r="V36" s="482"/>
      <c r="W36" s="482"/>
      <c r="X36" s="482"/>
      <c r="Y36" s="482"/>
      <c r="Z36" s="482"/>
      <c r="AA36" s="482"/>
      <c r="AB36" s="482"/>
      <c r="AC36" s="482"/>
      <c r="AD36" s="482"/>
      <c r="AE36" s="482"/>
      <c r="AF36" s="482"/>
      <c r="AG36" s="482"/>
      <c r="AH36" s="482"/>
      <c r="AI36" s="482"/>
      <c r="AJ36" s="482"/>
      <c r="AK36" s="76"/>
      <c r="AN36" s="70" t="str">
        <f>IFERROR(IF(Y33&gt;5,"SAGGING",""),"")</f>
        <v>SAGGING</v>
      </c>
      <c r="AQ36" s="71" t="str">
        <f>IFERROR(IF(AN36=AE33,"sagging",""),"")</f>
        <v>sagging</v>
      </c>
    </row>
    <row r="37" spans="1:52" ht="15" customHeight="1" thickTop="1" thickBot="1" x14ac:dyDescent="0.3">
      <c r="A37" s="75"/>
      <c r="B37" s="483"/>
      <c r="C37" s="488" t="s">
        <v>280</v>
      </c>
      <c r="D37" s="483"/>
      <c r="E37" s="483"/>
      <c r="F37" s="483"/>
      <c r="G37" s="483"/>
      <c r="H37" s="483"/>
      <c r="I37" s="483"/>
      <c r="J37" s="483"/>
      <c r="K37" s="483"/>
      <c r="L37" s="483"/>
      <c r="M37" s="1038">
        <f>M39-K31</f>
        <v>7.2153048027177036E-3</v>
      </c>
      <c r="N37" s="1039"/>
      <c r="O37" s="493"/>
      <c r="P37" s="493"/>
      <c r="Q37" s="483"/>
      <c r="R37" s="483"/>
      <c r="S37" s="638"/>
      <c r="T37" s="478"/>
      <c r="U37" s="488" t="s">
        <v>280</v>
      </c>
      <c r="V37" s="482"/>
      <c r="W37" s="482"/>
      <c r="X37" s="482"/>
      <c r="Y37" s="482"/>
      <c r="Z37" s="482"/>
      <c r="AA37" s="482"/>
      <c r="AB37" s="482"/>
      <c r="AC37" s="482"/>
      <c r="AD37" s="482"/>
      <c r="AE37" s="1038">
        <f>AE39-AC31</f>
        <v>-1.7491460485516086E-2</v>
      </c>
      <c r="AF37" s="1039"/>
      <c r="AG37" s="482"/>
      <c r="AH37" s="482"/>
      <c r="AI37" s="482"/>
      <c r="AJ37" s="482"/>
      <c r="AK37" s="76"/>
    </row>
    <row r="38" spans="1:52" ht="15" customHeight="1" thickTop="1" thickBot="1" x14ac:dyDescent="0.3">
      <c r="A38" s="75"/>
      <c r="B38" s="483"/>
      <c r="C38" s="483"/>
      <c r="D38" s="483"/>
      <c r="E38" s="483"/>
      <c r="F38" s="483"/>
      <c r="G38" s="483"/>
      <c r="H38" s="483"/>
      <c r="I38" s="483"/>
      <c r="J38" s="483"/>
      <c r="K38" s="483"/>
      <c r="L38" s="483"/>
      <c r="M38" s="483"/>
      <c r="N38" s="483"/>
      <c r="O38" s="494"/>
      <c r="P38" s="494"/>
      <c r="Q38" s="494"/>
      <c r="R38" s="494"/>
      <c r="S38" s="638"/>
      <c r="T38" s="478"/>
      <c r="U38" s="482"/>
      <c r="V38" s="482"/>
      <c r="W38" s="482"/>
      <c r="X38" s="482"/>
      <c r="Y38" s="482"/>
      <c r="Z38" s="482"/>
      <c r="AA38" s="482"/>
      <c r="AB38" s="482"/>
      <c r="AC38" s="482"/>
      <c r="AD38" s="482"/>
      <c r="AE38" s="482"/>
      <c r="AF38" s="482"/>
      <c r="AG38" s="482"/>
      <c r="AH38" s="482"/>
      <c r="AI38" s="482"/>
      <c r="AJ38" s="482"/>
      <c r="AK38" s="76"/>
    </row>
    <row r="39" spans="1:52" ht="15" customHeight="1" thickTop="1" thickBot="1" x14ac:dyDescent="0.3">
      <c r="A39" s="75"/>
      <c r="B39" s="483"/>
      <c r="C39" s="492" t="s">
        <v>603</v>
      </c>
      <c r="D39" s="492"/>
      <c r="E39" s="492"/>
      <c r="F39" s="483"/>
      <c r="G39" s="492"/>
      <c r="H39" s="492"/>
      <c r="I39" s="492"/>
      <c r="J39" s="492"/>
      <c r="K39" s="483"/>
      <c r="L39" s="483"/>
      <c r="M39" s="1040">
        <f>'wpc '!$H$19</f>
        <v>5.8014653048027176</v>
      </c>
      <c r="N39" s="1041"/>
      <c r="O39" s="1037">
        <f>K31-H41</f>
        <v>9.4249999999999723E-2</v>
      </c>
      <c r="P39" s="1005"/>
      <c r="Q39" s="1004">
        <f>M39-H41</f>
        <v>0.10146530480271743</v>
      </c>
      <c r="R39" s="1004"/>
      <c r="S39" s="638"/>
      <c r="T39" s="478"/>
      <c r="U39" s="492" t="s">
        <v>603</v>
      </c>
      <c r="V39" s="495"/>
      <c r="W39" s="495"/>
      <c r="X39" s="495"/>
      <c r="Y39" s="495"/>
      <c r="Z39" s="495"/>
      <c r="AA39" s="495"/>
      <c r="AB39" s="495"/>
      <c r="AC39" s="482"/>
      <c r="AD39" s="482"/>
      <c r="AE39" s="1042">
        <f>'wpc '!$P$19</f>
        <v>13.209983539514484</v>
      </c>
      <c r="AF39" s="1043"/>
      <c r="AG39" s="1037">
        <f>AC31-Z41</f>
        <v>2.7475000000000804E-2</v>
      </c>
      <c r="AH39" s="1005"/>
      <c r="AI39" s="1004">
        <f>AE39-Z41</f>
        <v>9.9835395144847183E-3</v>
      </c>
      <c r="AJ39" s="1004"/>
      <c r="AK39" s="76"/>
    </row>
    <row r="40" spans="1:52" ht="15" customHeight="1" thickTop="1" thickBot="1" x14ac:dyDescent="0.3">
      <c r="A40" s="75"/>
      <c r="B40" s="478"/>
      <c r="C40" s="478"/>
      <c r="D40" s="478"/>
      <c r="E40" s="478"/>
      <c r="F40" s="478"/>
      <c r="G40" s="478"/>
      <c r="H40" s="478"/>
      <c r="I40" s="478"/>
      <c r="J40" s="478"/>
      <c r="K40" s="478"/>
      <c r="L40" s="478"/>
      <c r="M40" s="494"/>
      <c r="N40" s="494"/>
      <c r="O40" s="482"/>
      <c r="P40" s="482"/>
      <c r="Q40" s="482"/>
      <c r="R40" s="482"/>
      <c r="S40" s="641"/>
      <c r="T40" s="496"/>
      <c r="U40" s="479"/>
      <c r="V40" s="479"/>
      <c r="W40" s="479"/>
      <c r="X40" s="479"/>
      <c r="Y40" s="479"/>
      <c r="Z40" s="479"/>
      <c r="AA40" s="479"/>
      <c r="AB40" s="479"/>
      <c r="AC40" s="479"/>
      <c r="AD40" s="479"/>
      <c r="AE40" s="482"/>
      <c r="AF40" s="482"/>
      <c r="AG40" s="482"/>
      <c r="AH40" s="482"/>
      <c r="AI40" s="482"/>
      <c r="AJ40" s="482"/>
      <c r="AK40" s="76"/>
      <c r="AL40" s="79"/>
      <c r="AM40" s="79"/>
      <c r="AV40" s="80"/>
    </row>
    <row r="41" spans="1:52" ht="15" customHeight="1" thickTop="1" thickBot="1" x14ac:dyDescent="0.3">
      <c r="A41" s="75"/>
      <c r="B41" s="478"/>
      <c r="C41" s="497" t="s">
        <v>281</v>
      </c>
      <c r="D41" s="478"/>
      <c r="E41" s="478"/>
      <c r="F41" s="478"/>
      <c r="G41" s="498"/>
      <c r="H41" s="1022">
        <v>5.7</v>
      </c>
      <c r="I41" s="1023"/>
      <c r="J41" s="1024">
        <v>35059.199999999997</v>
      </c>
      <c r="K41" s="1025"/>
      <c r="L41" s="1026"/>
      <c r="M41" s="1012">
        <f>ROUND((J42-J41),2)</f>
        <v>650.79999999999995</v>
      </c>
      <c r="N41" s="1013"/>
      <c r="O41" s="1014">
        <f>ROUND((M41/G42),1)</f>
        <v>6508</v>
      </c>
      <c r="P41" s="1014"/>
      <c r="Q41" s="482"/>
      <c r="R41" s="482"/>
      <c r="S41" s="641"/>
      <c r="T41" s="496"/>
      <c r="U41" s="499" t="s">
        <v>281</v>
      </c>
      <c r="V41" s="479"/>
      <c r="W41" s="479"/>
      <c r="X41" s="479"/>
      <c r="Y41" s="500"/>
      <c r="Z41" s="1022">
        <v>13.2</v>
      </c>
      <c r="AA41" s="1023"/>
      <c r="AB41" s="1024">
        <v>86523.5</v>
      </c>
      <c r="AC41" s="1025"/>
      <c r="AD41" s="1026"/>
      <c r="AE41" s="1012">
        <f>ROUND((AB42-AB41),2)</f>
        <v>719.7</v>
      </c>
      <c r="AF41" s="1013"/>
      <c r="AG41" s="1014">
        <f>ROUND((AE41/Y42),1)</f>
        <v>7197</v>
      </c>
      <c r="AH41" s="1014"/>
      <c r="AI41" s="482"/>
      <c r="AJ41" s="482"/>
      <c r="AK41" s="81"/>
      <c r="AL41" s="79"/>
      <c r="AM41" s="79"/>
      <c r="AN41" s="80"/>
      <c r="AO41" s="610"/>
      <c r="AP41" s="610"/>
      <c r="AQ41" s="610"/>
      <c r="AR41" s="611"/>
      <c r="AS41" s="611"/>
      <c r="AT41" s="611"/>
      <c r="AV41" s="80"/>
      <c r="AZ41" s="82"/>
    </row>
    <row r="42" spans="1:52" ht="15" customHeight="1" thickTop="1" thickBot="1" x14ac:dyDescent="0.3">
      <c r="A42" s="75"/>
      <c r="B42" s="478"/>
      <c r="C42" s="497"/>
      <c r="D42" s="478"/>
      <c r="E42" s="478"/>
      <c r="F42" s="478"/>
      <c r="G42" s="501">
        <f>ROUND((H42-H41),3)</f>
        <v>0.1</v>
      </c>
      <c r="H42" s="1022">
        <v>5.8</v>
      </c>
      <c r="I42" s="1023"/>
      <c r="J42" s="1024">
        <v>35710</v>
      </c>
      <c r="K42" s="1025"/>
      <c r="L42" s="1026"/>
      <c r="M42" s="1029" t="s">
        <v>282</v>
      </c>
      <c r="N42" s="1030"/>
      <c r="O42" s="1021">
        <f>ROUND((O41*O39),2)</f>
        <v>613.38</v>
      </c>
      <c r="P42" s="1021"/>
      <c r="Q42" s="1031">
        <f>ROUND((O41*Q39),2)</f>
        <v>660.34</v>
      </c>
      <c r="R42" s="1031"/>
      <c r="S42" s="641"/>
      <c r="T42" s="496"/>
      <c r="U42" s="502"/>
      <c r="V42" s="479"/>
      <c r="W42" s="479"/>
      <c r="X42" s="479"/>
      <c r="Y42" s="501">
        <f>ROUND((Z42-Z41),3)</f>
        <v>0.1</v>
      </c>
      <c r="Z42" s="1022">
        <v>13.3</v>
      </c>
      <c r="AA42" s="1023"/>
      <c r="AB42" s="1024">
        <v>87243.199999999997</v>
      </c>
      <c r="AC42" s="1025"/>
      <c r="AD42" s="1026"/>
      <c r="AE42" s="1029" t="s">
        <v>282</v>
      </c>
      <c r="AF42" s="1030"/>
      <c r="AG42" s="1021">
        <f>ROUND((AG41*AG39),2)</f>
        <v>197.74</v>
      </c>
      <c r="AH42" s="1021"/>
      <c r="AI42" s="1031">
        <f>ROUND((AG41*AI39),2)</f>
        <v>71.849999999999994</v>
      </c>
      <c r="AJ42" s="1031"/>
      <c r="AK42" s="81"/>
      <c r="AL42" s="79"/>
      <c r="AM42" s="79"/>
      <c r="AN42" s="80"/>
      <c r="AO42" s="610"/>
      <c r="AP42" s="610"/>
      <c r="AQ42" s="610"/>
      <c r="AR42" s="611"/>
      <c r="AS42" s="611"/>
      <c r="AT42" s="611"/>
    </row>
    <row r="43" spans="1:52" ht="15" customHeight="1" thickTop="1" thickBot="1" x14ac:dyDescent="0.3">
      <c r="A43" s="75"/>
      <c r="B43" s="478"/>
      <c r="C43" s="497" t="s">
        <v>283</v>
      </c>
      <c r="D43" s="478"/>
      <c r="E43" s="478"/>
      <c r="F43" s="478"/>
      <c r="G43" s="479"/>
      <c r="H43" s="478"/>
      <c r="I43" s="478"/>
      <c r="J43" s="1032">
        <f>$J$41+$O$42</f>
        <v>35672.579999999994</v>
      </c>
      <c r="K43" s="1033"/>
      <c r="L43" s="1034"/>
      <c r="M43" s="1035">
        <f>$J$41+$Q$42</f>
        <v>35719.539999999994</v>
      </c>
      <c r="N43" s="1017"/>
      <c r="O43" s="1018"/>
      <c r="P43" s="494"/>
      <c r="Q43" s="494"/>
      <c r="R43" s="494"/>
      <c r="S43" s="641"/>
      <c r="T43" s="496"/>
      <c r="U43" s="499" t="s">
        <v>283</v>
      </c>
      <c r="V43" s="479"/>
      <c r="W43" s="479"/>
      <c r="X43" s="479"/>
      <c r="Y43" s="479"/>
      <c r="Z43" s="479">
        <v>35905.1</v>
      </c>
      <c r="AA43" s="479"/>
      <c r="AB43" s="990">
        <f>AB41+AG42</f>
        <v>86721.24</v>
      </c>
      <c r="AC43" s="936"/>
      <c r="AD43" s="1036"/>
      <c r="AE43" s="1016">
        <f>AB41+AI42</f>
        <v>86595.35</v>
      </c>
      <c r="AF43" s="1017"/>
      <c r="AG43" s="1018"/>
      <c r="AH43" s="482"/>
      <c r="AI43" s="482"/>
      <c r="AJ43" s="482"/>
      <c r="AK43" s="81"/>
      <c r="AL43" s="79"/>
      <c r="AM43" s="79" t="s">
        <v>257</v>
      </c>
      <c r="AN43" s="80"/>
      <c r="AO43" s="610"/>
      <c r="AP43" s="610"/>
      <c r="AQ43" s="610"/>
      <c r="AR43" s="611"/>
      <c r="AS43" s="611"/>
      <c r="AT43" s="611"/>
    </row>
    <row r="44" spans="1:52" ht="15" customHeight="1" thickTop="1" thickBot="1" x14ac:dyDescent="0.3">
      <c r="A44" s="75"/>
      <c r="B44" s="478"/>
      <c r="C44" s="503"/>
      <c r="D44" s="478"/>
      <c r="E44" s="478"/>
      <c r="F44" s="478"/>
      <c r="G44" s="479"/>
      <c r="H44" s="478"/>
      <c r="I44" s="478"/>
      <c r="J44" s="478"/>
      <c r="K44" s="478"/>
      <c r="L44" s="478"/>
      <c r="M44" s="494"/>
      <c r="N44" s="494"/>
      <c r="O44" s="494"/>
      <c r="P44" s="494"/>
      <c r="Q44" s="494"/>
      <c r="R44" s="494"/>
      <c r="S44" s="641"/>
      <c r="T44" s="496"/>
      <c r="U44" s="504"/>
      <c r="V44" s="479"/>
      <c r="W44" s="479"/>
      <c r="X44" s="479"/>
      <c r="Y44" s="479"/>
      <c r="Z44" s="479"/>
      <c r="AA44" s="479"/>
      <c r="AB44" s="479"/>
      <c r="AC44" s="479"/>
      <c r="AD44" s="479"/>
      <c r="AE44" s="482"/>
      <c r="AF44" s="482"/>
      <c r="AG44" s="482"/>
      <c r="AH44" s="482"/>
      <c r="AI44" s="482"/>
      <c r="AJ44" s="482"/>
      <c r="AK44" s="81"/>
      <c r="AL44" s="79"/>
    </row>
    <row r="45" spans="1:52" ht="15" customHeight="1" thickTop="1" thickBot="1" x14ac:dyDescent="0.3">
      <c r="A45" s="75"/>
      <c r="B45" s="478"/>
      <c r="C45" s="497" t="s">
        <v>135</v>
      </c>
      <c r="D45" s="478"/>
      <c r="E45" s="478"/>
      <c r="F45" s="478"/>
      <c r="G45" s="479"/>
      <c r="H45" s="995">
        <f>H41</f>
        <v>5.7</v>
      </c>
      <c r="I45" s="996"/>
      <c r="J45" s="997">
        <v>65</v>
      </c>
      <c r="K45" s="939"/>
      <c r="L45" s="1019"/>
      <c r="M45" s="1020">
        <f>ROUND((J46-J45),2)</f>
        <v>0.1</v>
      </c>
      <c r="N45" s="1021"/>
      <c r="O45" s="1021">
        <f>ROUND((M45/G46),1)</f>
        <v>1</v>
      </c>
      <c r="P45" s="1021"/>
      <c r="Q45" s="1004">
        <f>M39-H45</f>
        <v>0.10146530480271743</v>
      </c>
      <c r="R45" s="1004"/>
      <c r="S45" s="641"/>
      <c r="T45" s="496"/>
      <c r="U45" s="499" t="s">
        <v>135</v>
      </c>
      <c r="V45" s="479"/>
      <c r="W45" s="479"/>
      <c r="X45" s="479"/>
      <c r="Y45" s="479"/>
      <c r="Z45" s="1027">
        <f>Z41</f>
        <v>13.2</v>
      </c>
      <c r="AA45" s="1028"/>
      <c r="AB45" s="997">
        <v>71.900000000000006</v>
      </c>
      <c r="AC45" s="939"/>
      <c r="AD45" s="1019"/>
      <c r="AE45" s="1020">
        <f>ROUND((AB46-AB45),2)</f>
        <v>0.1</v>
      </c>
      <c r="AF45" s="1021"/>
      <c r="AG45" s="1021">
        <f>ROUND((AE45/Y46),1)</f>
        <v>1</v>
      </c>
      <c r="AH45" s="1021"/>
      <c r="AI45" s="1004">
        <f>AE39-Z45</f>
        <v>9.9835395144847183E-3</v>
      </c>
      <c r="AJ45" s="1004"/>
      <c r="AK45" s="81"/>
      <c r="AL45" s="79"/>
    </row>
    <row r="46" spans="1:52" ht="16.5" thickTop="1" thickBot="1" x14ac:dyDescent="0.3">
      <c r="A46" s="75"/>
      <c r="B46" s="478"/>
      <c r="C46" s="497"/>
      <c r="D46" s="478"/>
      <c r="E46" s="478"/>
      <c r="F46" s="478"/>
      <c r="G46" s="501">
        <f>ROUND((H46-H45),3)</f>
        <v>0.1</v>
      </c>
      <c r="H46" s="995">
        <f>H42</f>
        <v>5.8</v>
      </c>
      <c r="I46" s="996"/>
      <c r="J46" s="997">
        <v>65.099999999999994</v>
      </c>
      <c r="K46" s="939"/>
      <c r="L46" s="1019"/>
      <c r="M46" s="505"/>
      <c r="N46" s="505"/>
      <c r="O46" s="1004">
        <f>ROUND((O45*O39),3)</f>
        <v>9.4E-2</v>
      </c>
      <c r="P46" s="1004"/>
      <c r="Q46" s="1004">
        <f>ROUND((O45*Q39),3)</f>
        <v>0.10100000000000001</v>
      </c>
      <c r="R46" s="1004"/>
      <c r="S46" s="641"/>
      <c r="T46" s="496"/>
      <c r="U46" s="502"/>
      <c r="V46" s="479"/>
      <c r="W46" s="479"/>
      <c r="X46" s="479"/>
      <c r="Y46" s="501">
        <f>ROUND((Z46-Z45),3)</f>
        <v>0.1</v>
      </c>
      <c r="Z46" s="995">
        <f>Z42</f>
        <v>13.3</v>
      </c>
      <c r="AA46" s="996"/>
      <c r="AB46" s="997">
        <v>72</v>
      </c>
      <c r="AC46" s="939"/>
      <c r="AD46" s="1019"/>
      <c r="AE46" s="505"/>
      <c r="AF46" s="505"/>
      <c r="AG46" s="1004">
        <f>ROUND((AG45*AG39),3)</f>
        <v>2.7E-2</v>
      </c>
      <c r="AH46" s="1004"/>
      <c r="AI46" s="1004">
        <f>ROUND((AG45*AI39),3)</f>
        <v>0.01</v>
      </c>
      <c r="AJ46" s="1004"/>
      <c r="AK46" s="81"/>
      <c r="AL46" s="79"/>
    </row>
    <row r="47" spans="1:52" ht="16.5" thickTop="1" thickBot="1" x14ac:dyDescent="0.3">
      <c r="A47" s="75"/>
      <c r="B47" s="478"/>
      <c r="C47" s="497" t="s">
        <v>284</v>
      </c>
      <c r="D47" s="478"/>
      <c r="E47" s="478"/>
      <c r="F47" s="478"/>
      <c r="G47" s="479"/>
      <c r="H47" s="478"/>
      <c r="I47" s="478"/>
      <c r="J47" s="988">
        <f>$J$45+$O$46</f>
        <v>65.093999999999994</v>
      </c>
      <c r="K47" s="906"/>
      <c r="L47" s="1015"/>
      <c r="M47" s="1016">
        <f>$J$45+$Q$46</f>
        <v>65.100999999999999</v>
      </c>
      <c r="N47" s="1017"/>
      <c r="O47" s="1018"/>
      <c r="P47" s="506"/>
      <c r="Q47" s="506"/>
      <c r="R47" s="506"/>
      <c r="S47" s="641"/>
      <c r="T47" s="496"/>
      <c r="U47" s="499" t="s">
        <v>284</v>
      </c>
      <c r="V47" s="479"/>
      <c r="W47" s="479"/>
      <c r="X47" s="479"/>
      <c r="Y47" s="479"/>
      <c r="Z47" s="479"/>
      <c r="AA47" s="479"/>
      <c r="AB47" s="988">
        <f>AB45+AG46</f>
        <v>71.927000000000007</v>
      </c>
      <c r="AC47" s="906"/>
      <c r="AD47" s="1015"/>
      <c r="AE47" s="1016">
        <f>AB45+AI46</f>
        <v>71.910000000000011</v>
      </c>
      <c r="AF47" s="1017"/>
      <c r="AG47" s="1018"/>
      <c r="AH47" s="505"/>
      <c r="AI47" s="505"/>
      <c r="AJ47" s="505"/>
      <c r="AK47" s="81"/>
      <c r="AL47" s="79"/>
    </row>
    <row r="48" spans="1:52" ht="16.5" thickTop="1" thickBot="1" x14ac:dyDescent="0.3">
      <c r="A48" s="75"/>
      <c r="B48" s="478"/>
      <c r="C48" s="503"/>
      <c r="D48" s="478"/>
      <c r="E48" s="478"/>
      <c r="F48" s="478"/>
      <c r="G48" s="479"/>
      <c r="H48" s="478"/>
      <c r="I48" s="478"/>
      <c r="J48" s="478"/>
      <c r="K48" s="478"/>
      <c r="L48" s="478"/>
      <c r="M48" s="494"/>
      <c r="N48" s="494"/>
      <c r="O48" s="494"/>
      <c r="P48" s="494"/>
      <c r="Q48" s="494"/>
      <c r="R48" s="494"/>
      <c r="S48" s="641"/>
      <c r="T48" s="496"/>
      <c r="U48" s="504"/>
      <c r="V48" s="479"/>
      <c r="W48" s="479"/>
      <c r="X48" s="479"/>
      <c r="Y48" s="479"/>
      <c r="Z48" s="479"/>
      <c r="AA48" s="479"/>
      <c r="AB48" s="479"/>
      <c r="AC48" s="479"/>
      <c r="AD48" s="479"/>
      <c r="AE48" s="482"/>
      <c r="AF48" s="482"/>
      <c r="AG48" s="482"/>
      <c r="AH48" s="482"/>
      <c r="AI48" s="482"/>
      <c r="AJ48" s="482"/>
      <c r="AK48" s="81"/>
      <c r="AL48" s="79"/>
    </row>
    <row r="49" spans="1:47" ht="16.5" thickTop="1" thickBot="1" x14ac:dyDescent="0.3">
      <c r="A49" s="75"/>
      <c r="B49" s="478"/>
      <c r="C49" s="497" t="s">
        <v>285</v>
      </c>
      <c r="D49" s="478"/>
      <c r="E49" s="478"/>
      <c r="F49" s="478"/>
      <c r="G49" s="479"/>
      <c r="H49" s="995">
        <f>H41</f>
        <v>5.7</v>
      </c>
      <c r="I49" s="996"/>
      <c r="J49" s="999">
        <v>118.32</v>
      </c>
      <c r="K49" s="1000"/>
      <c r="L49" s="1001"/>
      <c r="M49" s="1012">
        <f>J50-J49</f>
        <v>-8.99999999999892E-2</v>
      </c>
      <c r="N49" s="1013"/>
      <c r="O49" s="1014"/>
      <c r="P49" s="1014"/>
      <c r="Q49" s="1005"/>
      <c r="R49" s="1005"/>
      <c r="S49" s="641"/>
      <c r="T49" s="496"/>
      <c r="U49" s="499" t="s">
        <v>285</v>
      </c>
      <c r="V49" s="479"/>
      <c r="W49" s="479"/>
      <c r="X49" s="479"/>
      <c r="Y49" s="479"/>
      <c r="Z49" s="995">
        <f>Z41</f>
        <v>13.2</v>
      </c>
      <c r="AA49" s="996"/>
      <c r="AB49" s="999">
        <v>108.08</v>
      </c>
      <c r="AC49" s="1000"/>
      <c r="AD49" s="1001"/>
      <c r="AE49" s="1012">
        <f>AB50-AB49</f>
        <v>-3.9999999999992042E-2</v>
      </c>
      <c r="AF49" s="1013"/>
      <c r="AG49" s="1014"/>
      <c r="AH49" s="1014"/>
      <c r="AI49" s="1005"/>
      <c r="AJ49" s="1005"/>
      <c r="AK49" s="81"/>
      <c r="AL49" s="79"/>
    </row>
    <row r="50" spans="1:47" ht="16.5" thickTop="1" thickBot="1" x14ac:dyDescent="0.3">
      <c r="A50" s="75"/>
      <c r="B50" s="478"/>
      <c r="C50" s="497"/>
      <c r="D50" s="478"/>
      <c r="E50" s="478"/>
      <c r="F50" s="478"/>
      <c r="G50" s="501">
        <f>ROUND((H50-H49),3)</f>
        <v>0.1</v>
      </c>
      <c r="H50" s="995">
        <f>H42</f>
        <v>5.8</v>
      </c>
      <c r="I50" s="996"/>
      <c r="J50" s="999">
        <v>118.23</v>
      </c>
      <c r="K50" s="1000"/>
      <c r="L50" s="1001"/>
      <c r="M50" s="1002">
        <f>M49/G50</f>
        <v>-0.899999999999892</v>
      </c>
      <c r="N50" s="1003"/>
      <c r="O50" s="1004">
        <f>M50*O39</f>
        <v>-8.4824999999989575E-2</v>
      </c>
      <c r="P50" s="1004"/>
      <c r="Q50" s="1005">
        <f>M50*Q39</f>
        <v>-9.1318774322434723E-2</v>
      </c>
      <c r="R50" s="1005"/>
      <c r="S50" s="641"/>
      <c r="T50" s="496"/>
      <c r="U50" s="502"/>
      <c r="V50" s="479"/>
      <c r="W50" s="479"/>
      <c r="X50" s="479"/>
      <c r="Y50" s="501">
        <f>ROUND((Z50-Z49),3)</f>
        <v>0.1</v>
      </c>
      <c r="Z50" s="995">
        <f>Z42</f>
        <v>13.3</v>
      </c>
      <c r="AA50" s="996"/>
      <c r="AB50" s="999">
        <v>108.04</v>
      </c>
      <c r="AC50" s="1000"/>
      <c r="AD50" s="1001"/>
      <c r="AE50" s="1002">
        <f>AE49/Y50</f>
        <v>-0.39999999999992042</v>
      </c>
      <c r="AF50" s="1003"/>
      <c r="AG50" s="1004">
        <f>AE50*AG39</f>
        <v>-1.0989999999998135E-2</v>
      </c>
      <c r="AH50" s="1004"/>
      <c r="AI50" s="1005">
        <f>AE50*AI39</f>
        <v>-3.993415805793093E-3</v>
      </c>
      <c r="AJ50" s="1005"/>
      <c r="AK50" s="81"/>
      <c r="AL50" s="79"/>
    </row>
    <row r="51" spans="1:47" ht="16.5" thickTop="1" thickBot="1" x14ac:dyDescent="0.3">
      <c r="A51" s="75"/>
      <c r="B51" s="478"/>
      <c r="C51" s="497" t="s">
        <v>286</v>
      </c>
      <c r="D51" s="478"/>
      <c r="E51" s="478"/>
      <c r="F51" s="478"/>
      <c r="G51" s="507"/>
      <c r="H51" s="478"/>
      <c r="I51" s="478"/>
      <c r="J51" s="1006">
        <f>Planilha1!$K$16</f>
        <v>-5.4852000000000061</v>
      </c>
      <c r="K51" s="1007"/>
      <c r="L51" s="1008"/>
      <c r="M51" s="1009">
        <f>Planilha1!$K$33</f>
        <v>-5.4787000000000035</v>
      </c>
      <c r="N51" s="1010"/>
      <c r="O51" s="1011"/>
      <c r="P51" s="494"/>
      <c r="Q51" s="494"/>
      <c r="R51" s="494"/>
      <c r="S51" s="641"/>
      <c r="T51" s="496"/>
      <c r="U51" s="499" t="s">
        <v>286</v>
      </c>
      <c r="V51" s="479"/>
      <c r="W51" s="479"/>
      <c r="X51" s="479"/>
      <c r="Y51" s="479"/>
      <c r="Z51" s="479"/>
      <c r="AA51" s="479"/>
      <c r="AB51" s="1006">
        <f>Planilha1!$V$16</f>
        <v>4.6809999999999974</v>
      </c>
      <c r="AC51" s="1007"/>
      <c r="AD51" s="1008"/>
      <c r="AE51" s="1009">
        <f>Planilha1!$V$33</f>
        <v>4.6740000000000066</v>
      </c>
      <c r="AF51" s="1010"/>
      <c r="AG51" s="1011"/>
      <c r="AH51" s="482"/>
      <c r="AI51" s="482"/>
      <c r="AJ51" s="482"/>
      <c r="AK51" s="81"/>
      <c r="AL51" s="79"/>
    </row>
    <row r="52" spans="1:47" ht="16.5" thickTop="1" thickBot="1" x14ac:dyDescent="0.3">
      <c r="A52" s="75"/>
      <c r="B52" s="478"/>
      <c r="C52" s="503"/>
      <c r="D52" s="478"/>
      <c r="E52" s="478"/>
      <c r="F52" s="478"/>
      <c r="G52" s="478"/>
      <c r="H52" s="478"/>
      <c r="I52" s="478"/>
      <c r="J52" s="484"/>
      <c r="K52" s="478"/>
      <c r="L52" s="478"/>
      <c r="M52" s="494"/>
      <c r="N52" s="494"/>
      <c r="O52" s="494"/>
      <c r="P52" s="494"/>
      <c r="Q52" s="494"/>
      <c r="R52" s="494"/>
      <c r="S52" s="641"/>
      <c r="T52" s="496"/>
      <c r="U52" s="504"/>
      <c r="V52" s="479"/>
      <c r="W52" s="479"/>
      <c r="X52" s="479"/>
      <c r="Y52" s="479"/>
      <c r="Z52" s="479"/>
      <c r="AA52" s="479"/>
      <c r="AB52" s="486"/>
      <c r="AC52" s="479"/>
      <c r="AD52" s="479"/>
      <c r="AE52" s="482"/>
      <c r="AF52" s="482"/>
      <c r="AG52" s="482"/>
      <c r="AH52" s="482"/>
      <c r="AI52" s="482"/>
      <c r="AJ52" s="482"/>
      <c r="AK52" s="81"/>
      <c r="AL52" s="79"/>
    </row>
    <row r="53" spans="1:47" ht="16.5" thickTop="1" thickBot="1" x14ac:dyDescent="0.3">
      <c r="A53" s="75"/>
      <c r="B53" s="478"/>
      <c r="C53" s="497" t="s">
        <v>287</v>
      </c>
      <c r="D53" s="478"/>
      <c r="E53" s="478"/>
      <c r="F53" s="478"/>
      <c r="G53" s="478"/>
      <c r="H53" s="995">
        <f>K31+0.5</f>
        <v>6.2942499999999999</v>
      </c>
      <c r="I53" s="996"/>
      <c r="J53" s="997">
        <v>961.2</v>
      </c>
      <c r="K53" s="939"/>
      <c r="L53" s="998"/>
      <c r="M53" s="83"/>
      <c r="N53" s="508"/>
      <c r="O53" s="494"/>
      <c r="P53" s="494"/>
      <c r="Q53" s="494"/>
      <c r="R53" s="494"/>
      <c r="S53" s="641"/>
      <c r="T53" s="496"/>
      <c r="U53" s="499" t="s">
        <v>287</v>
      </c>
      <c r="V53" s="479"/>
      <c r="W53" s="479"/>
      <c r="X53" s="479"/>
      <c r="Y53" s="479"/>
      <c r="Z53" s="995">
        <f>AC31+0.5</f>
        <v>13.727475</v>
      </c>
      <c r="AA53" s="996"/>
      <c r="AB53" s="997">
        <v>1277.7429999999999</v>
      </c>
      <c r="AC53" s="939"/>
      <c r="AD53" s="998"/>
      <c r="AE53" s="84"/>
      <c r="AF53" s="501"/>
      <c r="AG53" s="482"/>
      <c r="AH53" s="482"/>
      <c r="AI53" s="482"/>
      <c r="AJ53" s="482"/>
      <c r="AK53" s="81"/>
      <c r="AL53" s="79"/>
    </row>
    <row r="54" spans="1:47" ht="16.5" thickTop="1" thickBot="1" x14ac:dyDescent="0.3">
      <c r="A54" s="75"/>
      <c r="B54" s="478"/>
      <c r="C54" s="497" t="s">
        <v>288</v>
      </c>
      <c r="D54" s="478"/>
      <c r="E54" s="478"/>
      <c r="F54" s="478"/>
      <c r="G54" s="478"/>
      <c r="H54" s="995">
        <f>K31-0.5</f>
        <v>5.2942499999999999</v>
      </c>
      <c r="I54" s="996"/>
      <c r="J54" s="997">
        <v>929.9</v>
      </c>
      <c r="K54" s="939"/>
      <c r="L54" s="998"/>
      <c r="M54" s="83"/>
      <c r="N54" s="508"/>
      <c r="O54" s="494"/>
      <c r="P54" s="494"/>
      <c r="Q54" s="494"/>
      <c r="R54" s="494"/>
      <c r="S54" s="641"/>
      <c r="T54" s="496"/>
      <c r="U54" s="499" t="s">
        <v>288</v>
      </c>
      <c r="V54" s="479"/>
      <c r="W54" s="479"/>
      <c r="X54" s="479"/>
      <c r="Y54" s="479"/>
      <c r="Z54" s="995">
        <f>AC31-0.5</f>
        <v>12.727475</v>
      </c>
      <c r="AA54" s="996"/>
      <c r="AB54" s="997">
        <v>1261.154</v>
      </c>
      <c r="AC54" s="939"/>
      <c r="AD54" s="998"/>
      <c r="AE54" s="84"/>
      <c r="AF54" s="501"/>
      <c r="AG54" s="482"/>
      <c r="AH54" s="482"/>
      <c r="AI54" s="482"/>
      <c r="AJ54" s="482"/>
      <c r="AK54" s="81"/>
      <c r="AL54" s="79"/>
    </row>
    <row r="55" spans="1:47" ht="16.5" thickTop="1" thickBot="1" x14ac:dyDescent="0.3">
      <c r="A55" s="75"/>
      <c r="B55" s="478"/>
      <c r="C55" s="497" t="s">
        <v>289</v>
      </c>
      <c r="D55" s="478"/>
      <c r="E55" s="478"/>
      <c r="F55" s="478"/>
      <c r="G55" s="478"/>
      <c r="H55" s="478"/>
      <c r="I55" s="478"/>
      <c r="J55" s="988">
        <f>J53-J54</f>
        <v>31.300000000000068</v>
      </c>
      <c r="K55" s="906"/>
      <c r="L55" s="989"/>
      <c r="M55" s="83"/>
      <c r="N55" s="508"/>
      <c r="O55" s="494"/>
      <c r="P55" s="494"/>
      <c r="Q55" s="494"/>
      <c r="R55" s="494"/>
      <c r="S55" s="641"/>
      <c r="T55" s="496"/>
      <c r="U55" s="499" t="s">
        <v>289</v>
      </c>
      <c r="V55" s="479"/>
      <c r="W55" s="479"/>
      <c r="X55" s="479"/>
      <c r="Y55" s="479"/>
      <c r="Z55" s="479"/>
      <c r="AA55" s="479"/>
      <c r="AB55" s="990">
        <f>AB53-AB54</f>
        <v>16.588999999999942</v>
      </c>
      <c r="AC55" s="936"/>
      <c r="AD55" s="991"/>
      <c r="AE55" s="84"/>
      <c r="AF55" s="501"/>
      <c r="AG55" s="482"/>
      <c r="AH55" s="482"/>
      <c r="AI55" s="482"/>
      <c r="AJ55" s="482"/>
      <c r="AK55" s="76"/>
    </row>
    <row r="56" spans="1:47" ht="17.25" thickTop="1" thickBot="1" x14ac:dyDescent="0.3">
      <c r="A56" s="75"/>
      <c r="B56" s="478"/>
      <c r="C56" s="503"/>
      <c r="D56" s="478"/>
      <c r="E56" s="478"/>
      <c r="F56" s="478"/>
      <c r="G56" s="478"/>
      <c r="H56" s="478"/>
      <c r="I56" s="478"/>
      <c r="J56" s="478"/>
      <c r="K56" s="478"/>
      <c r="L56" s="478"/>
      <c r="M56" s="494"/>
      <c r="N56" s="992" t="s">
        <v>282</v>
      </c>
      <c r="O56" s="993"/>
      <c r="P56" s="993"/>
      <c r="Q56" s="994"/>
      <c r="R56" s="494"/>
      <c r="S56" s="641"/>
      <c r="T56" s="496"/>
      <c r="U56" s="504"/>
      <c r="V56" s="479"/>
      <c r="W56" s="479"/>
      <c r="X56" s="479"/>
      <c r="Y56" s="479"/>
      <c r="Z56" s="479"/>
      <c r="AA56" s="479"/>
      <c r="AB56" s="479"/>
      <c r="AC56" s="479"/>
      <c r="AD56" s="479"/>
      <c r="AE56" s="482"/>
      <c r="AF56" s="992" t="s">
        <v>282</v>
      </c>
      <c r="AG56" s="993"/>
      <c r="AH56" s="993"/>
      <c r="AI56" s="994"/>
      <c r="AJ56" s="482"/>
      <c r="AK56" s="76"/>
    </row>
    <row r="57" spans="1:47" ht="16.5" customHeight="1" thickTop="1" thickBot="1" x14ac:dyDescent="0.3">
      <c r="A57" s="75"/>
      <c r="B57" s="478"/>
      <c r="C57" s="497" t="s">
        <v>290</v>
      </c>
      <c r="D57" s="478"/>
      <c r="E57" s="478"/>
      <c r="F57" s="478"/>
      <c r="G57" s="478"/>
      <c r="H57" s="973">
        <f>(P29*J47)*(J51*100)/D11</f>
        <v>-433.46783124207593</v>
      </c>
      <c r="I57" s="974"/>
      <c r="J57" s="974"/>
      <c r="K57" s="974"/>
      <c r="L57" s="975"/>
      <c r="M57" s="508"/>
      <c r="N57" s="982">
        <f>(P29*M47)*(M51*100)/D11</f>
        <v>-433.00072736191606</v>
      </c>
      <c r="O57" s="983"/>
      <c r="P57" s="983"/>
      <c r="Q57" s="984"/>
      <c r="R57" s="494"/>
      <c r="S57" s="641"/>
      <c r="T57" s="496"/>
      <c r="U57" s="499" t="s">
        <v>290</v>
      </c>
      <c r="V57" s="479"/>
      <c r="W57" s="479"/>
      <c r="X57" s="479"/>
      <c r="Y57" s="479"/>
      <c r="Z57" s="973">
        <f>(AH29*AB47)*(AB51*100)/V11</f>
        <v>4.9868982642129058</v>
      </c>
      <c r="AA57" s="974"/>
      <c r="AB57" s="974"/>
      <c r="AC57" s="974"/>
      <c r="AD57" s="975"/>
      <c r="AE57" s="501"/>
      <c r="AF57" s="982">
        <f>(AH29*AE47)*(AE51*100)/V11</f>
        <v>4.9782639272727822</v>
      </c>
      <c r="AG57" s="983"/>
      <c r="AH57" s="983"/>
      <c r="AI57" s="984"/>
      <c r="AJ57" s="482"/>
      <c r="AK57" s="76"/>
    </row>
    <row r="58" spans="1:47" ht="16.5" customHeight="1" thickTop="1" thickBot="1" x14ac:dyDescent="0.3">
      <c r="A58" s="75"/>
      <c r="B58" s="478"/>
      <c r="C58" s="497" t="s">
        <v>291</v>
      </c>
      <c r="D58" s="478"/>
      <c r="E58" s="478"/>
      <c r="F58" s="478"/>
      <c r="G58" s="478"/>
      <c r="H58" s="959">
        <f>(P29*P29)*(50*J55)/D11</f>
        <v>52.012506139246256</v>
      </c>
      <c r="I58" s="960"/>
      <c r="J58" s="960"/>
      <c r="K58" s="960"/>
      <c r="L58" s="961"/>
      <c r="M58" s="508"/>
      <c r="N58" s="982">
        <f>(P29*P29)*(50*J55)/D11</f>
        <v>52.012506139246256</v>
      </c>
      <c r="O58" s="983"/>
      <c r="P58" s="983"/>
      <c r="Q58" s="984"/>
      <c r="R58" s="494"/>
      <c r="S58" s="641"/>
      <c r="T58" s="496"/>
      <c r="U58" s="499" t="s">
        <v>291</v>
      </c>
      <c r="V58" s="479"/>
      <c r="W58" s="479"/>
      <c r="X58" s="479"/>
      <c r="Y58" s="479"/>
      <c r="Z58" s="959">
        <f>(AH29*AH29)*(50*AB55)/V11</f>
        <v>4.1033314501109286E-3</v>
      </c>
      <c r="AA58" s="960"/>
      <c r="AB58" s="960"/>
      <c r="AC58" s="960"/>
      <c r="AD58" s="961"/>
      <c r="AE58" s="501"/>
      <c r="AF58" s="982">
        <f>(AH29*AH29)*(50*AB55)/V11</f>
        <v>4.1033314501109286E-3</v>
      </c>
      <c r="AG58" s="983"/>
      <c r="AH58" s="983"/>
      <c r="AI58" s="984"/>
      <c r="AJ58" s="482"/>
      <c r="AK58" s="76"/>
    </row>
    <row r="59" spans="1:47" ht="16.5" customHeight="1" thickTop="1" thickBot="1" x14ac:dyDescent="0.3">
      <c r="A59" s="75"/>
      <c r="B59" s="478"/>
      <c r="C59" s="497" t="s">
        <v>292</v>
      </c>
      <c r="D59" s="478"/>
      <c r="E59" s="478"/>
      <c r="F59" s="478"/>
      <c r="G59" s="478"/>
      <c r="H59" s="967">
        <f>H57+H58</f>
        <v>-381.45532510282965</v>
      </c>
      <c r="I59" s="968"/>
      <c r="J59" s="968"/>
      <c r="K59" s="968"/>
      <c r="L59" s="969"/>
      <c r="M59" s="508"/>
      <c r="N59" s="985">
        <f>N57+N58</f>
        <v>-380.98822122266984</v>
      </c>
      <c r="O59" s="986"/>
      <c r="P59" s="986"/>
      <c r="Q59" s="987"/>
      <c r="R59" s="494"/>
      <c r="S59" s="641"/>
      <c r="T59" s="496"/>
      <c r="U59" s="499" t="s">
        <v>292</v>
      </c>
      <c r="V59" s="479"/>
      <c r="W59" s="479"/>
      <c r="X59" s="479"/>
      <c r="Y59" s="479"/>
      <c r="Z59" s="967">
        <f>Z57+Z58</f>
        <v>4.9910015956630165</v>
      </c>
      <c r="AA59" s="968"/>
      <c r="AB59" s="968"/>
      <c r="AC59" s="968"/>
      <c r="AD59" s="969"/>
      <c r="AE59" s="501"/>
      <c r="AF59" s="985">
        <f>AF57+AF58</f>
        <v>4.9823672587228929</v>
      </c>
      <c r="AG59" s="986"/>
      <c r="AH59" s="986"/>
      <c r="AI59" s="987"/>
      <c r="AJ59" s="482"/>
      <c r="AK59" s="76"/>
    </row>
    <row r="60" spans="1:47" ht="15.75" thickBot="1" x14ac:dyDescent="0.3">
      <c r="A60" s="75"/>
      <c r="B60" s="478"/>
      <c r="C60" s="503"/>
      <c r="D60" s="478"/>
      <c r="E60" s="478"/>
      <c r="F60" s="478"/>
      <c r="G60" s="478"/>
      <c r="H60" s="483"/>
      <c r="I60" s="483"/>
      <c r="J60" s="485"/>
      <c r="K60" s="483"/>
      <c r="L60" s="483"/>
      <c r="M60" s="494"/>
      <c r="N60" s="644"/>
      <c r="O60" s="644"/>
      <c r="P60" s="644"/>
      <c r="Q60" s="644"/>
      <c r="R60" s="494"/>
      <c r="S60" s="641"/>
      <c r="T60" s="496"/>
      <c r="U60" s="504"/>
      <c r="V60" s="479"/>
      <c r="W60" s="479"/>
      <c r="X60" s="479"/>
      <c r="Y60" s="479"/>
      <c r="Z60" s="479"/>
      <c r="AA60" s="479"/>
      <c r="AB60" s="486"/>
      <c r="AC60" s="479"/>
      <c r="AD60" s="479"/>
      <c r="AE60" s="482"/>
      <c r="AF60" s="644"/>
      <c r="AG60" s="644"/>
      <c r="AH60" s="644"/>
      <c r="AI60" s="644"/>
      <c r="AJ60" s="482"/>
      <c r="AK60" s="76"/>
    </row>
    <row r="61" spans="1:47" ht="15.75" thickBot="1" x14ac:dyDescent="0.3">
      <c r="A61" s="75"/>
      <c r="B61" s="478"/>
      <c r="C61" s="497" t="s">
        <v>293</v>
      </c>
      <c r="D61" s="478"/>
      <c r="E61" s="478"/>
      <c r="F61" s="478"/>
      <c r="G61" s="478"/>
      <c r="H61" s="973">
        <f>J43+H59</f>
        <v>35291.124674897168</v>
      </c>
      <c r="I61" s="974"/>
      <c r="J61" s="974"/>
      <c r="K61" s="974"/>
      <c r="L61" s="975"/>
      <c r="M61" s="494"/>
      <c r="N61" s="947">
        <f>M43+N59</f>
        <v>35338.551778777321</v>
      </c>
      <c r="O61" s="948"/>
      <c r="P61" s="948"/>
      <c r="Q61" s="949"/>
      <c r="R61" s="494"/>
      <c r="S61" s="641"/>
      <c r="T61" s="496"/>
      <c r="U61" s="499" t="s">
        <v>293</v>
      </c>
      <c r="V61" s="479"/>
      <c r="W61" s="479"/>
      <c r="X61" s="479"/>
      <c r="Y61" s="479"/>
      <c r="Z61" s="973">
        <f>AB43+Z59</f>
        <v>86726.231001595675</v>
      </c>
      <c r="AA61" s="974"/>
      <c r="AB61" s="974"/>
      <c r="AC61" s="974"/>
      <c r="AD61" s="975"/>
      <c r="AE61" s="482"/>
      <c r="AF61" s="947">
        <f>AE43+AF59</f>
        <v>86600.332367258728</v>
      </c>
      <c r="AG61" s="948"/>
      <c r="AH61" s="948"/>
      <c r="AI61" s="949"/>
      <c r="AJ61" s="482"/>
      <c r="AK61" s="76"/>
    </row>
    <row r="62" spans="1:47" ht="16.5" thickTop="1" thickBot="1" x14ac:dyDescent="0.3">
      <c r="A62" s="75"/>
      <c r="B62" s="478"/>
      <c r="C62" s="509" t="s">
        <v>294</v>
      </c>
      <c r="D62" s="478"/>
      <c r="E62" s="478"/>
      <c r="F62" s="478"/>
      <c r="G62" s="478"/>
      <c r="H62" s="976">
        <v>1.0169999999999999</v>
      </c>
      <c r="I62" s="977"/>
      <c r="J62" s="977"/>
      <c r="K62" s="977"/>
      <c r="L62" s="978"/>
      <c r="M62" s="494"/>
      <c r="N62" s="979">
        <f>H62</f>
        <v>1.0169999999999999</v>
      </c>
      <c r="O62" s="980"/>
      <c r="P62" s="980"/>
      <c r="Q62" s="981"/>
      <c r="R62" s="494"/>
      <c r="S62" s="641"/>
      <c r="T62" s="496"/>
      <c r="U62" s="499" t="s">
        <v>294</v>
      </c>
      <c r="V62" s="479"/>
      <c r="W62" s="479"/>
      <c r="X62" s="479"/>
      <c r="Y62" s="479"/>
      <c r="Z62" s="976">
        <v>1.0169999999999999</v>
      </c>
      <c r="AA62" s="977"/>
      <c r="AB62" s="977"/>
      <c r="AC62" s="977"/>
      <c r="AD62" s="978"/>
      <c r="AE62" s="482"/>
      <c r="AF62" s="979">
        <f>Z62</f>
        <v>1.0169999999999999</v>
      </c>
      <c r="AG62" s="980"/>
      <c r="AH62" s="980"/>
      <c r="AI62" s="981"/>
      <c r="AJ62" s="482"/>
      <c r="AK62" s="76"/>
    </row>
    <row r="63" spans="1:47" ht="16.5" thickTop="1" thickBot="1" x14ac:dyDescent="0.3">
      <c r="A63" s="75"/>
      <c r="B63" s="478"/>
      <c r="C63" s="497" t="s">
        <v>295</v>
      </c>
      <c r="D63" s="478"/>
      <c r="E63" s="478"/>
      <c r="F63" s="478"/>
      <c r="G63" s="478"/>
      <c r="H63" s="967">
        <f>(H61*H62)/1.025</f>
        <v>35015.681750605283</v>
      </c>
      <c r="I63" s="968"/>
      <c r="J63" s="968"/>
      <c r="K63" s="968"/>
      <c r="L63" s="969"/>
      <c r="M63" s="494"/>
      <c r="N63" s="932">
        <f>(N61*N62)/1.025</f>
        <v>35062.738691723454</v>
      </c>
      <c r="O63" s="933"/>
      <c r="P63" s="933"/>
      <c r="Q63" s="934"/>
      <c r="R63" s="494"/>
      <c r="S63" s="641"/>
      <c r="T63" s="496"/>
      <c r="U63" s="499" t="s">
        <v>295</v>
      </c>
      <c r="V63" s="479"/>
      <c r="W63" s="479"/>
      <c r="X63" s="479"/>
      <c r="Y63" s="479"/>
      <c r="Z63" s="967">
        <f>(Z61*Z62)/1.025</f>
        <v>86049.343344997847</v>
      </c>
      <c r="AA63" s="968"/>
      <c r="AB63" s="968"/>
      <c r="AC63" s="968"/>
      <c r="AD63" s="969"/>
      <c r="AE63" s="482"/>
      <c r="AF63" s="932">
        <f>(AF61*AF62)/1.025</f>
        <v>85924.427334148408</v>
      </c>
      <c r="AG63" s="933"/>
      <c r="AH63" s="933"/>
      <c r="AI63" s="934"/>
      <c r="AJ63" s="482"/>
      <c r="AK63" s="76"/>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5"/>
      <c r="B65" s="478"/>
      <c r="C65" s="497" t="s">
        <v>296</v>
      </c>
      <c r="D65" s="478"/>
      <c r="E65" s="478"/>
      <c r="F65" s="478"/>
      <c r="G65" s="478"/>
      <c r="H65" s="970">
        <v>532.9</v>
      </c>
      <c r="I65" s="971"/>
      <c r="J65" s="971"/>
      <c r="K65" s="971"/>
      <c r="L65" s="972"/>
      <c r="M65" s="494"/>
      <c r="N65" s="947">
        <f>H65</f>
        <v>532.9</v>
      </c>
      <c r="O65" s="948"/>
      <c r="P65" s="948"/>
      <c r="Q65" s="949"/>
      <c r="R65" s="494"/>
      <c r="S65" s="641"/>
      <c r="T65" s="496"/>
      <c r="U65" s="499" t="s">
        <v>296</v>
      </c>
      <c r="V65" s="479"/>
      <c r="W65" s="962" t="str">
        <f>IF(Z65&gt;H65,"PEDIR BDN","")</f>
        <v>PEDIR BDN</v>
      </c>
      <c r="X65" s="962"/>
      <c r="Y65" s="962"/>
      <c r="Z65" s="970">
        <v>1080</v>
      </c>
      <c r="AA65" s="971"/>
      <c r="AB65" s="971"/>
      <c r="AC65" s="971"/>
      <c r="AD65" s="972"/>
      <c r="AE65" s="482"/>
      <c r="AF65" s="947">
        <f>Z65</f>
        <v>1080</v>
      </c>
      <c r="AG65" s="948"/>
      <c r="AH65" s="948"/>
      <c r="AI65" s="949"/>
      <c r="AJ65" s="482"/>
      <c r="AK65" s="76"/>
    </row>
    <row r="66" spans="1:47" ht="16.5" thickTop="1" thickBot="1" x14ac:dyDescent="0.3">
      <c r="A66" s="75"/>
      <c r="B66" s="478"/>
      <c r="C66" s="497" t="s">
        <v>297</v>
      </c>
      <c r="D66" s="478"/>
      <c r="E66" s="478"/>
      <c r="F66" s="478"/>
      <c r="G66" s="478"/>
      <c r="H66" s="963">
        <v>225.4</v>
      </c>
      <c r="I66" s="964"/>
      <c r="J66" s="964"/>
      <c r="K66" s="964"/>
      <c r="L66" s="965"/>
      <c r="M66" s="494"/>
      <c r="N66" s="900">
        <f t="shared" ref="N66:N71" si="2">H66</f>
        <v>225.4</v>
      </c>
      <c r="O66" s="901"/>
      <c r="P66" s="901"/>
      <c r="Q66" s="902"/>
      <c r="R66" s="494"/>
      <c r="S66" s="641"/>
      <c r="T66" s="496"/>
      <c r="U66" s="499" t="s">
        <v>297</v>
      </c>
      <c r="V66" s="479"/>
      <c r="W66" s="962" t="str">
        <f>IF(Z66&gt;H66,"PEDIR BDN","")</f>
        <v/>
      </c>
      <c r="X66" s="962"/>
      <c r="Y66" s="962"/>
      <c r="Z66" s="963">
        <v>225.4</v>
      </c>
      <c r="AA66" s="964"/>
      <c r="AB66" s="964"/>
      <c r="AC66" s="964"/>
      <c r="AD66" s="965"/>
      <c r="AE66" s="482"/>
      <c r="AF66" s="900">
        <f t="shared" ref="AF66:AF71" si="3">Z66</f>
        <v>225.4</v>
      </c>
      <c r="AG66" s="901"/>
      <c r="AH66" s="901"/>
      <c r="AI66" s="902"/>
      <c r="AJ66" s="482"/>
      <c r="AK66" s="76"/>
    </row>
    <row r="67" spans="1:47" ht="16.5" thickTop="1" thickBot="1" x14ac:dyDescent="0.3">
      <c r="A67" s="75"/>
      <c r="B67" s="478"/>
      <c r="C67" s="497" t="s">
        <v>298</v>
      </c>
      <c r="D67" s="478"/>
      <c r="E67" s="478"/>
      <c r="F67" s="478"/>
      <c r="G67" s="478"/>
      <c r="H67" s="966" t="s">
        <v>763</v>
      </c>
      <c r="I67" s="964"/>
      <c r="J67" s="964"/>
      <c r="K67" s="964"/>
      <c r="L67" s="965"/>
      <c r="M67" s="494"/>
      <c r="N67" s="900" t="str">
        <f t="shared" si="2"/>
        <v>K</v>
      </c>
      <c r="O67" s="901"/>
      <c r="P67" s="901"/>
      <c r="Q67" s="902"/>
      <c r="R67" s="494"/>
      <c r="S67" s="641"/>
      <c r="T67" s="496"/>
      <c r="U67" s="499" t="s">
        <v>298</v>
      </c>
      <c r="V67" s="479"/>
      <c r="W67" s="479"/>
      <c r="X67" s="479"/>
      <c r="Y67" s="479"/>
      <c r="Z67" s="966" t="s">
        <v>763</v>
      </c>
      <c r="AA67" s="964"/>
      <c r="AB67" s="964"/>
      <c r="AC67" s="964"/>
      <c r="AD67" s="965"/>
      <c r="AE67" s="482"/>
      <c r="AF67" s="900" t="str">
        <f t="shared" si="3"/>
        <v>K</v>
      </c>
      <c r="AG67" s="901"/>
      <c r="AH67" s="901"/>
      <c r="AI67" s="902"/>
      <c r="AJ67" s="482"/>
      <c r="AK67" s="76"/>
    </row>
    <row r="68" spans="1:47" ht="16.5" thickTop="1" thickBot="1" x14ac:dyDescent="0.3">
      <c r="A68" s="75"/>
      <c r="B68" s="478"/>
      <c r="C68" s="497" t="s">
        <v>299</v>
      </c>
      <c r="D68" s="478"/>
      <c r="E68" s="478"/>
      <c r="F68" s="478"/>
      <c r="G68" s="478"/>
      <c r="H68" s="959">
        <f>Relato!$J$237</f>
        <v>20242.900000000001</v>
      </c>
      <c r="I68" s="960"/>
      <c r="J68" s="960"/>
      <c r="K68" s="960"/>
      <c r="L68" s="961"/>
      <c r="M68" s="494"/>
      <c r="N68" s="900">
        <f t="shared" si="2"/>
        <v>20242.900000000001</v>
      </c>
      <c r="O68" s="901"/>
      <c r="P68" s="901"/>
      <c r="Q68" s="902"/>
      <c r="R68" s="494"/>
      <c r="S68" s="641"/>
      <c r="T68" s="496"/>
      <c r="U68" s="499" t="s">
        <v>299</v>
      </c>
      <c r="V68" s="479"/>
      <c r="W68" s="479"/>
      <c r="X68" s="479"/>
      <c r="Y68" s="479"/>
      <c r="Z68" s="959">
        <f>Relato!$J$256</f>
        <v>608.80000000000007</v>
      </c>
      <c r="AA68" s="960"/>
      <c r="AB68" s="960"/>
      <c r="AC68" s="960"/>
      <c r="AD68" s="961"/>
      <c r="AE68" s="482"/>
      <c r="AF68" s="900">
        <f t="shared" si="3"/>
        <v>608.80000000000007</v>
      </c>
      <c r="AG68" s="901"/>
      <c r="AH68" s="901"/>
      <c r="AI68" s="902"/>
      <c r="AJ68" s="482"/>
      <c r="AK68" s="76"/>
    </row>
    <row r="69" spans="1:47" ht="16.5" thickTop="1" thickBot="1" x14ac:dyDescent="0.3">
      <c r="A69" s="75"/>
      <c r="B69" s="478"/>
      <c r="C69" s="497" t="s">
        <v>300</v>
      </c>
      <c r="D69" s="478"/>
      <c r="E69" s="478"/>
      <c r="F69" s="478"/>
      <c r="G69" s="478"/>
      <c r="H69" s="959">
        <f>Relato!$J$266</f>
        <v>287</v>
      </c>
      <c r="I69" s="960"/>
      <c r="J69" s="960"/>
      <c r="K69" s="960"/>
      <c r="L69" s="961"/>
      <c r="M69" s="494"/>
      <c r="N69" s="900">
        <f t="shared" si="2"/>
        <v>287</v>
      </c>
      <c r="O69" s="901"/>
      <c r="P69" s="901"/>
      <c r="Q69" s="902"/>
      <c r="R69" s="494"/>
      <c r="S69" s="641"/>
      <c r="T69" s="496"/>
      <c r="U69" s="499" t="s">
        <v>300</v>
      </c>
      <c r="V69" s="479"/>
      <c r="W69" s="479"/>
      <c r="X69" s="479"/>
      <c r="Y69" s="479"/>
      <c r="Z69" s="959">
        <f>Relato!$J$275</f>
        <v>278</v>
      </c>
      <c r="AA69" s="960"/>
      <c r="AB69" s="960"/>
      <c r="AC69" s="960"/>
      <c r="AD69" s="961"/>
      <c r="AE69" s="482"/>
      <c r="AF69" s="900">
        <f t="shared" si="3"/>
        <v>278</v>
      </c>
      <c r="AG69" s="901"/>
      <c r="AH69" s="901"/>
      <c r="AI69" s="902"/>
      <c r="AJ69" s="482"/>
      <c r="AK69" s="76"/>
    </row>
    <row r="70" spans="1:47" ht="14.25" hidden="1" customHeight="1" thickTop="1" thickBot="1" x14ac:dyDescent="0.3">
      <c r="A70" s="75"/>
      <c r="B70" s="478"/>
      <c r="C70" s="497" t="s">
        <v>301</v>
      </c>
      <c r="D70" s="478"/>
      <c r="E70" s="478"/>
      <c r="F70" s="478"/>
      <c r="G70" s="478"/>
      <c r="H70" s="953">
        <v>0</v>
      </c>
      <c r="I70" s="954"/>
      <c r="J70" s="954"/>
      <c r="K70" s="954"/>
      <c r="L70" s="955"/>
      <c r="M70" s="494"/>
      <c r="N70" s="900">
        <f>H70</f>
        <v>0</v>
      </c>
      <c r="O70" s="901"/>
      <c r="P70" s="901"/>
      <c r="Q70" s="902"/>
      <c r="R70" s="494"/>
      <c r="S70" s="641"/>
      <c r="T70" s="496"/>
      <c r="U70" s="499" t="s">
        <v>302</v>
      </c>
      <c r="V70" s="479"/>
      <c r="W70" s="479"/>
      <c r="X70" s="479"/>
      <c r="Y70" s="479"/>
      <c r="Z70" s="953">
        <v>0</v>
      </c>
      <c r="AA70" s="954"/>
      <c r="AB70" s="954"/>
      <c r="AC70" s="954"/>
      <c r="AD70" s="955"/>
      <c r="AE70" s="482"/>
      <c r="AF70" s="900">
        <f>Z70</f>
        <v>0</v>
      </c>
      <c r="AG70" s="901"/>
      <c r="AH70" s="901"/>
      <c r="AI70" s="902"/>
      <c r="AJ70" s="482"/>
      <c r="AK70" s="76"/>
    </row>
    <row r="71" spans="1:47" ht="16.5" thickTop="1" thickBot="1" x14ac:dyDescent="0.3">
      <c r="A71" s="75"/>
      <c r="B71" s="478"/>
      <c r="C71" s="497" t="s">
        <v>303</v>
      </c>
      <c r="D71" s="478"/>
      <c r="E71" s="478"/>
      <c r="F71" s="478"/>
      <c r="G71" s="478"/>
      <c r="H71" s="956">
        <v>0</v>
      </c>
      <c r="I71" s="957"/>
      <c r="J71" s="957"/>
      <c r="K71" s="957"/>
      <c r="L71" s="958"/>
      <c r="M71" s="494"/>
      <c r="N71" s="900">
        <f t="shared" si="2"/>
        <v>0</v>
      </c>
      <c r="O71" s="901"/>
      <c r="P71" s="901"/>
      <c r="Q71" s="902"/>
      <c r="R71" s="494"/>
      <c r="S71" s="641"/>
      <c r="T71" s="496"/>
      <c r="U71" s="499" t="s">
        <v>303</v>
      </c>
      <c r="V71" s="479"/>
      <c r="W71" s="479"/>
      <c r="X71" s="479"/>
      <c r="Y71" s="479"/>
      <c r="Z71" s="956">
        <v>9</v>
      </c>
      <c r="AA71" s="957"/>
      <c r="AB71" s="957"/>
      <c r="AC71" s="957"/>
      <c r="AD71" s="958"/>
      <c r="AE71" s="482"/>
      <c r="AF71" s="900">
        <f t="shared" si="3"/>
        <v>9</v>
      </c>
      <c r="AG71" s="901"/>
      <c r="AH71" s="901"/>
      <c r="AI71" s="902"/>
      <c r="AJ71" s="482"/>
      <c r="AK71" s="76"/>
    </row>
    <row r="72" spans="1:47" ht="16.5" customHeight="1" thickTop="1" thickBot="1" x14ac:dyDescent="0.3">
      <c r="A72" s="75"/>
      <c r="B72" s="478"/>
      <c r="C72" s="497" t="s">
        <v>304</v>
      </c>
      <c r="D72" s="478"/>
      <c r="E72" s="478"/>
      <c r="F72" s="478"/>
      <c r="G72" s="478"/>
      <c r="H72" s="941">
        <f>SUM(H65:L69,H71)</f>
        <v>21288.2</v>
      </c>
      <c r="I72" s="942"/>
      <c r="J72" s="942"/>
      <c r="K72" s="942"/>
      <c r="L72" s="943"/>
      <c r="M72" s="494"/>
      <c r="N72" s="932">
        <f>SUM(H65:L71)</f>
        <v>21288.2</v>
      </c>
      <c r="O72" s="933"/>
      <c r="P72" s="933"/>
      <c r="Q72" s="934"/>
      <c r="R72" s="494"/>
      <c r="S72" s="641"/>
      <c r="T72" s="496"/>
      <c r="U72" s="499" t="s">
        <v>304</v>
      </c>
      <c r="V72" s="479"/>
      <c r="W72" s="479"/>
      <c r="X72" s="479"/>
      <c r="Y72" s="479"/>
      <c r="Z72" s="941">
        <f>SUM(Z65:AD71)</f>
        <v>2201.2000000000003</v>
      </c>
      <c r="AA72" s="942"/>
      <c r="AB72" s="942"/>
      <c r="AC72" s="942"/>
      <c r="AD72" s="943"/>
      <c r="AE72" s="482"/>
      <c r="AF72" s="932">
        <f>SUM(Z65:AD71)</f>
        <v>2201.2000000000003</v>
      </c>
      <c r="AG72" s="933"/>
      <c r="AH72" s="933"/>
      <c r="AI72" s="934"/>
      <c r="AJ72" s="482"/>
      <c r="AK72" s="76"/>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5"/>
      <c r="B74" s="478"/>
      <c r="C74" s="497" t="s">
        <v>305</v>
      </c>
      <c r="D74" s="478"/>
      <c r="E74" s="478"/>
      <c r="F74" s="478"/>
      <c r="G74" s="478"/>
      <c r="H74" s="944">
        <f>H63-H72</f>
        <v>13727.481750605282</v>
      </c>
      <c r="I74" s="945"/>
      <c r="J74" s="945"/>
      <c r="K74" s="945"/>
      <c r="L74" s="946"/>
      <c r="M74" s="494"/>
      <c r="N74" s="947">
        <f>N63-N72</f>
        <v>13774.538691723454</v>
      </c>
      <c r="O74" s="948"/>
      <c r="P74" s="948"/>
      <c r="Q74" s="949"/>
      <c r="R74" s="494"/>
      <c r="S74" s="641"/>
      <c r="T74" s="496"/>
      <c r="U74" s="499" t="s">
        <v>305</v>
      </c>
      <c r="V74" s="479"/>
      <c r="W74" s="479"/>
      <c r="X74" s="479"/>
      <c r="Y74" s="479"/>
      <c r="Z74" s="950">
        <f>Z63-Z72</f>
        <v>83848.14334499785</v>
      </c>
      <c r="AA74" s="951"/>
      <c r="AB74" s="951"/>
      <c r="AC74" s="951"/>
      <c r="AD74" s="952"/>
      <c r="AE74" s="482"/>
      <c r="AF74" s="947">
        <f>AF63-AF72</f>
        <v>83723.227334148411</v>
      </c>
      <c r="AG74" s="948"/>
      <c r="AH74" s="948"/>
      <c r="AI74" s="949"/>
      <c r="AJ74" s="482"/>
      <c r="AK74" s="76"/>
    </row>
    <row r="75" spans="1:47" ht="16.5" customHeight="1" thickTop="1" thickBot="1" x14ac:dyDescent="0.3">
      <c r="A75" s="75"/>
      <c r="B75" s="478"/>
      <c r="C75" s="497" t="s">
        <v>306</v>
      </c>
      <c r="D75" s="478"/>
      <c r="E75" s="478"/>
      <c r="F75" s="478"/>
      <c r="G75" s="478"/>
      <c r="H75" s="897">
        <f>CAPA!$B$19</f>
        <v>13447.27</v>
      </c>
      <c r="I75" s="898"/>
      <c r="J75" s="898"/>
      <c r="K75" s="898"/>
      <c r="L75" s="899"/>
      <c r="M75" s="494"/>
      <c r="N75" s="900">
        <f>H75</f>
        <v>13447.27</v>
      </c>
      <c r="O75" s="901"/>
      <c r="P75" s="901"/>
      <c r="Q75" s="902"/>
      <c r="R75" s="494"/>
      <c r="S75" s="641"/>
      <c r="T75" s="496"/>
      <c r="U75" s="499" t="s">
        <v>307</v>
      </c>
      <c r="V75" s="479"/>
      <c r="W75" s="479"/>
      <c r="X75" s="479"/>
      <c r="Y75" s="479"/>
      <c r="Z75" s="905">
        <f>H74</f>
        <v>13727.481750605282</v>
      </c>
      <c r="AA75" s="906"/>
      <c r="AB75" s="906"/>
      <c r="AC75" s="906"/>
      <c r="AD75" s="907"/>
      <c r="AE75" s="482"/>
      <c r="AF75" s="900">
        <f>N74</f>
        <v>13774.538691723454</v>
      </c>
      <c r="AG75" s="901"/>
      <c r="AH75" s="901"/>
      <c r="AI75" s="902"/>
      <c r="AJ75" s="482"/>
      <c r="AK75" s="76"/>
    </row>
    <row r="76" spans="1:47" ht="16.5" customHeight="1" thickTop="1" thickBot="1" x14ac:dyDescent="0.3">
      <c r="A76" s="75"/>
      <c r="B76" s="478"/>
      <c r="C76" s="497" t="s">
        <v>301</v>
      </c>
      <c r="D76" s="478"/>
      <c r="E76" s="478"/>
      <c r="F76" s="478"/>
      <c r="G76" s="478"/>
      <c r="H76" s="897">
        <v>27.8</v>
      </c>
      <c r="I76" s="898"/>
      <c r="J76" s="898"/>
      <c r="K76" s="898"/>
      <c r="L76" s="899"/>
      <c r="M76" s="494"/>
      <c r="N76" s="900">
        <f>H76</f>
        <v>27.8</v>
      </c>
      <c r="O76" s="901"/>
      <c r="P76" s="901"/>
      <c r="Q76" s="902"/>
      <c r="R76" s="494"/>
      <c r="S76" s="641"/>
      <c r="T76" s="496"/>
      <c r="U76" s="499" t="s">
        <v>302</v>
      </c>
      <c r="V76" s="479"/>
      <c r="W76" s="479"/>
      <c r="X76" s="479"/>
      <c r="Y76" s="479"/>
      <c r="Z76" s="938">
        <v>0</v>
      </c>
      <c r="AA76" s="939"/>
      <c r="AB76" s="939"/>
      <c r="AC76" s="939"/>
      <c r="AD76" s="940"/>
      <c r="AE76" s="482"/>
      <c r="AF76" s="900">
        <f>Z76</f>
        <v>0</v>
      </c>
      <c r="AG76" s="901"/>
      <c r="AH76" s="901"/>
      <c r="AI76" s="902"/>
      <c r="AJ76" s="482"/>
      <c r="AK76" s="76"/>
    </row>
    <row r="77" spans="1:47" ht="16.5" customHeight="1" thickTop="1" thickBot="1" x14ac:dyDescent="0.3">
      <c r="A77" s="75"/>
      <c r="B77" s="478"/>
      <c r="C77" s="497" t="s">
        <v>308</v>
      </c>
      <c r="D77" s="478"/>
      <c r="E77" s="478"/>
      <c r="F77" s="478"/>
      <c r="G77" s="478"/>
      <c r="H77" s="926">
        <f>H74-(H75-H76)</f>
        <v>308.01175060528112</v>
      </c>
      <c r="I77" s="927"/>
      <c r="J77" s="927"/>
      <c r="K77" s="927"/>
      <c r="L77" s="928"/>
      <c r="M77" s="494"/>
      <c r="N77" s="900">
        <f>N74-(N75-N76)</f>
        <v>355.0686917234525</v>
      </c>
      <c r="O77" s="901"/>
      <c r="P77" s="901"/>
      <c r="Q77" s="902"/>
      <c r="R77" s="494"/>
      <c r="S77" s="641"/>
      <c r="T77" s="496"/>
      <c r="U77" s="499" t="s">
        <v>309</v>
      </c>
      <c r="V77" s="479"/>
      <c r="W77" s="479"/>
      <c r="X77" s="479"/>
      <c r="Y77" s="479"/>
      <c r="Z77" s="905">
        <f>Z74-Z75-H76+Z76</f>
        <v>70092.861594392569</v>
      </c>
      <c r="AA77" s="906"/>
      <c r="AB77" s="906"/>
      <c r="AC77" s="906"/>
      <c r="AD77" s="907"/>
      <c r="AE77" s="482"/>
      <c r="AF77" s="900">
        <f>AF74-AF75-N76+AF76</f>
        <v>69920.88864242495</v>
      </c>
      <c r="AG77" s="901"/>
      <c r="AH77" s="901"/>
      <c r="AI77" s="902"/>
      <c r="AJ77" s="482"/>
      <c r="AK77" s="76"/>
    </row>
    <row r="78" spans="1:47" ht="16.5" thickTop="1" thickBot="1" x14ac:dyDescent="0.3">
      <c r="A78" s="75"/>
      <c r="B78" s="478"/>
      <c r="C78" s="497" t="s">
        <v>310</v>
      </c>
      <c r="D78" s="478"/>
      <c r="E78" s="478"/>
      <c r="F78" s="478"/>
      <c r="G78" s="478"/>
      <c r="H78" s="929">
        <v>410</v>
      </c>
      <c r="I78" s="930"/>
      <c r="J78" s="930"/>
      <c r="K78" s="930"/>
      <c r="L78" s="931"/>
      <c r="M78" s="494"/>
      <c r="N78" s="932">
        <f>H78</f>
        <v>410</v>
      </c>
      <c r="O78" s="933"/>
      <c r="P78" s="933"/>
      <c r="Q78" s="934"/>
      <c r="R78" s="494"/>
      <c r="S78" s="641"/>
      <c r="T78" s="496"/>
      <c r="U78" s="499" t="s">
        <v>311</v>
      </c>
      <c r="V78" s="479"/>
      <c r="W78" s="479"/>
      <c r="X78" s="479"/>
      <c r="Y78" s="479"/>
      <c r="Z78" s="935">
        <v>70069.13</v>
      </c>
      <c r="AA78" s="936"/>
      <c r="AB78" s="936"/>
      <c r="AC78" s="936"/>
      <c r="AD78" s="937"/>
      <c r="AE78" s="482"/>
      <c r="AF78" s="900">
        <f>Z78</f>
        <v>70069.13</v>
      </c>
      <c r="AG78" s="901"/>
      <c r="AH78" s="901"/>
      <c r="AI78" s="902"/>
      <c r="AJ78" s="482"/>
      <c r="AK78" s="76"/>
    </row>
    <row r="79" spans="1:47" ht="16.5" thickTop="1" thickBot="1" x14ac:dyDescent="0.3">
      <c r="A79" s="75"/>
      <c r="B79" s="478"/>
      <c r="C79" s="478"/>
      <c r="D79" s="478"/>
      <c r="E79" s="478"/>
      <c r="F79" s="478"/>
      <c r="G79" s="478"/>
      <c r="H79" s="478"/>
      <c r="I79" s="478"/>
      <c r="J79" s="478"/>
      <c r="K79" s="478"/>
      <c r="L79" s="478"/>
      <c r="M79" s="494"/>
      <c r="N79" s="494"/>
      <c r="O79" s="494"/>
      <c r="P79" s="494"/>
      <c r="Q79" s="494"/>
      <c r="R79" s="494"/>
      <c r="S79" s="641"/>
      <c r="T79" s="496"/>
      <c r="U79" s="499" t="s">
        <v>312</v>
      </c>
      <c r="V79" s="479"/>
      <c r="W79" s="479"/>
      <c r="X79" s="479"/>
      <c r="Y79" s="479"/>
      <c r="Z79" s="893">
        <f>Z77-Z78</f>
        <v>23.731594392564148</v>
      </c>
      <c r="AA79" s="894"/>
      <c r="AB79" s="894"/>
      <c r="AC79" s="895">
        <f>Z79/Z78*100</f>
        <v>3.3868829815018604E-2</v>
      </c>
      <c r="AD79" s="896"/>
      <c r="AE79" s="482"/>
      <c r="AF79" s="919">
        <f>AF77-AF78</f>
        <v>-148.24135757505428</v>
      </c>
      <c r="AG79" s="920"/>
      <c r="AH79" s="920"/>
      <c r="AI79" s="645">
        <f>AF79/AF78*100</f>
        <v>-0.21156443297505517</v>
      </c>
      <c r="AJ79" s="482"/>
      <c r="AK79" s="76"/>
    </row>
    <row r="80" spans="1:47" x14ac:dyDescent="0.2">
      <c r="A80" s="72"/>
      <c r="B80" s="73"/>
      <c r="C80" s="73"/>
      <c r="D80" s="73"/>
      <c r="E80" s="73"/>
      <c r="F80" s="73"/>
      <c r="G80" s="73"/>
      <c r="H80" s="73"/>
      <c r="I80" s="73"/>
      <c r="J80" s="73"/>
      <c r="K80" s="73"/>
      <c r="L80" s="73"/>
      <c r="M80" s="510"/>
      <c r="N80" s="510"/>
      <c r="O80" s="510"/>
      <c r="P80" s="510"/>
      <c r="Q80" s="510"/>
      <c r="R80" s="510"/>
      <c r="S80" s="642"/>
      <c r="T80" s="511"/>
      <c r="U80" s="512"/>
      <c r="V80" s="475"/>
      <c r="W80" s="475"/>
      <c r="X80" s="475"/>
      <c r="Y80" s="475"/>
      <c r="Z80" s="513"/>
      <c r="AA80" s="513"/>
      <c r="AB80" s="513"/>
      <c r="AC80" s="514"/>
      <c r="AD80" s="514"/>
      <c r="AE80" s="474"/>
      <c r="AF80" s="515"/>
      <c r="AG80" s="515"/>
      <c r="AH80" s="515"/>
      <c r="AI80" s="516"/>
      <c r="AJ80" s="474"/>
      <c r="AK80" s="74"/>
    </row>
    <row r="81" spans="1:39" ht="13.5" thickBot="1" x14ac:dyDescent="0.25">
      <c r="A81" s="72"/>
      <c r="B81" s="73"/>
      <c r="C81" s="73"/>
      <c r="D81" s="73"/>
      <c r="E81" s="73"/>
      <c r="F81" s="73"/>
      <c r="G81" s="73"/>
      <c r="H81" s="73"/>
      <c r="I81" s="73"/>
      <c r="J81" s="73"/>
      <c r="K81" s="73"/>
      <c r="L81" s="73"/>
      <c r="M81" s="511"/>
      <c r="N81" s="511"/>
      <c r="O81" s="511"/>
      <c r="P81" s="511"/>
      <c r="Q81" s="511"/>
      <c r="R81" s="511"/>
      <c r="S81" s="642"/>
      <c r="T81" s="511"/>
      <c r="U81" s="512"/>
      <c r="V81" s="475"/>
      <c r="W81" s="475"/>
      <c r="X81" s="475"/>
      <c r="Y81" s="475"/>
      <c r="AA81" s="908" t="s">
        <v>313</v>
      </c>
      <c r="AB81" s="908"/>
      <c r="AC81" s="908" t="s">
        <v>136</v>
      </c>
      <c r="AD81" s="908"/>
      <c r="AE81" s="474"/>
      <c r="AF81" s="515"/>
      <c r="AG81" s="515"/>
      <c r="AH81" s="515"/>
      <c r="AI81" s="516"/>
      <c r="AJ81" s="474"/>
      <c r="AK81" s="74"/>
      <c r="AM81" s="85" t="s">
        <v>314</v>
      </c>
    </row>
    <row r="82" spans="1:39" ht="14.25" customHeight="1" x14ac:dyDescent="0.2">
      <c r="A82" s="72"/>
      <c r="B82" s="73"/>
      <c r="C82" s="73"/>
      <c r="D82" s="73"/>
      <c r="E82" s="73"/>
      <c r="F82" s="73"/>
      <c r="G82" s="73"/>
      <c r="H82" s="921" t="s">
        <v>315</v>
      </c>
      <c r="I82" s="921"/>
      <c r="J82" s="921"/>
      <c r="K82" s="921"/>
      <c r="L82" s="921"/>
      <c r="M82" s="921"/>
      <c r="N82" s="921"/>
      <c r="O82" s="921"/>
      <c r="P82" s="921"/>
      <c r="Q82" s="921"/>
      <c r="R82" s="511"/>
      <c r="S82" s="642"/>
      <c r="T82" s="511"/>
      <c r="U82" s="922" t="s">
        <v>138</v>
      </c>
      <c r="V82" s="923"/>
      <c r="W82" s="923"/>
      <c r="X82" s="909">
        <v>70044.259999999995</v>
      </c>
      <c r="Y82" s="909"/>
      <c r="Z82" s="909"/>
      <c r="AA82" s="909">
        <f>X82-Z78</f>
        <v>-24.870000000009895</v>
      </c>
      <c r="AB82" s="909"/>
      <c r="AC82" s="924">
        <f>AA82/Z78*100</f>
        <v>-3.5493519043278965E-2</v>
      </c>
      <c r="AD82" s="925"/>
      <c r="AE82" s="475"/>
      <c r="AF82" s="513"/>
      <c r="AG82" s="513"/>
      <c r="AH82" s="513"/>
      <c r="AI82" s="514"/>
      <c r="AJ82" s="475"/>
      <c r="AK82" s="74"/>
      <c r="AM82" s="85" t="s">
        <v>316</v>
      </c>
    </row>
    <row r="83" spans="1:39" ht="14.25" customHeight="1" x14ac:dyDescent="0.2">
      <c r="A83" s="72"/>
      <c r="B83" s="73"/>
      <c r="C83" s="73"/>
      <c r="D83" s="73"/>
      <c r="E83" s="73"/>
      <c r="F83" s="73"/>
      <c r="G83" s="73"/>
      <c r="H83" s="921"/>
      <c r="I83" s="921"/>
      <c r="J83" s="921"/>
      <c r="K83" s="921"/>
      <c r="L83" s="921"/>
      <c r="M83" s="921"/>
      <c r="N83" s="921"/>
      <c r="O83" s="921"/>
      <c r="P83" s="921"/>
      <c r="Q83" s="921"/>
      <c r="R83" s="511"/>
      <c r="S83" s="642"/>
      <c r="T83" s="511"/>
      <c r="U83" s="891" t="s">
        <v>139</v>
      </c>
      <c r="V83" s="892"/>
      <c r="W83" s="892"/>
      <c r="X83" s="910">
        <v>70136.372000000003</v>
      </c>
      <c r="Y83" s="910"/>
      <c r="Z83" s="910"/>
      <c r="AA83" s="910">
        <f>X83-Z78</f>
        <v>67.24199999999837</v>
      </c>
      <c r="AB83" s="910"/>
      <c r="AC83" s="903">
        <f>AA83/Z78*100</f>
        <v>9.5965227483198912E-2</v>
      </c>
      <c r="AD83" s="904"/>
      <c r="AE83" s="475"/>
      <c r="AF83" s="513"/>
      <c r="AG83" s="513"/>
      <c r="AH83" s="513"/>
      <c r="AI83" s="514"/>
      <c r="AJ83" s="475"/>
      <c r="AK83" s="74"/>
      <c r="AM83" s="85" t="s">
        <v>317</v>
      </c>
    </row>
    <row r="84" spans="1:39" ht="16.5" customHeight="1" x14ac:dyDescent="0.2">
      <c r="A84" s="72"/>
      <c r="B84" s="73"/>
      <c r="C84" s="73"/>
      <c r="D84" s="73"/>
      <c r="E84" s="73"/>
      <c r="F84" s="73"/>
      <c r="G84" s="73"/>
      <c r="H84" s="890" t="s">
        <v>318</v>
      </c>
      <c r="I84" s="890"/>
      <c r="J84" s="890"/>
      <c r="K84" s="890"/>
      <c r="L84" s="890"/>
      <c r="M84" s="890"/>
      <c r="N84" s="890"/>
      <c r="O84" s="890"/>
      <c r="P84" s="890"/>
      <c r="Q84" s="890"/>
      <c r="R84" s="511"/>
      <c r="S84" s="642"/>
      <c r="T84" s="511"/>
      <c r="U84" s="891" t="s">
        <v>319</v>
      </c>
      <c r="V84" s="892"/>
      <c r="W84" s="892"/>
      <c r="X84" s="910">
        <v>70106.301000000007</v>
      </c>
      <c r="Y84" s="910"/>
      <c r="Z84" s="910"/>
      <c r="AA84" s="910">
        <f>X84-Z78</f>
        <v>37.171000000002095</v>
      </c>
      <c r="AB84" s="910"/>
      <c r="AC84" s="903">
        <f>AA84/Z78*100</f>
        <v>5.3049038856343857E-2</v>
      </c>
      <c r="AD84" s="904"/>
      <c r="AE84" s="475"/>
      <c r="AF84" s="513"/>
      <c r="AG84" s="513"/>
      <c r="AH84" s="513"/>
      <c r="AI84" s="514"/>
      <c r="AJ84" s="475"/>
      <c r="AK84" s="74"/>
      <c r="AM84" s="85" t="s">
        <v>319</v>
      </c>
    </row>
    <row r="85" spans="1:39" ht="14.25" customHeight="1" x14ac:dyDescent="0.2">
      <c r="A85" s="72"/>
      <c r="B85" s="73"/>
      <c r="C85" s="73"/>
      <c r="D85" s="73"/>
      <c r="E85" s="73"/>
      <c r="F85" s="73"/>
      <c r="G85" s="73"/>
      <c r="H85" s="890"/>
      <c r="I85" s="890"/>
      <c r="J85" s="890"/>
      <c r="K85" s="890"/>
      <c r="L85" s="890"/>
      <c r="M85" s="890"/>
      <c r="N85" s="890"/>
      <c r="O85" s="890"/>
      <c r="P85" s="890"/>
      <c r="Q85" s="890"/>
      <c r="R85" s="511"/>
      <c r="S85" s="642"/>
      <c r="T85" s="511"/>
      <c r="U85" s="891"/>
      <c r="V85" s="892"/>
      <c r="W85" s="892"/>
      <c r="X85" s="910"/>
      <c r="Y85" s="910"/>
      <c r="Z85" s="910"/>
      <c r="AA85" s="910">
        <f>X85-Z78</f>
        <v>-70069.13</v>
      </c>
      <c r="AB85" s="910"/>
      <c r="AC85" s="903">
        <f>AA85/Z78*100</f>
        <v>-100</v>
      </c>
      <c r="AD85" s="904"/>
      <c r="AE85" s="475"/>
      <c r="AF85" s="513"/>
      <c r="AG85" s="513"/>
      <c r="AH85" s="513"/>
      <c r="AI85" s="514"/>
      <c r="AJ85" s="475"/>
      <c r="AK85" s="74"/>
      <c r="AM85" s="85" t="s">
        <v>320</v>
      </c>
    </row>
    <row r="86" spans="1:39" ht="16.5" customHeight="1" x14ac:dyDescent="0.2">
      <c r="A86" s="72"/>
      <c r="B86" s="73"/>
      <c r="C86" s="73"/>
      <c r="D86" s="73"/>
      <c r="E86" s="73"/>
      <c r="F86" s="73"/>
      <c r="G86" s="73"/>
      <c r="H86" s="517"/>
      <c r="I86" s="73"/>
      <c r="J86" s="73"/>
      <c r="K86" s="73"/>
      <c r="L86" s="73"/>
      <c r="M86" s="511"/>
      <c r="N86" s="511"/>
      <c r="O86" s="511"/>
      <c r="P86" s="511"/>
      <c r="Q86" s="511"/>
      <c r="R86" s="511"/>
      <c r="S86" s="642"/>
      <c r="T86" s="511"/>
      <c r="U86" s="891"/>
      <c r="V86" s="892"/>
      <c r="W86" s="892"/>
      <c r="X86" s="910"/>
      <c r="Y86" s="910"/>
      <c r="Z86" s="910"/>
      <c r="AA86" s="910">
        <f>X86-Z78</f>
        <v>-70069.13</v>
      </c>
      <c r="AB86" s="910"/>
      <c r="AC86" s="903">
        <f>AA86/Z78*100</f>
        <v>-100</v>
      </c>
      <c r="AD86" s="904"/>
      <c r="AE86" s="475"/>
      <c r="AF86" s="475"/>
      <c r="AG86" s="475"/>
      <c r="AH86" s="475"/>
      <c r="AI86" s="475"/>
      <c r="AJ86" s="475"/>
      <c r="AK86" s="74"/>
      <c r="AM86" s="85" t="s">
        <v>321</v>
      </c>
    </row>
    <row r="87" spans="1:39" ht="16.5" customHeight="1" thickBot="1" x14ac:dyDescent="0.25">
      <c r="A87" s="86"/>
      <c r="B87" s="87"/>
      <c r="C87" s="87"/>
      <c r="D87" s="87"/>
      <c r="E87" s="87"/>
      <c r="F87" s="87"/>
      <c r="G87" s="87"/>
      <c r="H87" s="518"/>
      <c r="I87" s="87"/>
      <c r="J87" s="87"/>
      <c r="K87" s="87"/>
      <c r="L87" s="87"/>
      <c r="M87" s="519"/>
      <c r="N87" s="519"/>
      <c r="O87" s="519"/>
      <c r="P87" s="519"/>
      <c r="Q87" s="519"/>
      <c r="R87" s="519"/>
      <c r="S87" s="643"/>
      <c r="T87" s="519"/>
      <c r="U87" s="891"/>
      <c r="V87" s="892"/>
      <c r="W87" s="892"/>
      <c r="X87" s="910"/>
      <c r="Y87" s="910"/>
      <c r="Z87" s="910"/>
      <c r="AA87" s="910">
        <f>X87-Z78</f>
        <v>-70069.13</v>
      </c>
      <c r="AB87" s="910"/>
      <c r="AC87" s="903">
        <f>AA87/Z78*100</f>
        <v>-100</v>
      </c>
      <c r="AD87" s="904"/>
      <c r="AE87" s="520"/>
      <c r="AF87" s="520"/>
      <c r="AG87" s="520"/>
      <c r="AH87" s="520"/>
      <c r="AI87" s="520"/>
      <c r="AJ87" s="520"/>
      <c r="AK87" s="89"/>
      <c r="AM87" s="85" t="s">
        <v>322</v>
      </c>
    </row>
    <row r="88" spans="1:39" ht="12" hidden="1" customHeight="1" x14ac:dyDescent="0.2">
      <c r="A88" s="86"/>
      <c r="B88" s="87"/>
      <c r="C88" s="87"/>
      <c r="D88" s="87"/>
      <c r="E88" s="87"/>
      <c r="F88" s="87"/>
      <c r="G88" s="87"/>
      <c r="H88" s="87"/>
      <c r="I88" s="87"/>
      <c r="J88" s="87"/>
      <c r="K88" s="87"/>
      <c r="L88" s="87"/>
      <c r="M88" s="87"/>
      <c r="N88" s="87"/>
      <c r="O88" s="87"/>
      <c r="P88" s="87"/>
      <c r="Q88" s="87"/>
      <c r="R88" s="87"/>
      <c r="S88" s="88"/>
      <c r="T88" s="87"/>
      <c r="U88" s="87"/>
      <c r="V88" s="87"/>
      <c r="W88" s="87"/>
      <c r="X88" s="87"/>
      <c r="Y88" s="87"/>
      <c r="Z88" s="87"/>
      <c r="AA88" s="87"/>
      <c r="AB88" s="87"/>
      <c r="AC88" s="87"/>
      <c r="AD88" s="87"/>
      <c r="AE88" s="87"/>
      <c r="AF88" s="87"/>
      <c r="AG88" s="87"/>
      <c r="AH88" s="87"/>
      <c r="AI88" s="87"/>
      <c r="AJ88" s="87"/>
      <c r="AK88" s="89"/>
      <c r="AM88" s="85"/>
    </row>
    <row r="89" spans="1:39" ht="15.75" customHeight="1" thickBot="1" x14ac:dyDescent="0.25">
      <c r="A89" s="913" t="s">
        <v>323</v>
      </c>
      <c r="B89" s="914"/>
      <c r="C89" s="914"/>
      <c r="D89" s="914"/>
      <c r="E89" s="914"/>
      <c r="F89" s="915">
        <v>8.3249999999999993</v>
      </c>
      <c r="G89" s="916"/>
      <c r="H89" s="911" t="s">
        <v>324</v>
      </c>
      <c r="I89" s="911"/>
      <c r="J89" s="911"/>
      <c r="K89" s="915">
        <v>5</v>
      </c>
      <c r="L89" s="916"/>
      <c r="M89" s="917" t="s">
        <v>325</v>
      </c>
      <c r="N89" s="918"/>
      <c r="O89" s="915">
        <v>81</v>
      </c>
      <c r="P89" s="916"/>
      <c r="Q89" s="911" t="s">
        <v>326</v>
      </c>
      <c r="R89" s="911"/>
      <c r="S89" s="912">
        <f>-ROUND(IF(K89=0,0,(O89*O89*K89*27.5*0.0216)/1000+F89),1)</f>
        <v>-27.8</v>
      </c>
      <c r="T89" s="912"/>
      <c r="U89" s="912"/>
      <c r="V89" s="912"/>
      <c r="W89" s="73"/>
      <c r="X89" s="73"/>
      <c r="Y89" s="73"/>
      <c r="Z89" s="73"/>
      <c r="AA89" s="73"/>
      <c r="AB89" s="73"/>
      <c r="AC89" s="73"/>
      <c r="AD89" s="73"/>
      <c r="AE89" s="73"/>
      <c r="AF89" s="73"/>
      <c r="AG89" s="73"/>
      <c r="AH89" s="73"/>
      <c r="AI89" s="73"/>
      <c r="AJ89" s="73"/>
      <c r="AK89" s="73"/>
      <c r="AM89" s="70" t="s">
        <v>63</v>
      </c>
    </row>
    <row r="90" spans="1:39" x14ac:dyDescent="0.2">
      <c r="A90" s="73"/>
      <c r="B90" s="73"/>
      <c r="C90" s="73"/>
      <c r="D90" s="73"/>
      <c r="E90" s="73"/>
      <c r="F90" s="73"/>
      <c r="G90" s="73"/>
      <c r="H90" s="73"/>
      <c r="I90" s="73"/>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M90" s="70" t="s">
        <v>604</v>
      </c>
    </row>
  </sheetData>
  <mergeCells count="352">
    <mergeCell ref="AE5:AG5"/>
    <mergeCell ref="AH5:AK5"/>
    <mergeCell ref="A6:D6"/>
    <mergeCell ref="E6:G6"/>
    <mergeCell ref="L6:N6"/>
    <mergeCell ref="T6:W6"/>
    <mergeCell ref="X6:Z6"/>
    <mergeCell ref="A5:D5"/>
    <mergeCell ref="E5:K5"/>
    <mergeCell ref="L5:N5"/>
    <mergeCell ref="T5:W5"/>
    <mergeCell ref="X5:AD5"/>
    <mergeCell ref="AE6:AG6"/>
    <mergeCell ref="AH6:AK6"/>
    <mergeCell ref="H6:I6"/>
    <mergeCell ref="J6:K6"/>
    <mergeCell ref="AA6:AB6"/>
    <mergeCell ref="AC6:AD6"/>
    <mergeCell ref="O6:R6"/>
    <mergeCell ref="O5:R5"/>
    <mergeCell ref="A2:R2"/>
    <mergeCell ref="T2:AK2"/>
    <mergeCell ref="A4:D4"/>
    <mergeCell ref="E4:K4"/>
    <mergeCell ref="L4:N4"/>
    <mergeCell ref="T4:W4"/>
    <mergeCell ref="X4:AD4"/>
    <mergeCell ref="AE4:AG4"/>
    <mergeCell ref="AH4:AK4"/>
    <mergeCell ref="O4:R4"/>
    <mergeCell ref="C13:Q13"/>
    <mergeCell ref="U13:AI13"/>
    <mergeCell ref="D15:F15"/>
    <mergeCell ref="H15:J15"/>
    <mergeCell ref="L15:N15"/>
    <mergeCell ref="V15:X15"/>
    <mergeCell ref="Z15:AB15"/>
    <mergeCell ref="AD15:AF15"/>
    <mergeCell ref="L8:N8"/>
    <mergeCell ref="D11:F11"/>
    <mergeCell ref="I11:K11"/>
    <mergeCell ref="L11:N11"/>
    <mergeCell ref="V11:X11"/>
    <mergeCell ref="A9:D9"/>
    <mergeCell ref="E9:G9"/>
    <mergeCell ref="T9:W9"/>
    <mergeCell ref="X9:Z9"/>
    <mergeCell ref="O8:R8"/>
    <mergeCell ref="E8:G8"/>
    <mergeCell ref="AH7:AK7"/>
    <mergeCell ref="A8:D8"/>
    <mergeCell ref="T8:W8"/>
    <mergeCell ref="X8:Z8"/>
    <mergeCell ref="AE8:AG8"/>
    <mergeCell ref="AH8:AK8"/>
    <mergeCell ref="AA11:AC11"/>
    <mergeCell ref="AD11:AF11"/>
    <mergeCell ref="A7:D7"/>
    <mergeCell ref="H7:K7"/>
    <mergeCell ref="T7:W7"/>
    <mergeCell ref="X7:Z7"/>
    <mergeCell ref="AE7:AG7"/>
    <mergeCell ref="L7:N7"/>
    <mergeCell ref="O7:R7"/>
    <mergeCell ref="E7:G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J25:K25"/>
    <mergeCell ref="M25:N25"/>
    <mergeCell ref="J26:K26"/>
    <mergeCell ref="M26:N26"/>
    <mergeCell ref="P26:Q26"/>
    <mergeCell ref="P25:Q25"/>
    <mergeCell ref="C25:D25"/>
    <mergeCell ref="C26:D26"/>
    <mergeCell ref="C27:D27"/>
    <mergeCell ref="G25:H25"/>
    <mergeCell ref="G26:H26"/>
    <mergeCell ref="G27:H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M41:N41"/>
    <mergeCell ref="O41:P41"/>
    <mergeCell ref="Z41:AA41"/>
    <mergeCell ref="AB41:AD41"/>
    <mergeCell ref="AE41:AF41"/>
    <mergeCell ref="AG41:AH41"/>
    <mergeCell ref="H41:I41"/>
    <mergeCell ref="J41:L41"/>
    <mergeCell ref="AE42:AF42"/>
    <mergeCell ref="AG42:AH42"/>
    <mergeCell ref="AI42:AJ42"/>
    <mergeCell ref="J43:L43"/>
    <mergeCell ref="M43:O43"/>
    <mergeCell ref="AB43:AD43"/>
    <mergeCell ref="AE43:AG43"/>
    <mergeCell ref="M42:N42"/>
    <mergeCell ref="O42:P42"/>
    <mergeCell ref="Q42:R42"/>
    <mergeCell ref="Z42:AA42"/>
    <mergeCell ref="H42:I42"/>
    <mergeCell ref="J42:L42"/>
    <mergeCell ref="H46:I46"/>
    <mergeCell ref="O46:P46"/>
    <mergeCell ref="Q46:R46"/>
    <mergeCell ref="Z46:AA46"/>
    <mergeCell ref="AB46:AD46"/>
    <mergeCell ref="H45:I45"/>
    <mergeCell ref="M45:N45"/>
    <mergeCell ref="O45:P45"/>
    <mergeCell ref="Q45:R45"/>
    <mergeCell ref="Z45:AA45"/>
    <mergeCell ref="J46:L46"/>
    <mergeCell ref="J45:L45"/>
    <mergeCell ref="AB42:AD42"/>
    <mergeCell ref="AG46:AH46"/>
    <mergeCell ref="AI46:AJ46"/>
    <mergeCell ref="J47:L47"/>
    <mergeCell ref="M47:O47"/>
    <mergeCell ref="AB47:AD47"/>
    <mergeCell ref="AE47:AG47"/>
    <mergeCell ref="AB45:AD45"/>
    <mergeCell ref="AE45:AF45"/>
    <mergeCell ref="AG45:AH45"/>
    <mergeCell ref="AI45:AJ45"/>
    <mergeCell ref="H50:I50"/>
    <mergeCell ref="M50:N50"/>
    <mergeCell ref="O50:P50"/>
    <mergeCell ref="Q50:R50"/>
    <mergeCell ref="Z50:AA50"/>
    <mergeCell ref="H49:I49"/>
    <mergeCell ref="M49:N49"/>
    <mergeCell ref="O49:P49"/>
    <mergeCell ref="Q49:R49"/>
    <mergeCell ref="Z49:AA49"/>
    <mergeCell ref="J50:L50"/>
    <mergeCell ref="J49:L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Z53:AA53"/>
    <mergeCell ref="AB53:AD53"/>
    <mergeCell ref="H54:I54"/>
    <mergeCell ref="Z54:AA54"/>
    <mergeCell ref="AB54:AD54"/>
    <mergeCell ref="J53:L53"/>
    <mergeCell ref="J54:L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N65:Q65"/>
    <mergeCell ref="W65:Y65"/>
    <mergeCell ref="Z65:AD65"/>
    <mergeCell ref="AF65:AI65"/>
    <mergeCell ref="H65:L65"/>
    <mergeCell ref="N66:Q66"/>
    <mergeCell ref="W66:Y66"/>
    <mergeCell ref="Z66:AD66"/>
    <mergeCell ref="AF66:AI66"/>
    <mergeCell ref="N67:Q67"/>
    <mergeCell ref="Z67:AD67"/>
    <mergeCell ref="AF67:AI67"/>
    <mergeCell ref="H66:L66"/>
    <mergeCell ref="H67:L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6:AD86"/>
    <mergeCell ref="AC87:AD87"/>
    <mergeCell ref="AC81:AD81"/>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AC84:AD84"/>
    <mergeCell ref="AC85:AD85"/>
    <mergeCell ref="Z75:AD75"/>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8" t="s">
        <v>579</v>
      </c>
      <c r="F4" s="578">
        <f>Draft!$D$11/2</f>
        <v>112.75</v>
      </c>
      <c r="G4" s="5"/>
      <c r="H4" s="579"/>
      <c r="I4" s="579"/>
      <c r="J4" s="579"/>
      <c r="K4" s="579"/>
      <c r="M4" s="577"/>
      <c r="N4" s="577"/>
      <c r="O4" s="577"/>
      <c r="P4" s="288" t="s">
        <v>579</v>
      </c>
      <c r="Q4" s="578">
        <f>Draft!$D$11/2</f>
        <v>112.75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6"/>
      <c r="C6" s="581">
        <f>Draft!$K$31</f>
        <v>5.7942499999999999</v>
      </c>
      <c r="D6" s="580" t="str">
        <f>IF(C7="m","",INT(C6))</f>
        <v/>
      </c>
      <c r="E6" s="582" t="str">
        <f>IF(C7="m","",(C6-INT(C6))*12)</f>
        <v/>
      </c>
      <c r="F6" s="580"/>
      <c r="G6" s="579"/>
      <c r="H6" s="579"/>
      <c r="I6" s="579"/>
      <c r="J6" s="579"/>
      <c r="K6" s="579"/>
      <c r="M6" s="436"/>
      <c r="N6" s="581">
        <f>Draft!$AC$31</f>
        <v>13.227475</v>
      </c>
      <c r="O6" s="580" t="str">
        <f>IF(N7="m","",INT(N6))</f>
        <v/>
      </c>
      <c r="P6" s="582" t="str">
        <f>IF(N7="m","",(N6-INT(N6))*12)</f>
        <v/>
      </c>
      <c r="Q6" s="580"/>
      <c r="R6" s="579"/>
      <c r="S6" s="579"/>
      <c r="T6" s="579"/>
      <c r="U6" s="579"/>
      <c r="V6" s="579"/>
    </row>
    <row r="7" spans="2:22" ht="15.75" x14ac:dyDescent="0.25">
      <c r="B7" s="436"/>
      <c r="C7" s="580" t="s">
        <v>592</v>
      </c>
      <c r="D7" s="580" t="str">
        <f>IF(C7="m","","feet")</f>
        <v/>
      </c>
      <c r="E7" s="580" t="str">
        <f>IF(C7="m","","in")</f>
        <v/>
      </c>
      <c r="F7" s="580"/>
      <c r="G7" s="579"/>
      <c r="H7" s="579"/>
      <c r="I7" s="579"/>
      <c r="J7" s="579"/>
      <c r="K7" s="579"/>
      <c r="M7" s="436"/>
      <c r="N7" s="580" t="s">
        <v>592</v>
      </c>
      <c r="O7" s="580" t="str">
        <f>IF(N7="m","","feet")</f>
        <v/>
      </c>
      <c r="P7" s="580" t="str">
        <f>IF(N7="m","","in")</f>
        <v/>
      </c>
      <c r="Q7" s="580"/>
      <c r="R7" s="579"/>
      <c r="S7" s="579"/>
      <c r="T7" s="579"/>
      <c r="U7" s="579"/>
      <c r="V7" s="579"/>
    </row>
    <row r="8" spans="2:22" ht="19.5" thickBot="1" x14ac:dyDescent="0.3">
      <c r="B8" s="583"/>
      <c r="C8" s="580"/>
      <c r="D8" s="580"/>
      <c r="E8" s="584" t="s">
        <v>9</v>
      </c>
      <c r="F8" s="585">
        <f>Draft!$M$35</f>
        <v>0.35520796942454341</v>
      </c>
      <c r="G8" s="586" t="s">
        <v>580</v>
      </c>
      <c r="H8" s="579"/>
      <c r="I8" s="579"/>
      <c r="J8" s="579"/>
      <c r="K8" s="579"/>
      <c r="M8" s="583"/>
      <c r="N8" s="580"/>
      <c r="O8" s="580"/>
      <c r="P8" s="584" t="s">
        <v>9</v>
      </c>
      <c r="Q8" s="585">
        <f>Draft!$M$35</f>
        <v>0.35520796942454341</v>
      </c>
      <c r="R8" s="586" t="s">
        <v>580</v>
      </c>
      <c r="S8" s="579"/>
      <c r="T8" s="579"/>
      <c r="U8" s="579"/>
      <c r="V8" s="579"/>
    </row>
    <row r="9" spans="2:22" ht="17.25" thickTop="1" thickBot="1" x14ac:dyDescent="0.3">
      <c r="B9" s="587" t="s">
        <v>581</v>
      </c>
      <c r="C9" s="587" t="s">
        <v>364</v>
      </c>
      <c r="D9" s="580"/>
      <c r="E9" s="584" t="str">
        <f>Draft!$P$35</f>
        <v>S</v>
      </c>
      <c r="F9" s="588">
        <f>Draft!$G$35</f>
        <v>20</v>
      </c>
      <c r="G9" s="579" t="s">
        <v>593</v>
      </c>
      <c r="H9" s="579"/>
      <c r="I9" s="579"/>
      <c r="J9" s="579"/>
      <c r="K9" s="579"/>
      <c r="M9" s="587" t="s">
        <v>581</v>
      </c>
      <c r="N9" s="587" t="s">
        <v>364</v>
      </c>
      <c r="O9" s="580"/>
      <c r="P9" s="584" t="str">
        <f>Draft!$P$35</f>
        <v>S</v>
      </c>
      <c r="Q9" s="588">
        <f>Draft!$G$35</f>
        <v>20</v>
      </c>
      <c r="R9" s="579" t="s">
        <v>593</v>
      </c>
      <c r="S9" s="579"/>
      <c r="T9" s="579"/>
      <c r="U9" s="579"/>
      <c r="V9" s="579"/>
    </row>
    <row r="10" spans="2:22" ht="16.5" thickTop="1" x14ac:dyDescent="0.25">
      <c r="B10" s="583" t="s">
        <v>582</v>
      </c>
      <c r="C10" s="589">
        <f>Draft!$H$41</f>
        <v>5.7</v>
      </c>
      <c r="D10" s="590">
        <f>INT(C6*100)</f>
        <v>579</v>
      </c>
      <c r="E10" s="584"/>
      <c r="F10" s="579"/>
      <c r="G10" s="579"/>
      <c r="H10" s="579"/>
      <c r="I10" s="579"/>
      <c r="J10" s="579"/>
      <c r="K10" s="579"/>
      <c r="M10" s="583" t="s">
        <v>582</v>
      </c>
      <c r="N10" s="589">
        <f>Draft!$Z$41</f>
        <v>13.2</v>
      </c>
      <c r="O10" s="590">
        <f>INT(N6*100)</f>
        <v>1322</v>
      </c>
      <c r="P10" s="584"/>
      <c r="Q10" s="579"/>
      <c r="R10" s="579"/>
      <c r="S10" s="579"/>
      <c r="T10" s="579"/>
      <c r="U10" s="579"/>
      <c r="V10" s="579"/>
    </row>
    <row r="11" spans="2:22" ht="15.75" x14ac:dyDescent="0.25">
      <c r="B11" s="583" t="s">
        <v>583</v>
      </c>
      <c r="C11" s="589">
        <f>Draft!$H$42</f>
        <v>5.8</v>
      </c>
      <c r="D11" s="580"/>
      <c r="E11" s="584"/>
      <c r="F11" s="580"/>
      <c r="G11" s="579"/>
      <c r="H11" s="579"/>
      <c r="I11" s="579"/>
      <c r="J11" s="579"/>
      <c r="K11" s="579"/>
      <c r="M11" s="583" t="s">
        <v>583</v>
      </c>
      <c r="N11" s="589">
        <f>Draft!$Z$42</f>
        <v>13.3</v>
      </c>
      <c r="O11" s="580"/>
      <c r="P11" s="584"/>
      <c r="Q11" s="580"/>
      <c r="R11" s="579"/>
      <c r="S11" s="579"/>
      <c r="T11" s="579"/>
      <c r="U11" s="579"/>
      <c r="V11" s="579"/>
    </row>
    <row r="12" spans="2:22" ht="15.75" x14ac:dyDescent="0.25">
      <c r="B12" s="591" t="s">
        <v>584</v>
      </c>
      <c r="C12" s="592">
        <f>Draft!$J$41</f>
        <v>35059.199999999997</v>
      </c>
      <c r="D12" s="593"/>
      <c r="E12" s="594" t="s">
        <v>585</v>
      </c>
      <c r="F12" s="5"/>
      <c r="G12" s="5"/>
      <c r="H12" s="579"/>
      <c r="I12" s="579"/>
      <c r="J12" s="579" t="s">
        <v>586</v>
      </c>
      <c r="K12" s="579"/>
      <c r="M12" s="591" t="s">
        <v>584</v>
      </c>
      <c r="N12" s="592">
        <f>Draft!$AB$41</f>
        <v>86523.5</v>
      </c>
      <c r="O12" s="593"/>
      <c r="P12" s="594" t="s">
        <v>585</v>
      </c>
      <c r="Q12" s="5"/>
      <c r="R12" s="5"/>
      <c r="S12" s="579"/>
      <c r="T12" s="579"/>
      <c r="U12" s="579" t="s">
        <v>586</v>
      </c>
      <c r="V12" s="579"/>
    </row>
    <row r="13" spans="2:22" ht="15.75" x14ac:dyDescent="0.25">
      <c r="B13" s="595" t="s">
        <v>587</v>
      </c>
      <c r="C13" s="596">
        <f>Draft!$J$42</f>
        <v>35710</v>
      </c>
      <c r="D13" s="597">
        <f>IF(E13=0,K13,E13)</f>
        <v>35672.6</v>
      </c>
      <c r="E13" s="598">
        <v>0</v>
      </c>
      <c r="F13" s="5"/>
      <c r="G13" s="5"/>
      <c r="H13" s="579"/>
      <c r="I13" s="579"/>
      <c r="J13" s="579"/>
      <c r="K13" s="599">
        <f>ROUND((IF(E13=0,IF(C11=0,0,IF(C10=0,C13,IF(C7="m",(C6-C10)*(C13-C12)/(C11-C10)+C12,(E6-C10)*(C13-C12)/(C11-C10)+C12))),E13)),1)</f>
        <v>35672.6</v>
      </c>
      <c r="M13" s="595" t="s">
        <v>587</v>
      </c>
      <c r="N13" s="596">
        <f>Draft!$AB$42</f>
        <v>87243.199999999997</v>
      </c>
      <c r="O13" s="597">
        <f>IF(P13=0,V13,P13)</f>
        <v>86721.2</v>
      </c>
      <c r="P13" s="598">
        <v>0</v>
      </c>
      <c r="Q13" s="5"/>
      <c r="R13" s="5"/>
      <c r="S13" s="579"/>
      <c r="T13" s="579"/>
      <c r="U13" s="579"/>
      <c r="V13" s="599">
        <f>ROUND((IF(P13=0,IF(N11=0,0,IF(N10=0,N13,IF(N7="m",(N6-N10)*(N13-N12)/(N11-N10)+N12,(P6-N10)*(N13-N12)/(N11-N10)+N12))),P13)),1)</f>
        <v>86721.2</v>
      </c>
    </row>
    <row r="14" spans="2:22" ht="15.75" x14ac:dyDescent="0.25">
      <c r="B14" s="591" t="s">
        <v>588</v>
      </c>
      <c r="C14" s="600">
        <f>Draft!$J$45</f>
        <v>65</v>
      </c>
      <c r="D14" s="601"/>
      <c r="E14" s="288"/>
      <c r="F14" s="5"/>
      <c r="G14" s="5"/>
      <c r="H14" s="579"/>
      <c r="I14" s="579"/>
      <c r="J14" s="579" t="s">
        <v>135</v>
      </c>
      <c r="K14" s="579"/>
      <c r="M14" s="591" t="s">
        <v>588</v>
      </c>
      <c r="N14" s="600">
        <f>Draft!$AB$45</f>
        <v>71.900000000000006</v>
      </c>
      <c r="O14" s="601"/>
      <c r="P14" s="288"/>
      <c r="Q14" s="5"/>
      <c r="R14" s="5"/>
      <c r="S14" s="579"/>
      <c r="T14" s="579"/>
      <c r="U14" s="579" t="s">
        <v>135</v>
      </c>
      <c r="V14" s="579"/>
    </row>
    <row r="15" spans="2:22" ht="15.75" x14ac:dyDescent="0.25">
      <c r="B15" s="583" t="s">
        <v>589</v>
      </c>
      <c r="C15" s="600">
        <f>Draft!$J$46</f>
        <v>65.099999999999994</v>
      </c>
      <c r="D15" s="602">
        <f>IF(E15=0,K15,E15)</f>
        <v>65.094300000000004</v>
      </c>
      <c r="E15" s="603">
        <v>0</v>
      </c>
      <c r="F15" s="5"/>
      <c r="G15" s="5"/>
      <c r="H15" s="579"/>
      <c r="I15" s="579"/>
      <c r="J15" s="579"/>
      <c r="K15" s="604">
        <f>ROUND((IF(E15=0,IF(C11=0,0,IF(C10=0,C15,IF(C7="m",(C6-C10)*(C15-C14)/(C11-C10)+C14,(E6-C10)*(C15-C14)/(C11-C10)+C14))),E15)),4)</f>
        <v>65.094300000000004</v>
      </c>
      <c r="M15" s="583" t="s">
        <v>589</v>
      </c>
      <c r="N15" s="600">
        <f>Draft!$AB$46</f>
        <v>72</v>
      </c>
      <c r="O15" s="602">
        <f>IF(P15=0,V15,P15)</f>
        <v>71.927499999999995</v>
      </c>
      <c r="P15" s="603">
        <v>0</v>
      </c>
      <c r="Q15" s="5"/>
      <c r="R15" s="5"/>
      <c r="S15" s="579"/>
      <c r="T15" s="579"/>
      <c r="U15" s="579"/>
      <c r="V15" s="604">
        <f>ROUND((IF(P15=0,IF(N11=0,0,IF(N10=0,N15,IF(N7="m",(N6-N10)*(N15-N14)/(N11-N10)+N14,(P6-N10)*(N15-N14)/(N11-N10)+N14))),P15)),4)</f>
        <v>71.927499999999995</v>
      </c>
    </row>
    <row r="16" spans="2:22" ht="15.75" x14ac:dyDescent="0.25">
      <c r="B16" s="605" t="s">
        <v>590</v>
      </c>
      <c r="C16" s="606">
        <f>Draft!$J$49</f>
        <v>118.32</v>
      </c>
      <c r="D16" s="607"/>
      <c r="E16" s="288"/>
      <c r="F16" s="5"/>
      <c r="G16" s="5"/>
      <c r="H16" s="579"/>
      <c r="I16" s="579"/>
      <c r="J16" s="579" t="s">
        <v>285</v>
      </c>
      <c r="K16" s="604">
        <f>IF(F4*0.75&gt;K17,K17,F4-K17)</f>
        <v>-5.4852000000000061</v>
      </c>
      <c r="M16" s="605" t="s">
        <v>590</v>
      </c>
      <c r="N16" s="606">
        <f>Draft!$AB$49</f>
        <v>108.08</v>
      </c>
      <c r="O16" s="607"/>
      <c r="P16" s="288"/>
      <c r="Q16" s="5"/>
      <c r="R16" s="5"/>
      <c r="S16" s="579"/>
      <c r="T16" s="579"/>
      <c r="U16" s="579" t="s">
        <v>285</v>
      </c>
      <c r="V16" s="604">
        <f>IF(Q4*0.75&gt;V17,V17,Q4-V17)</f>
        <v>4.6809999999999974</v>
      </c>
    </row>
    <row r="17" spans="2:22" ht="15.75" x14ac:dyDescent="0.25">
      <c r="B17" s="608" t="s">
        <v>591</v>
      </c>
      <c r="C17" s="609">
        <f>Draft!$J$50</f>
        <v>118.23</v>
      </c>
      <c r="D17" s="602">
        <f>IF(E17=0,K16,E17)</f>
        <v>-5.4852000000000061</v>
      </c>
      <c r="E17" s="603">
        <v>0</v>
      </c>
      <c r="F17" s="5"/>
      <c r="G17" s="5"/>
      <c r="H17" s="579"/>
      <c r="I17" s="579"/>
      <c r="J17" s="579"/>
      <c r="K17" s="579">
        <f>ROUND((IF(E17=0,IF(C11=0,0,IF(C10=0,C17,IF(C7="m",(C6-C10)*(C17-C16)/(C11-C10)+C16,(E6-C10)*(C17-C16)/(C11-C10)+C16))),E17)),4)</f>
        <v>118.23520000000001</v>
      </c>
      <c r="M17" s="608" t="s">
        <v>591</v>
      </c>
      <c r="N17" s="609">
        <f>Draft!$AB$50</f>
        <v>108.04</v>
      </c>
      <c r="O17" s="602">
        <f>IF(P17=0,V16,P17)</f>
        <v>4.6809999999999974</v>
      </c>
      <c r="P17" s="603">
        <v>0</v>
      </c>
      <c r="Q17" s="5"/>
      <c r="R17" s="5"/>
      <c r="S17" s="579"/>
      <c r="T17" s="579"/>
      <c r="U17" s="579"/>
      <c r="V17" s="579">
        <f>ROUND((IF(P17=0,IF(N11=0,0,IF(N10=0,N17,IF(N7="m",(N6-N10)*(N17-N16)/(N11-N10)+N16,(P6-N10)*(N17-N16)/(N11-N10)+N16))),P17)),4)</f>
        <v>108.069</v>
      </c>
    </row>
    <row r="21" spans="2:22" ht="15.75" x14ac:dyDescent="0.25">
      <c r="B21" s="577"/>
      <c r="C21" s="577"/>
      <c r="D21" s="577"/>
      <c r="E21" s="288" t="s">
        <v>579</v>
      </c>
      <c r="F21" s="578">
        <f>Draft!$D$11/2</f>
        <v>112.75</v>
      </c>
      <c r="G21" s="5"/>
      <c r="H21" s="579"/>
      <c r="I21" s="579"/>
      <c r="J21" s="579"/>
      <c r="K21" s="579"/>
      <c r="M21" s="577"/>
      <c r="N21" s="577"/>
      <c r="O21" s="577"/>
      <c r="P21" s="288" t="s">
        <v>579</v>
      </c>
      <c r="Q21" s="578">
        <f>Draft!$D$11/2</f>
        <v>112.75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6"/>
      <c r="C23" s="581">
        <f>Draft!$M$39</f>
        <v>5.8014653048027176</v>
      </c>
      <c r="D23" s="580" t="str">
        <f>IF(C24="m","",INT(C23))</f>
        <v/>
      </c>
      <c r="E23" s="582" t="str">
        <f>IF(C24="m","",(C23-INT(C23))*12)</f>
        <v/>
      </c>
      <c r="F23" s="580"/>
      <c r="G23" s="579"/>
      <c r="H23" s="579"/>
      <c r="I23" s="579"/>
      <c r="J23" s="579"/>
      <c r="K23" s="579"/>
      <c r="M23" s="436"/>
      <c r="N23" s="581">
        <f>Draft!$AE$39</f>
        <v>13.209983539514484</v>
      </c>
      <c r="O23" s="580" t="str">
        <f>IF(N24="m","",INT(N23))</f>
        <v/>
      </c>
      <c r="P23" s="582" t="str">
        <f>IF(N24="m","",(N23-INT(N23))*12)</f>
        <v/>
      </c>
      <c r="Q23" s="580"/>
      <c r="R23" s="579"/>
      <c r="S23" s="579"/>
      <c r="T23" s="579"/>
      <c r="U23" s="579"/>
      <c r="V23" s="579"/>
    </row>
    <row r="24" spans="2:22" ht="15.75" x14ac:dyDescent="0.25">
      <c r="B24" s="436"/>
      <c r="C24" s="580" t="s">
        <v>592</v>
      </c>
      <c r="D24" s="580" t="str">
        <f>IF(C24="m","","feet")</f>
        <v/>
      </c>
      <c r="E24" s="580" t="str">
        <f>IF(C24="m","","in")</f>
        <v/>
      </c>
      <c r="F24" s="580"/>
      <c r="G24" s="579"/>
      <c r="H24" s="579"/>
      <c r="I24" s="579"/>
      <c r="J24" s="579"/>
      <c r="K24" s="579"/>
      <c r="M24" s="436"/>
      <c r="N24" s="580" t="s">
        <v>592</v>
      </c>
      <c r="O24" s="580" t="str">
        <f>IF(N24="m","","feet")</f>
        <v/>
      </c>
      <c r="P24" s="580" t="str">
        <f>IF(N24="m","","in")</f>
        <v/>
      </c>
      <c r="Q24" s="580"/>
      <c r="R24" s="579"/>
      <c r="S24" s="579"/>
      <c r="T24" s="579"/>
      <c r="U24" s="579"/>
      <c r="V24" s="579"/>
    </row>
    <row r="25" spans="2:22" ht="19.5" thickBot="1" x14ac:dyDescent="0.3">
      <c r="B25" s="583"/>
      <c r="C25" s="580"/>
      <c r="D25" s="580"/>
      <c r="E25" s="584" t="s">
        <v>9</v>
      </c>
      <c r="F25" s="585">
        <f>Draft!$M$35</f>
        <v>0.35520796942454341</v>
      </c>
      <c r="G25" s="586" t="s">
        <v>580</v>
      </c>
      <c r="H25" s="579"/>
      <c r="I25" s="579"/>
      <c r="J25" s="579"/>
      <c r="K25" s="579"/>
      <c r="M25" s="583"/>
      <c r="N25" s="580"/>
      <c r="O25" s="580"/>
      <c r="P25" s="584" t="s">
        <v>9</v>
      </c>
      <c r="Q25" s="585">
        <f>Draft!$M$35</f>
        <v>0.35520796942454341</v>
      </c>
      <c r="R25" s="586" t="s">
        <v>580</v>
      </c>
      <c r="S25" s="579"/>
      <c r="T25" s="579"/>
      <c r="U25" s="579"/>
      <c r="V25" s="579"/>
    </row>
    <row r="26" spans="2:22" ht="17.25" thickTop="1" thickBot="1" x14ac:dyDescent="0.3">
      <c r="B26" s="587" t="s">
        <v>581</v>
      </c>
      <c r="C26" s="587" t="s">
        <v>364</v>
      </c>
      <c r="D26" s="580"/>
      <c r="E26" s="584" t="str">
        <f>Draft!$P35</f>
        <v>S</v>
      </c>
      <c r="F26" s="588">
        <f>Draft!$G$35</f>
        <v>20</v>
      </c>
      <c r="G26" s="579" t="s">
        <v>593</v>
      </c>
      <c r="H26" s="579"/>
      <c r="I26" s="579"/>
      <c r="J26" s="579"/>
      <c r="K26" s="579"/>
      <c r="M26" s="587" t="s">
        <v>581</v>
      </c>
      <c r="N26" s="587" t="s">
        <v>364</v>
      </c>
      <c r="O26" s="580"/>
      <c r="P26" s="584" t="str">
        <f>Draft!$P35</f>
        <v>S</v>
      </c>
      <c r="Q26" s="588">
        <f>Draft!$G$35</f>
        <v>20</v>
      </c>
      <c r="R26" s="579" t="s">
        <v>593</v>
      </c>
      <c r="S26" s="579"/>
      <c r="T26" s="579"/>
      <c r="U26" s="579"/>
      <c r="V26" s="579"/>
    </row>
    <row r="27" spans="2:22" ht="16.5" thickTop="1" x14ac:dyDescent="0.25">
      <c r="B27" s="583" t="s">
        <v>582</v>
      </c>
      <c r="C27" s="589">
        <f>Draft!$H$41</f>
        <v>5.7</v>
      </c>
      <c r="D27" s="590">
        <f>INT(C23*100)</f>
        <v>580</v>
      </c>
      <c r="E27" s="584"/>
      <c r="F27" s="579"/>
      <c r="G27" s="579"/>
      <c r="H27" s="579"/>
      <c r="I27" s="579"/>
      <c r="J27" s="579"/>
      <c r="K27" s="579"/>
      <c r="M27" s="583" t="s">
        <v>582</v>
      </c>
      <c r="N27" s="589">
        <f>Draft!$Z$41</f>
        <v>13.2</v>
      </c>
      <c r="O27" s="590">
        <f>INT(N23*100)</f>
        <v>1320</v>
      </c>
      <c r="P27" s="584"/>
      <c r="Q27" s="579"/>
      <c r="R27" s="579"/>
      <c r="S27" s="579"/>
      <c r="T27" s="579"/>
      <c r="U27" s="579"/>
      <c r="V27" s="579"/>
    </row>
    <row r="28" spans="2:22" ht="15.75" x14ac:dyDescent="0.25">
      <c r="B28" s="583" t="s">
        <v>583</v>
      </c>
      <c r="C28" s="589">
        <f>Draft!$H$42</f>
        <v>5.8</v>
      </c>
      <c r="D28" s="580"/>
      <c r="E28" s="584"/>
      <c r="F28" s="580"/>
      <c r="G28" s="579"/>
      <c r="H28" s="579"/>
      <c r="I28" s="579"/>
      <c r="J28" s="579"/>
      <c r="K28" s="579"/>
      <c r="M28" s="583" t="s">
        <v>583</v>
      </c>
      <c r="N28" s="589">
        <f>Draft!$Z$42</f>
        <v>13.3</v>
      </c>
      <c r="O28" s="580"/>
      <c r="P28" s="584"/>
      <c r="Q28" s="580"/>
      <c r="R28" s="579"/>
      <c r="S28" s="579"/>
      <c r="T28" s="579"/>
      <c r="U28" s="579"/>
      <c r="V28" s="579"/>
    </row>
    <row r="29" spans="2:22" ht="15.75" x14ac:dyDescent="0.25">
      <c r="B29" s="591" t="s">
        <v>584</v>
      </c>
      <c r="C29" s="592">
        <f>Draft!$J$41</f>
        <v>35059.199999999997</v>
      </c>
      <c r="D29" s="593"/>
      <c r="E29" s="594" t="s">
        <v>585</v>
      </c>
      <c r="F29" s="5"/>
      <c r="G29" s="5"/>
      <c r="H29" s="579"/>
      <c r="I29" s="579"/>
      <c r="J29" s="579" t="s">
        <v>586</v>
      </c>
      <c r="K29" s="579"/>
      <c r="M29" s="591" t="s">
        <v>584</v>
      </c>
      <c r="N29" s="592">
        <f>Draft!$AB$41</f>
        <v>86523.5</v>
      </c>
      <c r="O29" s="593"/>
      <c r="P29" s="594" t="s">
        <v>585</v>
      </c>
      <c r="Q29" s="5"/>
      <c r="R29" s="5"/>
      <c r="S29" s="579"/>
      <c r="T29" s="579"/>
      <c r="U29" s="579" t="s">
        <v>586</v>
      </c>
      <c r="V29" s="579"/>
    </row>
    <row r="30" spans="2:22" ht="15.75" x14ac:dyDescent="0.25">
      <c r="B30" s="595" t="s">
        <v>587</v>
      </c>
      <c r="C30" s="596">
        <f>Draft!$J$42</f>
        <v>35710</v>
      </c>
      <c r="D30" s="597">
        <f>IF(E30=0,K30,E30)</f>
        <v>35719.5</v>
      </c>
      <c r="E30" s="598">
        <v>0</v>
      </c>
      <c r="F30" s="5"/>
      <c r="G30" s="5"/>
      <c r="H30" s="579"/>
      <c r="I30" s="579"/>
      <c r="J30" s="579"/>
      <c r="K30" s="599">
        <f>ROUND((IF(E30=0,IF(C28=0,0,IF(C27=0,C30,IF(C24="m",(C23-C27)*(C30-C29)/(C28-C27)+C29,(E23-C27)*(C30-C29)/(C28-C27)+C29))),E30)),1)</f>
        <v>35719.5</v>
      </c>
      <c r="M30" s="595" t="s">
        <v>587</v>
      </c>
      <c r="N30" s="596">
        <f>Draft!$AB$42</f>
        <v>87243.199999999997</v>
      </c>
      <c r="O30" s="597">
        <f>IF(P30=0,V30,P30)</f>
        <v>86595.4</v>
      </c>
      <c r="P30" s="598">
        <v>0</v>
      </c>
      <c r="Q30" s="5"/>
      <c r="R30" s="5"/>
      <c r="S30" s="579"/>
      <c r="T30" s="579"/>
      <c r="U30" s="579"/>
      <c r="V30" s="599">
        <f>ROUND((IF(P30=0,IF(N28=0,0,IF(N27=0,N30,IF(N24="m",(N23-N27)*(N30-N29)/(N28-N27)+N29,(P23-N27)*(N30-N29)/(N28-N27)+N29))),P30)),1)</f>
        <v>86595.4</v>
      </c>
    </row>
    <row r="31" spans="2:22" ht="15.75" x14ac:dyDescent="0.25">
      <c r="B31" s="591" t="s">
        <v>588</v>
      </c>
      <c r="C31" s="600">
        <f>Draft!$J$45</f>
        <v>65</v>
      </c>
      <c r="D31" s="601"/>
      <c r="E31" s="288"/>
      <c r="F31" s="5"/>
      <c r="G31" s="5"/>
      <c r="H31" s="579"/>
      <c r="I31" s="579"/>
      <c r="J31" s="579" t="s">
        <v>135</v>
      </c>
      <c r="K31" s="579"/>
      <c r="M31" s="591" t="s">
        <v>588</v>
      </c>
      <c r="N31" s="600">
        <f>Draft!$AB$45</f>
        <v>71.900000000000006</v>
      </c>
      <c r="O31" s="601"/>
      <c r="P31" s="288"/>
      <c r="Q31" s="5"/>
      <c r="R31" s="5"/>
      <c r="S31" s="579"/>
      <c r="T31" s="579"/>
      <c r="U31" s="579" t="s">
        <v>135</v>
      </c>
      <c r="V31" s="579"/>
    </row>
    <row r="32" spans="2:22" ht="15.75" x14ac:dyDescent="0.25">
      <c r="B32" s="583" t="s">
        <v>589</v>
      </c>
      <c r="C32" s="600">
        <f>Draft!$J$46</f>
        <v>65.099999999999994</v>
      </c>
      <c r="D32" s="602">
        <f>IF(E32=0,K32,E32)</f>
        <v>65.101500000000001</v>
      </c>
      <c r="E32" s="603">
        <v>0</v>
      </c>
      <c r="F32" s="5"/>
      <c r="G32" s="5"/>
      <c r="H32" s="579"/>
      <c r="I32" s="579"/>
      <c r="J32" s="579"/>
      <c r="K32" s="604">
        <f>ROUND((IF(E32=0,IF(C28=0,0,IF(C27=0,C32,IF(C24="m",(C23-C27)*(C32-C31)/(C28-C27)+C31,(E23-C27)*(C32-C31)/(C28-C27)+C31))),E32)),4)</f>
        <v>65.101500000000001</v>
      </c>
      <c r="M32" s="583" t="s">
        <v>589</v>
      </c>
      <c r="N32" s="600">
        <f>Draft!$AB$46</f>
        <v>72</v>
      </c>
      <c r="O32" s="602">
        <f>IF(P32=0,V32,P32)</f>
        <v>71.91</v>
      </c>
      <c r="P32" s="603">
        <v>0</v>
      </c>
      <c r="Q32" s="5"/>
      <c r="R32" s="5"/>
      <c r="S32" s="579"/>
      <c r="T32" s="579"/>
      <c r="U32" s="579"/>
      <c r="V32" s="604">
        <f>ROUND((IF(P32=0,IF(N28=0,0,IF(N27=0,N32,IF(N24="m",(N23-N27)*(N32-N31)/(N28-N27)+N31,(P23-N27)*(N32-N31)/(N28-N27)+N31))),P32)),4)</f>
        <v>71.91</v>
      </c>
    </row>
    <row r="33" spans="2:22" ht="15.75" x14ac:dyDescent="0.25">
      <c r="B33" s="605" t="s">
        <v>590</v>
      </c>
      <c r="C33" s="606">
        <f>Draft!$J$49</f>
        <v>118.32</v>
      </c>
      <c r="D33" s="607"/>
      <c r="E33" s="288"/>
      <c r="F33" s="5"/>
      <c r="G33" s="5"/>
      <c r="H33" s="579"/>
      <c r="I33" s="579"/>
      <c r="J33" s="579" t="s">
        <v>285</v>
      </c>
      <c r="K33" s="604">
        <f>IF(F21*0.75&gt;K34,K34,F21-K34)</f>
        <v>-5.4787000000000035</v>
      </c>
      <c r="M33" s="605" t="s">
        <v>590</v>
      </c>
      <c r="N33" s="606">
        <f>Draft!$AB$49</f>
        <v>108.08</v>
      </c>
      <c r="O33" s="607"/>
      <c r="P33" s="288"/>
      <c r="Q33" s="5"/>
      <c r="R33" s="5"/>
      <c r="S33" s="579"/>
      <c r="T33" s="579"/>
      <c r="U33" s="579" t="s">
        <v>285</v>
      </c>
      <c r="V33" s="604">
        <f>IF(Q21*0.75&gt;V34,V34,Q21-V34)</f>
        <v>4.6740000000000066</v>
      </c>
    </row>
    <row r="34" spans="2:22" ht="15.75" x14ac:dyDescent="0.25">
      <c r="B34" s="608" t="s">
        <v>591</v>
      </c>
      <c r="C34" s="609">
        <f>Draft!$J$50</f>
        <v>118.23</v>
      </c>
      <c r="D34" s="602">
        <f>IF(E34=0,K33,E34)</f>
        <v>-5.4787000000000035</v>
      </c>
      <c r="E34" s="603">
        <v>0</v>
      </c>
      <c r="F34" s="5"/>
      <c r="G34" s="5"/>
      <c r="H34" s="579"/>
      <c r="I34" s="579"/>
      <c r="J34" s="579"/>
      <c r="K34" s="579">
        <f>ROUND((IF(E34=0,IF(C28=0,0,IF(C27=0,C34,IF(C24="m",(C23-C27)*(C34-C33)/(C28-C27)+C33,(E23-C27)*(C34-C33)/(C28-C27)+C33))),E34)),4)</f>
        <v>118.2287</v>
      </c>
      <c r="M34" s="608" t="s">
        <v>591</v>
      </c>
      <c r="N34" s="609">
        <f>Draft!$AB$50</f>
        <v>108.04</v>
      </c>
      <c r="O34" s="602">
        <f>IF(P34=0,V33,P34)</f>
        <v>4.6740000000000066</v>
      </c>
      <c r="P34" s="603">
        <v>0</v>
      </c>
      <c r="Q34" s="5"/>
      <c r="R34" s="5"/>
      <c r="S34" s="579"/>
      <c r="T34" s="579"/>
      <c r="U34" s="579"/>
      <c r="V34" s="579">
        <f>ROUND((IF(P34=0,IF(N28=0,0,IF(N27=0,N34,IF(N24="m",(N23-N27)*(N34-N33)/(N28-N27)+N33,(P23-N27)*(N34-N33)/(N28-N27)+N33))),P34)),4)</f>
        <v>108.07599999999999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I9" sqref="I9"/>
    </sheetView>
  </sheetViews>
  <sheetFormatPr defaultColWidth="9.140625" defaultRowHeight="12.75" x14ac:dyDescent="0.2"/>
  <cols>
    <col min="1" max="1" width="20" style="90" bestFit="1" customWidth="1"/>
    <col min="2" max="9" width="13.7109375" style="90" customWidth="1"/>
    <col min="10" max="16384" width="9.140625" style="90"/>
  </cols>
  <sheetData>
    <row r="2" spans="1:14" x14ac:dyDescent="0.2">
      <c r="A2" s="90" t="str">
        <f>Relato!A168</f>
        <v>PGUA/DS/106/26</v>
      </c>
    </row>
    <row r="4" spans="1:14" ht="15.75" x14ac:dyDescent="0.25">
      <c r="A4" s="622" t="s">
        <v>327</v>
      </c>
      <c r="B4" s="1139" t="str">
        <f>CAPA!$B$8</f>
        <v>Wen De</v>
      </c>
      <c r="C4" s="1139"/>
      <c r="D4" s="1139"/>
      <c r="E4" s="18"/>
      <c r="F4" s="18"/>
      <c r="G4" s="18"/>
      <c r="H4" s="18"/>
      <c r="I4" s="18"/>
      <c r="J4" s="18"/>
      <c r="K4" s="18"/>
      <c r="L4" s="623"/>
      <c r="M4" s="623"/>
      <c r="N4" s="623"/>
    </row>
    <row r="5" spans="1:14" ht="15.75" x14ac:dyDescent="0.25">
      <c r="A5" s="622" t="s">
        <v>328</v>
      </c>
      <c r="B5" s="1139" t="str">
        <f>CAPA!$A$41</f>
        <v>ALPHAMAR AGÊNCIA MARITIMA LTDA</v>
      </c>
      <c r="C5" s="1139"/>
      <c r="D5" s="1139"/>
      <c r="E5" s="18"/>
      <c r="F5" s="18"/>
      <c r="G5" s="18"/>
      <c r="H5" s="18"/>
      <c r="I5" s="18"/>
      <c r="J5" s="18"/>
      <c r="K5" s="18"/>
      <c r="L5" s="623"/>
      <c r="M5" s="623"/>
      <c r="N5" s="623"/>
    </row>
    <row r="6" spans="1:14" ht="15.75" x14ac:dyDescent="0.25">
      <c r="A6" s="622" t="s">
        <v>329</v>
      </c>
      <c r="B6" s="1139" t="str">
        <f>CAPA!$A$43</f>
        <v>ALPHAMAR AGÊNCIA MARITIMA LTDA</v>
      </c>
      <c r="C6" s="1139"/>
      <c r="D6" s="1139"/>
      <c r="E6" s="18"/>
      <c r="F6" s="18"/>
      <c r="G6" s="18"/>
      <c r="H6" s="18"/>
      <c r="I6" s="18"/>
      <c r="J6" s="18"/>
      <c r="K6" s="18"/>
      <c r="L6" s="623"/>
      <c r="M6" s="623"/>
      <c r="N6" s="623"/>
    </row>
    <row r="7" spans="1:14" ht="15.75" x14ac:dyDescent="0.25">
      <c r="A7" s="622" t="s">
        <v>330</v>
      </c>
      <c r="B7" s="1140">
        <f>Draft!$X$4</f>
        <v>46117</v>
      </c>
      <c r="C7" s="1140"/>
      <c r="D7" s="1140"/>
      <c r="E7" s="18"/>
      <c r="F7" s="18"/>
      <c r="G7" s="18"/>
      <c r="H7" s="18"/>
      <c r="I7" s="18"/>
      <c r="J7" s="18"/>
      <c r="K7" s="18"/>
      <c r="L7" s="623"/>
      <c r="M7" s="1142" t="s">
        <v>282</v>
      </c>
      <c r="N7" s="1143"/>
    </row>
    <row r="8" spans="1:14" ht="15.75" x14ac:dyDescent="0.25">
      <c r="A8" s="622" t="s">
        <v>331</v>
      </c>
      <c r="B8" s="1141">
        <f>($I$27)</f>
        <v>70069.13</v>
      </c>
      <c r="C8" s="1141"/>
      <c r="D8" s="1141"/>
      <c r="E8" s="18"/>
      <c r="F8" s="18"/>
      <c r="G8" s="18"/>
      <c r="H8" s="18"/>
      <c r="I8" s="18"/>
      <c r="J8" s="18"/>
      <c r="K8" s="18"/>
      <c r="L8" s="623"/>
      <c r="M8" s="1144"/>
      <c r="N8" s="1145"/>
    </row>
    <row r="9" spans="1:14" ht="15.75" x14ac:dyDescent="0.25">
      <c r="A9" s="622" t="s">
        <v>332</v>
      </c>
      <c r="B9" s="1141">
        <f>IF($M$9="SIM",Draft!$AF$77,Draft!$Z$77)</f>
        <v>70092.861594392569</v>
      </c>
      <c r="C9" s="1141"/>
      <c r="D9" s="1141"/>
      <c r="E9" s="18"/>
      <c r="F9" s="18"/>
      <c r="G9" s="18"/>
      <c r="H9" s="18"/>
      <c r="I9" s="18"/>
      <c r="J9" s="18"/>
      <c r="K9" s="18"/>
      <c r="L9" s="623"/>
      <c r="M9" s="1146" t="s">
        <v>318</v>
      </c>
      <c r="N9" s="1147"/>
    </row>
    <row r="10" spans="1:14" ht="15.75" x14ac:dyDescent="0.25">
      <c r="A10" s="622" t="s">
        <v>333</v>
      </c>
      <c r="B10" s="1141">
        <f>(-$B$8+$B$9)</f>
        <v>23.731594392564148</v>
      </c>
      <c r="C10" s="1141"/>
      <c r="D10" s="1141"/>
      <c r="E10" s="18"/>
      <c r="F10" s="18"/>
      <c r="G10" s="18"/>
      <c r="H10" s="18"/>
      <c r="I10" s="18"/>
      <c r="J10" s="18"/>
      <c r="K10" s="18"/>
      <c r="L10" s="623"/>
      <c r="M10" s="1148"/>
      <c r="N10" s="1149"/>
    </row>
    <row r="11" spans="1:14" ht="15.75" x14ac:dyDescent="0.25">
      <c r="A11" s="622" t="s">
        <v>334</v>
      </c>
      <c r="B11" s="1150">
        <f>($B$10/$B$8)</f>
        <v>3.3868829815018604E-4</v>
      </c>
      <c r="C11" s="1150"/>
      <c r="D11" s="1150"/>
      <c r="E11" s="18"/>
      <c r="F11" s="18"/>
      <c r="G11" s="18"/>
      <c r="H11" s="18"/>
      <c r="I11" s="18"/>
      <c r="J11" s="18"/>
      <c r="K11" s="18"/>
      <c r="L11" s="623"/>
      <c r="M11" s="623"/>
      <c r="N11" s="623"/>
    </row>
    <row r="12" spans="1:14" ht="15.75" x14ac:dyDescent="0.25">
      <c r="A12" s="622" t="s">
        <v>335</v>
      </c>
      <c r="B12" s="1151" t="s">
        <v>336</v>
      </c>
      <c r="C12" s="1151"/>
      <c r="D12" s="1151"/>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337</v>
      </c>
      <c r="B14" s="703">
        <v>1</v>
      </c>
      <c r="C14" s="703">
        <v>2</v>
      </c>
      <c r="D14" s="703">
        <v>3</v>
      </c>
      <c r="E14" s="703">
        <v>4</v>
      </c>
      <c r="F14" s="703">
        <v>5</v>
      </c>
      <c r="G14" s="703">
        <v>6</v>
      </c>
      <c r="H14" s="703">
        <v>7</v>
      </c>
      <c r="I14" s="703" t="s">
        <v>14</v>
      </c>
      <c r="J14" s="18"/>
      <c r="K14" s="18"/>
      <c r="L14" s="623"/>
      <c r="M14" s="623"/>
      <c r="N14" s="623"/>
    </row>
    <row r="15" spans="1:14" ht="15.75" x14ac:dyDescent="0.25">
      <c r="A15" s="622" t="s">
        <v>338</v>
      </c>
      <c r="B15" s="704" t="s">
        <v>768</v>
      </c>
      <c r="C15" s="704" t="s">
        <v>768</v>
      </c>
      <c r="D15" s="704" t="s">
        <v>768</v>
      </c>
      <c r="E15" s="704" t="s">
        <v>768</v>
      </c>
      <c r="F15" s="704" t="s">
        <v>768</v>
      </c>
      <c r="G15" s="704" t="s">
        <v>768</v>
      </c>
      <c r="H15" s="704" t="s">
        <v>768</v>
      </c>
      <c r="I15" s="704"/>
      <c r="J15" s="18"/>
      <c r="K15" s="18"/>
      <c r="L15" s="623"/>
      <c r="M15" s="623"/>
      <c r="N15" s="623"/>
    </row>
    <row r="16" spans="1:14" s="728" customFormat="1" ht="15.75" x14ac:dyDescent="0.25">
      <c r="A16" s="725" t="s">
        <v>339</v>
      </c>
      <c r="B16" s="726">
        <v>2935.65</v>
      </c>
      <c r="C16" s="726"/>
      <c r="D16" s="726">
        <v>1788.63</v>
      </c>
      <c r="E16" s="726">
        <v>3500</v>
      </c>
      <c r="F16" s="726"/>
      <c r="G16" s="726"/>
      <c r="H16" s="726">
        <v>1775.72</v>
      </c>
      <c r="I16" s="726">
        <f t="shared" ref="I16:I26" si="0">SUM(B16:H16)</f>
        <v>10000</v>
      </c>
      <c r="J16" s="189"/>
      <c r="K16" s="189"/>
      <c r="L16" s="727"/>
      <c r="M16" s="727"/>
      <c r="N16" s="727"/>
    </row>
    <row r="17" spans="1:14" s="728" customFormat="1" ht="15.75" x14ac:dyDescent="0.25">
      <c r="A17" s="725" t="s">
        <v>731</v>
      </c>
      <c r="B17" s="726">
        <v>5016.96</v>
      </c>
      <c r="C17" s="726">
        <v>3318.0749999999998</v>
      </c>
      <c r="D17" s="726"/>
      <c r="E17" s="726">
        <v>1664.9649999999999</v>
      </c>
      <c r="F17" s="726"/>
      <c r="G17" s="726"/>
      <c r="H17" s="726"/>
      <c r="I17" s="726">
        <f t="shared" si="0"/>
        <v>10000</v>
      </c>
      <c r="J17" s="189"/>
      <c r="K17" s="189"/>
      <c r="L17" s="727"/>
      <c r="M17" s="727"/>
      <c r="N17" s="727"/>
    </row>
    <row r="18" spans="1:14" ht="15.75" x14ac:dyDescent="0.25">
      <c r="A18" s="622" t="s">
        <v>732</v>
      </c>
      <c r="B18" s="704"/>
      <c r="C18" s="704"/>
      <c r="D18" s="704"/>
      <c r="E18" s="704"/>
      <c r="F18" s="704"/>
      <c r="G18" s="704"/>
      <c r="H18" s="704"/>
      <c r="I18" s="704">
        <f t="shared" si="0"/>
        <v>0</v>
      </c>
      <c r="J18" s="18"/>
      <c r="K18" s="18"/>
      <c r="L18" s="623"/>
      <c r="M18" s="623"/>
      <c r="N18" s="623"/>
    </row>
    <row r="19" spans="1:14" ht="15.75" x14ac:dyDescent="0.25">
      <c r="A19" s="622" t="s">
        <v>733</v>
      </c>
      <c r="B19" s="704"/>
      <c r="C19" s="704"/>
      <c r="D19" s="704"/>
      <c r="E19" s="704"/>
      <c r="F19" s="704"/>
      <c r="G19" s="704"/>
      <c r="H19" s="704"/>
      <c r="I19" s="704">
        <f t="shared" si="0"/>
        <v>0</v>
      </c>
      <c r="J19" s="18"/>
      <c r="K19" s="18"/>
      <c r="L19" s="623"/>
      <c r="M19" s="623"/>
      <c r="N19" s="623"/>
    </row>
    <row r="20" spans="1:14" s="728" customFormat="1" ht="15.75" x14ac:dyDescent="0.25">
      <c r="A20" s="725" t="s">
        <v>734</v>
      </c>
      <c r="B20" s="726">
        <v>956.53</v>
      </c>
      <c r="C20" s="726">
        <v>4013.02</v>
      </c>
      <c r="D20" s="726">
        <v>7478.27</v>
      </c>
      <c r="E20" s="726"/>
      <c r="F20" s="726"/>
      <c r="G20" s="726"/>
      <c r="H20" s="726">
        <v>1121.31</v>
      </c>
      <c r="I20" s="726">
        <f t="shared" si="0"/>
        <v>13569.13</v>
      </c>
      <c r="J20" s="189"/>
      <c r="K20" s="189"/>
      <c r="L20" s="727"/>
      <c r="M20" s="727"/>
      <c r="N20" s="727"/>
    </row>
    <row r="21" spans="1:14" s="728" customFormat="1" ht="15.75" x14ac:dyDescent="0.25">
      <c r="A21" s="725" t="s">
        <v>340</v>
      </c>
      <c r="B21" s="726"/>
      <c r="C21" s="726">
        <v>3010.5</v>
      </c>
      <c r="D21" s="726">
        <v>1488.86</v>
      </c>
      <c r="E21" s="726">
        <v>4500.6400000000003</v>
      </c>
      <c r="F21" s="726"/>
      <c r="G21" s="726"/>
      <c r="H21" s="726"/>
      <c r="I21" s="726">
        <f t="shared" si="0"/>
        <v>9000</v>
      </c>
      <c r="J21" s="189"/>
      <c r="K21" s="189"/>
      <c r="L21" s="727"/>
      <c r="M21" s="727"/>
      <c r="N21" s="727"/>
    </row>
    <row r="22" spans="1:14" s="728" customFormat="1" ht="15.75" x14ac:dyDescent="0.25">
      <c r="A22" s="725" t="s">
        <v>342</v>
      </c>
      <c r="B22" s="726"/>
      <c r="C22" s="726"/>
      <c r="D22" s="726"/>
      <c r="E22" s="726"/>
      <c r="F22" s="726">
        <v>3612.5549999999998</v>
      </c>
      <c r="G22" s="726"/>
      <c r="H22" s="726">
        <v>1387.4449999999999</v>
      </c>
      <c r="I22" s="726">
        <f t="shared" si="0"/>
        <v>5000</v>
      </c>
      <c r="J22" s="189"/>
      <c r="K22" s="189"/>
      <c r="L22" s="727"/>
      <c r="M22" s="727"/>
      <c r="N22" s="727"/>
    </row>
    <row r="23" spans="1:14" ht="15.75" x14ac:dyDescent="0.25">
      <c r="A23" s="622" t="s">
        <v>343</v>
      </c>
      <c r="B23" s="704"/>
      <c r="C23" s="704"/>
      <c r="D23" s="704"/>
      <c r="E23" s="704"/>
      <c r="F23" s="704"/>
      <c r="G23" s="704"/>
      <c r="H23" s="704"/>
      <c r="I23" s="704">
        <f t="shared" si="0"/>
        <v>0</v>
      </c>
      <c r="J23" s="18"/>
      <c r="K23" s="18"/>
      <c r="L23" s="623"/>
      <c r="M23" s="623"/>
      <c r="N23" s="623"/>
    </row>
    <row r="24" spans="1:14" s="728" customFormat="1" ht="15.75" x14ac:dyDescent="0.25">
      <c r="A24" s="725" t="s">
        <v>346</v>
      </c>
      <c r="B24" s="726"/>
      <c r="C24" s="726"/>
      <c r="D24" s="726"/>
      <c r="E24" s="726"/>
      <c r="F24" s="726">
        <v>6001.5950000000003</v>
      </c>
      <c r="G24" s="726">
        <v>5999.8850000000002</v>
      </c>
      <c r="H24" s="726">
        <v>2498.52</v>
      </c>
      <c r="I24" s="726">
        <f t="shared" si="0"/>
        <v>14500</v>
      </c>
      <c r="J24" s="189"/>
      <c r="K24" s="189"/>
      <c r="L24" s="727"/>
      <c r="M24" s="727"/>
      <c r="N24" s="727"/>
    </row>
    <row r="25" spans="1:14" ht="15.75" x14ac:dyDescent="0.25">
      <c r="A25" s="622" t="s">
        <v>347</v>
      </c>
      <c r="B25" s="704"/>
      <c r="C25" s="704"/>
      <c r="D25" s="704"/>
      <c r="E25" s="704"/>
      <c r="F25" s="704"/>
      <c r="G25" s="704"/>
      <c r="H25" s="704"/>
      <c r="I25" s="704">
        <f t="shared" si="0"/>
        <v>0</v>
      </c>
      <c r="J25" s="18"/>
      <c r="K25" s="18"/>
      <c r="L25" s="623"/>
      <c r="M25" s="623"/>
      <c r="N25" s="623"/>
    </row>
    <row r="26" spans="1:14" s="728" customFormat="1" ht="15.75" x14ac:dyDescent="0.25">
      <c r="A26" s="725" t="s">
        <v>349</v>
      </c>
      <c r="B26" s="726"/>
      <c r="C26" s="726"/>
      <c r="D26" s="726"/>
      <c r="E26" s="726"/>
      <c r="F26" s="726">
        <v>703.125</v>
      </c>
      <c r="G26" s="726">
        <v>4299.2250000000004</v>
      </c>
      <c r="H26" s="726">
        <v>2997.65</v>
      </c>
      <c r="I26" s="726">
        <f t="shared" si="0"/>
        <v>8000</v>
      </c>
      <c r="J26" s="189"/>
      <c r="K26" s="189"/>
      <c r="L26" s="727"/>
      <c r="M26" s="727"/>
      <c r="N26" s="727"/>
    </row>
    <row r="27" spans="1:14" s="728" customFormat="1" ht="15.75" x14ac:dyDescent="0.25">
      <c r="A27" s="725" t="s">
        <v>14</v>
      </c>
      <c r="B27" s="726">
        <f t="shared" ref="B27:H27" si="1">SUM(B16:B26)</f>
        <v>8909.1400000000012</v>
      </c>
      <c r="C27" s="726">
        <f t="shared" si="1"/>
        <v>10341.594999999999</v>
      </c>
      <c r="D27" s="726">
        <f t="shared" si="1"/>
        <v>10755.760000000002</v>
      </c>
      <c r="E27" s="726">
        <f t="shared" si="1"/>
        <v>9665.6049999999996</v>
      </c>
      <c r="F27" s="726">
        <f t="shared" si="1"/>
        <v>10317.275</v>
      </c>
      <c r="G27" s="726">
        <f t="shared" si="1"/>
        <v>10299.11</v>
      </c>
      <c r="H27" s="726">
        <f t="shared" si="1"/>
        <v>9780.6449999999986</v>
      </c>
      <c r="I27" s="726">
        <f>SUM(I15:I26)</f>
        <v>70069.13</v>
      </c>
      <c r="J27" s="189"/>
      <c r="K27" s="189"/>
      <c r="L27" s="727"/>
      <c r="M27" s="727"/>
      <c r="N27" s="727"/>
    </row>
    <row r="28" spans="1:14" ht="15.75" x14ac:dyDescent="0.25">
      <c r="A28" s="622" t="s">
        <v>350</v>
      </c>
      <c r="B28" s="705">
        <v>438817</v>
      </c>
      <c r="C28" s="705">
        <v>497814</v>
      </c>
      <c r="D28" s="705">
        <v>519772</v>
      </c>
      <c r="E28" s="705">
        <v>474905</v>
      </c>
      <c r="F28" s="705">
        <v>499014</v>
      </c>
      <c r="G28" s="705">
        <v>497867</v>
      </c>
      <c r="H28" s="705">
        <v>501712</v>
      </c>
      <c r="I28" s="703"/>
      <c r="J28" s="18"/>
      <c r="K28" s="18"/>
      <c r="L28" s="623"/>
      <c r="M28" s="623"/>
      <c r="N28" s="623"/>
    </row>
    <row r="29" spans="1:14" ht="15.75" x14ac:dyDescent="0.25">
      <c r="A29" s="622" t="s">
        <v>351</v>
      </c>
      <c r="B29" s="706">
        <f>(B28/B27)</f>
        <v>49.254697984317225</v>
      </c>
      <c r="C29" s="706">
        <f t="shared" ref="C29:H29" si="2">(C28/C27)</f>
        <v>48.137062029599889</v>
      </c>
      <c r="D29" s="706">
        <f t="shared" si="2"/>
        <v>48.324990516709178</v>
      </c>
      <c r="E29" s="706">
        <f t="shared" si="2"/>
        <v>49.133499661945635</v>
      </c>
      <c r="F29" s="706">
        <f t="shared" si="2"/>
        <v>48.366841050568105</v>
      </c>
      <c r="G29" s="706">
        <f t="shared" si="2"/>
        <v>48.340778960512118</v>
      </c>
      <c r="H29" s="706">
        <f t="shared" si="2"/>
        <v>51.296412455415783</v>
      </c>
      <c r="I29" s="703"/>
      <c r="J29" s="18"/>
      <c r="K29" s="18"/>
      <c r="L29" s="623"/>
      <c r="M29" s="623"/>
      <c r="N29" s="623"/>
    </row>
    <row r="30" spans="1:14" ht="15.75" x14ac:dyDescent="0.25">
      <c r="A30" s="707" t="s">
        <v>352</v>
      </c>
      <c r="B30" s="705" t="s">
        <v>767</v>
      </c>
      <c r="C30" s="705" t="s">
        <v>767</v>
      </c>
      <c r="D30" s="705" t="s">
        <v>767</v>
      </c>
      <c r="E30" s="705" t="s">
        <v>767</v>
      </c>
      <c r="F30" s="705" t="s">
        <v>767</v>
      </c>
      <c r="G30" s="705" t="s">
        <v>767</v>
      </c>
      <c r="H30" s="705" t="s">
        <v>767</v>
      </c>
      <c r="I30" s="705"/>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8" t="s">
        <v>353</v>
      </c>
      <c r="B32" s="709"/>
      <c r="C32" s="709"/>
      <c r="D32" s="709"/>
      <c r="E32" s="709"/>
      <c r="F32" s="709"/>
      <c r="G32" s="709"/>
      <c r="H32" s="709"/>
      <c r="I32" s="710"/>
      <c r="J32" s="18"/>
      <c r="K32" s="18"/>
      <c r="L32" s="623"/>
      <c r="M32" s="623"/>
      <c r="N32" s="623"/>
    </row>
    <row r="33" spans="1:14" ht="15.75" x14ac:dyDescent="0.25">
      <c r="A33" s="711"/>
      <c r="B33" s="712"/>
      <c r="C33" s="712"/>
      <c r="D33" s="712"/>
      <c r="E33" s="712"/>
      <c r="F33" s="712"/>
      <c r="G33" s="712"/>
      <c r="H33" s="712"/>
      <c r="I33" s="713"/>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3" customWidth="1"/>
    <col min="19" max="16384" width="12.7109375" style="93"/>
  </cols>
  <sheetData>
    <row r="1" spans="1:18" ht="27" customHeight="1" x14ac:dyDescent="0.2">
      <c r="A1" s="91" t="s">
        <v>109</v>
      </c>
      <c r="B1" s="91"/>
      <c r="C1" s="91"/>
      <c r="D1" s="91" t="s">
        <v>354</v>
      </c>
      <c r="E1" s="91"/>
      <c r="F1" s="91"/>
      <c r="G1" s="92"/>
      <c r="H1" s="91"/>
      <c r="K1" s="91" t="s">
        <v>109</v>
      </c>
      <c r="L1" s="91"/>
      <c r="M1" s="91"/>
      <c r="N1" s="91" t="s">
        <v>354</v>
      </c>
      <c r="O1" s="91"/>
      <c r="P1" s="91"/>
      <c r="Q1" s="92"/>
      <c r="R1" s="91"/>
    </row>
    <row r="2" spans="1:18" s="101" customFormat="1" ht="12.75" customHeight="1" thickBot="1" x14ac:dyDescent="0.3">
      <c r="A2" s="94" t="s">
        <v>355</v>
      </c>
      <c r="B2" s="95" t="s">
        <v>356</v>
      </c>
      <c r="C2" s="96" t="s">
        <v>357</v>
      </c>
      <c r="D2" s="97" t="s">
        <v>358</v>
      </c>
      <c r="E2" s="97"/>
      <c r="F2" s="98" t="s">
        <v>359</v>
      </c>
      <c r="G2" s="99" t="s">
        <v>360</v>
      </c>
      <c r="H2" s="100" t="s">
        <v>361</v>
      </c>
      <c r="K2" s="94" t="s">
        <v>355</v>
      </c>
      <c r="L2" s="95" t="s">
        <v>356</v>
      </c>
      <c r="M2" s="96" t="s">
        <v>357</v>
      </c>
      <c r="N2" s="97" t="s">
        <v>358</v>
      </c>
      <c r="O2" s="97"/>
      <c r="P2" s="98" t="s">
        <v>359</v>
      </c>
      <c r="Q2" s="99" t="s">
        <v>360</v>
      </c>
      <c r="R2" s="100" t="s">
        <v>361</v>
      </c>
    </row>
    <row r="3" spans="1:18" s="101" customFormat="1" ht="12.75" customHeight="1" thickTop="1" thickBot="1" x14ac:dyDescent="0.3">
      <c r="A3" s="102"/>
      <c r="B3" s="103" t="s">
        <v>362</v>
      </c>
      <c r="C3" s="104" t="s">
        <v>363</v>
      </c>
      <c r="D3" s="105">
        <v>1</v>
      </c>
      <c r="E3" s="105">
        <v>2</v>
      </c>
      <c r="F3" s="106">
        <f>Draft!$P$29</f>
        <v>2.7376000000000005</v>
      </c>
      <c r="G3" s="107"/>
      <c r="H3" s="108" t="s">
        <v>364</v>
      </c>
      <c r="I3" s="109"/>
      <c r="K3" s="102"/>
      <c r="L3" s="103" t="s">
        <v>362</v>
      </c>
      <c r="M3" s="104" t="s">
        <v>363</v>
      </c>
      <c r="N3" s="105">
        <v>1</v>
      </c>
      <c r="O3" s="105">
        <v>2</v>
      </c>
      <c r="P3" s="106">
        <f>Draft!$AH$29</f>
        <v>3.3400000000000318E-2</v>
      </c>
      <c r="Q3" s="107"/>
      <c r="R3" s="108" t="s">
        <v>364</v>
      </c>
    </row>
    <row r="4" spans="1:18" ht="12.75" customHeight="1" thickTop="1" thickBot="1" x14ac:dyDescent="0.3">
      <c r="A4" s="110" t="str">
        <f>Relato!$A$224</f>
        <v>F.PK</v>
      </c>
      <c r="B4" s="1154">
        <f>Relato!$G$224</f>
        <v>4.59</v>
      </c>
      <c r="C4" s="111">
        <f>ROUNDDOWN(B4,1)</f>
        <v>4.5</v>
      </c>
      <c r="D4" s="112"/>
      <c r="E4" s="112"/>
      <c r="F4" s="113">
        <f>IF(E4="",D4,ROUND((((E6-D6)/($E$3-$D$3))*($F$3-$D$3))+D6,1))</f>
        <v>0</v>
      </c>
      <c r="G4" s="114">
        <v>1.0249999999999999</v>
      </c>
      <c r="H4" s="115">
        <f>ROUND(F4*G4,1)</f>
        <v>0</v>
      </c>
      <c r="K4" s="110" t="str">
        <f>Relato!$A$224</f>
        <v>F.PK</v>
      </c>
      <c r="L4" s="1154">
        <f>Relato!$D$244</f>
        <v>0.01</v>
      </c>
      <c r="M4" s="111">
        <f>ROUNDDOWN(L4,1)</f>
        <v>0</v>
      </c>
      <c r="N4" s="112"/>
      <c r="O4" s="112"/>
      <c r="P4" s="113">
        <f>IF(O4="",N4,ROUND((((O6-N6)/($E$3-$D$3))*($F$3-$D$3))+N6,1))</f>
        <v>0</v>
      </c>
      <c r="Q4" s="114">
        <v>1.0249999999999999</v>
      </c>
      <c r="R4" s="115">
        <f>ROUND(P4*Q4,1)</f>
        <v>0</v>
      </c>
    </row>
    <row r="5" spans="1:18" ht="12.75" customHeight="1" thickTop="1" x14ac:dyDescent="0.25">
      <c r="A5" s="110"/>
      <c r="B5" s="1154"/>
      <c r="C5" s="111">
        <f>IF(ROUNDUP(B4,1)=C4,"",ROUNDUP(B4,1))</f>
        <v>4.5999999999999996</v>
      </c>
      <c r="D5" s="112"/>
      <c r="E5" s="112"/>
      <c r="F5" s="117" t="str">
        <f>IF(E4="","full","slack")</f>
        <v>full</v>
      </c>
      <c r="G5" s="113"/>
      <c r="H5" s="115"/>
      <c r="I5" s="116"/>
      <c r="K5" s="110"/>
      <c r="L5" s="1154"/>
      <c r="M5" s="111">
        <f>IF(ROUNDUP(L4,1)=M4,"",ROUNDUP(L4,1))</f>
        <v>0.1</v>
      </c>
      <c r="N5" s="112"/>
      <c r="O5" s="112"/>
      <c r="P5" s="117" t="str">
        <f>IF(O4="","full","slack")</f>
        <v>full</v>
      </c>
      <c r="Q5" s="113"/>
      <c r="R5" s="115"/>
    </row>
    <row r="6" spans="1:18" ht="12.75" customHeight="1" x14ac:dyDescent="0.25">
      <c r="A6" s="118"/>
      <c r="B6" s="119"/>
      <c r="C6" s="120"/>
      <c r="D6" s="121">
        <f>IF(D5="",D4,(((D5-D4)/(C5-C4))*(B4-C4))+D4)</f>
        <v>0</v>
      </c>
      <c r="E6" s="121">
        <f>IF(E5="",E4,(((E5-E4)/(C5-C4))*(B4-C4))+E4)</f>
        <v>0</v>
      </c>
      <c r="F6" s="122"/>
      <c r="G6" s="122"/>
      <c r="H6" s="123"/>
      <c r="K6" s="118"/>
      <c r="L6" s="119"/>
      <c r="M6" s="120"/>
      <c r="N6" s="121">
        <f>IF(N5="",N4,(((N5-N4)/(M5-M4))*(L4-M4))+N4)</f>
        <v>0</v>
      </c>
      <c r="O6" s="121">
        <f>IF(O5="",O4,(((O5-O4)/(M5-M4))*(L4-M4))+O4)</f>
        <v>0</v>
      </c>
      <c r="P6" s="122"/>
      <c r="Q6" s="122"/>
      <c r="R6" s="123"/>
    </row>
    <row r="7" spans="1:18" ht="12.75" customHeight="1" x14ac:dyDescent="0.25">
      <c r="A7" s="124" t="str">
        <f>Relato!$A$225</f>
        <v>1 WBT (P)</v>
      </c>
      <c r="B7" s="1154">
        <f>Relato!$G$225</f>
        <v>19.850000000000001</v>
      </c>
      <c r="C7" s="111">
        <f>ROUNDDOWN(B7,1)</f>
        <v>19.8</v>
      </c>
      <c r="D7" s="125"/>
      <c r="E7" s="125"/>
      <c r="F7" s="126">
        <f>ROUND((((E9-D9)/($E$3-$D$3))*($F$3-$D$3))+D9,1)</f>
        <v>0</v>
      </c>
      <c r="G7" s="127">
        <f>G4</f>
        <v>1.0249999999999999</v>
      </c>
      <c r="H7" s="128">
        <f>ROUND(F7*G7,1)</f>
        <v>0</v>
      </c>
      <c r="I7" s="116"/>
      <c r="K7" s="124" t="str">
        <f>Relato!$A$225</f>
        <v>1 WBT (P)</v>
      </c>
      <c r="L7" s="1154">
        <f>Relato!$D$245</f>
        <v>0.03</v>
      </c>
      <c r="M7" s="111">
        <f>ROUNDDOWN(L7,1)</f>
        <v>0</v>
      </c>
      <c r="N7" s="125"/>
      <c r="O7" s="125"/>
      <c r="P7" s="126">
        <f>ROUND((((O9-N9)/($E$3-$D$3))*($F$3-$D$3))+N9,1)</f>
        <v>0</v>
      </c>
      <c r="Q7" s="127">
        <f>Q4</f>
        <v>1.0249999999999999</v>
      </c>
      <c r="R7" s="128">
        <f>ROUND(P7*Q7,1)</f>
        <v>0</v>
      </c>
    </row>
    <row r="8" spans="1:18" ht="12.75" customHeight="1" x14ac:dyDescent="0.25">
      <c r="A8" s="110"/>
      <c r="B8" s="1154"/>
      <c r="C8" s="111">
        <f>IF(ROUNDUP(B7,1)=C7,"",ROUNDUP(B7,1))</f>
        <v>19.900000000000002</v>
      </c>
      <c r="D8" s="129"/>
      <c r="E8" s="129"/>
      <c r="F8" s="113"/>
      <c r="G8" s="113"/>
      <c r="H8" s="115"/>
      <c r="K8" s="110"/>
      <c r="L8" s="1154"/>
      <c r="M8" s="111">
        <f>IF(ROUNDUP(L7,1)=M7,"",ROUNDUP(L7,1))</f>
        <v>0.1</v>
      </c>
      <c r="N8" s="129"/>
      <c r="O8" s="129"/>
      <c r="P8" s="113"/>
      <c r="Q8" s="113"/>
      <c r="R8" s="115"/>
    </row>
    <row r="9" spans="1:18" ht="12.75" customHeight="1" x14ac:dyDescent="0.25">
      <c r="A9" s="118"/>
      <c r="B9" s="119"/>
      <c r="C9" s="120"/>
      <c r="D9" s="121">
        <f>(((D8-D7)/(C8-C7))*(B7-C7))+D7</f>
        <v>0</v>
      </c>
      <c r="E9" s="121">
        <f>(((E8-E7)/(C8-C7))*(B7-C7))+E7</f>
        <v>0</v>
      </c>
      <c r="F9" s="122"/>
      <c r="G9" s="122"/>
      <c r="H9" s="123"/>
      <c r="K9" s="118"/>
      <c r="L9" s="119"/>
      <c r="M9" s="120"/>
      <c r="N9" s="121">
        <f>(((N8-N7)/(M8-M7))*(L7-M7))+N7</f>
        <v>0</v>
      </c>
      <c r="O9" s="121">
        <f>(((O8-O7)/(M8-M7))*(L7-M7))+O7</f>
        <v>0</v>
      </c>
      <c r="P9" s="122"/>
      <c r="Q9" s="122"/>
      <c r="R9" s="123"/>
    </row>
    <row r="10" spans="1:18" ht="12.75" customHeight="1" x14ac:dyDescent="0.25">
      <c r="A10" s="124" t="str">
        <f>Relato!$A$226</f>
        <v>1 WBT (S)</v>
      </c>
      <c r="B10" s="1154">
        <f>Relato!$G$226</f>
        <v>19.7</v>
      </c>
      <c r="C10" s="130">
        <f>ROUNDDOWN(B10,1)</f>
        <v>19.7</v>
      </c>
      <c r="D10" s="125"/>
      <c r="E10" s="125"/>
      <c r="F10" s="126" t="e">
        <f>ROUND((((E12-D12)/($E$3-$D$3))*($F$3-$D$3))+D12,1)</f>
        <v>#VALUE!</v>
      </c>
      <c r="G10" s="127">
        <f>G7</f>
        <v>1.0249999999999999</v>
      </c>
      <c r="H10" s="128" t="e">
        <f>ROUND(F10*G10,1)</f>
        <v>#VALUE!</v>
      </c>
      <c r="I10" s="116"/>
      <c r="K10" s="124" t="str">
        <f>Relato!$A$226</f>
        <v>1 WBT (S)</v>
      </c>
      <c r="L10" s="1154">
        <f>Relato!$D$246</f>
        <v>0</v>
      </c>
      <c r="M10" s="130">
        <f>ROUNDDOWN(L10,1)</f>
        <v>0</v>
      </c>
      <c r="N10" s="125"/>
      <c r="O10" s="125"/>
      <c r="P10" s="126" t="e">
        <f>ROUND((((O12-N12)/($E$3-$D$3))*($F$3-$D$3))+N12,1)</f>
        <v>#VALUE!</v>
      </c>
      <c r="Q10" s="127">
        <f>Q7</f>
        <v>1.0249999999999999</v>
      </c>
      <c r="R10" s="128" t="e">
        <f>ROUND(P10*Q10,1)</f>
        <v>#VALUE!</v>
      </c>
    </row>
    <row r="11" spans="1:18" ht="12.75" customHeight="1" x14ac:dyDescent="0.25">
      <c r="A11" s="110"/>
      <c r="B11" s="1154"/>
      <c r="C11" s="111" t="str">
        <f>IF(ROUNDUP(B10,1)=C10,"",ROUNDUP(B10,1))</f>
        <v/>
      </c>
      <c r="D11" s="129"/>
      <c r="E11" s="129"/>
      <c r="F11" s="113"/>
      <c r="G11" s="113"/>
      <c r="H11" s="115"/>
      <c r="K11" s="110"/>
      <c r="L11" s="1154"/>
      <c r="M11" s="111" t="str">
        <f>IF(ROUNDUP(L10,1)=M10,"",ROUNDUP(L10,1))</f>
        <v/>
      </c>
      <c r="N11" s="129"/>
      <c r="O11" s="129"/>
      <c r="P11" s="113"/>
      <c r="Q11" s="113"/>
      <c r="R11" s="115"/>
    </row>
    <row r="12" spans="1:18" ht="12.75" customHeight="1" x14ac:dyDescent="0.25">
      <c r="A12" s="118"/>
      <c r="B12" s="119"/>
      <c r="C12" s="120"/>
      <c r="D12" s="121" t="e">
        <f>(((D11-D10)/(C11-C10))*(B10-C10))+D10</f>
        <v>#VALUE!</v>
      </c>
      <c r="E12" s="121" t="e">
        <f>(((E11-E10)/(C11-C10))*(B10-C10))+E10</f>
        <v>#VALUE!</v>
      </c>
      <c r="F12" s="122"/>
      <c r="G12" s="122"/>
      <c r="H12" s="123"/>
      <c r="K12" s="118"/>
      <c r="L12" s="119"/>
      <c r="M12" s="120"/>
      <c r="N12" s="121" t="e">
        <f>(((N11-N10)/(M11-M10))*(L10-M10))+N10</f>
        <v>#VALUE!</v>
      </c>
      <c r="O12" s="121" t="e">
        <f>(((O11-O10)/(M11-M10))*(L10-M10))+O10</f>
        <v>#VALUE!</v>
      </c>
      <c r="P12" s="122"/>
      <c r="Q12" s="122"/>
      <c r="R12" s="123"/>
    </row>
    <row r="13" spans="1:18" ht="12.75" customHeight="1" x14ac:dyDescent="0.25">
      <c r="A13" s="124" t="str">
        <f>Relato!$A$227</f>
        <v>2 WBT (P)</v>
      </c>
      <c r="B13" s="1154">
        <f>Relato!$G$227</f>
        <v>20.260000000000002</v>
      </c>
      <c r="C13" s="130">
        <f>ROUNDDOWN(B13,1)</f>
        <v>20.2</v>
      </c>
      <c r="D13" s="125"/>
      <c r="E13" s="125"/>
      <c r="F13" s="126">
        <f>ROUND((((E15-D15)/($E$3-$D$3))*($F$3-$D$3))+D15,1)</f>
        <v>0</v>
      </c>
      <c r="G13" s="127">
        <f>G10</f>
        <v>1.0249999999999999</v>
      </c>
      <c r="H13" s="128">
        <f>ROUND(F13*G13,1)</f>
        <v>0</v>
      </c>
      <c r="I13" s="116"/>
      <c r="K13" s="124" t="str">
        <f>Relato!$A$227</f>
        <v>2 WBT (P)</v>
      </c>
      <c r="L13" s="1154">
        <f>Relato!$D$247</f>
        <v>0.01</v>
      </c>
      <c r="M13" s="130">
        <f>ROUNDDOWN(L13,1)</f>
        <v>0</v>
      </c>
      <c r="N13" s="125"/>
      <c r="O13" s="125"/>
      <c r="P13" s="126">
        <f>ROUND((((O15-N15)/($E$3-$D$3))*($F$3-$D$3))+N15,1)</f>
        <v>0</v>
      </c>
      <c r="Q13" s="127">
        <f>Q10</f>
        <v>1.0249999999999999</v>
      </c>
      <c r="R13" s="128">
        <f>ROUND(P13*Q13,1)</f>
        <v>0</v>
      </c>
    </row>
    <row r="14" spans="1:18" ht="12.75" customHeight="1" x14ac:dyDescent="0.25">
      <c r="A14" s="110"/>
      <c r="B14" s="1154"/>
      <c r="C14" s="111">
        <f>IF(ROUNDUP(B13,1)=C13,"",ROUNDUP(B13,1))</f>
        <v>20.3</v>
      </c>
      <c r="D14" s="129"/>
      <c r="E14" s="129"/>
      <c r="F14" s="113"/>
      <c r="G14" s="113"/>
      <c r="H14" s="115"/>
      <c r="K14" s="110"/>
      <c r="L14" s="1154"/>
      <c r="M14" s="111">
        <f>IF(ROUNDUP(L13,1)=M13,"",ROUNDUP(L13,1))</f>
        <v>0.1</v>
      </c>
      <c r="N14" s="129"/>
      <c r="O14" s="129"/>
      <c r="P14" s="113"/>
      <c r="Q14" s="113"/>
      <c r="R14" s="115"/>
    </row>
    <row r="15" spans="1:18" ht="12.75" customHeight="1" x14ac:dyDescent="0.25">
      <c r="A15" s="118"/>
      <c r="B15" s="119"/>
      <c r="C15" s="120"/>
      <c r="D15" s="121">
        <f>(((D14-D13)/(C14-C13))*(B13-C13))+D13</f>
        <v>0</v>
      </c>
      <c r="E15" s="121">
        <f>(((E14-E13)/(C14-C13))*(B13-C13))+E13</f>
        <v>0</v>
      </c>
      <c r="F15" s="122"/>
      <c r="G15" s="122"/>
      <c r="H15" s="123"/>
      <c r="K15" s="118"/>
      <c r="L15" s="119"/>
      <c r="M15" s="120"/>
      <c r="N15" s="121">
        <f>(((N14-N13)/(M14-M13))*(L13-M13))+N13</f>
        <v>0</v>
      </c>
      <c r="O15" s="121">
        <f>(((O14-O13)/(M14-M13))*(L13-M13))+O13</f>
        <v>0</v>
      </c>
      <c r="P15" s="122"/>
      <c r="Q15" s="122"/>
      <c r="R15" s="123"/>
    </row>
    <row r="16" spans="1:18" ht="12.75" customHeight="1" x14ac:dyDescent="0.25">
      <c r="A16" s="124" t="str">
        <f>Relato!$A$228</f>
        <v>2 WBT (S)</v>
      </c>
      <c r="B16" s="1154">
        <f>Relato!$G$228</f>
        <v>20.190000000000001</v>
      </c>
      <c r="C16" s="130">
        <f>ROUNDDOWN(B16,1)</f>
        <v>20.100000000000001</v>
      </c>
      <c r="D16" s="125"/>
      <c r="E16" s="125"/>
      <c r="F16" s="126">
        <f>ROUND((((E18-D18)/($E$3-$D$3))*($F$3-$D$3))+D18,1)</f>
        <v>0</v>
      </c>
      <c r="G16" s="127">
        <f>G13</f>
        <v>1.0249999999999999</v>
      </c>
      <c r="H16" s="128">
        <f>ROUND(F16*G16,1)</f>
        <v>0</v>
      </c>
      <c r="I16" s="116"/>
      <c r="K16" s="124" t="str">
        <f>Relato!$A$228</f>
        <v>2 WBT (S)</v>
      </c>
      <c r="L16" s="1154">
        <f>Relato!$D$248</f>
        <v>0.01</v>
      </c>
      <c r="M16" s="130">
        <f>ROUNDDOWN(L16,1)</f>
        <v>0</v>
      </c>
      <c r="N16" s="125"/>
      <c r="O16" s="125"/>
      <c r="P16" s="126">
        <f>ROUND((((O18-N18)/($E$3-$D$3))*($F$3-$D$3))+N18,1)</f>
        <v>0</v>
      </c>
      <c r="Q16" s="127">
        <f>Q13</f>
        <v>1.0249999999999999</v>
      </c>
      <c r="R16" s="128">
        <f>ROUND(P16*Q16,1)</f>
        <v>0</v>
      </c>
    </row>
    <row r="17" spans="1:18" ht="12.75" customHeight="1" x14ac:dyDescent="0.25">
      <c r="A17" s="110"/>
      <c r="B17" s="1154"/>
      <c r="C17" s="111">
        <f>IF(ROUNDUP(B16,1)=C16,"",ROUNDUP(B16,1))</f>
        <v>20.200000000000003</v>
      </c>
      <c r="D17" s="129"/>
      <c r="E17" s="129"/>
      <c r="F17" s="113"/>
      <c r="G17" s="113"/>
      <c r="H17" s="115"/>
      <c r="K17" s="110"/>
      <c r="L17" s="1154"/>
      <c r="M17" s="111">
        <f>IF(ROUNDUP(L16,1)=M16,"",ROUNDUP(L16,1))</f>
        <v>0.1</v>
      </c>
      <c r="N17" s="129"/>
      <c r="O17" s="129"/>
      <c r="P17" s="113"/>
      <c r="Q17" s="113"/>
      <c r="R17" s="115"/>
    </row>
    <row r="18" spans="1:18" ht="12.75" customHeight="1" x14ac:dyDescent="0.25">
      <c r="A18" s="118"/>
      <c r="B18" s="119"/>
      <c r="C18" s="120"/>
      <c r="D18" s="121">
        <f>(((D17-D16)/(C17-C16))*(B16-C16))+D16</f>
        <v>0</v>
      </c>
      <c r="E18" s="121">
        <f>(((E17-E16)/(C17-C16))*(B16-C16))+E16</f>
        <v>0</v>
      </c>
      <c r="F18" s="122"/>
      <c r="G18" s="122"/>
      <c r="H18" s="123"/>
      <c r="K18" s="118"/>
      <c r="L18" s="119"/>
      <c r="M18" s="120"/>
      <c r="N18" s="121">
        <f>(((N17-N16)/(M17-M16))*(L16-M16))+N16</f>
        <v>0</v>
      </c>
      <c r="O18" s="121">
        <f>(((O17-O16)/(M17-M16))*(L16-M16))+O16</f>
        <v>0</v>
      </c>
      <c r="P18" s="122"/>
      <c r="Q18" s="122"/>
      <c r="R18" s="123"/>
    </row>
    <row r="19" spans="1:18" ht="12.75" customHeight="1" x14ac:dyDescent="0.25">
      <c r="A19" s="124" t="str">
        <f>Relato!$A$229</f>
        <v>3 WBT (P)</v>
      </c>
      <c r="B19" s="1154">
        <f>Relato!$G$229</f>
        <v>19.97</v>
      </c>
      <c r="C19" s="130">
        <f>ROUNDDOWN(B19,1)</f>
        <v>19.899999999999999</v>
      </c>
      <c r="D19" s="125"/>
      <c r="E19" s="125"/>
      <c r="F19" s="126">
        <f>ROUND((((E21-D21)/($E$3-$D$3))*($F$3-$D$3))+D21,1)</f>
        <v>0</v>
      </c>
      <c r="G19" s="127">
        <f>G16</f>
        <v>1.0249999999999999</v>
      </c>
      <c r="H19" s="128">
        <f>ROUND(F19*G19,1)</f>
        <v>0</v>
      </c>
      <c r="I19" s="116"/>
      <c r="K19" s="124" t="str">
        <f>Relato!$A$229</f>
        <v>3 WBT (P)</v>
      </c>
      <c r="L19" s="1154">
        <f>Relato!$D$249</f>
        <v>0.03</v>
      </c>
      <c r="M19" s="130">
        <f>ROUNDDOWN(L19,1)</f>
        <v>0</v>
      </c>
      <c r="N19" s="125"/>
      <c r="O19" s="125"/>
      <c r="P19" s="126">
        <f>ROUND((((O21-N21)/($E$3-$D$3))*($F$3-$D$3))+N21,1)</f>
        <v>0</v>
      </c>
      <c r="Q19" s="127">
        <f>Q16</f>
        <v>1.0249999999999999</v>
      </c>
      <c r="R19" s="128">
        <f>ROUND(P19*Q19,1)</f>
        <v>0</v>
      </c>
    </row>
    <row r="20" spans="1:18" ht="12.75" customHeight="1" x14ac:dyDescent="0.25">
      <c r="A20" s="110"/>
      <c r="B20" s="1154"/>
      <c r="C20" s="111">
        <f>IF(ROUNDUP(B19,1)=C19,"",ROUNDUP(B19,1))</f>
        <v>20</v>
      </c>
      <c r="D20" s="129"/>
      <c r="E20" s="129"/>
      <c r="F20" s="113"/>
      <c r="G20" s="113"/>
      <c r="H20" s="115"/>
      <c r="K20" s="110"/>
      <c r="L20" s="1154"/>
      <c r="M20" s="111">
        <f>IF(ROUNDUP(L19,1)=M19,"",ROUNDUP(L19,1))</f>
        <v>0.1</v>
      </c>
      <c r="N20" s="129"/>
      <c r="O20" s="129"/>
      <c r="P20" s="113"/>
      <c r="Q20" s="113"/>
      <c r="R20" s="115"/>
    </row>
    <row r="21" spans="1:18" ht="12.75" customHeight="1" x14ac:dyDescent="0.25">
      <c r="A21" s="118"/>
      <c r="B21" s="119"/>
      <c r="C21" s="120"/>
      <c r="D21" s="121">
        <f>(((D20-D19)/(C20-C19))*(B19-C19))+D19</f>
        <v>0</v>
      </c>
      <c r="E21" s="121">
        <f>(((E20-E19)/(C20-C19))*(B19-C19))+E19</f>
        <v>0</v>
      </c>
      <c r="F21" s="122"/>
      <c r="G21" s="122"/>
      <c r="H21" s="123"/>
      <c r="K21" s="118"/>
      <c r="L21" s="119"/>
      <c r="M21" s="120"/>
      <c r="N21" s="121">
        <f>(((N20-N19)/(M20-M19))*(L19-M19))+N19</f>
        <v>0</v>
      </c>
      <c r="O21" s="121">
        <f>(((O20-O19)/(M20-M19))*(L19-M19))+O19</f>
        <v>0</v>
      </c>
      <c r="P21" s="122"/>
      <c r="Q21" s="122"/>
      <c r="R21" s="123"/>
    </row>
    <row r="22" spans="1:18" ht="12.75" customHeight="1" x14ac:dyDescent="0.25">
      <c r="A22" s="124" t="str">
        <f>Relato!$A$230</f>
        <v>3 WBT (S)</v>
      </c>
      <c r="B22" s="1154">
        <f>Relato!$G$230</f>
        <v>20.350000000000001</v>
      </c>
      <c r="C22" s="130">
        <f>ROUNDDOWN(B22,1)</f>
        <v>20.3</v>
      </c>
      <c r="D22" s="125"/>
      <c r="E22" s="125"/>
      <c r="F22" s="126">
        <f>ROUND((((E24-D24)/($E$3-$D$3))*($F$3-$D$3))+D24,1)</f>
        <v>0</v>
      </c>
      <c r="G22" s="127">
        <f>G19</f>
        <v>1.0249999999999999</v>
      </c>
      <c r="H22" s="128">
        <f>ROUND(F22*G22,1)</f>
        <v>0</v>
      </c>
      <c r="I22" s="116"/>
      <c r="K22" s="124" t="str">
        <f>Relato!$A$230</f>
        <v>3 WBT (S)</v>
      </c>
      <c r="L22" s="1154">
        <f>Relato!$D$250</f>
        <v>0.01</v>
      </c>
      <c r="M22" s="130">
        <f>ROUNDDOWN(L22,1)</f>
        <v>0</v>
      </c>
      <c r="N22" s="125"/>
      <c r="O22" s="125"/>
      <c r="P22" s="126">
        <f>ROUND((((O24-N24)/($E$3-$D$3))*($F$3-$D$3))+N24,1)</f>
        <v>0</v>
      </c>
      <c r="Q22" s="127">
        <f>Q19</f>
        <v>1.0249999999999999</v>
      </c>
      <c r="R22" s="128">
        <f>ROUND(P22*Q22,1)</f>
        <v>0</v>
      </c>
    </row>
    <row r="23" spans="1:18" ht="12.75" customHeight="1" x14ac:dyDescent="0.25">
      <c r="A23" s="110"/>
      <c r="B23" s="1154"/>
      <c r="C23" s="111">
        <f>IF(ROUNDUP(B22,1)=C22,"",ROUNDUP(B22,1))</f>
        <v>20.400000000000002</v>
      </c>
      <c r="D23" s="129"/>
      <c r="E23" s="129"/>
      <c r="F23" s="113"/>
      <c r="G23" s="113"/>
      <c r="H23" s="115"/>
      <c r="K23" s="110"/>
      <c r="L23" s="1154"/>
      <c r="M23" s="111">
        <f>IF(ROUNDUP(L22,1)=M22,"",ROUNDUP(L22,1))</f>
        <v>0.1</v>
      </c>
      <c r="N23" s="129"/>
      <c r="O23" s="129"/>
      <c r="P23" s="113"/>
      <c r="Q23" s="113"/>
      <c r="R23" s="115"/>
    </row>
    <row r="24" spans="1:18" ht="12.75" customHeight="1" x14ac:dyDescent="0.25">
      <c r="A24" s="118"/>
      <c r="B24" s="119"/>
      <c r="C24" s="120"/>
      <c r="D24" s="121">
        <f>(((D23-D22)/(C23-C22))*(B22-C22))+D22</f>
        <v>0</v>
      </c>
      <c r="E24" s="121">
        <f>(((E23-E22)/(C23-C22))*(B22-C22))+E22</f>
        <v>0</v>
      </c>
      <c r="F24" s="122"/>
      <c r="G24" s="122"/>
      <c r="H24" s="123"/>
      <c r="K24" s="118"/>
      <c r="L24" s="119"/>
      <c r="M24" s="120"/>
      <c r="N24" s="121">
        <f>(((N23-N22)/(M23-M22))*(L22-M22))+N22</f>
        <v>0</v>
      </c>
      <c r="O24" s="121">
        <f>(((O23-O22)/(M23-M22))*(L22-M22))+O22</f>
        <v>0</v>
      </c>
      <c r="P24" s="122"/>
      <c r="Q24" s="122"/>
      <c r="R24" s="123"/>
    </row>
    <row r="25" spans="1:18" ht="12.75" customHeight="1" x14ac:dyDescent="0.25">
      <c r="A25" s="124" t="str">
        <f>Relato!$A$231</f>
        <v>4 WBT (P)</v>
      </c>
      <c r="B25" s="1154">
        <f>Relato!$G$231</f>
        <v>20.65</v>
      </c>
      <c r="C25" s="130">
        <f>ROUNDDOWN(B25,1)</f>
        <v>20.6</v>
      </c>
      <c r="D25" s="125"/>
      <c r="E25" s="125"/>
      <c r="F25" s="126">
        <f>ROUND((((E27-D27)/($E$3-$D$3))*($F$3-$D$3))+D27,1)</f>
        <v>0</v>
      </c>
      <c r="G25" s="127">
        <f>G22</f>
        <v>1.0249999999999999</v>
      </c>
      <c r="H25" s="128">
        <f>ROUND(F25*G25,1)</f>
        <v>0</v>
      </c>
      <c r="I25" s="116"/>
      <c r="K25" s="124" t="str">
        <f>Relato!$A$231</f>
        <v>4 WBT (P)</v>
      </c>
      <c r="L25" s="1154">
        <f>Relato!$D$251</f>
        <v>0.01</v>
      </c>
      <c r="M25" s="130">
        <f>ROUNDDOWN(L25,1)</f>
        <v>0</v>
      </c>
      <c r="N25" s="125"/>
      <c r="O25" s="125"/>
      <c r="P25" s="126">
        <f>ROUND((((O27-N27)/($E$3-$D$3))*($F$3-$D$3))+N27,1)</f>
        <v>0</v>
      </c>
      <c r="Q25" s="127">
        <f>Q22</f>
        <v>1.0249999999999999</v>
      </c>
      <c r="R25" s="128">
        <f>ROUND(P25*Q25,1)</f>
        <v>0</v>
      </c>
    </row>
    <row r="26" spans="1:18" ht="12.75" customHeight="1" x14ac:dyDescent="0.25">
      <c r="A26" s="110"/>
      <c r="B26" s="1154"/>
      <c r="C26" s="111">
        <f>IF(ROUNDUP(B25,1)=C25,"",ROUNDUP(B25,1))</f>
        <v>20.700000000000003</v>
      </c>
      <c r="D26" s="129"/>
      <c r="E26" s="129"/>
      <c r="F26" s="113"/>
      <c r="G26" s="113"/>
      <c r="H26" s="115"/>
      <c r="K26" s="110"/>
      <c r="L26" s="1154"/>
      <c r="M26" s="111">
        <f>IF(ROUNDUP(L25,1)=M25,"",ROUNDUP(L25,1))</f>
        <v>0.1</v>
      </c>
      <c r="N26" s="129"/>
      <c r="O26" s="129"/>
      <c r="P26" s="113"/>
      <c r="Q26" s="113"/>
      <c r="R26" s="115"/>
    </row>
    <row r="27" spans="1:18" ht="12.75" customHeight="1" x14ac:dyDescent="0.25">
      <c r="A27" s="118"/>
      <c r="B27" s="119"/>
      <c r="C27" s="120"/>
      <c r="D27" s="121">
        <f>(((D26-D25)/(C26-C25))*(B25-C25))+D25</f>
        <v>0</v>
      </c>
      <c r="E27" s="121">
        <f>(((E26-E25)/(C26-C25))*(B25-C25))+E25</f>
        <v>0</v>
      </c>
      <c r="F27" s="122"/>
      <c r="G27" s="122"/>
      <c r="H27" s="123"/>
      <c r="K27" s="118"/>
      <c r="L27" s="119"/>
      <c r="M27" s="120"/>
      <c r="N27" s="121">
        <f>(((N26-N25)/(M26-M25))*(L25-M25))+N25</f>
        <v>0</v>
      </c>
      <c r="O27" s="121">
        <f>(((O26-O25)/(M26-M25))*(L25-M25))+O25</f>
        <v>0</v>
      </c>
      <c r="P27" s="122"/>
      <c r="Q27" s="122"/>
      <c r="R27" s="123"/>
    </row>
    <row r="28" spans="1:18" ht="12.75" customHeight="1" x14ac:dyDescent="0.25">
      <c r="A28" s="124" t="str">
        <f>Relato!$A$232</f>
        <v>4 WBT (S)</v>
      </c>
      <c r="B28" s="1154">
        <f>Relato!$G$232</f>
        <v>20.04</v>
      </c>
      <c r="C28" s="130">
        <f>ROUNDDOWN(B28,1)</f>
        <v>20</v>
      </c>
      <c r="D28" s="125"/>
      <c r="E28" s="125"/>
      <c r="F28" s="126">
        <f>ROUND((((E30-D30)/($E$3-$D$3))*($F$3-$D$3))+D30,1)</f>
        <v>0</v>
      </c>
      <c r="G28" s="127">
        <f>G25</f>
        <v>1.0249999999999999</v>
      </c>
      <c r="H28" s="128">
        <f>ROUND(F28*G28,1)</f>
        <v>0</v>
      </c>
      <c r="I28" s="116"/>
      <c r="K28" s="124" t="str">
        <f>Relato!$A$232</f>
        <v>4 WBT (S)</v>
      </c>
      <c r="L28" s="1154">
        <f>Relato!$D$252</f>
        <v>0.01</v>
      </c>
      <c r="M28" s="130">
        <f>ROUNDDOWN(L28,1)</f>
        <v>0</v>
      </c>
      <c r="N28" s="125"/>
      <c r="O28" s="125"/>
      <c r="P28" s="126">
        <f>ROUND((((O30-N30)/($E$3-$D$3))*($F$3-$D$3))+N30,1)</f>
        <v>0</v>
      </c>
      <c r="Q28" s="127">
        <f>Q25</f>
        <v>1.0249999999999999</v>
      </c>
      <c r="R28" s="128">
        <f>ROUND(P28*Q28,1)</f>
        <v>0</v>
      </c>
    </row>
    <row r="29" spans="1:18" ht="12.75" customHeight="1" x14ac:dyDescent="0.25">
      <c r="A29" s="110"/>
      <c r="B29" s="1154"/>
      <c r="C29" s="111">
        <f>IF(ROUNDUP(B28,1)=C28,"",ROUNDUP(B28,1))</f>
        <v>20.100000000000001</v>
      </c>
      <c r="D29" s="129"/>
      <c r="E29" s="129"/>
      <c r="F29" s="113"/>
      <c r="G29" s="113"/>
      <c r="H29" s="115"/>
      <c r="K29" s="110"/>
      <c r="L29" s="1154"/>
      <c r="M29" s="111">
        <f>IF(ROUNDUP(L28,1)=M28,"",ROUNDUP(L28,1))</f>
        <v>0.1</v>
      </c>
      <c r="N29" s="129"/>
      <c r="O29" s="129"/>
      <c r="P29" s="113"/>
      <c r="Q29" s="113"/>
      <c r="R29" s="115"/>
    </row>
    <row r="30" spans="1:18" ht="12.75" customHeight="1" x14ac:dyDescent="0.25">
      <c r="A30" s="118"/>
      <c r="B30" s="119"/>
      <c r="C30" s="120"/>
      <c r="D30" s="121">
        <f>(((D29-D28)/(C29-C28))*(B28-C28))+D28</f>
        <v>0</v>
      </c>
      <c r="E30" s="121">
        <f>(((E29-E28)/(C29-C28))*(B28-C28))+E28</f>
        <v>0</v>
      </c>
      <c r="F30" s="122"/>
      <c r="G30" s="122"/>
      <c r="H30" s="123"/>
      <c r="K30" s="118"/>
      <c r="L30" s="119"/>
      <c r="M30" s="120"/>
      <c r="N30" s="121">
        <f>(((N29-N28)/(M29-M28))*(L28-M28))+N28</f>
        <v>0</v>
      </c>
      <c r="O30" s="121">
        <f>(((O29-O28)/(M29-M28))*(L28-M28))+O28</f>
        <v>0</v>
      </c>
      <c r="P30" s="122"/>
      <c r="Q30" s="122"/>
      <c r="R30" s="123"/>
    </row>
    <row r="31" spans="1:18" ht="12.75" customHeight="1" x14ac:dyDescent="0.25">
      <c r="A31" s="124" t="str">
        <f>Relato!$A$233</f>
        <v>5 WBT (P)</v>
      </c>
      <c r="B31" s="1154">
        <f>Relato!$G$233</f>
        <v>19.38</v>
      </c>
      <c r="C31" s="130">
        <f>ROUNDDOWN(B31,1)</f>
        <v>19.3</v>
      </c>
      <c r="D31" s="125"/>
      <c r="E31" s="125"/>
      <c r="F31" s="126">
        <f>ROUND((((E33-D33)/($E$3-$D$3))*($F$3-$D$3))+D33,1)</f>
        <v>0</v>
      </c>
      <c r="G31" s="127">
        <f>G28</f>
        <v>1.0249999999999999</v>
      </c>
      <c r="H31" s="128">
        <f>ROUND(F31*G31,1)</f>
        <v>0</v>
      </c>
      <c r="I31" s="116"/>
      <c r="K31" s="124" t="str">
        <f>Relato!$A$233</f>
        <v>5 WBT (P)</v>
      </c>
      <c r="L31" s="1154">
        <f>Relato!$D$253</f>
        <v>0.01</v>
      </c>
      <c r="M31" s="130">
        <f>ROUNDDOWN(L31,1)</f>
        <v>0</v>
      </c>
      <c r="N31" s="125"/>
      <c r="O31" s="125"/>
      <c r="P31" s="126">
        <f>ROUND((((O33-N33)/($E$3-$D$3))*($F$3-$D$3))+N33,1)</f>
        <v>0</v>
      </c>
      <c r="Q31" s="127">
        <f>Q28</f>
        <v>1.0249999999999999</v>
      </c>
      <c r="R31" s="128">
        <f>ROUND(P31*Q31,1)</f>
        <v>0</v>
      </c>
    </row>
    <row r="32" spans="1:18" ht="12.75" customHeight="1" x14ac:dyDescent="0.25">
      <c r="A32" s="110"/>
      <c r="B32" s="1154"/>
      <c r="C32" s="111">
        <f>IF(ROUNDUP(B31,1)=C31,"",ROUNDUP(B31,1))</f>
        <v>19.400000000000002</v>
      </c>
      <c r="D32" s="129"/>
      <c r="E32" s="129"/>
      <c r="F32" s="113"/>
      <c r="G32" s="113"/>
      <c r="H32" s="115"/>
      <c r="K32" s="110"/>
      <c r="L32" s="1154"/>
      <c r="M32" s="111">
        <f>IF(ROUNDUP(L31,1)=M31,"",ROUNDUP(L31,1))</f>
        <v>0.1</v>
      </c>
      <c r="N32" s="129"/>
      <c r="O32" s="129"/>
      <c r="P32" s="113"/>
      <c r="Q32" s="113"/>
      <c r="R32" s="115"/>
    </row>
    <row r="33" spans="1:18" ht="12.75" customHeight="1" x14ac:dyDescent="0.25">
      <c r="A33" s="118"/>
      <c r="B33" s="119"/>
      <c r="C33" s="120"/>
      <c r="D33" s="121">
        <f>(((D32-D31)/(C32-C31))*(B31-C31))+D31</f>
        <v>0</v>
      </c>
      <c r="E33" s="121">
        <f>(((E32-E31)/(C32-C31))*(B31-C31))+E31</f>
        <v>0</v>
      </c>
      <c r="F33" s="122"/>
      <c r="G33" s="122"/>
      <c r="H33" s="123"/>
      <c r="K33" s="118"/>
      <c r="L33" s="119"/>
      <c r="M33" s="120"/>
      <c r="N33" s="121">
        <f>(((N32-N31)/(M32-M31))*(L31-M31))+N31</f>
        <v>0</v>
      </c>
      <c r="O33" s="121">
        <f>(((O32-O31)/(M32-M31))*(L31-M31))+O31</f>
        <v>0</v>
      </c>
      <c r="P33" s="122"/>
      <c r="Q33" s="122"/>
      <c r="R33" s="123"/>
    </row>
    <row r="34" spans="1:18" ht="12.75" customHeight="1" x14ac:dyDescent="0.25">
      <c r="A34" s="124" t="str">
        <f>Relato!$A$234</f>
        <v>5 WBT (S)</v>
      </c>
      <c r="B34" s="1154">
        <f>Relato!$G$234</f>
        <v>5.93</v>
      </c>
      <c r="C34" s="130">
        <f>ROUNDDOWN(B34,1)</f>
        <v>5.9</v>
      </c>
      <c r="D34" s="125"/>
      <c r="E34" s="125"/>
      <c r="F34" s="126">
        <f>ROUND((((E36-D36)/($E$3-$D$3))*($F$3-$D$3))+D36,1)</f>
        <v>0</v>
      </c>
      <c r="G34" s="127">
        <f>G31</f>
        <v>1.0249999999999999</v>
      </c>
      <c r="H34" s="128">
        <f>ROUND(F34*G34,1)</f>
        <v>0</v>
      </c>
      <c r="I34" s="116"/>
      <c r="K34" s="124" t="str">
        <f>Relato!$A$234</f>
        <v>5 WBT (S)</v>
      </c>
      <c r="L34" s="1154" t="e">
        <f>Relato!#REF!</f>
        <v>#REF!</v>
      </c>
      <c r="M34" s="130" t="e">
        <f>ROUNDDOWN(L34,1)</f>
        <v>#REF!</v>
      </c>
      <c r="N34" s="125"/>
      <c r="O34" s="125"/>
      <c r="P34" s="126" t="e">
        <f>ROUND((((O36-N36)/($E$3-$D$3))*($F$3-$D$3))+N36,1)</f>
        <v>#REF!</v>
      </c>
      <c r="Q34" s="127">
        <f>Q31</f>
        <v>1.0249999999999999</v>
      </c>
      <c r="R34" s="128" t="e">
        <f>ROUND(P34*Q34,1)</f>
        <v>#REF!</v>
      </c>
    </row>
    <row r="35" spans="1:18" ht="12.75" customHeight="1" x14ac:dyDescent="0.25">
      <c r="A35" s="110"/>
      <c r="B35" s="1154"/>
      <c r="C35" s="131">
        <f>ROUNDUP(B34,1)</f>
        <v>6</v>
      </c>
      <c r="D35" s="129"/>
      <c r="E35" s="129"/>
      <c r="F35" s="113"/>
      <c r="G35" s="113"/>
      <c r="H35" s="115"/>
      <c r="K35" s="110"/>
      <c r="L35" s="1154"/>
      <c r="M35" s="131" t="e">
        <f>ROUNDUP(L34,1)</f>
        <v>#REF!</v>
      </c>
      <c r="N35" s="129"/>
      <c r="O35" s="129"/>
      <c r="P35" s="113"/>
      <c r="Q35" s="113"/>
      <c r="R35" s="115"/>
    </row>
    <row r="36" spans="1:18" ht="12.75" customHeight="1" x14ac:dyDescent="0.25">
      <c r="A36" s="118"/>
      <c r="B36" s="119"/>
      <c r="C36" s="120"/>
      <c r="D36" s="121">
        <f>(((D35-D34)/(C35-C34))*(B34-C34))+D34</f>
        <v>0</v>
      </c>
      <c r="E36" s="121">
        <f>(((E35-E34)/(C35-C34))*(B34-C34))+E34</f>
        <v>0</v>
      </c>
      <c r="F36" s="122"/>
      <c r="G36" s="122"/>
      <c r="H36" s="123"/>
      <c r="K36" s="118"/>
      <c r="L36" s="119"/>
      <c r="M36" s="120"/>
      <c r="N36" s="121" t="e">
        <f>(((N35-N34)/(M35-M34))*(L34-M34))+N34</f>
        <v>#REF!</v>
      </c>
      <c r="O36" s="121" t="e">
        <f>(((O35-O34)/(M35-M34))*(L34-M34))+O34</f>
        <v>#REF!</v>
      </c>
      <c r="P36" s="122"/>
      <c r="Q36" s="122"/>
      <c r="R36" s="123"/>
    </row>
    <row r="37" spans="1:18" ht="12.75" customHeight="1" x14ac:dyDescent="0.25">
      <c r="A37" s="124" t="e">
        <f>Relato!#REF!</f>
        <v>#REF!</v>
      </c>
      <c r="B37" s="1154" t="e">
        <f>Relato!#REF!</f>
        <v>#REF!</v>
      </c>
      <c r="C37" s="130" t="e">
        <f>ROUNDDOWN(B37,1)</f>
        <v>#REF!</v>
      </c>
      <c r="D37" s="125"/>
      <c r="E37" s="125"/>
      <c r="F37" s="126" t="e">
        <f>ROUND((((E39-D39)/($E$3-$D$3))*($F$3-$D$3))+D39,1)</f>
        <v>#REF!</v>
      </c>
      <c r="G37" s="127">
        <f>G34</f>
        <v>1.0249999999999999</v>
      </c>
      <c r="H37" s="128" t="e">
        <f>ROUND(F37*G37,1)</f>
        <v>#REF!</v>
      </c>
      <c r="I37" s="116"/>
      <c r="K37" s="124" t="e">
        <f>Relato!#REF!</f>
        <v>#REF!</v>
      </c>
      <c r="L37" s="1154" t="e">
        <f>Relato!#REF!</f>
        <v>#REF!</v>
      </c>
      <c r="M37" s="130" t="e">
        <f>ROUNDDOWN(L37,1)</f>
        <v>#REF!</v>
      </c>
      <c r="N37" s="125"/>
      <c r="O37" s="125"/>
      <c r="P37" s="126" t="e">
        <f>ROUND((((O39-N39)/($E$3-$D$3))*($F$3-$D$3))+N39,1)</f>
        <v>#REF!</v>
      </c>
      <c r="Q37" s="127">
        <f>Q34</f>
        <v>1.0249999999999999</v>
      </c>
      <c r="R37" s="128" t="e">
        <f>ROUND(P37*Q37,1)</f>
        <v>#REF!</v>
      </c>
    </row>
    <row r="38" spans="1:18" ht="12.75" customHeight="1" x14ac:dyDescent="0.25">
      <c r="A38" s="110"/>
      <c r="B38" s="1154"/>
      <c r="C38" s="111" t="e">
        <f>IF(ROUNDUP(B37,1)=C37,"",ROUNDUP(B37,1))</f>
        <v>#REF!</v>
      </c>
      <c r="D38" s="129"/>
      <c r="E38" s="129"/>
      <c r="F38" s="113"/>
      <c r="G38" s="113"/>
      <c r="H38" s="115"/>
      <c r="I38" s="132"/>
      <c r="K38" s="110"/>
      <c r="L38" s="1154"/>
      <c r="M38" s="111" t="e">
        <f>IF(ROUNDUP(L37,1)=M37,"",ROUNDUP(L37,1))</f>
        <v>#REF!</v>
      </c>
      <c r="N38" s="129"/>
      <c r="O38" s="129"/>
      <c r="P38" s="113"/>
      <c r="Q38" s="113"/>
      <c r="R38" s="115"/>
    </row>
    <row r="39" spans="1:18" ht="12.75" customHeight="1" x14ac:dyDescent="0.25">
      <c r="A39" s="118"/>
      <c r="B39" s="119"/>
      <c r="C39" s="120"/>
      <c r="D39" s="121" t="e">
        <f>(((D$38-D$37)/($C$38-$C$37))*($B$37-$C$37))+D$37</f>
        <v>#REF!</v>
      </c>
      <c r="E39" s="121" t="e">
        <f>(((E38-E37)/(C38-C37))*(B37-C37))+E37</f>
        <v>#REF!</v>
      </c>
      <c r="F39" s="122"/>
      <c r="G39" s="122"/>
      <c r="H39" s="123"/>
      <c r="I39" s="132"/>
      <c r="K39" s="118"/>
      <c r="L39" s="119"/>
      <c r="M39" s="120"/>
      <c r="N39" s="121" t="e">
        <f>(((N$38-N$37)/($C$38-$C$37))*($B$37-$C$37))+N$37</f>
        <v>#REF!</v>
      </c>
      <c r="O39" s="121" t="e">
        <f>(((O38-O37)/(M38-M37))*(L37-M37))+O37</f>
        <v>#REF!</v>
      </c>
      <c r="P39" s="122"/>
      <c r="Q39" s="122"/>
      <c r="R39" s="123"/>
    </row>
    <row r="40" spans="1:18" ht="12.75" customHeight="1" x14ac:dyDescent="0.25">
      <c r="A40" s="124" t="e">
        <f>Relato!#REF!</f>
        <v>#REF!</v>
      </c>
      <c r="B40" s="1154" t="e">
        <f>Relato!#REF!</f>
        <v>#REF!</v>
      </c>
      <c r="C40" s="130" t="e">
        <f>ROUNDDOWN(B40,1)</f>
        <v>#REF!</v>
      </c>
      <c r="D40" s="125"/>
      <c r="E40" s="125"/>
      <c r="F40" s="126" t="e">
        <f>ROUND((((E42-D42)/($E$3-$D$3))*($F$3-$D$3))+D42,1)</f>
        <v>#REF!</v>
      </c>
      <c r="G40" s="127">
        <f>G37</f>
        <v>1.0249999999999999</v>
      </c>
      <c r="H40" s="128" t="e">
        <f>ROUND(F40*G40,1)</f>
        <v>#REF!</v>
      </c>
      <c r="I40" s="116"/>
      <c r="K40" s="124" t="e">
        <f>Relato!#REF!</f>
        <v>#REF!</v>
      </c>
      <c r="L40" s="1154" t="e">
        <f>Relato!#REF!</f>
        <v>#REF!</v>
      </c>
      <c r="M40" s="130" t="e">
        <f>ROUNDDOWN(L40,1)</f>
        <v>#REF!</v>
      </c>
      <c r="N40" s="125"/>
      <c r="O40" s="125"/>
      <c r="P40" s="126" t="e">
        <f>ROUND((((O42-N42)/($E$3-$D$3))*($F$3-$D$3))+N42,1)</f>
        <v>#REF!</v>
      </c>
      <c r="Q40" s="127">
        <f>Q37</f>
        <v>1.0249999999999999</v>
      </c>
      <c r="R40" s="128" t="e">
        <f>ROUND(P40*Q40,1)</f>
        <v>#REF!</v>
      </c>
    </row>
    <row r="41" spans="1:18" ht="12.75" customHeight="1" x14ac:dyDescent="0.25">
      <c r="A41" s="110"/>
      <c r="B41" s="1154"/>
      <c r="C41" s="111" t="e">
        <f>ROUNDUP(B40,1)</f>
        <v>#REF!</v>
      </c>
      <c r="D41" s="129"/>
      <c r="E41" s="129"/>
      <c r="F41" s="113"/>
      <c r="G41" s="113"/>
      <c r="H41" s="115"/>
      <c r="K41" s="110"/>
      <c r="L41" s="1154"/>
      <c r="M41" s="111" t="e">
        <f>ROUNDUP(L40,1)</f>
        <v>#REF!</v>
      </c>
      <c r="N41" s="129"/>
      <c r="O41" s="129"/>
      <c r="P41" s="113"/>
      <c r="Q41" s="113"/>
      <c r="R41" s="115"/>
    </row>
    <row r="42" spans="1:18" ht="12.75" customHeight="1" x14ac:dyDescent="0.25">
      <c r="A42" s="118"/>
      <c r="B42" s="119"/>
      <c r="C42" s="120"/>
      <c r="D42" s="121" t="e">
        <f>(((D41-D40)/(100*C41-100*C40))*(100*B40-100*C40))+D40</f>
        <v>#REF!</v>
      </c>
      <c r="E42" s="121" t="e">
        <f>(((E41-E40)/(100*C41-100*C40))*(100*B40-100*C40))+E40</f>
        <v>#REF!</v>
      </c>
      <c r="F42" s="122"/>
      <c r="G42" s="122"/>
      <c r="H42" s="123"/>
      <c r="K42" s="118"/>
      <c r="L42" s="119"/>
      <c r="M42" s="120"/>
      <c r="N42" s="121" t="e">
        <f>(((N41-N40)/(100*M41-100*M40))*(100*L40-100*M40))+N40</f>
        <v>#REF!</v>
      </c>
      <c r="O42" s="121" t="e">
        <f>(((O41-O40)/(100*M41-100*M40))*(100*L40-100*M40))+O40</f>
        <v>#REF!</v>
      </c>
      <c r="P42" s="122"/>
      <c r="Q42" s="122"/>
      <c r="R42" s="123"/>
    </row>
    <row r="43" spans="1:18" ht="12.75" customHeight="1" x14ac:dyDescent="0.25">
      <c r="A43" s="124" t="e">
        <f>Relato!#REF!</f>
        <v>#REF!</v>
      </c>
      <c r="B43" s="1154" t="e">
        <f>Relato!#REF!</f>
        <v>#REF!</v>
      </c>
      <c r="C43" s="130" t="e">
        <f>ROUNDDOWN(B43,1)</f>
        <v>#REF!</v>
      </c>
      <c r="D43" s="125"/>
      <c r="E43" s="125"/>
      <c r="F43" s="126" t="e">
        <f>ROUND((((E45-D45)/($E$3-$D$3))*($F$3-$D$3))+D45,1)</f>
        <v>#REF!</v>
      </c>
      <c r="G43" s="127">
        <f>G40</f>
        <v>1.0249999999999999</v>
      </c>
      <c r="H43" s="128" t="e">
        <f>ROUND(F43*G43,1)</f>
        <v>#REF!</v>
      </c>
      <c r="I43" s="116"/>
      <c r="K43" s="124" t="e">
        <f>Relato!#REF!</f>
        <v>#REF!</v>
      </c>
      <c r="L43" s="1154" t="e">
        <f>Relato!#REF!</f>
        <v>#REF!</v>
      </c>
      <c r="M43" s="130" t="e">
        <f>ROUNDDOWN(L43,1)</f>
        <v>#REF!</v>
      </c>
      <c r="N43" s="125"/>
      <c r="O43" s="125"/>
      <c r="P43" s="126" t="e">
        <f>ROUND((((O45-N45)/($E$3-$D$3))*($F$3-$D$3))+N45,1)</f>
        <v>#REF!</v>
      </c>
      <c r="Q43" s="127">
        <f>Q40</f>
        <v>1.0249999999999999</v>
      </c>
      <c r="R43" s="128" t="e">
        <f>ROUND(P43*Q43,1)</f>
        <v>#REF!</v>
      </c>
    </row>
    <row r="44" spans="1:18" ht="12.75" customHeight="1" x14ac:dyDescent="0.25">
      <c r="A44" s="110"/>
      <c r="B44" s="1154"/>
      <c r="C44" s="111" t="e">
        <f>ROUNDUP(B43,1)</f>
        <v>#REF!</v>
      </c>
      <c r="D44" s="133"/>
      <c r="E44" s="133"/>
      <c r="F44" s="113"/>
      <c r="G44" s="113"/>
      <c r="H44" s="115"/>
      <c r="K44" s="110"/>
      <c r="L44" s="1154"/>
      <c r="M44" s="111" t="e">
        <f>ROUNDUP(L43,1)</f>
        <v>#REF!</v>
      </c>
      <c r="N44" s="133"/>
      <c r="O44" s="133"/>
      <c r="P44" s="113"/>
      <c r="Q44" s="113"/>
      <c r="R44" s="115"/>
    </row>
    <row r="45" spans="1:18" ht="12.75" customHeight="1" x14ac:dyDescent="0.25">
      <c r="A45" s="118"/>
      <c r="B45" s="119"/>
      <c r="C45" s="120"/>
      <c r="D45" s="121" t="e">
        <f>(((D44-D43)/(100*C44-100*C43))*(100*B43-100*C43))+D43</f>
        <v>#REF!</v>
      </c>
      <c r="E45" s="121" t="e">
        <f>(((E44-E43)/(100*C44-100*C43))*(100*B43-100*C43))+E43</f>
        <v>#REF!</v>
      </c>
      <c r="F45" s="122"/>
      <c r="G45" s="122"/>
      <c r="H45" s="123"/>
      <c r="K45" s="118"/>
      <c r="L45" s="119"/>
      <c r="M45" s="120"/>
      <c r="N45" s="121" t="e">
        <f>(((N44-N43)/(100*M44-100*M43))*(100*L43-100*M43))+N43</f>
        <v>#REF!</v>
      </c>
      <c r="O45" s="121" t="e">
        <f>(((O44-O43)/(100*M44-100*M43))*(100*L43-100*M43))+O43</f>
        <v>#REF!</v>
      </c>
      <c r="P45" s="122"/>
      <c r="Q45" s="122"/>
      <c r="R45" s="123"/>
    </row>
    <row r="46" spans="1:18" ht="12.75" customHeight="1" x14ac:dyDescent="0.25">
      <c r="A46" s="124" t="e">
        <f>Relato!#REF!</f>
        <v>#REF!</v>
      </c>
      <c r="B46" s="1154" t="e">
        <f>Relato!#REF!</f>
        <v>#REF!</v>
      </c>
      <c r="C46" s="130" t="e">
        <f>ROUNDDOWN(B46,1)</f>
        <v>#REF!</v>
      </c>
      <c r="D46" s="125"/>
      <c r="E46" s="125"/>
      <c r="F46" s="126" t="e">
        <f>ROUND((((E48-D48)/($E$3-$D$3))*($F$3-$D$3))+D48,1)</f>
        <v>#REF!</v>
      </c>
      <c r="G46" s="127">
        <f>G43</f>
        <v>1.0249999999999999</v>
      </c>
      <c r="H46" s="128" t="e">
        <f>ROUND(F46*G46,1)</f>
        <v>#REF!</v>
      </c>
      <c r="I46" s="116"/>
      <c r="K46" s="124" t="e">
        <f>Relato!#REF!</f>
        <v>#REF!</v>
      </c>
      <c r="L46" s="1154" t="e">
        <f>Relato!#REF!</f>
        <v>#REF!</v>
      </c>
      <c r="M46" s="130" t="e">
        <f>ROUNDDOWN(L46,1)</f>
        <v>#REF!</v>
      </c>
      <c r="N46" s="125"/>
      <c r="O46" s="125"/>
      <c r="P46" s="126" t="e">
        <f>ROUND((((O48-N48)/($E$3-$D$3))*($F$3-$D$3))+N48,1)</f>
        <v>#REF!</v>
      </c>
      <c r="Q46" s="127">
        <f>Q43</f>
        <v>1.0249999999999999</v>
      </c>
      <c r="R46" s="128" t="e">
        <f>ROUND(P46*Q46,1)</f>
        <v>#REF!</v>
      </c>
    </row>
    <row r="47" spans="1:18" ht="12.75" customHeight="1" x14ac:dyDescent="0.25">
      <c r="A47" s="110"/>
      <c r="B47" s="1154"/>
      <c r="C47" s="111" t="e">
        <f>ROUNDUP(B46,1)</f>
        <v>#REF!</v>
      </c>
      <c r="D47" s="129"/>
      <c r="E47" s="129"/>
      <c r="F47" s="113"/>
      <c r="G47" s="113"/>
      <c r="H47" s="115"/>
      <c r="K47" s="110"/>
      <c r="L47" s="1154"/>
      <c r="M47" s="111" t="e">
        <f>ROUNDUP(L46,1)</f>
        <v>#REF!</v>
      </c>
      <c r="N47" s="129"/>
      <c r="O47" s="129"/>
      <c r="P47" s="113"/>
      <c r="Q47" s="113"/>
      <c r="R47" s="115"/>
    </row>
    <row r="48" spans="1:18" ht="12.75" customHeight="1" x14ac:dyDescent="0.25">
      <c r="A48" s="118"/>
      <c r="B48" s="119"/>
      <c r="C48" s="120"/>
      <c r="D48" s="121" t="e">
        <f>(((D47-D46)/(100*C47-100*C46))*(100*B46-100*C46))+D46</f>
        <v>#REF!</v>
      </c>
      <c r="E48" s="121" t="e">
        <f>(((E47-E46)/(100*C47-100*C46))*(100*B46-100*C46))+E46</f>
        <v>#REF!</v>
      </c>
      <c r="F48" s="122"/>
      <c r="G48" s="122"/>
      <c r="H48" s="123"/>
      <c r="I48" s="116"/>
      <c r="K48" s="118"/>
      <c r="L48" s="119"/>
      <c r="M48" s="120"/>
      <c r="N48" s="121" t="e">
        <f>(((N47-N46)/(100*M47-100*M46))*(100*L46-100*M46))+N46</f>
        <v>#REF!</v>
      </c>
      <c r="O48" s="121" t="e">
        <f>(((O47-O46)/(100*M47-100*M46))*(100*L46-100*M46))+O46</f>
        <v>#REF!</v>
      </c>
      <c r="P48" s="122"/>
      <c r="Q48" s="122"/>
      <c r="R48" s="123"/>
    </row>
    <row r="49" spans="1:18" ht="12.75" customHeight="1" x14ac:dyDescent="0.25">
      <c r="A49" s="124" t="e">
        <f>Relato!#REF!</f>
        <v>#REF!</v>
      </c>
      <c r="B49" s="1154" t="e">
        <f>Relato!#REF!</f>
        <v>#REF!</v>
      </c>
      <c r="C49" s="130" t="e">
        <f>ROUNDDOWN(B49,1)</f>
        <v>#REF!</v>
      </c>
      <c r="D49" s="125"/>
      <c r="E49" s="125"/>
      <c r="F49" s="126" t="e">
        <f>ROUND((((E51-D51)/($E$3-$D$3))*($F$3-$D$3))+D51,1)</f>
        <v>#REF!</v>
      </c>
      <c r="G49" s="127">
        <f>G46</f>
        <v>1.0249999999999999</v>
      </c>
      <c r="H49" s="128" t="e">
        <f>ROUND(F49*G49,1)</f>
        <v>#REF!</v>
      </c>
      <c r="I49" s="116"/>
      <c r="K49" s="124" t="e">
        <f>Relato!#REF!</f>
        <v>#REF!</v>
      </c>
      <c r="L49" s="1154" t="e">
        <f>Relato!#REF!</f>
        <v>#REF!</v>
      </c>
      <c r="M49" s="130" t="e">
        <f>ROUNDDOWN(L49,1)</f>
        <v>#REF!</v>
      </c>
      <c r="N49" s="125"/>
      <c r="O49" s="125"/>
      <c r="P49" s="126" t="e">
        <f>ROUND((((O51-N51)/($E$3-$D$3))*($F$3-$D$3))+N51,1)</f>
        <v>#REF!</v>
      </c>
      <c r="Q49" s="127">
        <f>Q46</f>
        <v>1.0249999999999999</v>
      </c>
      <c r="R49" s="128" t="e">
        <f>ROUND(P49*Q49,1)</f>
        <v>#REF!</v>
      </c>
    </row>
    <row r="50" spans="1:18" ht="12.75" customHeight="1" x14ac:dyDescent="0.25">
      <c r="A50" s="110"/>
      <c r="B50" s="1154"/>
      <c r="C50" s="111" t="e">
        <f>ROUNDUP(B49,1)</f>
        <v>#REF!</v>
      </c>
      <c r="D50" s="129"/>
      <c r="E50" s="129"/>
      <c r="F50" s="113"/>
      <c r="G50" s="113"/>
      <c r="H50" s="115"/>
      <c r="K50" s="110"/>
      <c r="L50" s="1154"/>
      <c r="M50" s="111" t="e">
        <f>ROUNDUP(L49,1)</f>
        <v>#REF!</v>
      </c>
      <c r="N50" s="129"/>
      <c r="O50" s="129"/>
      <c r="P50" s="113"/>
      <c r="Q50" s="113"/>
      <c r="R50" s="115"/>
    </row>
    <row r="51" spans="1:18" ht="12.75" customHeight="1" x14ac:dyDescent="0.25">
      <c r="A51" s="118"/>
      <c r="B51" s="119"/>
      <c r="C51" s="120"/>
      <c r="D51" s="121" t="e">
        <f>(((D50-D49)/(100*C50-100*C49))*(100*B49-100*C49))+D49</f>
        <v>#REF!</v>
      </c>
      <c r="E51" s="121" t="e">
        <f>(((E50-E49)/(100*C50-100*C49))*(100*B49-100*C49))+E49</f>
        <v>#REF!</v>
      </c>
      <c r="F51" s="122"/>
      <c r="G51" s="122"/>
      <c r="H51" s="123"/>
      <c r="K51" s="118"/>
      <c r="L51" s="119"/>
      <c r="M51" s="120"/>
      <c r="N51" s="121" t="e">
        <f>(((N50-N49)/(100*M50-100*M49))*(100*L49-100*M49))+N49</f>
        <v>#REF!</v>
      </c>
      <c r="O51" s="121" t="e">
        <f>(((O50-O49)/(100*M50-100*M49))*(100*L49-100*M49))+O49</f>
        <v>#REF!</v>
      </c>
      <c r="P51" s="122"/>
      <c r="Q51" s="122"/>
      <c r="R51" s="123"/>
    </row>
    <row r="52" spans="1:18" ht="12.75" customHeight="1" x14ac:dyDescent="0.25">
      <c r="A52" s="124" t="e">
        <f>Relato!#REF!</f>
        <v>#REF!</v>
      </c>
      <c r="B52" s="1154" t="e">
        <f>Relato!#REF!</f>
        <v>#REF!</v>
      </c>
      <c r="C52" s="130" t="e">
        <f>ROUNDDOWN(B52,1)</f>
        <v>#REF!</v>
      </c>
      <c r="D52" s="125"/>
      <c r="E52" s="125"/>
      <c r="F52" s="126" t="e">
        <f>ROUND((((E54-D54)/($E$3-$D$3))*($F$3-$D$3))+D54,1)</f>
        <v>#REF!</v>
      </c>
      <c r="G52" s="127">
        <f>G49</f>
        <v>1.0249999999999999</v>
      </c>
      <c r="H52" s="128" t="e">
        <f>ROUND(F52*G52,1)</f>
        <v>#REF!</v>
      </c>
      <c r="I52" s="116"/>
      <c r="K52" s="124" t="e">
        <f>Relato!#REF!</f>
        <v>#REF!</v>
      </c>
      <c r="L52" s="1154" t="e">
        <f>Relato!#REF!</f>
        <v>#REF!</v>
      </c>
      <c r="M52" s="130" t="e">
        <f>ROUNDDOWN(L52,1)</f>
        <v>#REF!</v>
      </c>
      <c r="N52" s="125"/>
      <c r="O52" s="125"/>
      <c r="P52" s="126" t="e">
        <f>ROUND((((O54-N54)/($E$3-$D$3))*($F$3-$D$3))+N54,1)</f>
        <v>#REF!</v>
      </c>
      <c r="Q52" s="127">
        <f>Q49</f>
        <v>1.0249999999999999</v>
      </c>
      <c r="R52" s="128" t="e">
        <f>ROUND(P52*Q52,1)</f>
        <v>#REF!</v>
      </c>
    </row>
    <row r="53" spans="1:18" ht="12.75" customHeight="1" x14ac:dyDescent="0.25">
      <c r="A53" s="110"/>
      <c r="B53" s="1154"/>
      <c r="C53" s="111" t="e">
        <f>ROUNDUP(B52,1)</f>
        <v>#REF!</v>
      </c>
      <c r="D53" s="129"/>
      <c r="E53" s="129"/>
      <c r="F53" s="113"/>
      <c r="G53" s="113"/>
      <c r="H53" s="115"/>
      <c r="K53" s="110"/>
      <c r="L53" s="1154"/>
      <c r="M53" s="111" t="e">
        <f>ROUNDUP(L52,1)</f>
        <v>#REF!</v>
      </c>
      <c r="N53" s="129"/>
      <c r="O53" s="129"/>
      <c r="P53" s="113"/>
      <c r="Q53" s="113"/>
      <c r="R53" s="115"/>
    </row>
    <row r="54" spans="1:18" ht="12.75" customHeight="1" x14ac:dyDescent="0.25">
      <c r="A54" s="118"/>
      <c r="B54" s="119"/>
      <c r="C54" s="120"/>
      <c r="D54" s="121" t="e">
        <f>(((D53-D52)/(100*C53-100*C52))*(100*B52-100*C52))+D52</f>
        <v>#REF!</v>
      </c>
      <c r="E54" s="121" t="e">
        <f>(((E53-E52)/(100*C53-100*C52))*(100*B52-100*C52))+E52</f>
        <v>#REF!</v>
      </c>
      <c r="F54" s="122"/>
      <c r="G54" s="122"/>
      <c r="H54" s="123"/>
      <c r="K54" s="118"/>
      <c r="L54" s="119"/>
      <c r="M54" s="120"/>
      <c r="N54" s="121" t="e">
        <f>(((N53-N52)/(100*M53-100*M52))*(100*L52-100*M52))+N52</f>
        <v>#REF!</v>
      </c>
      <c r="O54" s="121" t="e">
        <f>(((O53-O52)/(100*M53-100*M52))*(100*L52-100*M52))+O52</f>
        <v>#REF!</v>
      </c>
      <c r="P54" s="122"/>
      <c r="Q54" s="122"/>
      <c r="R54" s="123"/>
    </row>
    <row r="55" spans="1:18" ht="12.75" customHeight="1" x14ac:dyDescent="0.25">
      <c r="A55" s="124" t="e">
        <f>Relato!#REF!</f>
        <v>#REF!</v>
      </c>
      <c r="B55" s="1154" t="e">
        <f>Relato!#REF!</f>
        <v>#REF!</v>
      </c>
      <c r="C55" s="130" t="e">
        <f>ROUNDDOWN(B55,1)</f>
        <v>#REF!</v>
      </c>
      <c r="D55" s="125"/>
      <c r="E55" s="125"/>
      <c r="F55" s="126" t="e">
        <f>ROUND((((E57-D57)/($E$3-$D$3))*($F$3-$D$3))+D57,1)</f>
        <v>#REF!</v>
      </c>
      <c r="G55" s="127">
        <f>G52</f>
        <v>1.0249999999999999</v>
      </c>
      <c r="H55" s="128" t="e">
        <f>ROUND(F55*G55,1)</f>
        <v>#REF!</v>
      </c>
      <c r="I55" s="116"/>
      <c r="K55" s="124" t="e">
        <f>Relato!#REF!</f>
        <v>#REF!</v>
      </c>
      <c r="L55" s="1154" t="e">
        <f>Relato!#REF!</f>
        <v>#REF!</v>
      </c>
      <c r="M55" s="130" t="e">
        <f>ROUNDDOWN(L55,1)</f>
        <v>#REF!</v>
      </c>
      <c r="N55" s="125"/>
      <c r="O55" s="125"/>
      <c r="P55" s="126" t="e">
        <f>ROUND((((O57-N57)/($E$3-$D$3))*($F$3-$D$3))+N57,1)</f>
        <v>#REF!</v>
      </c>
      <c r="Q55" s="127">
        <f>Q52</f>
        <v>1.0249999999999999</v>
      </c>
      <c r="R55" s="128" t="e">
        <f>ROUND(P55*Q55,1)</f>
        <v>#REF!</v>
      </c>
    </row>
    <row r="56" spans="1:18" ht="12.75" customHeight="1" x14ac:dyDescent="0.25">
      <c r="A56" s="110"/>
      <c r="B56" s="1154"/>
      <c r="C56" s="111" t="e">
        <f>ROUNDUP(B55,1)</f>
        <v>#REF!</v>
      </c>
      <c r="D56" s="129"/>
      <c r="E56" s="129"/>
      <c r="F56" s="113"/>
      <c r="G56" s="134"/>
      <c r="H56" s="115"/>
      <c r="K56" s="110"/>
      <c r="L56" s="1154"/>
      <c r="M56" s="111" t="e">
        <f>ROUNDUP(L55,1)</f>
        <v>#REF!</v>
      </c>
      <c r="N56" s="129"/>
      <c r="O56" s="129"/>
      <c r="P56" s="113"/>
      <c r="Q56" s="134"/>
      <c r="R56" s="115"/>
    </row>
    <row r="57" spans="1:18" ht="12.75" customHeight="1" x14ac:dyDescent="0.25">
      <c r="A57" s="118"/>
      <c r="B57" s="119"/>
      <c r="C57" s="120"/>
      <c r="D57" s="121" t="e">
        <f>(((D56-D55)/(100*C56-100*C55))*(100*B55-100*C55))+D55</f>
        <v>#REF!</v>
      </c>
      <c r="E57" s="121" t="e">
        <f>(((E56-E55)/(100*C56-100*C55))*(100*B55-100*C55))+E55</f>
        <v>#REF!</v>
      </c>
      <c r="F57" s="122"/>
      <c r="G57" s="122"/>
      <c r="H57" s="123"/>
      <c r="K57" s="118"/>
      <c r="L57" s="119"/>
      <c r="M57" s="120"/>
      <c r="N57" s="121" t="e">
        <f>(((N56-N55)/(100*M56-100*M55))*(100*L55-100*M55))+N55</f>
        <v>#REF!</v>
      </c>
      <c r="O57" s="121" t="e">
        <f>(((O56-O55)/(100*M56-100*M55))*(100*L55-100*M55))+O55</f>
        <v>#REF!</v>
      </c>
      <c r="P57" s="122"/>
      <c r="Q57" s="122"/>
      <c r="R57" s="123"/>
    </row>
    <row r="58" spans="1:18" ht="12.75" customHeight="1" x14ac:dyDescent="0.25">
      <c r="A58" s="124" t="e">
        <f>Relato!#REF!</f>
        <v>#REF!</v>
      </c>
      <c r="B58" s="1154" t="e">
        <f>Relato!#REF!</f>
        <v>#REF!</v>
      </c>
      <c r="C58" s="130" t="e">
        <f>ROUNDDOWN(B58,1)</f>
        <v>#REF!</v>
      </c>
      <c r="D58" s="125"/>
      <c r="E58" s="125"/>
      <c r="F58" s="126" t="e">
        <f>ROUND((((E60-D60)/($E$3-$D$3))*($F$3-$D$3))+D60,1)</f>
        <v>#REF!</v>
      </c>
      <c r="G58" s="127">
        <f>G55</f>
        <v>1.0249999999999999</v>
      </c>
      <c r="H58" s="128" t="e">
        <f>ROUND(F58*G58,1)</f>
        <v>#REF!</v>
      </c>
      <c r="I58" s="116"/>
      <c r="K58" s="124" t="e">
        <f>Relato!#REF!</f>
        <v>#REF!</v>
      </c>
      <c r="L58" s="1154" t="e">
        <f>Relato!#REF!</f>
        <v>#REF!</v>
      </c>
      <c r="M58" s="130" t="e">
        <f>ROUNDDOWN(L58,1)</f>
        <v>#REF!</v>
      </c>
      <c r="N58" s="125"/>
      <c r="O58" s="125"/>
      <c r="P58" s="126" t="e">
        <f>ROUND((((O60-N60)/($E$3-$D$3))*($F$3-$D$3))+N60,1)</f>
        <v>#REF!</v>
      </c>
      <c r="Q58" s="127">
        <f>Q55</f>
        <v>1.0249999999999999</v>
      </c>
      <c r="R58" s="128" t="e">
        <f>ROUND(P58*Q58,1)</f>
        <v>#REF!</v>
      </c>
    </row>
    <row r="59" spans="1:18" ht="12.75" customHeight="1" x14ac:dyDescent="0.25">
      <c r="A59" s="110"/>
      <c r="B59" s="1154"/>
      <c r="C59" s="111" t="e">
        <f>ROUNDUP(B58,1)</f>
        <v>#REF!</v>
      </c>
      <c r="D59" s="129"/>
      <c r="E59" s="129"/>
      <c r="F59" s="113"/>
      <c r="G59" s="113"/>
      <c r="H59" s="115"/>
      <c r="K59" s="110"/>
      <c r="L59" s="1154"/>
      <c r="M59" s="111" t="e">
        <f>ROUNDUP(L58,1)</f>
        <v>#REF!</v>
      </c>
      <c r="N59" s="129"/>
      <c r="O59" s="129"/>
      <c r="P59" s="113"/>
      <c r="Q59" s="113"/>
      <c r="R59" s="115"/>
    </row>
    <row r="60" spans="1:18" ht="12.75" customHeight="1" x14ac:dyDescent="0.25">
      <c r="A60" s="118"/>
      <c r="B60" s="119"/>
      <c r="C60" s="120"/>
      <c r="D60" s="121" t="e">
        <f>(((D59-D58)/(100*C59-100*C58))*(100*B58-100*C58))+D58</f>
        <v>#REF!</v>
      </c>
      <c r="E60" s="121" t="e">
        <f>(((E59-E58)/(100*C59-100*C58))*(100*B58-100*C58))+E58</f>
        <v>#REF!</v>
      </c>
      <c r="F60" s="122"/>
      <c r="G60" s="122"/>
      <c r="H60" s="123"/>
      <c r="K60" s="118"/>
      <c r="L60" s="119"/>
      <c r="M60" s="120"/>
      <c r="N60" s="121" t="e">
        <f>(((N59-N58)/(100*M59-100*M58))*(100*L58-100*M58))+N58</f>
        <v>#REF!</v>
      </c>
      <c r="O60" s="121" t="e">
        <f>(((O59-O58)/(100*M59-100*M58))*(100*L58-100*M58))+O58</f>
        <v>#REF!</v>
      </c>
      <c r="P60" s="122"/>
      <c r="Q60" s="122"/>
      <c r="R60" s="123"/>
    </row>
    <row r="61" spans="1:18" ht="12.75" customHeight="1" x14ac:dyDescent="0.25">
      <c r="A61" s="124" t="e">
        <f>Relato!#REF!</f>
        <v>#REF!</v>
      </c>
      <c r="B61" s="1154" t="e">
        <f>Relato!#REF!</f>
        <v>#REF!</v>
      </c>
      <c r="C61" s="130" t="e">
        <f>ROUNDDOWN(B61,1)</f>
        <v>#REF!</v>
      </c>
      <c r="D61" s="125"/>
      <c r="E61" s="125"/>
      <c r="F61" s="126" t="e">
        <f>ROUND((((E63-D63)/($E$3-$D$3))*($F$3-$D$3))+D63,1)</f>
        <v>#REF!</v>
      </c>
      <c r="G61" s="127">
        <f>G58</f>
        <v>1.0249999999999999</v>
      </c>
      <c r="H61" s="128" t="e">
        <f>ROUND(F61*G61,1)</f>
        <v>#REF!</v>
      </c>
      <c r="I61" s="116"/>
      <c r="K61" s="124" t="e">
        <f>Relato!#REF!</f>
        <v>#REF!</v>
      </c>
      <c r="L61" s="1154" t="e">
        <f>Relato!#REF!</f>
        <v>#REF!</v>
      </c>
      <c r="M61" s="130" t="e">
        <f>ROUNDDOWN(L61,1)</f>
        <v>#REF!</v>
      </c>
      <c r="N61" s="125"/>
      <c r="O61" s="125"/>
      <c r="P61" s="126" t="e">
        <f>ROUND((((O63-N63)/($E$3-$D$3))*($F$3-$D$3))+N63,1)</f>
        <v>#REF!</v>
      </c>
      <c r="Q61" s="127">
        <f>Q58</f>
        <v>1.0249999999999999</v>
      </c>
      <c r="R61" s="128" t="e">
        <f>ROUND(P61*Q61,1)</f>
        <v>#REF!</v>
      </c>
    </row>
    <row r="62" spans="1:18" ht="12.75" customHeight="1" x14ac:dyDescent="0.25">
      <c r="A62" s="110"/>
      <c r="B62" s="1154"/>
      <c r="C62" s="111" t="e">
        <f>ROUNDUP(B61,1)</f>
        <v>#REF!</v>
      </c>
      <c r="D62" s="129"/>
      <c r="E62" s="129"/>
      <c r="F62" s="113"/>
      <c r="G62" s="113"/>
      <c r="H62" s="115"/>
      <c r="K62" s="110"/>
      <c r="L62" s="1154"/>
      <c r="M62" s="111" t="e">
        <f>ROUNDUP(L61,1)</f>
        <v>#REF!</v>
      </c>
      <c r="N62" s="129"/>
      <c r="O62" s="129"/>
      <c r="P62" s="113"/>
      <c r="Q62" s="113"/>
      <c r="R62" s="115"/>
    </row>
    <row r="63" spans="1:18" ht="12.75" customHeight="1" x14ac:dyDescent="0.25">
      <c r="A63" s="118"/>
      <c r="B63" s="119"/>
      <c r="C63" s="120"/>
      <c r="D63" s="121" t="e">
        <f>(((D62-D61)/(100*C62-100*C61))*(100*B61-100*C61))+D61</f>
        <v>#REF!</v>
      </c>
      <c r="E63" s="121" t="e">
        <f>(((E62-E61)/(100*C62-100*C61))*(100*B61-100*C61))+E61</f>
        <v>#REF!</v>
      </c>
      <c r="F63" s="122"/>
      <c r="G63" s="122"/>
      <c r="H63" s="123"/>
      <c r="K63" s="118"/>
      <c r="L63" s="119"/>
      <c r="M63" s="120"/>
      <c r="N63" s="121" t="e">
        <f>(((N62-N61)/(100*M62-100*M61))*(100*L61-100*M61))+N61</f>
        <v>#REF!</v>
      </c>
      <c r="O63" s="121" t="e">
        <f>(((O62-O61)/(100*M62-100*M61))*(100*L61-100*M61))+O61</f>
        <v>#REF!</v>
      </c>
      <c r="P63" s="122"/>
      <c r="Q63" s="122"/>
      <c r="R63" s="123"/>
    </row>
    <row r="64" spans="1:18" ht="12.75" customHeight="1" x14ac:dyDescent="0.25">
      <c r="A64" s="124" t="e">
        <f>Relato!#REF!</f>
        <v>#REF!</v>
      </c>
      <c r="B64" s="1154" t="e">
        <f>Relato!#REF!</f>
        <v>#REF!</v>
      </c>
      <c r="C64" s="130" t="e">
        <f>ROUNDDOWN(B64,1)</f>
        <v>#REF!</v>
      </c>
      <c r="D64" s="125"/>
      <c r="E64" s="125"/>
      <c r="F64" s="126" t="e">
        <f>ROUND((((E66-D66)/($E$3-$D$3))*($F$3-$D$3))+D66,1)</f>
        <v>#REF!</v>
      </c>
      <c r="G64" s="127">
        <f>G61</f>
        <v>1.0249999999999999</v>
      </c>
      <c r="H64" s="128" t="e">
        <f>ROUND(F64*G64,1)</f>
        <v>#REF!</v>
      </c>
      <c r="I64" s="116"/>
      <c r="K64" s="124" t="e">
        <f>Relato!#REF!</f>
        <v>#REF!</v>
      </c>
      <c r="L64" s="1154" t="e">
        <f>Relato!#REF!</f>
        <v>#REF!</v>
      </c>
      <c r="M64" s="130" t="e">
        <f>ROUNDDOWN(L64,1)</f>
        <v>#REF!</v>
      </c>
      <c r="N64" s="125"/>
      <c r="O64" s="125"/>
      <c r="P64" s="126" t="e">
        <f>ROUND((((O66-N66)/($E$3-$D$3))*($F$3-$D$3))+N66,1)</f>
        <v>#REF!</v>
      </c>
      <c r="Q64" s="127">
        <f>Q61</f>
        <v>1.0249999999999999</v>
      </c>
      <c r="R64" s="128" t="e">
        <f>ROUND(P64*Q64,1)</f>
        <v>#REF!</v>
      </c>
    </row>
    <row r="65" spans="1:18" ht="12.75" customHeight="1" x14ac:dyDescent="0.25">
      <c r="A65" s="110"/>
      <c r="B65" s="1154"/>
      <c r="C65" s="111" t="e">
        <f>ROUNDUP(B64,1)</f>
        <v>#REF!</v>
      </c>
      <c r="D65" s="129"/>
      <c r="E65" s="129"/>
      <c r="F65" s="113"/>
      <c r="G65" s="113"/>
      <c r="H65" s="115"/>
      <c r="K65" s="110"/>
      <c r="L65" s="1154"/>
      <c r="M65" s="111" t="e">
        <f>ROUNDUP(L64,1)</f>
        <v>#REF!</v>
      </c>
      <c r="N65" s="129"/>
      <c r="O65" s="129"/>
      <c r="P65" s="113"/>
      <c r="Q65" s="113"/>
      <c r="R65" s="115"/>
    </row>
    <row r="66" spans="1:18" ht="12.75" customHeight="1" x14ac:dyDescent="0.25">
      <c r="A66" s="118"/>
      <c r="B66" s="119"/>
      <c r="C66" s="120"/>
      <c r="D66" s="121" t="e">
        <f>(((D65-D64)/(100*C65-100*C64))*(100*B64-100*C64))+D64</f>
        <v>#REF!</v>
      </c>
      <c r="E66" s="121" t="e">
        <f>(((E65-E64)/(100*C65-100*C64))*(100*B64-100*C64))+E64</f>
        <v>#REF!</v>
      </c>
      <c r="F66" s="122"/>
      <c r="G66" s="122"/>
      <c r="H66" s="123"/>
      <c r="K66" s="118"/>
      <c r="L66" s="119"/>
      <c r="M66" s="120"/>
      <c r="N66" s="121" t="e">
        <f>(((N65-N64)/(100*M65-100*M64))*(100*L64-100*M64))+N64</f>
        <v>#REF!</v>
      </c>
      <c r="O66" s="121" t="e">
        <f>(((O65-O64)/(100*M65-100*M64))*(100*L64-100*M64))+O64</f>
        <v>#REF!</v>
      </c>
      <c r="P66" s="122"/>
      <c r="Q66" s="122"/>
      <c r="R66" s="123"/>
    </row>
    <row r="67" spans="1:18" ht="12.75" customHeight="1" x14ac:dyDescent="0.25">
      <c r="A67" s="124" t="e">
        <f>Relato!#REF!</f>
        <v>#REF!</v>
      </c>
      <c r="B67" s="1154" t="e">
        <f>Relato!#REF!</f>
        <v>#REF!</v>
      </c>
      <c r="C67" s="130" t="e">
        <f>ROUNDDOWN(B67,1)</f>
        <v>#REF!</v>
      </c>
      <c r="D67" s="125"/>
      <c r="E67" s="125"/>
      <c r="F67" s="126" t="e">
        <f>ROUND((((E69-D69)/($E$3-$D$3))*($F$3-$D$3))+D69,1)</f>
        <v>#REF!</v>
      </c>
      <c r="G67" s="127">
        <f>G64</f>
        <v>1.0249999999999999</v>
      </c>
      <c r="H67" s="128" t="e">
        <f>ROUND(F67*G67,1)</f>
        <v>#REF!</v>
      </c>
      <c r="I67" s="116"/>
      <c r="K67" s="124" t="e">
        <f>Relato!#REF!</f>
        <v>#REF!</v>
      </c>
      <c r="L67" s="1154" t="e">
        <f>Relato!#REF!</f>
        <v>#REF!</v>
      </c>
      <c r="M67" s="130" t="e">
        <f>ROUNDDOWN(L67,1)</f>
        <v>#REF!</v>
      </c>
      <c r="N67" s="125"/>
      <c r="O67" s="125"/>
      <c r="P67" s="126" t="e">
        <f>ROUND((((O69-N69)/($E$3-$D$3))*($F$3-$D$3))+N69,1)</f>
        <v>#REF!</v>
      </c>
      <c r="Q67" s="127">
        <f>Q64</f>
        <v>1.0249999999999999</v>
      </c>
      <c r="R67" s="128" t="e">
        <f>ROUND(P67*Q67,1)</f>
        <v>#REF!</v>
      </c>
    </row>
    <row r="68" spans="1:18" ht="12.75" customHeight="1" x14ac:dyDescent="0.25">
      <c r="A68" s="110"/>
      <c r="B68" s="1154"/>
      <c r="C68" s="111" t="e">
        <f>ROUNDUP(B67,1)</f>
        <v>#REF!</v>
      </c>
      <c r="D68" s="129"/>
      <c r="E68" s="129"/>
      <c r="F68" s="113"/>
      <c r="G68" s="113"/>
      <c r="H68" s="115"/>
      <c r="K68" s="110"/>
      <c r="L68" s="1154"/>
      <c r="M68" s="111" t="e">
        <f>ROUNDUP(L67,1)</f>
        <v>#REF!</v>
      </c>
      <c r="N68" s="129"/>
      <c r="O68" s="129"/>
      <c r="P68" s="113"/>
      <c r="Q68" s="113"/>
      <c r="R68" s="115"/>
    </row>
    <row r="69" spans="1:18" ht="12.75" customHeight="1" x14ac:dyDescent="0.25">
      <c r="A69" s="118"/>
      <c r="B69" s="119"/>
      <c r="C69" s="120"/>
      <c r="D69" s="121" t="e">
        <f>(((D68-D67)/(100*C68-100*C67))*(100*B67-100*C67))+D67</f>
        <v>#REF!</v>
      </c>
      <c r="E69" s="121" t="e">
        <f>(((E68-E67)/(100*C68-100*C67))*(100*B67-100*C67))+E67</f>
        <v>#REF!</v>
      </c>
      <c r="F69" s="122"/>
      <c r="G69" s="122"/>
      <c r="H69" s="123"/>
      <c r="K69" s="118"/>
      <c r="L69" s="119"/>
      <c r="M69" s="120"/>
      <c r="N69" s="121" t="e">
        <f>(((N68-N67)/(100*M68-100*M67))*(100*L67-100*M67))+N67</f>
        <v>#REF!</v>
      </c>
      <c r="O69" s="121" t="e">
        <f>(((O68-O67)/(100*M68-100*M67))*(100*L67-100*M67))+O67</f>
        <v>#REF!</v>
      </c>
      <c r="P69" s="122"/>
      <c r="Q69" s="122"/>
      <c r="R69" s="123"/>
    </row>
    <row r="70" spans="1:18" ht="12.75" customHeight="1" x14ac:dyDescent="0.25">
      <c r="A70" s="124" t="e">
        <f>Relato!#REF!</f>
        <v>#REF!</v>
      </c>
      <c r="B70" s="1154" t="e">
        <f>Relato!#REF!</f>
        <v>#REF!</v>
      </c>
      <c r="C70" s="130" t="e">
        <f>ROUNDDOWN(B70,1)</f>
        <v>#REF!</v>
      </c>
      <c r="D70" s="125"/>
      <c r="E70" s="125"/>
      <c r="F70" s="126" t="e">
        <f>ROUND((((E72-D72)/($E$3-$D$3))*($F$3-$D$3))+D72,1)</f>
        <v>#REF!</v>
      </c>
      <c r="G70" s="127">
        <f>G67</f>
        <v>1.0249999999999999</v>
      </c>
      <c r="H70" s="128" t="e">
        <f>ROUND(F70*G70,1)</f>
        <v>#REF!</v>
      </c>
      <c r="I70" s="116"/>
      <c r="K70" s="124" t="e">
        <f>Relato!#REF!</f>
        <v>#REF!</v>
      </c>
      <c r="L70" s="1154">
        <f>Relato!$D$254</f>
        <v>0.05</v>
      </c>
      <c r="M70" s="130">
        <f>ROUNDDOWN(L70,1)</f>
        <v>0</v>
      </c>
      <c r="N70" s="125"/>
      <c r="O70" s="125"/>
      <c r="P70" s="126">
        <f>ROUND((((O72-N72)/($E$3-$D$3))*($F$3-$D$3))+N72,1)</f>
        <v>0</v>
      </c>
      <c r="Q70" s="127">
        <f>Q67</f>
        <v>1.0249999999999999</v>
      </c>
      <c r="R70" s="128">
        <f>ROUND(P70*Q70,1)</f>
        <v>0</v>
      </c>
    </row>
    <row r="71" spans="1:18" ht="12.75" customHeight="1" x14ac:dyDescent="0.25">
      <c r="A71" s="110"/>
      <c r="B71" s="1154"/>
      <c r="C71" s="111" t="e">
        <f>ROUNDUP(B70,1)</f>
        <v>#REF!</v>
      </c>
      <c r="D71" s="129"/>
      <c r="E71" s="129"/>
      <c r="F71" s="113"/>
      <c r="G71" s="113"/>
      <c r="H71" s="115"/>
      <c r="K71" s="110"/>
      <c r="L71" s="1154"/>
      <c r="M71" s="111">
        <f>ROUNDUP(L70,1)</f>
        <v>0.1</v>
      </c>
      <c r="N71" s="129"/>
      <c r="O71" s="129"/>
      <c r="P71" s="113"/>
      <c r="Q71" s="113"/>
      <c r="R71" s="115"/>
    </row>
    <row r="72" spans="1:18" ht="12.75" customHeight="1" x14ac:dyDescent="0.25">
      <c r="A72" s="118"/>
      <c r="B72" s="119"/>
      <c r="C72" s="120"/>
      <c r="D72" s="121" t="e">
        <f>(((D71-D70)/(100*C71-100*C70))*(100*B70-100*C70))+D70</f>
        <v>#REF!</v>
      </c>
      <c r="E72" s="135" t="e">
        <f>(((E71-E70)/(100*C71-100*C70))*(100*B70-100*C70))+E70</f>
        <v>#REF!</v>
      </c>
      <c r="F72" s="113"/>
      <c r="G72" s="113"/>
      <c r="H72" s="115"/>
      <c r="K72" s="118"/>
      <c r="L72" s="119"/>
      <c r="M72" s="120"/>
      <c r="N72" s="121">
        <f>(((N71-N70)/(100*M71-100*M70))*(100*L70-100*M70))+N70</f>
        <v>0</v>
      </c>
      <c r="O72" s="135">
        <f>(((O71-O70)/(100*M71-100*M70))*(100*L70-100*M70))+O70</f>
        <v>0</v>
      </c>
      <c r="P72" s="113"/>
      <c r="Q72" s="113"/>
      <c r="R72" s="115"/>
    </row>
    <row r="73" spans="1:18" ht="12.75" customHeight="1" x14ac:dyDescent="0.25">
      <c r="A73" s="124" t="str">
        <f>Relato!$A$235</f>
        <v>5 TS (P)</v>
      </c>
      <c r="B73" s="1154">
        <f>Relato!$G$235</f>
        <v>4.32</v>
      </c>
      <c r="C73" s="130">
        <f>ROUNDDOWN(B73,1)</f>
        <v>4.3</v>
      </c>
      <c r="D73" s="125"/>
      <c r="E73" s="125"/>
      <c r="F73" s="126">
        <f>ROUND((((E75-D75)/($E$3-$D$3))*($F$3-$D$3))+D75,1)</f>
        <v>0</v>
      </c>
      <c r="G73" s="127">
        <f>G70</f>
        <v>1.0249999999999999</v>
      </c>
      <c r="H73" s="128">
        <f>ROUND(F73*G73,1)</f>
        <v>0</v>
      </c>
      <c r="I73" s="116"/>
      <c r="K73" s="124" t="str">
        <f>Relato!$A$235</f>
        <v>5 TS (P)</v>
      </c>
      <c r="L73" s="1154" t="e">
        <f>Relato!#REF!</f>
        <v>#REF!</v>
      </c>
      <c r="M73" s="130" t="e">
        <f>ROUNDDOWN(L73,1)</f>
        <v>#REF!</v>
      </c>
      <c r="N73" s="125"/>
      <c r="O73" s="125"/>
      <c r="P73" s="126" t="e">
        <f>ROUND((((O75-N75)/($E$3-$D$3))*($F$3-$D$3))+N75,1)</f>
        <v>#REF!</v>
      </c>
      <c r="Q73" s="127">
        <f>Q70</f>
        <v>1.0249999999999999</v>
      </c>
      <c r="R73" s="128" t="e">
        <f>ROUND(P73*Q73,1)</f>
        <v>#REF!</v>
      </c>
    </row>
    <row r="74" spans="1:18" ht="12.75" customHeight="1" x14ac:dyDescent="0.25">
      <c r="A74" s="110"/>
      <c r="B74" s="1154"/>
      <c r="C74" s="111">
        <f>ROUNDUP(B73,1)</f>
        <v>4.3999999999999995</v>
      </c>
      <c r="D74" s="129"/>
      <c r="E74" s="129"/>
      <c r="F74" s="113"/>
      <c r="G74" s="134"/>
      <c r="H74" s="115"/>
      <c r="K74" s="110"/>
      <c r="L74" s="1154"/>
      <c r="M74" s="111" t="e">
        <f>ROUNDUP(L73,1)</f>
        <v>#REF!</v>
      </c>
      <c r="N74" s="129"/>
      <c r="O74" s="129"/>
      <c r="P74" s="113"/>
      <c r="Q74" s="134"/>
      <c r="R74" s="115"/>
    </row>
    <row r="75" spans="1:18" ht="12.75" customHeight="1" x14ac:dyDescent="0.25">
      <c r="A75" s="118"/>
      <c r="B75" s="119"/>
      <c r="C75" s="120"/>
      <c r="D75" s="121">
        <f>(((D74-D73)/(100*C74-100*C73))*(100*B73-100*C73))+D73</f>
        <v>0</v>
      </c>
      <c r="E75" s="121">
        <f>(((E74-E73)/(100*C74-100*C73))*(100*B73-100*C73))+E73</f>
        <v>0</v>
      </c>
      <c r="F75" s="122"/>
      <c r="G75" s="122"/>
      <c r="H75" s="123"/>
      <c r="K75" s="118"/>
      <c r="L75" s="119"/>
      <c r="M75" s="120"/>
      <c r="N75" s="121" t="e">
        <f>(((N74-N73)/(100*M74-100*M73))*(100*L73-100*M73))+N73</f>
        <v>#REF!</v>
      </c>
      <c r="O75" s="121" t="e">
        <f>(((O74-O73)/(100*M74-100*M73))*(100*L73-100*M73))+O73</f>
        <v>#REF!</v>
      </c>
      <c r="P75" s="122"/>
      <c r="Q75" s="122"/>
      <c r="R75" s="123"/>
    </row>
    <row r="76" spans="1:18" ht="12.75" customHeight="1" x14ac:dyDescent="0.25">
      <c r="A76" s="124" t="e">
        <f>Relato!#REF!</f>
        <v>#REF!</v>
      </c>
      <c r="B76" s="1154" t="e">
        <f>Relato!#REF!</f>
        <v>#REF!</v>
      </c>
      <c r="C76" s="130" t="e">
        <f>ROUNDDOWN(B76,1)</f>
        <v>#REF!</v>
      </c>
      <c r="D76" s="125"/>
      <c r="E76" s="125"/>
      <c r="F76" s="126" t="e">
        <f>ROUND((((E78-D78)/($E$3-$D$3))*($F$3-$D$3))+D78,1)</f>
        <v>#REF!</v>
      </c>
      <c r="G76" s="127">
        <f>G73</f>
        <v>1.0249999999999999</v>
      </c>
      <c r="H76" s="128" t="e">
        <f>ROUND(F76*G76,1)</f>
        <v>#REF!</v>
      </c>
      <c r="I76" s="116"/>
      <c r="K76" s="124" t="e">
        <f>Relato!#REF!</f>
        <v>#REF!</v>
      </c>
      <c r="L76" s="1154" t="e">
        <f>Relato!#REF!</f>
        <v>#REF!</v>
      </c>
      <c r="M76" s="130" t="e">
        <f>ROUNDDOWN(L76,1)</f>
        <v>#REF!</v>
      </c>
      <c r="N76" s="125"/>
      <c r="O76" s="125"/>
      <c r="P76" s="126" t="e">
        <f>ROUND((((O78-N78)/($E$3-$D$3))*($F$3-$D$3))+N78,1)</f>
        <v>#REF!</v>
      </c>
      <c r="Q76" s="127">
        <f>Q73</f>
        <v>1.0249999999999999</v>
      </c>
      <c r="R76" s="128" t="e">
        <f>ROUND(P76*Q76,1)</f>
        <v>#REF!</v>
      </c>
    </row>
    <row r="77" spans="1:18" ht="12.75" customHeight="1" x14ac:dyDescent="0.25">
      <c r="A77" s="110"/>
      <c r="B77" s="1154"/>
      <c r="C77" s="111" t="e">
        <f>ROUNDUP(B76,1)</f>
        <v>#REF!</v>
      </c>
      <c r="D77" s="129"/>
      <c r="E77" s="129"/>
      <c r="F77" s="113"/>
      <c r="G77" s="113"/>
      <c r="H77" s="115"/>
      <c r="K77" s="110"/>
      <c r="L77" s="1154"/>
      <c r="M77" s="111" t="e">
        <f>ROUNDUP(L76,1)</f>
        <v>#REF!</v>
      </c>
      <c r="N77" s="129"/>
      <c r="O77" s="129"/>
      <c r="P77" s="113"/>
      <c r="Q77" s="113"/>
      <c r="R77" s="115"/>
    </row>
    <row r="78" spans="1:18" ht="12.75" customHeight="1" x14ac:dyDescent="0.25">
      <c r="A78" s="118"/>
      <c r="B78" s="119"/>
      <c r="C78" s="120"/>
      <c r="D78" s="121" t="e">
        <f>(((D77-D76)/(100*C77-100*C76))*(100*B76-100*C76))+D76</f>
        <v>#REF!</v>
      </c>
      <c r="E78" s="121" t="e">
        <f>(((E77-E76)/(100*C77-100*C76))*(100*B76-100*C76))+E76</f>
        <v>#REF!</v>
      </c>
      <c r="F78" s="122"/>
      <c r="G78" s="122"/>
      <c r="H78" s="123"/>
      <c r="K78" s="118"/>
      <c r="L78" s="119"/>
      <c r="M78" s="120"/>
      <c r="N78" s="121" t="e">
        <f>(((N77-N76)/(100*M77-100*M76))*(100*L76-100*M76))+N76</f>
        <v>#REF!</v>
      </c>
      <c r="O78" s="121" t="e">
        <f>(((O77-O76)/(100*M77-100*M76))*(100*L76-100*M76))+O76</f>
        <v>#REF!</v>
      </c>
      <c r="P78" s="122"/>
      <c r="Q78" s="122"/>
      <c r="R78" s="123"/>
    </row>
    <row r="79" spans="1:18" ht="12.75" customHeight="1" x14ac:dyDescent="0.25">
      <c r="A79" s="124" t="e">
        <f>Relato!#REF!</f>
        <v>#REF!</v>
      </c>
      <c r="B79" s="1154" t="e">
        <f>Relato!#REF!</f>
        <v>#REF!</v>
      </c>
      <c r="C79" s="130" t="e">
        <f>ROUNDDOWN(B79,1)</f>
        <v>#REF!</v>
      </c>
      <c r="D79" s="125"/>
      <c r="E79" s="125"/>
      <c r="F79" s="126" t="e">
        <f>ROUND((((E81-D81)/($E$3-$D$3))*($F$3-$D$3))+D81,1)</f>
        <v>#REF!</v>
      </c>
      <c r="G79" s="127">
        <f>G76</f>
        <v>1.0249999999999999</v>
      </c>
      <c r="H79" s="128" t="e">
        <f>ROUND(F79*G79,1)</f>
        <v>#REF!</v>
      </c>
      <c r="I79" s="116"/>
      <c r="K79" s="124" t="e">
        <f>Relato!#REF!</f>
        <v>#REF!</v>
      </c>
      <c r="L79" s="1154" t="e">
        <f>Relato!#REF!</f>
        <v>#REF!</v>
      </c>
      <c r="M79" s="130" t="e">
        <f>ROUNDDOWN(L79,1)</f>
        <v>#REF!</v>
      </c>
      <c r="N79" s="125"/>
      <c r="O79" s="125"/>
      <c r="P79" s="126" t="e">
        <f>ROUND((((O81-N81)/($E$3-$D$3))*($F$3-$D$3))+N81,1)</f>
        <v>#REF!</v>
      </c>
      <c r="Q79" s="127">
        <f>Q76</f>
        <v>1.0249999999999999</v>
      </c>
      <c r="R79" s="128" t="e">
        <f>ROUND(P79*Q79,1)</f>
        <v>#REF!</v>
      </c>
    </row>
    <row r="80" spans="1:18" ht="12.75" customHeight="1" x14ac:dyDescent="0.25">
      <c r="A80" s="110"/>
      <c r="B80" s="1154"/>
      <c r="C80" s="111" t="e">
        <f>ROUNDUP(B79,1)</f>
        <v>#REF!</v>
      </c>
      <c r="D80" s="129"/>
      <c r="E80" s="129"/>
      <c r="F80" s="113"/>
      <c r="G80" s="113"/>
      <c r="H80" s="115"/>
      <c r="K80" s="110"/>
      <c r="L80" s="1154"/>
      <c r="M80" s="111" t="e">
        <f>ROUNDUP(L79,1)</f>
        <v>#REF!</v>
      </c>
      <c r="N80" s="129"/>
      <c r="O80" s="129"/>
      <c r="P80" s="113"/>
      <c r="Q80" s="113"/>
      <c r="R80" s="115"/>
    </row>
    <row r="81" spans="1:18" ht="12.75" customHeight="1" x14ac:dyDescent="0.25">
      <c r="A81" s="118"/>
      <c r="B81" s="119"/>
      <c r="C81" s="120"/>
      <c r="D81" s="121" t="e">
        <f>(((D80-D79)/(100*C80-100*C79))*(100*B79-100*C79))+D79</f>
        <v>#REF!</v>
      </c>
      <c r="E81" s="121" t="e">
        <f>(((E80-E79)/(100*C80-100*C79))*(100*B79-100*C79))+E79</f>
        <v>#REF!</v>
      </c>
      <c r="F81" s="122"/>
      <c r="G81" s="122"/>
      <c r="H81" s="123"/>
      <c r="K81" s="118"/>
      <c r="L81" s="119"/>
      <c r="M81" s="120"/>
      <c r="N81" s="121" t="e">
        <f>(((N80-N79)/(100*M80-100*M79))*(100*L79-100*M79))+N79</f>
        <v>#REF!</v>
      </c>
      <c r="O81" s="121" t="e">
        <f>(((O80-O79)/(100*M80-100*M79))*(100*L79-100*M79))+O79</f>
        <v>#REF!</v>
      </c>
      <c r="P81" s="122"/>
      <c r="Q81" s="122"/>
      <c r="R81" s="123"/>
    </row>
    <row r="82" spans="1:18" ht="12.75" customHeight="1" x14ac:dyDescent="0.25">
      <c r="A82" s="124" t="e">
        <f>Relato!#REF!</f>
        <v>#REF!</v>
      </c>
      <c r="B82" s="1154" t="e">
        <f>Relato!#REF!</f>
        <v>#REF!</v>
      </c>
      <c r="C82" s="130" t="e">
        <f>ROUNDDOWN(B82,1)</f>
        <v>#REF!</v>
      </c>
      <c r="D82" s="125"/>
      <c r="E82" s="125"/>
      <c r="F82" s="126" t="e">
        <f>ROUND((((E84-D84)/($E$3-$D$3))*($F$3-$D$3))+D84,1)</f>
        <v>#REF!</v>
      </c>
      <c r="G82" s="127">
        <f>G79</f>
        <v>1.0249999999999999</v>
      </c>
      <c r="H82" s="128" t="e">
        <f>ROUND(F82*G82,1)</f>
        <v>#REF!</v>
      </c>
      <c r="I82" s="116"/>
      <c r="K82" s="124" t="e">
        <f>Relato!#REF!</f>
        <v>#REF!</v>
      </c>
      <c r="L82" s="1154" t="e">
        <f>Relato!#REF!</f>
        <v>#REF!</v>
      </c>
      <c r="M82" s="130" t="e">
        <f>ROUNDDOWN(L82,1)</f>
        <v>#REF!</v>
      </c>
      <c r="N82" s="125"/>
      <c r="O82" s="125"/>
      <c r="P82" s="126" t="e">
        <f>ROUND((((O84-N84)/($E$3-$D$3))*($F$3-$D$3))+N84,1)</f>
        <v>#REF!</v>
      </c>
      <c r="Q82" s="127">
        <f>Q79</f>
        <v>1.0249999999999999</v>
      </c>
      <c r="R82" s="128" t="e">
        <f>ROUND(P82*Q82,1)</f>
        <v>#REF!</v>
      </c>
    </row>
    <row r="83" spans="1:18" ht="12.75" customHeight="1" x14ac:dyDescent="0.25">
      <c r="A83" s="110"/>
      <c r="B83" s="1154"/>
      <c r="C83" s="111" t="e">
        <f>ROUNDUP(B82,1)</f>
        <v>#REF!</v>
      </c>
      <c r="D83" s="129"/>
      <c r="E83" s="129"/>
      <c r="F83" s="113"/>
      <c r="G83" s="113"/>
      <c r="H83" s="115"/>
      <c r="K83" s="110"/>
      <c r="L83" s="1154"/>
      <c r="M83" s="111" t="e">
        <f>ROUNDUP(L82,1)</f>
        <v>#REF!</v>
      </c>
      <c r="N83" s="129"/>
      <c r="O83" s="129"/>
      <c r="P83" s="113"/>
      <c r="Q83" s="113"/>
      <c r="R83" s="115"/>
    </row>
    <row r="84" spans="1:18" ht="12.75" customHeight="1" x14ac:dyDescent="0.25">
      <c r="A84" s="118"/>
      <c r="B84" s="119"/>
      <c r="C84" s="120"/>
      <c r="D84" s="121" t="e">
        <f>(((D83-D82)/(100*C83-100*C82))*(100*B82-100*C82))+D82</f>
        <v>#REF!</v>
      </c>
      <c r="E84" s="121" t="e">
        <f>(((E83-E82)/(100*C83-100*C82))*(100*B82-100*C82))+E82</f>
        <v>#REF!</v>
      </c>
      <c r="F84" s="122"/>
      <c r="G84" s="122"/>
      <c r="H84" s="123"/>
      <c r="K84" s="118"/>
      <c r="L84" s="119"/>
      <c r="M84" s="120"/>
      <c r="N84" s="121" t="e">
        <f>(((N83-N82)/(100*M83-100*M82))*(100*L82-100*M82))+N82</f>
        <v>#REF!</v>
      </c>
      <c r="O84" s="121" t="e">
        <f>(((O83-O82)/(100*M83-100*M82))*(100*L82-100*M82))+O82</f>
        <v>#REF!</v>
      </c>
      <c r="P84" s="122"/>
      <c r="Q84" s="122"/>
      <c r="R84" s="123"/>
    </row>
    <row r="85" spans="1:18" ht="12.75" customHeight="1" x14ac:dyDescent="0.25">
      <c r="A85" s="124" t="e">
        <f>Relato!#REF!</f>
        <v>#REF!</v>
      </c>
      <c r="B85" s="1154" t="e">
        <f>Relato!#REF!</f>
        <v>#REF!</v>
      </c>
      <c r="C85" s="130" t="e">
        <f>ROUNDDOWN(B85,1)</f>
        <v>#REF!</v>
      </c>
      <c r="D85" s="125"/>
      <c r="E85" s="125"/>
      <c r="F85" s="126" t="e">
        <f>ROUND((((E87-D87)/($E$3-$D$3))*($F$3-$D$3))+D87,1)</f>
        <v>#REF!</v>
      </c>
      <c r="G85" s="127">
        <f>G82</f>
        <v>1.0249999999999999</v>
      </c>
      <c r="H85" s="128" t="e">
        <f>ROUND(F85*G85,1)</f>
        <v>#REF!</v>
      </c>
      <c r="I85" s="116"/>
      <c r="K85" s="124" t="e">
        <f>Relato!#REF!</f>
        <v>#REF!</v>
      </c>
      <c r="L85" s="1154" t="e">
        <f>Relato!#REF!</f>
        <v>#REF!</v>
      </c>
      <c r="M85" s="130" t="e">
        <f>ROUNDDOWN(L85,1)</f>
        <v>#REF!</v>
      </c>
      <c r="N85" s="125"/>
      <c r="O85" s="125"/>
      <c r="P85" s="126" t="e">
        <f>ROUND((((O87-N87)/($E$3-$D$3))*($F$3-$D$3))+N87,1)</f>
        <v>#REF!</v>
      </c>
      <c r="Q85" s="127">
        <f>Q82</f>
        <v>1.0249999999999999</v>
      </c>
      <c r="R85" s="128" t="e">
        <f>ROUND(P85*Q85,1)</f>
        <v>#REF!</v>
      </c>
    </row>
    <row r="86" spans="1:18" ht="12.75" customHeight="1" x14ac:dyDescent="0.25">
      <c r="A86" s="110"/>
      <c r="B86" s="1154"/>
      <c r="C86" s="111" t="e">
        <f>ROUNDUP(B85,1)</f>
        <v>#REF!</v>
      </c>
      <c r="D86" s="129"/>
      <c r="E86" s="129"/>
      <c r="F86" s="113"/>
      <c r="G86" s="113"/>
      <c r="H86" s="115"/>
      <c r="K86" s="110"/>
      <c r="L86" s="1154"/>
      <c r="M86" s="111" t="e">
        <f>ROUNDUP(L85,1)</f>
        <v>#REF!</v>
      </c>
      <c r="N86" s="129"/>
      <c r="O86" s="129"/>
      <c r="P86" s="113"/>
      <c r="Q86" s="113"/>
      <c r="R86" s="115"/>
    </row>
    <row r="87" spans="1:18" ht="12.75" customHeight="1" x14ac:dyDescent="0.25">
      <c r="A87" s="118"/>
      <c r="B87" s="119"/>
      <c r="C87" s="120"/>
      <c r="D87" s="121" t="e">
        <f>(((D86-D85)/(100*C86-100*C85))*(100*B85-100*C85))+D85</f>
        <v>#REF!</v>
      </c>
      <c r="E87" s="121" t="e">
        <f>(((E86-E85)/(100*C86-100*C85))*(100*B85-100*C85))+E85</f>
        <v>#REF!</v>
      </c>
      <c r="F87" s="122"/>
      <c r="G87" s="122"/>
      <c r="H87" s="123"/>
      <c r="K87" s="118"/>
      <c r="L87" s="119"/>
      <c r="M87" s="120"/>
      <c r="N87" s="121" t="e">
        <f>(((N86-N85)/(100*M86-100*M85))*(100*L85-100*M85))+N85</f>
        <v>#REF!</v>
      </c>
      <c r="O87" s="121" t="e">
        <f>(((O86-O85)/(100*M86-100*M85))*(100*L85-100*M85))+O85</f>
        <v>#REF!</v>
      </c>
      <c r="P87" s="122"/>
      <c r="Q87" s="122"/>
      <c r="R87" s="123"/>
    </row>
    <row r="88" spans="1:18" ht="12.75" customHeight="1" x14ac:dyDescent="0.25">
      <c r="A88" s="124" t="e">
        <f>Relato!#REF!</f>
        <v>#REF!</v>
      </c>
      <c r="B88" s="1154" t="e">
        <f>Relato!#REF!</f>
        <v>#REF!</v>
      </c>
      <c r="C88" s="130" t="e">
        <f>ROUNDDOWN(B88,1)</f>
        <v>#REF!</v>
      </c>
      <c r="D88" s="125"/>
      <c r="E88" s="125"/>
      <c r="F88" s="126" t="e">
        <f>ROUND((((E90-D90)/($E$3-$D$3))*($F$3-$D$3))+D90,1)</f>
        <v>#REF!</v>
      </c>
      <c r="G88" s="127">
        <f>G85</f>
        <v>1.0249999999999999</v>
      </c>
      <c r="H88" s="128" t="e">
        <f>ROUND(F88*G88,1)</f>
        <v>#REF!</v>
      </c>
      <c r="I88" s="116"/>
      <c r="K88" s="124" t="e">
        <f>Relato!#REF!</f>
        <v>#REF!</v>
      </c>
      <c r="L88" s="1154">
        <f>Relato!$D$255</f>
        <v>0.6</v>
      </c>
      <c r="M88" s="130">
        <f>ROUNDDOWN(L88,1)</f>
        <v>0.6</v>
      </c>
      <c r="N88" s="125"/>
      <c r="O88" s="125"/>
      <c r="P88" s="126" t="e">
        <f>ROUND((((O90-N90)/($E$3-$D$3))*($F$3-$D$3))+N90,1)</f>
        <v>#DIV/0!</v>
      </c>
      <c r="Q88" s="127">
        <f>Q85</f>
        <v>1.0249999999999999</v>
      </c>
      <c r="R88" s="128" t="e">
        <f>ROUND(P88*Q88,1)</f>
        <v>#DIV/0!</v>
      </c>
    </row>
    <row r="89" spans="1:18" ht="12.75" customHeight="1" x14ac:dyDescent="0.25">
      <c r="A89" s="110"/>
      <c r="B89" s="1154"/>
      <c r="C89" s="111" t="e">
        <f>ROUNDUP(B88,1)</f>
        <v>#REF!</v>
      </c>
      <c r="D89" s="129"/>
      <c r="E89" s="129"/>
      <c r="F89" s="113"/>
      <c r="G89" s="113"/>
      <c r="H89" s="115"/>
      <c r="K89" s="110"/>
      <c r="L89" s="1154"/>
      <c r="M89" s="111">
        <f>ROUNDUP(L88,1)</f>
        <v>0.6</v>
      </c>
      <c r="N89" s="129"/>
      <c r="O89" s="129"/>
      <c r="P89" s="113"/>
      <c r="Q89" s="113"/>
      <c r="R89" s="115"/>
    </row>
    <row r="90" spans="1:18" ht="12.75" customHeight="1" x14ac:dyDescent="0.25">
      <c r="A90" s="118"/>
      <c r="B90" s="119"/>
      <c r="C90" s="120"/>
      <c r="D90" s="121" t="e">
        <f>(((D89-D88)/(100*C89-100*C88))*(100*B88-100*C88))+D88</f>
        <v>#REF!</v>
      </c>
      <c r="E90" s="135" t="e">
        <f>(((E89-E88)/(100*C89-100*C88))*(100*B88-100*C88))+E88</f>
        <v>#REF!</v>
      </c>
      <c r="F90" s="113"/>
      <c r="G90" s="113"/>
      <c r="H90" s="115"/>
      <c r="K90" s="118"/>
      <c r="L90" s="119"/>
      <c r="M90" s="120"/>
      <c r="N90" s="121" t="e">
        <f>(((N89-N88)/(100*M89-100*M88))*(100*L88-100*M88))+N88</f>
        <v>#DIV/0!</v>
      </c>
      <c r="O90" s="135" t="e">
        <f>(((O89-O88)/(100*M89-100*M88))*(100*L88-100*M88))+O88</f>
        <v>#DIV/0!</v>
      </c>
      <c r="P90" s="113"/>
      <c r="Q90" s="113"/>
      <c r="R90" s="115"/>
    </row>
    <row r="91" spans="1:18" ht="12.75" customHeight="1" x14ac:dyDescent="0.25">
      <c r="A91" s="124" t="str">
        <f>Relato!$A$236</f>
        <v>A.PK</v>
      </c>
      <c r="B91" s="1154">
        <f>Relato!$G$236</f>
        <v>5.7</v>
      </c>
      <c r="C91" s="130">
        <f>ROUNDDOWN(B91,1)</f>
        <v>5.7</v>
      </c>
      <c r="D91" s="125"/>
      <c r="E91" s="125"/>
      <c r="F91" s="126" t="e">
        <f>ROUND((((E93-D93)/($E$3-$D$3))*($F$3-$D$3))+D93,1)</f>
        <v>#DIV/0!</v>
      </c>
      <c r="G91" s="127">
        <f>G88</f>
        <v>1.0249999999999999</v>
      </c>
      <c r="H91" s="128" t="e">
        <f>ROUND(F91*G91,1)</f>
        <v>#DIV/0!</v>
      </c>
      <c r="I91" s="116"/>
      <c r="K91" s="124" t="str">
        <f>Relato!$A$236</f>
        <v>A.PK</v>
      </c>
      <c r="L91" s="1154">
        <f>Relato!$D$256</f>
        <v>0</v>
      </c>
      <c r="M91" s="130">
        <f>ROUNDDOWN(L91,1)</f>
        <v>0</v>
      </c>
      <c r="N91" s="125"/>
      <c r="O91" s="125"/>
      <c r="P91" s="126" t="e">
        <f>ROUND((((O93-N93)/($E$3-$D$3))*($F$3-$D$3))+N93,1)</f>
        <v>#DIV/0!</v>
      </c>
      <c r="Q91" s="127">
        <f>Q88</f>
        <v>1.0249999999999999</v>
      </c>
      <c r="R91" s="128" t="e">
        <f>ROUND(P91*Q91,1)</f>
        <v>#DIV/0!</v>
      </c>
    </row>
    <row r="92" spans="1:18" ht="12.75" customHeight="1" x14ac:dyDescent="0.25">
      <c r="A92" s="110"/>
      <c r="B92" s="1154"/>
      <c r="C92" s="111">
        <f>ROUNDUP(B91,1)</f>
        <v>5.7</v>
      </c>
      <c r="D92" s="129"/>
      <c r="E92" s="129"/>
      <c r="F92" s="113"/>
      <c r="G92" s="113"/>
      <c r="H92" s="115"/>
      <c r="K92" s="110"/>
      <c r="L92" s="1154"/>
      <c r="M92" s="111">
        <f>ROUNDUP(L91,1)</f>
        <v>0</v>
      </c>
      <c r="N92" s="129"/>
      <c r="O92" s="129"/>
      <c r="P92" s="113"/>
      <c r="Q92" s="113"/>
      <c r="R92" s="115"/>
    </row>
    <row r="93" spans="1:18" ht="12.75" customHeight="1" x14ac:dyDescent="0.25">
      <c r="A93" s="118"/>
      <c r="B93" s="119"/>
      <c r="C93" s="120"/>
      <c r="D93" s="121" t="e">
        <f>(((D92-D91)/(100*C92-100*C91))*(100*B91-100*C91))+D91</f>
        <v>#DIV/0!</v>
      </c>
      <c r="E93" s="135" t="e">
        <f>(((E92-E91)/(100*C92-100*C91))*(100*B91-100*C91))+E91</f>
        <v>#DIV/0!</v>
      </c>
      <c r="F93" s="113"/>
      <c r="G93" s="113"/>
      <c r="H93" s="115"/>
      <c r="K93" s="118"/>
      <c r="L93" s="119"/>
      <c r="M93" s="120"/>
      <c r="N93" s="121" t="e">
        <f>(((N92-N91)/(100*M92-100*M91))*(100*L91-100*M91))+N91</f>
        <v>#DIV/0!</v>
      </c>
      <c r="O93" s="135" t="e">
        <f>(((O92-O91)/(100*M92-100*M91))*(100*L91-100*M91))+O91</f>
        <v>#DIV/0!</v>
      </c>
      <c r="P93" s="113"/>
      <c r="Q93" s="113"/>
      <c r="R93" s="115"/>
    </row>
    <row r="94" spans="1:18" ht="12.75" customHeight="1" x14ac:dyDescent="0.25">
      <c r="A94" s="136"/>
      <c r="B94" s="137"/>
      <c r="C94" s="138"/>
      <c r="D94" s="139"/>
      <c r="E94" s="140" t="s">
        <v>79</v>
      </c>
      <c r="F94" s="141" t="e">
        <f>SUM(F91+F88+F85+F82+F79+F76+F73+F70+F67+F64+F61+F58+F55+F52+F49+F46+F43+F40+F37+F34+F31+F28+F25+F22+F19+F16+F13+F10+F7+F4)</f>
        <v>#DIV/0!</v>
      </c>
      <c r="G94" s="142"/>
      <c r="H94" s="143" t="e">
        <f>ROUND(SUM(H91+H88+H85+H82+H79+H76+H73+H70+H67+H64+H61+H58+H55+H52+H49+H46+H43+H40+H37+H34+H31+H28+H25+H22+H19+H16+H13+H10+H7+H4),1)</f>
        <v>#DIV/0!</v>
      </c>
      <c r="K94" s="136"/>
      <c r="L94" s="137"/>
      <c r="M94" s="138"/>
      <c r="N94" s="139"/>
      <c r="O94" s="140" t="s">
        <v>79</v>
      </c>
      <c r="P94" s="141" t="e">
        <f>SUM(P91+P88+P85+P82+P79+P76+P73+P70+P67+P64+P61+P58+P55+P52+P49+P46+P43+P40+P37+P34+P31+P28+P25+P22+P19+P16+P13+P10+P7+P4)</f>
        <v>#DIV/0!</v>
      </c>
      <c r="Q94" s="142"/>
      <c r="R94" s="143" t="e">
        <f>ROUND(SUM(R91+R88+R85+R82+R79+R76+R73+R70+R67+R64+R61+R58+R55+R52+R49+R46+R43+R40+R37+R34+R31+R28+R25+R22+R19+R16+R13+R10+R7+R4),1)</f>
        <v>#DIV/0!</v>
      </c>
    </row>
    <row r="95" spans="1:18" ht="26.25" customHeight="1" x14ac:dyDescent="0.25">
      <c r="A95" s="144"/>
      <c r="B95" s="145"/>
      <c r="C95" s="145"/>
      <c r="D95" s="145" t="s">
        <v>365</v>
      </c>
      <c r="E95" s="145"/>
      <c r="F95" s="146"/>
      <c r="G95" s="146"/>
      <c r="H95" s="146"/>
      <c r="K95" s="144"/>
      <c r="L95" s="145"/>
      <c r="M95" s="145"/>
      <c r="N95" s="145" t="s">
        <v>365</v>
      </c>
      <c r="O95" s="145"/>
      <c r="P95" s="146"/>
      <c r="Q95" s="146"/>
      <c r="R95" s="146"/>
    </row>
    <row r="96" spans="1:18" ht="12.75" customHeight="1" x14ac:dyDescent="0.25">
      <c r="A96" s="147" t="s">
        <v>355</v>
      </c>
      <c r="B96" s="148" t="s">
        <v>356</v>
      </c>
      <c r="C96" s="147" t="s">
        <v>357</v>
      </c>
      <c r="D96" s="149" t="s">
        <v>358</v>
      </c>
      <c r="E96" s="147"/>
      <c r="F96" s="147" t="s">
        <v>359</v>
      </c>
      <c r="G96" s="150" t="s">
        <v>360</v>
      </c>
      <c r="H96" s="147" t="s">
        <v>361</v>
      </c>
      <c r="K96" s="147" t="s">
        <v>355</v>
      </c>
      <c r="L96" s="148" t="s">
        <v>356</v>
      </c>
      <c r="M96" s="147" t="s">
        <v>357</v>
      </c>
      <c r="N96" s="149" t="s">
        <v>358</v>
      </c>
      <c r="O96" s="147"/>
      <c r="P96" s="147" t="s">
        <v>359</v>
      </c>
      <c r="Q96" s="150" t="s">
        <v>360</v>
      </c>
      <c r="R96" s="147" t="s">
        <v>361</v>
      </c>
    </row>
    <row r="97" spans="1:18" ht="12.75" customHeight="1" x14ac:dyDescent="0.25">
      <c r="A97" s="147"/>
      <c r="B97" s="148" t="s">
        <v>362</v>
      </c>
      <c r="C97" s="147" t="s">
        <v>363</v>
      </c>
      <c r="D97" s="151">
        <f>D3</f>
        <v>1</v>
      </c>
      <c r="E97" s="151">
        <f>E3</f>
        <v>2</v>
      </c>
      <c r="F97" s="152">
        <f>F3</f>
        <v>2.7376000000000005</v>
      </c>
      <c r="G97" s="153"/>
      <c r="H97" s="147" t="s">
        <v>364</v>
      </c>
      <c r="K97" s="147"/>
      <c r="L97" s="148" t="s">
        <v>362</v>
      </c>
      <c r="M97" s="147" t="s">
        <v>363</v>
      </c>
      <c r="N97" s="151">
        <f>N3</f>
        <v>1</v>
      </c>
      <c r="O97" s="151">
        <f>O3</f>
        <v>2</v>
      </c>
      <c r="P97" s="152">
        <f>P3</f>
        <v>3.3400000000000318E-2</v>
      </c>
      <c r="Q97" s="153"/>
      <c r="R97" s="147" t="s">
        <v>364</v>
      </c>
    </row>
    <row r="98" spans="1:18" ht="12.75" customHeight="1" x14ac:dyDescent="0.25">
      <c r="A98" s="154" t="str">
        <f>Relato!$A$263</f>
        <v>FWT (P)</v>
      </c>
      <c r="B98" s="1152" t="str">
        <f>Relato!$B$263</f>
        <v>GAUGE</v>
      </c>
      <c r="C98" s="130" t="e">
        <f>ROUNDDOWN(B98,1)</f>
        <v>#VALUE!</v>
      </c>
      <c r="D98" s="155"/>
      <c r="E98" s="155"/>
      <c r="F98" s="156" t="e">
        <f>ROUND((((E100-D100)/($E$3-$D$3))*($F$3-$D$3))+D100,1)</f>
        <v>#VALUE!</v>
      </c>
      <c r="G98" s="157">
        <v>1</v>
      </c>
      <c r="H98" s="158" t="e">
        <f>F98*G98</f>
        <v>#VALUE!</v>
      </c>
      <c r="K98" s="154" t="str">
        <f>Relato!$A$263</f>
        <v>FWT (P)</v>
      </c>
      <c r="L98" s="1152">
        <f>Relato!D272</f>
        <v>0</v>
      </c>
      <c r="M98" s="130">
        <f>ROUNDDOWN(L98,1)</f>
        <v>0</v>
      </c>
      <c r="N98" s="155"/>
      <c r="O98" s="155"/>
      <c r="P98" s="156" t="e">
        <f>ROUND((((O100-N100)/($E$3-$D$3))*($F$3-$D$3))+N100,1)</f>
        <v>#DIV/0!</v>
      </c>
      <c r="Q98" s="157">
        <v>1</v>
      </c>
      <c r="R98" s="158" t="e">
        <f>P98*Q98</f>
        <v>#DIV/0!</v>
      </c>
    </row>
    <row r="99" spans="1:18" ht="12.75" customHeight="1" x14ac:dyDescent="0.25">
      <c r="A99" s="159"/>
      <c r="B99" s="1153"/>
      <c r="C99" s="111" t="e">
        <f>ROUNDUP(B98,1)</f>
        <v>#VALUE!</v>
      </c>
      <c r="D99" s="160"/>
      <c r="E99" s="160"/>
      <c r="F99" s="161"/>
      <c r="G99" s="161"/>
      <c r="H99" s="162"/>
      <c r="K99" s="159"/>
      <c r="L99" s="1153"/>
      <c r="M99" s="111">
        <f>ROUNDUP(L98,1)</f>
        <v>0</v>
      </c>
      <c r="N99" s="160"/>
      <c r="O99" s="160"/>
      <c r="P99" s="161"/>
      <c r="Q99" s="161"/>
      <c r="R99" s="162"/>
    </row>
    <row r="100" spans="1:18" ht="12.75" customHeight="1" x14ac:dyDescent="0.25">
      <c r="A100" s="163"/>
      <c r="B100" s="164"/>
      <c r="C100" s="165"/>
      <c r="D100" s="166" t="e">
        <f>(((D99-D98)/(C99-C98))*(B98-C98))+D98</f>
        <v>#VALUE!</v>
      </c>
      <c r="E100" s="166" t="e">
        <f>(((E99-E98)/(C99-C98))*(B98-C98))+E98</f>
        <v>#VALUE!</v>
      </c>
      <c r="F100" s="167"/>
      <c r="G100" s="167"/>
      <c r="H100" s="168"/>
      <c r="K100" s="163"/>
      <c r="L100" s="164"/>
      <c r="M100" s="165"/>
      <c r="N100" s="166" t="e">
        <f>(((N99-N98)/(M99-M98))*(L98-M98))+N98</f>
        <v>#DIV/0!</v>
      </c>
      <c r="O100" s="166" t="e">
        <f>(((O99-O98)/(M99-M98))*(L98-M98))+O98</f>
        <v>#DIV/0!</v>
      </c>
      <c r="P100" s="167"/>
      <c r="Q100" s="167"/>
      <c r="R100" s="168"/>
    </row>
    <row r="101" spans="1:18" ht="12.75" customHeight="1" x14ac:dyDescent="0.25">
      <c r="A101" s="154" t="str">
        <f>Relato!$A$264</f>
        <v>FWT (S)</v>
      </c>
      <c r="B101" s="1152">
        <f>Relato!$G$264</f>
        <v>0</v>
      </c>
      <c r="C101" s="130">
        <f>ROUNDDOWN(B101,1)</f>
        <v>0</v>
      </c>
      <c r="D101" s="155"/>
      <c r="E101" s="155"/>
      <c r="F101" s="156" t="e">
        <f>ROUND((((E103-D103)/($E$3-$D$3))*($F$3-$D$3))+D103,1)</f>
        <v>#DIV/0!</v>
      </c>
      <c r="G101" s="157">
        <v>1</v>
      </c>
      <c r="H101" s="158" t="e">
        <f>F101*G101</f>
        <v>#DIV/0!</v>
      </c>
      <c r="K101" s="154" t="str">
        <f>Relato!$A$264</f>
        <v>FWT (S)</v>
      </c>
      <c r="L101" s="1152">
        <f>Relato!D273</f>
        <v>0</v>
      </c>
      <c r="M101" s="130">
        <f>ROUNDDOWN(L101,1)</f>
        <v>0</v>
      </c>
      <c r="N101" s="155"/>
      <c r="O101" s="155"/>
      <c r="P101" s="156" t="e">
        <f>ROUND((((O103-N103)/($E$3-$D$3))*($F$3-$D$3))+N103,1)</f>
        <v>#DIV/0!</v>
      </c>
      <c r="Q101" s="157">
        <v>1</v>
      </c>
      <c r="R101" s="158" t="e">
        <f>P101*Q101</f>
        <v>#DIV/0!</v>
      </c>
    </row>
    <row r="102" spans="1:18" ht="12.75" customHeight="1" x14ac:dyDescent="0.25">
      <c r="A102" s="159"/>
      <c r="B102" s="1153"/>
      <c r="C102" s="111">
        <f>ROUNDUP(B101,1)</f>
        <v>0</v>
      </c>
      <c r="D102" s="160"/>
      <c r="E102" s="160"/>
      <c r="F102" s="161"/>
      <c r="G102" s="161"/>
      <c r="H102" s="162"/>
      <c r="K102" s="159"/>
      <c r="L102" s="1153"/>
      <c r="M102" s="111">
        <f>ROUNDUP(L101,1)</f>
        <v>0</v>
      </c>
      <c r="N102" s="160"/>
      <c r="O102" s="160"/>
      <c r="P102" s="161"/>
      <c r="Q102" s="161"/>
      <c r="R102" s="162"/>
    </row>
    <row r="103" spans="1:18" ht="12.75" customHeight="1" x14ac:dyDescent="0.25">
      <c r="A103" s="163"/>
      <c r="B103" s="164"/>
      <c r="C103" s="165"/>
      <c r="D103" s="166" t="e">
        <f>(((D102-D101)/(C102-C101))*(B101-C101))+D101</f>
        <v>#DIV/0!</v>
      </c>
      <c r="E103" s="166" t="e">
        <f>(((E102-E101)/(C102-C101))*(B101-C101))+E101</f>
        <v>#DIV/0!</v>
      </c>
      <c r="F103" s="167"/>
      <c r="G103" s="167"/>
      <c r="H103" s="168"/>
      <c r="K103" s="163"/>
      <c r="L103" s="164"/>
      <c r="M103" s="165"/>
      <c r="N103" s="166" t="e">
        <f>(((N102-N101)/(M102-M101))*(L101-M101))+N101</f>
        <v>#DIV/0!</v>
      </c>
      <c r="O103" s="166" t="e">
        <f>(((O102-O101)/(M102-M101))*(L101-M101))+O101</f>
        <v>#DIV/0!</v>
      </c>
      <c r="P103" s="167"/>
      <c r="Q103" s="167"/>
      <c r="R103" s="168"/>
    </row>
    <row r="104" spans="1:18" ht="12.75" customHeight="1" x14ac:dyDescent="0.25">
      <c r="A104" s="154" t="e">
        <f>Relato!#REF!</f>
        <v>#REF!</v>
      </c>
      <c r="B104" s="1152" t="e">
        <f>Relato!#REF!</f>
        <v>#REF!</v>
      </c>
      <c r="C104" s="130" t="e">
        <f>ROUNDDOWN(B104,1)</f>
        <v>#REF!</v>
      </c>
      <c r="D104" s="155"/>
      <c r="E104" s="155"/>
      <c r="F104" s="156" t="e">
        <f>ROUND((((E106-D106)/($E$3-$D$3))*($F$3-$D$3))+D106,1)</f>
        <v>#REF!</v>
      </c>
      <c r="G104" s="157">
        <v>1</v>
      </c>
      <c r="H104" s="158" t="e">
        <f>F104*G104</f>
        <v>#REF!</v>
      </c>
      <c r="K104" s="154" t="e">
        <f>Relato!#REF!</f>
        <v>#REF!</v>
      </c>
      <c r="L104" s="1152" t="e">
        <f>Relato!#REF!</f>
        <v>#REF!</v>
      </c>
      <c r="M104" s="130" t="e">
        <f>ROUNDDOWN(L104,1)</f>
        <v>#REF!</v>
      </c>
      <c r="N104" s="155"/>
      <c r="O104" s="155"/>
      <c r="P104" s="156" t="e">
        <f>ROUND((((O106-N106)/($E$3-$D$3))*($F$3-$D$3))+N106,1)</f>
        <v>#REF!</v>
      </c>
      <c r="Q104" s="157">
        <v>1</v>
      </c>
      <c r="R104" s="158" t="e">
        <f>P104*Q104</f>
        <v>#REF!</v>
      </c>
    </row>
    <row r="105" spans="1:18" ht="12.75" customHeight="1" x14ac:dyDescent="0.25">
      <c r="A105" s="159"/>
      <c r="B105" s="1153"/>
      <c r="C105" s="111" t="e">
        <f>ROUNDUP(B104,1)</f>
        <v>#REF!</v>
      </c>
      <c r="D105" s="160"/>
      <c r="E105" s="160"/>
      <c r="F105" s="161"/>
      <c r="G105" s="161"/>
      <c r="H105" s="162"/>
      <c r="K105" s="159"/>
      <c r="L105" s="1153"/>
      <c r="M105" s="111" t="e">
        <f>ROUNDUP(L104,1)</f>
        <v>#REF!</v>
      </c>
      <c r="N105" s="160"/>
      <c r="O105" s="160"/>
      <c r="P105" s="161"/>
      <c r="Q105" s="161"/>
      <c r="R105" s="162"/>
    </row>
    <row r="106" spans="1:18" ht="12.75" customHeight="1" x14ac:dyDescent="0.25">
      <c r="A106" s="163"/>
      <c r="B106" s="164"/>
      <c r="C106" s="165"/>
      <c r="D106" s="166" t="e">
        <f>(((D105-D104)/(C105-C104))*(B104-C104))+D104</f>
        <v>#REF!</v>
      </c>
      <c r="E106" s="166" t="e">
        <f>(((E105-E104)/(C105-C104))*(B104-C104))+E104</f>
        <v>#REF!</v>
      </c>
      <c r="F106" s="167"/>
      <c r="G106" s="167"/>
      <c r="H106" s="168"/>
      <c r="K106" s="163"/>
      <c r="L106" s="164"/>
      <c r="M106" s="165"/>
      <c r="N106" s="166" t="e">
        <f>(((N105-N104)/(M105-M104))*(L104-M104))+N104</f>
        <v>#REF!</v>
      </c>
      <c r="O106" s="166" t="e">
        <f>(((O105-O104)/(M105-M104))*(L104-M104))+O104</f>
        <v>#REF!</v>
      </c>
      <c r="P106" s="167"/>
      <c r="Q106" s="167"/>
      <c r="R106" s="168"/>
    </row>
    <row r="107" spans="1:18" ht="12.75" customHeight="1" x14ac:dyDescent="0.25">
      <c r="A107" s="154" t="str">
        <f>Relato!$A$265</f>
        <v>Boiler (S)</v>
      </c>
      <c r="B107" s="1152">
        <f>Relato!$G$265</f>
        <v>0</v>
      </c>
      <c r="C107" s="130">
        <f>ROUNDDOWN(B107,1)</f>
        <v>0</v>
      </c>
      <c r="D107" s="155"/>
      <c r="E107" s="155"/>
      <c r="F107" s="156" t="e">
        <f>ROUND((((E109-D109)/($E$3-$D$3))*($F$3-$D$3))+D109,1)</f>
        <v>#DIV/0!</v>
      </c>
      <c r="G107" s="157">
        <v>1</v>
      </c>
      <c r="H107" s="158" t="e">
        <f>F107*G107</f>
        <v>#DIV/0!</v>
      </c>
      <c r="K107" s="154" t="str">
        <f>Relato!$A$265</f>
        <v>Boiler (S)</v>
      </c>
      <c r="L107" s="1152">
        <f>Relato!D274</f>
        <v>0</v>
      </c>
      <c r="M107" s="130">
        <f>ROUNDDOWN(L107,1)</f>
        <v>0</v>
      </c>
      <c r="N107" s="155"/>
      <c r="O107" s="155"/>
      <c r="P107" s="156" t="e">
        <f>ROUND((((O109-N109)/($E$3-$D$3))*($F$3-$D$3))+N109,1)</f>
        <v>#DIV/0!</v>
      </c>
      <c r="Q107" s="157">
        <v>1</v>
      </c>
      <c r="R107" s="158" t="e">
        <f>P107*Q107</f>
        <v>#DIV/0!</v>
      </c>
    </row>
    <row r="108" spans="1:18" ht="12.75" customHeight="1" x14ac:dyDescent="0.25">
      <c r="A108" s="169"/>
      <c r="B108" s="1153"/>
      <c r="C108" s="111">
        <f>ROUNDUP(B107,1)</f>
        <v>0</v>
      </c>
      <c r="D108" s="160"/>
      <c r="E108" s="160"/>
      <c r="F108" s="161"/>
      <c r="G108" s="161"/>
      <c r="H108" s="162"/>
      <c r="K108" s="169"/>
      <c r="L108" s="1153"/>
      <c r="M108" s="111">
        <f>ROUNDUP(L107,1)</f>
        <v>0</v>
      </c>
      <c r="N108" s="160"/>
      <c r="O108" s="160"/>
      <c r="P108" s="161"/>
      <c r="Q108" s="161"/>
      <c r="R108" s="162"/>
    </row>
    <row r="109" spans="1:18" ht="12.75" customHeight="1" x14ac:dyDescent="0.25">
      <c r="A109" s="170"/>
      <c r="B109" s="164"/>
      <c r="C109" s="165"/>
      <c r="D109" s="166" t="e">
        <f>(((D108-D107)/(C108-C107))*(B107-C107))+D107</f>
        <v>#DIV/0!</v>
      </c>
      <c r="E109" s="166" t="e">
        <f>(((E108-E107)/(C108-C107))*(B107-C107))+E107</f>
        <v>#DIV/0!</v>
      </c>
      <c r="F109" s="167"/>
      <c r="G109" s="167"/>
      <c r="H109" s="168"/>
      <c r="K109" s="170"/>
      <c r="L109" s="164"/>
      <c r="M109" s="165"/>
      <c r="N109" s="166" t="e">
        <f>(((N108-N107)/(M108-M107))*(L107-M107))+N107</f>
        <v>#DIV/0!</v>
      </c>
      <c r="O109" s="166" t="e">
        <f>(((O108-O107)/(M108-M107))*(L107-M107))+O107</f>
        <v>#DIV/0!</v>
      </c>
      <c r="P109" s="167"/>
      <c r="Q109" s="167"/>
      <c r="R109" s="168"/>
    </row>
    <row r="110" spans="1:18" ht="12.75" customHeight="1" x14ac:dyDescent="0.25">
      <c r="A110" s="171"/>
      <c r="B110" s="171"/>
      <c r="C110" s="171"/>
      <c r="D110" s="171"/>
      <c r="E110" s="172" t="s">
        <v>79</v>
      </c>
      <c r="F110" s="173" t="e">
        <f>SUM(F98:F109)</f>
        <v>#VALUE!</v>
      </c>
      <c r="G110" s="174" t="s">
        <v>366</v>
      </c>
      <c r="H110" s="171"/>
      <c r="K110" s="171"/>
      <c r="L110" s="171"/>
      <c r="M110" s="171"/>
      <c r="N110" s="171"/>
      <c r="O110" s="172" t="s">
        <v>79</v>
      </c>
      <c r="P110" s="173" t="e">
        <f>SUM(P98:P109)</f>
        <v>#DIV/0!</v>
      </c>
      <c r="Q110" s="174" t="s">
        <v>366</v>
      </c>
      <c r="R110" s="171"/>
    </row>
    <row r="112" spans="1:18" x14ac:dyDescent="0.2">
      <c r="F112" s="175"/>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7" t="s">
        <v>451</v>
      </c>
    </row>
    <row r="2" spans="1:59" x14ac:dyDescent="0.2">
      <c r="A2" s="64" t="s">
        <v>452</v>
      </c>
    </row>
    <row r="3" spans="1:59" x14ac:dyDescent="0.2">
      <c r="A3" s="64" t="s">
        <v>453</v>
      </c>
    </row>
    <row r="4" spans="1:59" x14ac:dyDescent="0.2">
      <c r="A4" s="64" t="s">
        <v>454</v>
      </c>
    </row>
    <row r="5" spans="1:59" x14ac:dyDescent="0.2">
      <c r="A5" s="64" t="s">
        <v>455</v>
      </c>
    </row>
    <row r="6" spans="1:59" x14ac:dyDescent="0.2">
      <c r="A6" s="198" t="s">
        <v>456</v>
      </c>
    </row>
    <row r="9" spans="1:59" x14ac:dyDescent="0.2">
      <c r="A9" s="183" t="s">
        <v>457</v>
      </c>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183"/>
    </row>
    <row r="10" spans="1:59" x14ac:dyDescent="0.2">
      <c r="A10" s="64" t="s">
        <v>458</v>
      </c>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183"/>
      <c r="AY10" s="64"/>
      <c r="AZ10" s="64"/>
      <c r="BA10" s="64"/>
      <c r="BB10" s="64"/>
      <c r="BC10" s="183"/>
    </row>
    <row r="11" spans="1:59" x14ac:dyDescent="0.2">
      <c r="A11" s="64" t="s">
        <v>459</v>
      </c>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183"/>
      <c r="AY11" s="64"/>
      <c r="AZ11" s="64"/>
      <c r="BA11" s="64"/>
      <c r="BB11" s="64"/>
      <c r="BC11" s="183"/>
    </row>
    <row r="13" spans="1:59" ht="51" customHeight="1" x14ac:dyDescent="0.2">
      <c r="A13" s="1156" t="s">
        <v>460</v>
      </c>
      <c r="B13" s="1156"/>
      <c r="C13" s="1156"/>
      <c r="D13" s="1156"/>
      <c r="E13" s="1156"/>
      <c r="F13" s="1156"/>
      <c r="G13" s="1156"/>
      <c r="H13" s="1156"/>
      <c r="I13" s="1156"/>
      <c r="J13" s="1156"/>
      <c r="K13" s="1156"/>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row>
    <row r="15" spans="1:59" ht="39" customHeight="1" x14ac:dyDescent="0.2">
      <c r="A15" s="1155" t="s">
        <v>461</v>
      </c>
      <c r="B15" s="1156"/>
      <c r="C15" s="1156"/>
      <c r="D15" s="1156"/>
      <c r="E15" s="1156"/>
      <c r="F15" s="1156"/>
      <c r="G15" s="1156"/>
      <c r="H15" s="1156"/>
      <c r="I15" s="1156"/>
      <c r="J15" s="1156"/>
      <c r="K15" s="1156"/>
    </row>
    <row r="16" spans="1:59" x14ac:dyDescent="0.2">
      <c r="A16" s="183"/>
    </row>
    <row r="17" spans="1:54" x14ac:dyDescent="0.2">
      <c r="A17" s="183"/>
    </row>
    <row r="20" spans="1:54" x14ac:dyDescent="0.2">
      <c r="A20" s="200" t="s">
        <v>462</v>
      </c>
    </row>
    <row r="22" spans="1:54" x14ac:dyDescent="0.2">
      <c r="A22" s="200" t="s">
        <v>463</v>
      </c>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row>
    <row r="23" spans="1:54" x14ac:dyDescent="0.2">
      <c r="A23" s="1160" t="s">
        <v>464</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4"/>
    </row>
    <row r="25" spans="1:54" ht="13.5" thickBot="1" x14ac:dyDescent="0.25"/>
    <row r="26" spans="1:54" ht="54" customHeight="1" thickTop="1" x14ac:dyDescent="0.2">
      <c r="A26" s="1155" t="s">
        <v>465</v>
      </c>
      <c r="B26" s="1156"/>
      <c r="C26" s="1156"/>
      <c r="D26" s="1156"/>
      <c r="E26" s="1156"/>
      <c r="F26" s="1156"/>
      <c r="G26" s="1156"/>
      <c r="H26" s="1156"/>
      <c r="I26" s="1156"/>
      <c r="J26" s="1156"/>
      <c r="K26" s="1156"/>
      <c r="L26" s="201"/>
      <c r="M26" s="201"/>
      <c r="N26" s="201"/>
      <c r="O26" s="201"/>
      <c r="P26" s="201"/>
      <c r="Q26" s="201"/>
      <c r="R26" s="201"/>
      <c r="S26" s="201"/>
      <c r="T26" s="201"/>
      <c r="U26" s="202"/>
      <c r="V26" s="202"/>
      <c r="W26" s="202"/>
      <c r="X26" s="202"/>
      <c r="Y26" s="202"/>
      <c r="Z26" s="202"/>
      <c r="AA26" s="202"/>
      <c r="AB26" s="202"/>
      <c r="AC26" s="202"/>
      <c r="AD26" s="202"/>
      <c r="AE26" s="202"/>
      <c r="AF26" s="202"/>
      <c r="AG26" s="202"/>
      <c r="AH26" s="202"/>
      <c r="AI26" s="202"/>
      <c r="AJ26" s="202"/>
      <c r="AK26" s="202"/>
      <c r="AL26" s="202"/>
      <c r="AM26" s="202"/>
      <c r="AN26" s="202"/>
      <c r="AO26" s="202"/>
      <c r="AP26" s="202"/>
      <c r="AQ26" s="202"/>
      <c r="AR26" s="202"/>
      <c r="AS26" s="202"/>
      <c r="AT26" s="202"/>
      <c r="AU26" s="202"/>
      <c r="AV26" s="202"/>
      <c r="AW26" s="202"/>
      <c r="AX26" s="202"/>
      <c r="AY26" s="202"/>
      <c r="AZ26" s="202"/>
      <c r="BA26" s="202"/>
      <c r="BB26" s="202"/>
    </row>
    <row r="27" spans="1:54" ht="15.75" customHeight="1" x14ac:dyDescent="0.2">
      <c r="A27" s="203"/>
      <c r="B27" s="204"/>
      <c r="C27" s="204"/>
      <c r="D27" s="204"/>
      <c r="E27" s="204"/>
      <c r="F27" s="204"/>
      <c r="G27" s="204"/>
      <c r="H27" s="204"/>
      <c r="I27" s="204"/>
      <c r="J27" s="204"/>
      <c r="K27" s="204"/>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row>
    <row r="28" spans="1:54" x14ac:dyDescent="0.2">
      <c r="A28" s="1162" t="s">
        <v>466</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4" t="s">
        <v>467</v>
      </c>
    </row>
    <row r="31" spans="1:54" x14ac:dyDescent="0.2">
      <c r="A31" s="64" t="s">
        <v>468</v>
      </c>
    </row>
    <row r="32" spans="1:54" x14ac:dyDescent="0.2">
      <c r="A32" s="64" t="s">
        <v>469</v>
      </c>
    </row>
    <row r="33" spans="1:7" x14ac:dyDescent="0.2">
      <c r="A33" s="64"/>
    </row>
    <row r="34" spans="1:7" x14ac:dyDescent="0.2">
      <c r="A34" s="64" t="s">
        <v>470</v>
      </c>
    </row>
    <row r="36" spans="1:7" x14ac:dyDescent="0.2">
      <c r="A36" s="20" t="s">
        <v>471</v>
      </c>
    </row>
    <row r="37" spans="1:7" x14ac:dyDescent="0.2">
      <c r="A37" s="20" t="s">
        <v>472</v>
      </c>
    </row>
    <row r="39" spans="1:7" x14ac:dyDescent="0.2">
      <c r="A39" s="64" t="s">
        <v>473</v>
      </c>
    </row>
    <row r="40" spans="1:7" x14ac:dyDescent="0.2">
      <c r="A40" s="64" t="s">
        <v>474</v>
      </c>
    </row>
    <row r="41" spans="1:7" x14ac:dyDescent="0.2">
      <c r="A41" s="64" t="s">
        <v>475</v>
      </c>
    </row>
    <row r="44" spans="1:7" x14ac:dyDescent="0.2">
      <c r="A44" s="64" t="s">
        <v>476</v>
      </c>
      <c r="B44" s="205"/>
      <c r="C44" s="205"/>
      <c r="D44" s="205"/>
      <c r="E44" s="205"/>
      <c r="F44" s="205"/>
      <c r="G44" s="205"/>
    </row>
    <row r="45" spans="1:7" x14ac:dyDescent="0.2">
      <c r="A45" s="205"/>
      <c r="B45" s="64" t="s">
        <v>477</v>
      </c>
      <c r="C45" s="205"/>
      <c r="D45" s="205"/>
      <c r="E45" s="205"/>
      <c r="G45" s="205"/>
    </row>
    <row r="48" spans="1:7" ht="15" x14ac:dyDescent="0.2">
      <c r="A48" s="50" t="s">
        <v>478</v>
      </c>
    </row>
    <row r="51" spans="1:1" x14ac:dyDescent="0.2">
      <c r="A51" s="20" t="s">
        <v>479</v>
      </c>
    </row>
    <row r="53" spans="1:1" x14ac:dyDescent="0.2">
      <c r="A53" s="183" t="s">
        <v>480</v>
      </c>
    </row>
    <row r="55" spans="1:1" x14ac:dyDescent="0.2">
      <c r="A55" s="64" t="s">
        <v>481</v>
      </c>
    </row>
    <row r="58" spans="1:1" x14ac:dyDescent="0.2">
      <c r="A58" s="20" t="s">
        <v>481</v>
      </c>
    </row>
    <row r="61" spans="1:1" ht="15.75" x14ac:dyDescent="0.25">
      <c r="A61" s="206" t="s">
        <v>482</v>
      </c>
    </row>
    <row r="62" spans="1:1" ht="15.75" x14ac:dyDescent="0.25">
      <c r="A62" s="207" t="s">
        <v>483</v>
      </c>
    </row>
    <row r="63" spans="1:1" ht="15.75" x14ac:dyDescent="0.25">
      <c r="A63" s="207" t="s">
        <v>484</v>
      </c>
    </row>
    <row r="66" spans="1:10" x14ac:dyDescent="0.2">
      <c r="A66" s="20" t="s">
        <v>485</v>
      </c>
    </row>
    <row r="70" spans="1:10" x14ac:dyDescent="0.2">
      <c r="A70" s="64" t="s">
        <v>486</v>
      </c>
    </row>
    <row r="73" spans="1:10" x14ac:dyDescent="0.2">
      <c r="A73" s="64" t="s">
        <v>487</v>
      </c>
    </row>
    <row r="74" spans="1:10" x14ac:dyDescent="0.2">
      <c r="A74" s="64" t="s">
        <v>488</v>
      </c>
    </row>
    <row r="78" spans="1:10" ht="16.5" x14ac:dyDescent="0.3">
      <c r="A78" s="1159" t="s">
        <v>489</v>
      </c>
      <c r="B78" s="1159"/>
      <c r="C78" s="1159"/>
      <c r="D78" s="1159"/>
      <c r="E78" s="1159"/>
      <c r="F78" s="1159"/>
      <c r="G78" s="1159"/>
      <c r="H78" s="1159"/>
      <c r="I78" s="1159"/>
      <c r="J78" s="1159"/>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4" t="s">
        <v>495</v>
      </c>
    </row>
    <row r="97" spans="1:11" ht="55.5" customHeight="1" x14ac:dyDescent="0.2">
      <c r="A97" s="1155" t="s">
        <v>496</v>
      </c>
      <c r="B97" s="1155"/>
      <c r="C97" s="1155"/>
      <c r="D97" s="1155"/>
      <c r="E97" s="1155"/>
      <c r="F97" s="1155"/>
      <c r="G97" s="1155"/>
      <c r="H97" s="1155"/>
      <c r="I97" s="1155"/>
      <c r="J97" s="1155"/>
      <c r="K97" s="1155"/>
    </row>
    <row r="98" spans="1:11" x14ac:dyDescent="0.2">
      <c r="A98" s="200"/>
      <c r="B98" s="200"/>
    </row>
    <row r="99" spans="1:11" x14ac:dyDescent="0.2">
      <c r="A99" s="200"/>
      <c r="B99" s="200"/>
    </row>
    <row r="102" spans="1:11" ht="28.5" customHeight="1" x14ac:dyDescent="0.2">
      <c r="A102" s="1156" t="s">
        <v>497</v>
      </c>
      <c r="B102" s="1156"/>
      <c r="C102" s="1156"/>
      <c r="D102" s="1156"/>
      <c r="E102" s="1156"/>
      <c r="F102" s="1156"/>
      <c r="G102" s="1156"/>
      <c r="H102" s="1156"/>
      <c r="I102" s="1156"/>
      <c r="J102" s="1156"/>
      <c r="K102" s="1156"/>
    </row>
    <row r="106" spans="1:11" x14ac:dyDescent="0.2">
      <c r="A106" s="197" t="s">
        <v>451</v>
      </c>
    </row>
    <row r="107" spans="1:11" x14ac:dyDescent="0.2">
      <c r="A107" s="64" t="s">
        <v>452</v>
      </c>
    </row>
    <row r="108" spans="1:11" x14ac:dyDescent="0.2">
      <c r="A108" s="64" t="s">
        <v>453</v>
      </c>
    </row>
    <row r="109" spans="1:11" x14ac:dyDescent="0.2">
      <c r="A109" s="64" t="s">
        <v>454</v>
      </c>
    </row>
    <row r="110" spans="1:11" x14ac:dyDescent="0.2">
      <c r="A110" s="64" t="s">
        <v>455</v>
      </c>
    </row>
    <row r="111" spans="1:11" x14ac:dyDescent="0.2">
      <c r="A111" s="198" t="s">
        <v>456</v>
      </c>
    </row>
    <row r="113" spans="1:11" x14ac:dyDescent="0.2">
      <c r="A113" s="20" t="s">
        <v>498</v>
      </c>
    </row>
    <row r="114" spans="1:11" x14ac:dyDescent="0.2">
      <c r="A114" s="20" t="s">
        <v>499</v>
      </c>
    </row>
    <row r="116" spans="1:11" x14ac:dyDescent="0.2">
      <c r="A116" s="1157" t="s">
        <v>500</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460</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501</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8" t="s">
        <v>502</v>
      </c>
      <c r="B1" s="209"/>
      <c r="C1" s="209"/>
      <c r="D1" s="209"/>
      <c r="E1" s="209"/>
      <c r="F1" s="209"/>
      <c r="G1" s="209"/>
      <c r="H1" s="209"/>
      <c r="I1" s="209"/>
      <c r="J1" s="210"/>
    </row>
    <row r="2" spans="1:16" x14ac:dyDescent="0.2">
      <c r="A2" s="211"/>
      <c r="J2" s="212"/>
    </row>
    <row r="3" spans="1:16" ht="15" x14ac:dyDescent="0.25">
      <c r="A3" s="213" t="s">
        <v>503</v>
      </c>
      <c r="B3" s="20" t="s">
        <v>282</v>
      </c>
      <c r="J3" s="212"/>
    </row>
    <row r="4" spans="1:16" ht="15" x14ac:dyDescent="0.25">
      <c r="A4" s="214">
        <v>0.78</v>
      </c>
      <c r="B4" s="215">
        <v>0.6</v>
      </c>
      <c r="D4" s="216"/>
      <c r="E4" s="216"/>
      <c r="J4" s="212"/>
    </row>
    <row r="5" spans="1:16" ht="15" x14ac:dyDescent="0.25">
      <c r="A5" s="217">
        <f t="shared" ref="A5:A44" si="0">A4-0.005</f>
        <v>0.77500000000000002</v>
      </c>
      <c r="B5" s="216">
        <v>0.61</v>
      </c>
      <c r="J5" s="212"/>
    </row>
    <row r="6" spans="1:16" ht="15" x14ac:dyDescent="0.25">
      <c r="A6" s="217">
        <f t="shared" si="0"/>
        <v>0.77</v>
      </c>
      <c r="B6" s="216">
        <v>0.62</v>
      </c>
      <c r="D6" s="20" t="s">
        <v>109</v>
      </c>
      <c r="J6" s="212"/>
      <c r="L6" s="20" t="s">
        <v>110</v>
      </c>
    </row>
    <row r="7" spans="1:16" ht="15" x14ac:dyDescent="0.25">
      <c r="A7" s="217">
        <f t="shared" si="0"/>
        <v>0.76500000000000001</v>
      </c>
      <c r="B7" s="216">
        <v>0.63</v>
      </c>
      <c r="J7" s="212"/>
    </row>
    <row r="8" spans="1:16" ht="15" x14ac:dyDescent="0.25">
      <c r="A8" s="217">
        <f t="shared" si="0"/>
        <v>0.76</v>
      </c>
      <c r="B8" s="216">
        <v>0.64</v>
      </c>
      <c r="D8" s="218" t="s">
        <v>504</v>
      </c>
      <c r="E8" s="219"/>
      <c r="F8" s="219"/>
      <c r="G8" s="219"/>
      <c r="H8" s="219"/>
      <c r="J8" s="212"/>
      <c r="L8" s="218" t="s">
        <v>504</v>
      </c>
      <c r="M8" s="219"/>
      <c r="N8" s="219"/>
      <c r="O8" s="219"/>
      <c r="P8" s="219"/>
    </row>
    <row r="9" spans="1:16" ht="15" x14ac:dyDescent="0.25">
      <c r="A9" s="217">
        <f t="shared" si="0"/>
        <v>0.755</v>
      </c>
      <c r="B9" s="216">
        <v>0.65</v>
      </c>
      <c r="J9" s="212"/>
    </row>
    <row r="10" spans="1:16" ht="15" x14ac:dyDescent="0.25">
      <c r="A10" s="217">
        <f t="shared" si="0"/>
        <v>0.75</v>
      </c>
      <c r="B10" s="216">
        <v>0.66</v>
      </c>
      <c r="D10" s="20" t="s">
        <v>505</v>
      </c>
      <c r="E10" s="220">
        <f>Draft!J$47</f>
        <v>65.093999999999994</v>
      </c>
      <c r="J10" s="212"/>
      <c r="L10" s="20" t="s">
        <v>505</v>
      </c>
      <c r="M10" s="220">
        <f>Draft!AB$47</f>
        <v>71.927000000000007</v>
      </c>
    </row>
    <row r="11" spans="1:16" ht="15" x14ac:dyDescent="0.25">
      <c r="A11" s="217">
        <f t="shared" si="0"/>
        <v>0.745</v>
      </c>
      <c r="B11" s="216">
        <v>0.67</v>
      </c>
      <c r="D11" s="20" t="s">
        <v>506</v>
      </c>
      <c r="E11" s="220">
        <f>Draft!D$11</f>
        <v>225.5</v>
      </c>
      <c r="G11" s="219" t="s">
        <v>507</v>
      </c>
      <c r="H11" s="219">
        <f>E10*97.545/(E11*E12)</f>
        <v>0.87284084963771358</v>
      </c>
      <c r="J11" s="212"/>
      <c r="L11" s="20" t="s">
        <v>506</v>
      </c>
      <c r="M11" s="220">
        <f>Draft!V$11</f>
        <v>225.5</v>
      </c>
      <c r="O11" s="219" t="s">
        <v>507</v>
      </c>
      <c r="P11" s="219">
        <f>M10*97.545/(M11*M12)</f>
        <v>0.96446406415171648</v>
      </c>
    </row>
    <row r="12" spans="1:16" ht="15" x14ac:dyDescent="0.25">
      <c r="A12" s="217">
        <f t="shared" si="0"/>
        <v>0.74</v>
      </c>
      <c r="B12" s="216">
        <v>0.68</v>
      </c>
      <c r="D12" s="20" t="s">
        <v>508</v>
      </c>
      <c r="E12" s="220">
        <f>Draft!L$11</f>
        <v>32.26</v>
      </c>
      <c r="J12" s="212"/>
      <c r="L12" s="20" t="s">
        <v>508</v>
      </c>
      <c r="M12" s="220">
        <f>E$12</f>
        <v>32.26</v>
      </c>
    </row>
    <row r="13" spans="1:16" ht="15" x14ac:dyDescent="0.25">
      <c r="A13" s="217">
        <f t="shared" si="0"/>
        <v>0.73499999999999999</v>
      </c>
      <c r="B13" s="216">
        <v>0.69</v>
      </c>
      <c r="J13" s="212"/>
    </row>
    <row r="14" spans="1:16" ht="15" x14ac:dyDescent="0.25">
      <c r="A14" s="214">
        <f t="shared" si="0"/>
        <v>0.73</v>
      </c>
      <c r="B14" s="215">
        <v>0.7</v>
      </c>
      <c r="J14" s="212"/>
    </row>
    <row r="15" spans="1:16" ht="18.75" x14ac:dyDescent="0.3">
      <c r="A15" s="217">
        <f t="shared" si="0"/>
        <v>0.72499999999999998</v>
      </c>
      <c r="B15" s="221">
        <v>0.71</v>
      </c>
      <c r="D15" s="218" t="s">
        <v>509</v>
      </c>
      <c r="E15" s="219"/>
      <c r="F15" s="219"/>
      <c r="G15" s="219"/>
      <c r="H15" s="219"/>
      <c r="J15" s="212"/>
      <c r="L15" s="218" t="s">
        <v>509</v>
      </c>
      <c r="M15" s="219"/>
      <c r="N15" s="219"/>
      <c r="O15" s="219"/>
      <c r="P15" s="219"/>
    </row>
    <row r="16" spans="1:16" ht="15" x14ac:dyDescent="0.25">
      <c r="A16" s="217">
        <f t="shared" si="0"/>
        <v>0.72</v>
      </c>
      <c r="B16" s="221">
        <v>0.72</v>
      </c>
      <c r="D16" s="20" t="s">
        <v>510</v>
      </c>
      <c r="J16" s="212"/>
      <c r="L16" s="20" t="s">
        <v>510</v>
      </c>
    </row>
    <row r="17" spans="1:16" ht="15" x14ac:dyDescent="0.25">
      <c r="A17" s="217">
        <f t="shared" si="0"/>
        <v>0.71499999999999997</v>
      </c>
      <c r="B17" s="221">
        <v>0.73</v>
      </c>
      <c r="J17" s="212"/>
    </row>
    <row r="18" spans="1:16" ht="15.75" thickBot="1" x14ac:dyDescent="0.3">
      <c r="A18" s="217">
        <f t="shared" si="0"/>
        <v>0.71</v>
      </c>
      <c r="B18" s="221">
        <v>0.74</v>
      </c>
      <c r="D18" s="20" t="s">
        <v>511</v>
      </c>
      <c r="E18" s="20">
        <f>(Draft!$P$25+Draft!$P$27)/2</f>
        <v>5.8450999999999995</v>
      </c>
      <c r="J18" s="212"/>
      <c r="L18" s="20" t="s">
        <v>511</v>
      </c>
      <c r="M18" s="20">
        <f>(Draft!$AH$25+Draft!$AH$27)/2</f>
        <v>13.141300000000001</v>
      </c>
    </row>
    <row r="19" spans="1:16" ht="19.5" thickBot="1" x14ac:dyDescent="0.35">
      <c r="A19" s="217">
        <f t="shared" si="0"/>
        <v>0.70499999999999996</v>
      </c>
      <c r="B19" s="221">
        <v>0.75</v>
      </c>
      <c r="D19" s="222" t="s">
        <v>512</v>
      </c>
      <c r="E19" s="216">
        <f>(($H$11-$B$4)*(0.15)/(0.3))-0.78</f>
        <v>-0.64357957518114328</v>
      </c>
      <c r="G19" s="223" t="s">
        <v>513</v>
      </c>
      <c r="H19" s="224">
        <f>$E$18+($E$19*$E$20)</f>
        <v>5.8014653048027176</v>
      </c>
      <c r="J19" s="212"/>
      <c r="L19" s="222" t="s">
        <v>512</v>
      </c>
      <c r="M19" s="216">
        <f>(($P$11-$B$4)*(0.15)/(0.3))-0.78</f>
        <v>-0.59776796792414177</v>
      </c>
      <c r="O19" s="223" t="s">
        <v>513</v>
      </c>
      <c r="P19" s="224">
        <f>$M$18+($M$19*$M$20)</f>
        <v>13.209983539514484</v>
      </c>
    </row>
    <row r="20" spans="1:16" ht="15" x14ac:dyDescent="0.25">
      <c r="A20" s="217">
        <f t="shared" si="0"/>
        <v>0.7</v>
      </c>
      <c r="B20" s="221">
        <v>0.76</v>
      </c>
      <c r="D20" s="20" t="s">
        <v>514</v>
      </c>
      <c r="E20" s="20">
        <f>((Draft!$P$25+Draft!$P$27))/2-Draft!$P$26</f>
        <v>6.7800000000000082E-2</v>
      </c>
      <c r="J20" s="212"/>
      <c r="L20" s="20" t="s">
        <v>514</v>
      </c>
      <c r="M20" s="20">
        <f>(Draft!$AH$25+Draft!$AH$27)/2-(Draft!$AH$26)</f>
        <v>-0.11489999999999867</v>
      </c>
    </row>
    <row r="21" spans="1:16" ht="15" x14ac:dyDescent="0.25">
      <c r="A21" s="217">
        <f t="shared" si="0"/>
        <v>0.69499999999999995</v>
      </c>
      <c r="B21" s="221">
        <v>0.77</v>
      </c>
      <c r="J21" s="212"/>
    </row>
    <row r="22" spans="1:16" ht="15" x14ac:dyDescent="0.25">
      <c r="A22" s="217">
        <f t="shared" si="0"/>
        <v>0.69</v>
      </c>
      <c r="B22" s="221">
        <v>0.78</v>
      </c>
      <c r="D22" s="1163" t="s">
        <v>578</v>
      </c>
      <c r="E22" s="1164"/>
      <c r="F22" s="1164"/>
      <c r="G22" s="1164"/>
      <c r="H22" s="1164"/>
      <c r="I22" s="1164"/>
      <c r="J22" s="1164"/>
      <c r="K22" s="1164"/>
      <c r="L22" s="1164"/>
      <c r="M22" s="1164"/>
      <c r="N22" s="1164"/>
      <c r="O22" s="1164"/>
      <c r="P22" s="1165"/>
    </row>
    <row r="23" spans="1:16" ht="15" x14ac:dyDescent="0.25">
      <c r="A23" s="217">
        <f t="shared" si="0"/>
        <v>0.68499999999999994</v>
      </c>
      <c r="B23" s="221">
        <v>0.79</v>
      </c>
      <c r="D23" s="1166"/>
      <c r="E23" s="1167"/>
      <c r="F23" s="1167"/>
      <c r="G23" s="1167"/>
      <c r="H23" s="1167"/>
      <c r="I23" s="1167"/>
      <c r="J23" s="1167"/>
      <c r="K23" s="1167"/>
      <c r="L23" s="1167"/>
      <c r="M23" s="1167"/>
      <c r="N23" s="1167"/>
      <c r="O23" s="1167"/>
      <c r="P23" s="1168"/>
    </row>
    <row r="24" spans="1:16" ht="15" x14ac:dyDescent="0.25">
      <c r="A24" s="214">
        <f t="shared" si="0"/>
        <v>0.67999999999999994</v>
      </c>
      <c r="B24" s="215">
        <v>0.8</v>
      </c>
      <c r="D24" s="1166"/>
      <c r="E24" s="1167"/>
      <c r="F24" s="1167"/>
      <c r="G24" s="1167"/>
      <c r="H24" s="1167"/>
      <c r="I24" s="1167"/>
      <c r="J24" s="1167"/>
      <c r="K24" s="1167"/>
      <c r="L24" s="1167"/>
      <c r="M24" s="1167"/>
      <c r="N24" s="1167"/>
      <c r="O24" s="1167"/>
      <c r="P24" s="1168"/>
    </row>
    <row r="25" spans="1:16" ht="15" x14ac:dyDescent="0.25">
      <c r="A25" s="217">
        <f t="shared" si="0"/>
        <v>0.67499999999999993</v>
      </c>
      <c r="B25" s="221">
        <v>0.81</v>
      </c>
      <c r="D25" s="1169"/>
      <c r="E25" s="1170"/>
      <c r="F25" s="1170"/>
      <c r="G25" s="1170"/>
      <c r="H25" s="1170"/>
      <c r="I25" s="1170"/>
      <c r="J25" s="1170"/>
      <c r="K25" s="1170"/>
      <c r="L25" s="1170"/>
      <c r="M25" s="1170"/>
      <c r="N25" s="1170"/>
      <c r="O25" s="1170"/>
      <c r="P25" s="1171"/>
    </row>
    <row r="26" spans="1:16" ht="15" x14ac:dyDescent="0.25">
      <c r="A26" s="217">
        <f t="shared" si="0"/>
        <v>0.66999999999999993</v>
      </c>
      <c r="B26" s="221">
        <v>0.82</v>
      </c>
      <c r="D26" s="225"/>
      <c r="E26" s="226"/>
      <c r="F26" s="225"/>
    </row>
    <row r="27" spans="1:16" ht="15" x14ac:dyDescent="0.25">
      <c r="A27" s="217">
        <f t="shared" si="0"/>
        <v>0.66499999999999992</v>
      </c>
      <c r="B27" s="221">
        <v>0.83</v>
      </c>
      <c r="D27" s="227"/>
      <c r="E27" s="226"/>
      <c r="F27" s="225"/>
    </row>
    <row r="28" spans="1:16" ht="15" x14ac:dyDescent="0.25">
      <c r="A28" s="217">
        <f t="shared" si="0"/>
        <v>0.65999999999999992</v>
      </c>
      <c r="B28" s="221">
        <v>0.84</v>
      </c>
      <c r="D28" s="225"/>
      <c r="E28" s="225"/>
      <c r="F28" s="225"/>
    </row>
    <row r="29" spans="1:16" ht="15" x14ac:dyDescent="0.25">
      <c r="A29" s="217">
        <f t="shared" si="0"/>
        <v>0.65499999999999992</v>
      </c>
      <c r="B29" s="221">
        <v>0.85</v>
      </c>
      <c r="D29" s="225"/>
      <c r="E29" s="226"/>
      <c r="F29" s="225"/>
    </row>
    <row r="30" spans="1:16" ht="15" x14ac:dyDescent="0.25">
      <c r="A30" s="217">
        <f t="shared" si="0"/>
        <v>0.64999999999999991</v>
      </c>
      <c r="B30" s="221">
        <v>0.86</v>
      </c>
      <c r="D30" s="225"/>
      <c r="E30" s="226"/>
      <c r="F30" s="225"/>
    </row>
    <row r="31" spans="1:16" ht="15" x14ac:dyDescent="0.25">
      <c r="A31" s="217">
        <f t="shared" si="0"/>
        <v>0.64499999999999991</v>
      </c>
      <c r="B31" s="221">
        <v>0.87</v>
      </c>
      <c r="D31" s="228"/>
      <c r="E31" s="229"/>
      <c r="F31" s="228"/>
    </row>
    <row r="32" spans="1:16" ht="15" x14ac:dyDescent="0.25">
      <c r="A32" s="217">
        <f t="shared" si="0"/>
        <v>0.6399999999999999</v>
      </c>
      <c r="B32" s="221">
        <v>0.88</v>
      </c>
      <c r="D32" s="225"/>
      <c r="E32" s="226"/>
      <c r="F32" s="225"/>
      <c r="H32" s="220"/>
    </row>
    <row r="33" spans="1:6" ht="15" x14ac:dyDescent="0.25">
      <c r="A33" s="217">
        <f t="shared" si="0"/>
        <v>0.6349999999999999</v>
      </c>
      <c r="B33" s="221">
        <v>0.89</v>
      </c>
      <c r="D33" s="225"/>
      <c r="E33" s="226"/>
      <c r="F33" s="225"/>
    </row>
    <row r="34" spans="1:6" ht="15.75" thickBot="1" x14ac:dyDescent="0.3">
      <c r="A34" s="230">
        <f t="shared" si="0"/>
        <v>0.62999999999999989</v>
      </c>
      <c r="B34" s="231">
        <v>0.9</v>
      </c>
      <c r="C34" s="232"/>
    </row>
    <row r="35" spans="1:6" ht="15" x14ac:dyDescent="0.25">
      <c r="A35" s="233">
        <f t="shared" si="0"/>
        <v>0.62499999999999989</v>
      </c>
      <c r="B35" s="234">
        <v>0.91</v>
      </c>
    </row>
    <row r="36" spans="1:6" ht="15" x14ac:dyDescent="0.25">
      <c r="A36" s="235">
        <f t="shared" si="0"/>
        <v>0.61999999999999988</v>
      </c>
      <c r="B36" s="236">
        <v>0.92</v>
      </c>
    </row>
    <row r="37" spans="1:6" ht="15.75" thickBot="1" x14ac:dyDescent="0.3">
      <c r="A37" s="237">
        <f t="shared" si="0"/>
        <v>0.61499999999999988</v>
      </c>
      <c r="B37" s="238">
        <v>0.93</v>
      </c>
    </row>
    <row r="38" spans="1:6" ht="15" x14ac:dyDescent="0.25">
      <c r="A38" s="235">
        <f t="shared" si="0"/>
        <v>0.60999999999999988</v>
      </c>
      <c r="B38" s="236">
        <v>0.94</v>
      </c>
    </row>
    <row r="39" spans="1:6" ht="15" x14ac:dyDescent="0.25">
      <c r="A39" s="235">
        <f t="shared" si="0"/>
        <v>0.60499999999999987</v>
      </c>
      <c r="B39" s="236">
        <v>0.95</v>
      </c>
    </row>
    <row r="40" spans="1:6" ht="15.75" thickBot="1" x14ac:dyDescent="0.3">
      <c r="A40" s="237">
        <f t="shared" si="0"/>
        <v>0.59999999999999987</v>
      </c>
      <c r="B40" s="238">
        <v>0.96</v>
      </c>
    </row>
    <row r="41" spans="1:6" ht="15" x14ac:dyDescent="0.25">
      <c r="A41" s="235">
        <f t="shared" si="0"/>
        <v>0.59499999999999986</v>
      </c>
      <c r="B41" s="236">
        <v>0.97</v>
      </c>
    </row>
    <row r="42" spans="1:6" ht="15" x14ac:dyDescent="0.25">
      <c r="A42" s="235">
        <f t="shared" si="0"/>
        <v>0.58999999999999986</v>
      </c>
      <c r="B42" s="236">
        <v>0.98</v>
      </c>
    </row>
    <row r="43" spans="1:6" ht="15.75" thickBot="1" x14ac:dyDescent="0.3">
      <c r="A43" s="237">
        <f t="shared" si="0"/>
        <v>0.58499999999999985</v>
      </c>
      <c r="B43" s="238">
        <v>0.99</v>
      </c>
    </row>
    <row r="44" spans="1:6" ht="15" x14ac:dyDescent="0.25">
      <c r="A44" s="239">
        <f t="shared" si="0"/>
        <v>0.57999999999999985</v>
      </c>
      <c r="B44" s="240">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36"/>
      <c r="BN1" s="36"/>
      <c r="BO1" s="36"/>
      <c r="BP1" s="36"/>
      <c r="BQ1" s="36"/>
      <c r="BR1" s="36"/>
      <c r="BS1" s="36"/>
    </row>
    <row r="2" spans="1:71" ht="15.75" customHeight="1" x14ac:dyDescent="0.25">
      <c r="A2" s="36"/>
      <c r="B2" s="36"/>
      <c r="C2" s="36"/>
      <c r="D2" s="36"/>
      <c r="E2" s="36"/>
      <c r="F2" s="177" t="s">
        <v>367</v>
      </c>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36"/>
      <c r="BN2" s="36"/>
      <c r="BO2" s="36"/>
      <c r="BP2" s="36"/>
      <c r="BQ2" s="36"/>
      <c r="BR2" s="36"/>
      <c r="BS2" s="36"/>
    </row>
    <row r="3" spans="1:71" ht="10.5" customHeight="1" x14ac:dyDescent="0.25">
      <c r="A3" s="36"/>
      <c r="B3" s="36"/>
      <c r="C3" s="36"/>
      <c r="D3" s="36"/>
      <c r="E3" s="36"/>
      <c r="F3" s="178"/>
      <c r="G3" s="176"/>
      <c r="H3" s="176"/>
      <c r="I3" s="176"/>
      <c r="J3" s="176"/>
      <c r="K3" s="176"/>
      <c r="L3" s="176"/>
      <c r="M3" s="176"/>
      <c r="N3" s="176"/>
      <c r="O3" s="176"/>
      <c r="P3" s="176"/>
      <c r="Q3" s="176"/>
      <c r="R3" s="176"/>
      <c r="S3" s="176"/>
      <c r="T3" s="176"/>
      <c r="U3" s="176"/>
      <c r="V3" s="176"/>
      <c r="W3" s="176"/>
      <c r="X3" s="176"/>
      <c r="Y3" s="176"/>
      <c r="Z3" s="176"/>
      <c r="AA3" s="176"/>
      <c r="AB3" s="176"/>
      <c r="AC3" s="176"/>
      <c r="AD3" s="176"/>
      <c r="AE3" s="176"/>
      <c r="AF3" s="176"/>
      <c r="AG3" s="176"/>
      <c r="AH3" s="176"/>
      <c r="AI3" s="176"/>
      <c r="AJ3" s="176"/>
      <c r="AK3" s="176"/>
      <c r="AL3" s="176"/>
      <c r="AM3" s="176"/>
      <c r="AN3" s="176"/>
      <c r="AO3" s="176"/>
      <c r="AP3" s="176"/>
      <c r="AQ3" s="176"/>
      <c r="AR3" s="176"/>
      <c r="AS3" s="176"/>
      <c r="AT3" s="176"/>
      <c r="AU3" s="176"/>
      <c r="AV3" s="176"/>
      <c r="AW3" s="176"/>
      <c r="AX3" s="176"/>
      <c r="AY3" s="176"/>
      <c r="AZ3" s="176"/>
      <c r="BA3" s="176"/>
      <c r="BB3" s="176"/>
      <c r="BC3" s="176"/>
      <c r="BD3" s="176"/>
      <c r="BE3" s="176"/>
      <c r="BF3" s="176"/>
      <c r="BG3" s="176"/>
      <c r="BH3" s="176"/>
      <c r="BI3" s="176"/>
      <c r="BJ3" s="176"/>
      <c r="BK3" s="176"/>
      <c r="BL3" s="176"/>
      <c r="BM3" s="36"/>
      <c r="BN3" s="36"/>
      <c r="BO3" s="36"/>
      <c r="BP3" s="36"/>
      <c r="BQ3" s="36"/>
      <c r="BR3" s="36"/>
      <c r="BS3" s="36"/>
    </row>
    <row r="4" spans="1:71" ht="15" customHeight="1" x14ac:dyDescent="0.25">
      <c r="A4" s="36"/>
      <c r="B4" s="36"/>
      <c r="C4" s="36"/>
      <c r="D4" s="36"/>
      <c r="E4" s="36"/>
      <c r="F4" s="179"/>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6"/>
      <c r="AM13" s="66"/>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378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379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2"/>
      <c r="AI19" s="1172"/>
      <c r="AJ19" s="180"/>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6" t="s">
        <v>381</v>
      </c>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t="s">
        <v>615</v>
      </c>
      <c r="AI25" s="66"/>
      <c r="AJ25" s="66"/>
      <c r="AK25" s="181"/>
      <c r="AL25" s="66"/>
      <c r="AM25" s="66"/>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6"/>
      <c r="G26" s="66"/>
      <c r="H26" s="66"/>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t="s">
        <v>616</v>
      </c>
      <c r="AI26" s="66"/>
      <c r="AJ26" s="66"/>
      <c r="AK26" s="181"/>
      <c r="AL26" s="66"/>
      <c r="AM26" s="66"/>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6"/>
      <c r="G27" s="66"/>
      <c r="H27" s="66"/>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t="s">
        <v>382</v>
      </c>
      <c r="AI27" s="66"/>
      <c r="AJ27" s="66"/>
      <c r="AK27" s="181"/>
      <c r="AL27" s="66"/>
      <c r="AM27" s="66"/>
      <c r="AN27" s="36"/>
      <c r="AO27" s="36"/>
      <c r="AP27" s="36"/>
      <c r="AQ27" s="36"/>
      <c r="AR27" s="36"/>
      <c r="AS27" s="36"/>
      <c r="AT27" s="36"/>
      <c r="AU27" s="36"/>
      <c r="AV27" s="36"/>
      <c r="AW27" s="36"/>
      <c r="AX27" s="36"/>
      <c r="AY27" s="36"/>
      <c r="AZ27" s="36"/>
      <c r="BA27" s="36"/>
      <c r="BB27" s="36"/>
      <c r="BC27" s="36"/>
      <c r="BD27" s="36"/>
      <c r="BE27" s="36"/>
      <c r="BF27" s="36"/>
      <c r="BG27" s="66"/>
      <c r="BH27" s="66"/>
      <c r="BI27" s="66"/>
      <c r="BJ27" s="66"/>
      <c r="BK27" s="66"/>
      <c r="BL27" s="66"/>
      <c r="BM27" s="66"/>
      <c r="BN27" s="66"/>
      <c r="BO27" s="66"/>
      <c r="BP27" s="66"/>
      <c r="BQ27" s="66"/>
      <c r="BR27" s="66"/>
      <c r="BS27" s="66"/>
      <c r="BT27" s="182"/>
      <c r="BU27" s="182"/>
      <c r="BV27" s="182"/>
      <c r="BW27" s="182"/>
      <c r="BX27" s="182"/>
      <c r="BY27" s="182"/>
      <c r="BZ27" s="182"/>
      <c r="CA27" s="182"/>
      <c r="CB27" s="182"/>
      <c r="CC27" s="182"/>
      <c r="CD27" s="182"/>
      <c r="CE27" s="182"/>
      <c r="CF27" s="182"/>
      <c r="CG27" s="182"/>
      <c r="CH27" s="182"/>
      <c r="CI27" s="182"/>
      <c r="CJ27" s="182"/>
      <c r="CK27" s="182"/>
      <c r="CL27" s="4"/>
      <c r="CM27" s="182"/>
      <c r="CN27" s="182"/>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6"/>
      <c r="BH28" s="66"/>
      <c r="BI28" s="66"/>
      <c r="BJ28" s="66"/>
      <c r="BK28" s="66"/>
      <c r="BL28" s="66"/>
      <c r="BM28" s="66"/>
      <c r="BN28" s="66"/>
      <c r="BO28" s="66"/>
      <c r="BP28" s="66"/>
      <c r="BQ28" s="66"/>
      <c r="BR28" s="66"/>
      <c r="BS28" s="66"/>
      <c r="BT28" s="182"/>
      <c r="BU28" s="182"/>
      <c r="BV28" s="182"/>
      <c r="BW28" s="182"/>
      <c r="BX28" s="182"/>
      <c r="BY28" s="182"/>
      <c r="BZ28" s="182"/>
      <c r="CA28" s="182"/>
      <c r="CB28" s="182"/>
      <c r="CC28" s="182"/>
      <c r="CD28" s="182"/>
      <c r="CE28" s="182"/>
      <c r="CF28" s="182"/>
      <c r="CG28" s="182"/>
      <c r="CH28" s="182"/>
      <c r="CI28" s="182"/>
      <c r="CJ28" s="182"/>
      <c r="CK28" s="182"/>
      <c r="CL28" s="4"/>
      <c r="CM28" s="182"/>
      <c r="CN28" s="182"/>
    </row>
    <row r="29" spans="1:92" ht="15" x14ac:dyDescent="0.25">
      <c r="A29" s="36"/>
      <c r="B29" s="36"/>
      <c r="C29" s="36"/>
      <c r="D29" s="36"/>
      <c r="E29" s="36"/>
      <c r="F29" s="66" t="s">
        <v>383</v>
      </c>
      <c r="G29" s="66"/>
      <c r="H29" s="66"/>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t="s">
        <v>385</v>
      </c>
      <c r="AI29" s="66"/>
      <c r="AJ29" s="66"/>
      <c r="AK29" s="181"/>
      <c r="AL29" s="66"/>
      <c r="AM29" s="66"/>
      <c r="AN29" s="66"/>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6" t="s">
        <v>384</v>
      </c>
      <c r="G30" s="66"/>
      <c r="H30" s="66"/>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20" t="s">
        <v>617</v>
      </c>
      <c r="AI30" s="66"/>
      <c r="AJ30" s="66"/>
      <c r="AK30" s="181"/>
      <c r="AL30" s="66"/>
      <c r="AM30" s="66"/>
      <c r="AN30" s="66"/>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6"/>
      <c r="G31" s="66"/>
      <c r="H31" s="66"/>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181"/>
      <c r="AL31" s="66"/>
      <c r="AM31" s="66"/>
      <c r="AN31" s="66"/>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3" customFormat="1" ht="15" customHeight="1" x14ac:dyDescent="0.25">
      <c r="A32" s="66"/>
      <c r="B32" s="66"/>
      <c r="C32" s="66"/>
      <c r="D32" s="66"/>
      <c r="E32" s="66"/>
      <c r="F32" s="66" t="s">
        <v>386</v>
      </c>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t="s">
        <v>387</v>
      </c>
      <c r="AI32" s="66"/>
      <c r="AJ32" s="66"/>
      <c r="AK32" s="181"/>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row>
    <row r="33" spans="1:71" s="183" customFormat="1" ht="15" customHeight="1" x14ac:dyDescent="0.25">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t="s">
        <v>388</v>
      </c>
      <c r="AI33" s="66"/>
      <c r="AJ33" s="66"/>
      <c r="AK33" s="181"/>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row>
    <row r="34" spans="1:71" s="183" customFormat="1" ht="15" customHeight="1" x14ac:dyDescent="0.25">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I34" s="66"/>
      <c r="AJ34" s="66"/>
      <c r="AK34" s="181"/>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row>
    <row r="35" spans="1:71" s="183" customFormat="1" ht="15" customHeight="1" x14ac:dyDescent="0.25">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181"/>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row>
    <row r="36" spans="1:71" s="183" customFormat="1" ht="15" customHeight="1" x14ac:dyDescent="0.25">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181"/>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618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181"/>
      <c r="AL39" s="66"/>
      <c r="AM39" s="66"/>
      <c r="AN39" s="66"/>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619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597</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598</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599</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600</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620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5"/>
      <c r="AL49" s="184"/>
      <c r="AM49" s="184"/>
      <c r="AN49" s="186"/>
      <c r="AO49" s="186"/>
      <c r="AP49" s="186"/>
      <c r="AQ49" s="176"/>
      <c r="AR49" s="176"/>
      <c r="AS49" s="176"/>
      <c r="AT49" s="176"/>
      <c r="AU49" s="176"/>
      <c r="AV49" s="176"/>
      <c r="AW49" s="176"/>
      <c r="AX49" s="176"/>
      <c r="AY49" s="176"/>
      <c r="AZ49" s="176"/>
      <c r="BA49" s="176"/>
      <c r="BB49" s="176"/>
      <c r="BC49" s="176"/>
      <c r="BD49" s="176"/>
      <c r="BE49" s="176"/>
      <c r="BF49" s="176"/>
      <c r="BG49" s="176"/>
      <c r="BH49" s="176"/>
      <c r="BI49" s="176"/>
      <c r="BJ49" s="176"/>
      <c r="BK49" s="176"/>
      <c r="BL49" s="176"/>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7" t="s">
        <v>393</v>
      </c>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c r="BA50" s="176"/>
      <c r="BB50" s="176"/>
      <c r="BC50" s="176"/>
      <c r="BD50" s="176"/>
      <c r="BE50" s="176"/>
      <c r="BF50" s="176"/>
      <c r="BG50" s="176"/>
      <c r="BH50" s="176"/>
      <c r="BI50" s="176"/>
      <c r="BJ50" s="176"/>
      <c r="BK50" s="176"/>
      <c r="BL50" s="176"/>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Manoel Carvalho</v>
      </c>
      <c r="E51" s="36"/>
      <c r="F51" s="178"/>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6"/>
      <c r="AJ51" s="176"/>
      <c r="AK51" s="176"/>
      <c r="AL51" s="176"/>
      <c r="AM51" s="176"/>
      <c r="AN51" s="176"/>
      <c r="AO51" s="176"/>
      <c r="AP51" s="176"/>
      <c r="AQ51" s="176"/>
      <c r="AR51" s="176"/>
      <c r="AS51" s="176"/>
      <c r="AT51" s="176"/>
      <c r="AU51" s="176"/>
      <c r="AV51" s="176"/>
      <c r="AW51" s="176"/>
      <c r="AX51" s="176"/>
      <c r="AY51" s="176"/>
      <c r="AZ51" s="176"/>
      <c r="BA51" s="176"/>
      <c r="BB51" s="176"/>
      <c r="BC51" s="176"/>
      <c r="BD51" s="176"/>
      <c r="BE51" s="176"/>
      <c r="BF51" s="176"/>
      <c r="BG51" s="176"/>
      <c r="BH51" s="176"/>
      <c r="BI51" s="176"/>
      <c r="BJ51" s="176"/>
      <c r="BK51" s="176"/>
      <c r="BL51" s="176"/>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André David</v>
      </c>
      <c r="E52" s="36"/>
      <c r="F52" s="179"/>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3" t="s">
        <v>394</v>
      </c>
      <c r="G53" s="43"/>
      <c r="H53" s="43"/>
      <c r="I53" s="43"/>
      <c r="J53" s="43"/>
      <c r="K53" s="43"/>
      <c r="L53" s="43"/>
      <c r="M53" s="43"/>
      <c r="N53" s="43"/>
      <c r="O53" s="187"/>
      <c r="P53" s="187"/>
      <c r="Q53" s="187"/>
      <c r="R53" s="187"/>
      <c r="S53" s="187"/>
      <c r="T53" s="187"/>
      <c r="U53" s="187"/>
      <c r="V53" s="187"/>
      <c r="W53" s="187"/>
      <c r="X53" s="187"/>
      <c r="Y53" s="187"/>
      <c r="Z53" s="187"/>
      <c r="AA53" s="187"/>
      <c r="AB53" s="187"/>
      <c r="AC53" s="187"/>
      <c r="AD53" s="187"/>
      <c r="AE53" s="187"/>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69" customFormat="1" ht="15" x14ac:dyDescent="0.25">
      <c r="A55" s="66"/>
      <c r="B55" s="66"/>
      <c r="C55" s="66"/>
      <c r="D55" s="66" t="str">
        <f>IFERROR(_xlfn.IFS(C50=F132,AH137,C50=F172,AH177)," ")</f>
        <v xml:space="preserve"> </v>
      </c>
      <c r="E55" s="66"/>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714</v>
      </c>
      <c r="AI55" s="35"/>
      <c r="AJ55" s="35"/>
      <c r="AK55" s="35"/>
      <c r="AL55" s="35"/>
      <c r="AM55" s="35"/>
      <c r="AN55" s="35"/>
      <c r="AO55" s="35"/>
      <c r="AP55" s="35"/>
      <c r="AQ55" s="35"/>
      <c r="AR55" s="35"/>
      <c r="AS55" s="35"/>
      <c r="AT55" s="35"/>
      <c r="AU55" s="35"/>
      <c r="AV55" s="35"/>
      <c r="AW55" s="35"/>
      <c r="AX55" s="35"/>
      <c r="AY55" s="35"/>
      <c r="AZ55" s="66"/>
      <c r="BA55" s="66"/>
      <c r="BB55" s="66"/>
      <c r="BC55" s="66"/>
      <c r="BD55" s="66"/>
      <c r="BE55" s="66"/>
      <c r="BF55" s="66"/>
      <c r="BG55" s="66"/>
      <c r="BH55" s="66"/>
      <c r="BI55" s="66"/>
      <c r="BJ55" s="66"/>
      <c r="BK55" s="66"/>
      <c r="BL55" s="66"/>
      <c r="BM55" s="66"/>
      <c r="BN55" s="66"/>
      <c r="BO55" s="66"/>
      <c r="BP55" s="66"/>
      <c r="BQ55" s="66"/>
      <c r="BR55" s="66"/>
      <c r="BS55" s="66"/>
    </row>
    <row r="56" spans="1:71" s="69" customFormat="1" ht="15" x14ac:dyDescent="0.25">
      <c r="A56" s="66"/>
      <c r="B56" s="66"/>
      <c r="C56" s="66"/>
      <c r="D56" s="66"/>
      <c r="E56" s="66"/>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717</v>
      </c>
      <c r="AI56" s="35"/>
      <c r="AJ56" s="35"/>
      <c r="AK56" s="35"/>
      <c r="AL56" s="35"/>
      <c r="AM56" s="35"/>
      <c r="AN56" s="35"/>
      <c r="AO56" s="35"/>
      <c r="AP56" s="35"/>
      <c r="AQ56" s="35"/>
      <c r="AR56" s="35"/>
      <c r="AS56" s="35"/>
      <c r="AT56" s="35"/>
      <c r="AU56" s="35"/>
      <c r="AV56" s="35"/>
      <c r="AW56" s="35"/>
      <c r="AX56" s="35"/>
      <c r="AY56" s="35"/>
      <c r="AZ56" s="66"/>
      <c r="BA56" s="66"/>
      <c r="BB56" s="66"/>
      <c r="BC56" s="66"/>
      <c r="BD56" s="66"/>
      <c r="BE56" s="66"/>
      <c r="BF56" s="66"/>
      <c r="BG56" s="66"/>
      <c r="BH56" s="66"/>
      <c r="BI56" s="66"/>
      <c r="BJ56" s="66"/>
      <c r="BK56" s="66"/>
      <c r="BL56" s="66"/>
      <c r="BM56" s="66"/>
      <c r="BN56" s="66"/>
      <c r="BO56" s="66"/>
      <c r="BP56" s="66"/>
      <c r="BQ56" s="66"/>
      <c r="BR56" s="66"/>
      <c r="BS56" s="66"/>
    </row>
    <row r="57" spans="1:71" s="69" customFormat="1" ht="15" x14ac:dyDescent="0.25">
      <c r="A57" s="66"/>
      <c r="B57" s="66"/>
      <c r="C57" s="66"/>
      <c r="D57" s="66"/>
      <c r="E57" s="66"/>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735</v>
      </c>
      <c r="AI57" s="35"/>
      <c r="AJ57" s="35"/>
      <c r="AK57" s="35"/>
      <c r="AL57" s="35"/>
      <c r="AM57" s="35"/>
      <c r="AN57" s="35"/>
      <c r="AO57" s="35"/>
      <c r="AP57" s="35"/>
      <c r="AQ57" s="35"/>
      <c r="AR57" s="35"/>
      <c r="AS57" s="35"/>
      <c r="AT57" s="35"/>
      <c r="AU57" s="35"/>
      <c r="AV57" s="35"/>
      <c r="AW57" s="35"/>
      <c r="AX57" s="35"/>
      <c r="AY57" s="35"/>
      <c r="AZ57" s="66"/>
      <c r="BA57" s="66"/>
      <c r="BB57" s="66"/>
      <c r="BC57" s="66"/>
      <c r="BD57" s="66"/>
      <c r="BE57" s="66"/>
      <c r="BF57" s="66"/>
      <c r="BG57" s="66"/>
      <c r="BH57" s="66"/>
      <c r="BI57" s="66"/>
      <c r="BJ57" s="66"/>
      <c r="BK57" s="66"/>
      <c r="BL57" s="66"/>
      <c r="BM57" s="66"/>
      <c r="BN57" s="66"/>
      <c r="BO57" s="66"/>
      <c r="BP57" s="66"/>
      <c r="BQ57" s="66"/>
      <c r="BR57" s="66"/>
      <c r="BS57" s="66"/>
    </row>
    <row r="58" spans="1:71" s="69" customFormat="1" ht="15" x14ac:dyDescent="0.25">
      <c r="A58" s="66"/>
      <c r="B58" s="66"/>
      <c r="C58" s="66"/>
      <c r="D58" s="66"/>
      <c r="E58" s="66"/>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6"/>
      <c r="BA58" s="66"/>
      <c r="BB58" s="66"/>
      <c r="BC58" s="66"/>
      <c r="BD58" s="66"/>
      <c r="BE58" s="66"/>
      <c r="BF58" s="66"/>
      <c r="BG58" s="66"/>
      <c r="BH58" s="66"/>
      <c r="BI58" s="66"/>
      <c r="BJ58" s="66"/>
      <c r="BK58" s="66"/>
      <c r="BL58" s="66"/>
      <c r="BM58" s="66"/>
      <c r="BN58" s="66"/>
      <c r="BO58" s="66"/>
      <c r="BP58" s="66"/>
      <c r="BQ58" s="66"/>
      <c r="BR58" s="66"/>
      <c r="BS58" s="66"/>
    </row>
    <row r="59" spans="1:71" ht="15" x14ac:dyDescent="0.25">
      <c r="A59" s="36"/>
      <c r="B59" s="36"/>
      <c r="C59" s="36"/>
      <c r="D59" s="36"/>
      <c r="E59" s="36"/>
      <c r="F59" s="43" t="s">
        <v>396</v>
      </c>
      <c r="G59" s="43"/>
      <c r="H59" s="43"/>
      <c r="I59" s="43"/>
      <c r="J59" s="43"/>
      <c r="K59" s="43"/>
      <c r="L59" s="43"/>
      <c r="M59" s="43"/>
      <c r="N59" s="43"/>
      <c r="O59" s="187"/>
      <c r="P59" s="187"/>
      <c r="Q59" s="187"/>
      <c r="R59" s="187"/>
      <c r="S59" s="187"/>
      <c r="T59" s="187"/>
      <c r="U59" s="187"/>
      <c r="V59" s="187"/>
      <c r="W59" s="187"/>
      <c r="X59" s="187"/>
      <c r="Y59" s="187"/>
      <c r="Z59" s="187"/>
      <c r="AA59" s="187"/>
      <c r="AB59" s="187"/>
      <c r="AC59" s="187"/>
      <c r="AD59" s="187"/>
      <c r="AE59" s="187"/>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2" customFormat="1" ht="15" customHeight="1" x14ac:dyDescent="0.25">
      <c r="A61" s="66"/>
      <c r="B61" s="66"/>
      <c r="C61" s="66"/>
      <c r="D61" s="66"/>
      <c r="E61" s="66"/>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736</v>
      </c>
      <c r="AI61" s="35"/>
      <c r="AJ61" s="35"/>
      <c r="AK61" s="35"/>
      <c r="AL61" s="35"/>
      <c r="AM61" s="35"/>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188"/>
      <c r="BN61" s="66"/>
      <c r="BO61" s="66"/>
      <c r="BP61" s="66"/>
      <c r="BQ61" s="66"/>
      <c r="BR61" s="66"/>
      <c r="BS61" s="66"/>
    </row>
    <row r="62" spans="1:71" s="182" customFormat="1" ht="15" customHeight="1" x14ac:dyDescent="0.25">
      <c r="A62" s="66"/>
      <c r="B62" s="66"/>
      <c r="C62" s="66"/>
      <c r="D62" s="66"/>
      <c r="E62" s="66"/>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row>
    <row r="63" spans="1:71" s="182" customFormat="1" ht="15" customHeight="1" x14ac:dyDescent="0.25">
      <c r="A63" s="66"/>
      <c r="B63" s="66"/>
      <c r="C63" s="66"/>
      <c r="D63" s="66"/>
      <c r="E63" s="66"/>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row>
    <row r="64" spans="1:71" s="182" customFormat="1" ht="15" customHeight="1" x14ac:dyDescent="0.25">
      <c r="A64" s="66"/>
      <c r="B64" s="66"/>
      <c r="C64" s="66"/>
      <c r="D64" s="66"/>
      <c r="E64" s="66"/>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row>
    <row r="65" spans="1:71" s="182" customFormat="1" ht="15" customHeight="1" x14ac:dyDescent="0.25">
      <c r="A65" s="66"/>
      <c r="B65" s="66"/>
      <c r="C65" s="66"/>
      <c r="D65" s="66"/>
      <c r="E65" s="66"/>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row>
    <row r="66" spans="1:71" ht="15" x14ac:dyDescent="0.25">
      <c r="A66" s="36"/>
      <c r="B66" s="36"/>
      <c r="C66" s="36"/>
      <c r="D66" s="36"/>
      <c r="E66" s="36"/>
      <c r="F66" s="43" t="s">
        <v>622</v>
      </c>
      <c r="G66" s="43"/>
      <c r="H66" s="43"/>
      <c r="I66" s="43"/>
      <c r="J66" s="43"/>
      <c r="K66" s="43"/>
      <c r="L66" s="43"/>
      <c r="M66" s="43"/>
      <c r="N66" s="43"/>
      <c r="O66" s="187"/>
      <c r="P66" s="187"/>
      <c r="Q66" s="187"/>
      <c r="R66" s="187"/>
      <c r="S66" s="187"/>
      <c r="T66" s="187"/>
      <c r="U66" s="187"/>
      <c r="V66" s="187"/>
      <c r="W66" s="187"/>
      <c r="X66" s="187"/>
      <c r="Y66" s="187"/>
      <c r="Z66" s="187"/>
      <c r="AA66" s="187"/>
      <c r="AB66" s="187"/>
      <c r="AC66" s="187"/>
      <c r="AD66" s="187"/>
      <c r="AE66" s="187"/>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2" customFormat="1" ht="15" customHeight="1" x14ac:dyDescent="0.25">
      <c r="A68" s="66"/>
      <c r="B68" s="66"/>
      <c r="C68" s="66"/>
      <c r="D68" s="66"/>
      <c r="E68" s="66"/>
      <c r="F68" s="35" t="s">
        <v>623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736</v>
      </c>
      <c r="AI68" s="35"/>
      <c r="AJ68" s="35"/>
      <c r="AK68" s="35"/>
      <c r="AL68" s="35"/>
      <c r="AM68" s="35"/>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188"/>
      <c r="BN68" s="66"/>
      <c r="BO68" s="66"/>
      <c r="BP68" s="66"/>
      <c r="BQ68" s="66"/>
      <c r="BR68" s="66"/>
      <c r="BS68" s="66"/>
    </row>
    <row r="69" spans="1:71" s="182" customFormat="1" ht="15" customHeight="1" x14ac:dyDescent="0.25">
      <c r="A69" s="66"/>
      <c r="B69" s="66"/>
      <c r="C69" s="66"/>
      <c r="D69" s="66"/>
      <c r="E69" s="66"/>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row>
    <row r="70" spans="1:71" s="182" customFormat="1" ht="15" customHeight="1" x14ac:dyDescent="0.25">
      <c r="A70" s="66"/>
      <c r="B70" s="66"/>
      <c r="C70" s="66"/>
      <c r="D70" s="66"/>
      <c r="E70" s="66"/>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row>
    <row r="71" spans="1:71" s="182" customFormat="1" ht="15" customHeight="1" x14ac:dyDescent="0.25">
      <c r="A71" s="66"/>
      <c r="B71" s="66"/>
      <c r="C71" s="66"/>
      <c r="D71" s="66"/>
      <c r="E71" s="66"/>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row>
    <row r="72" spans="1:71" s="182" customFormat="1" ht="15" customHeight="1" x14ac:dyDescent="0.25">
      <c r="A72" s="66"/>
      <c r="B72" s="66"/>
      <c r="C72" s="66"/>
      <c r="D72" s="66"/>
      <c r="E72" s="66"/>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row>
    <row r="73" spans="1:71" s="182" customFormat="1" ht="15" customHeight="1" x14ac:dyDescent="0.25">
      <c r="A73" s="66"/>
      <c r="B73" s="66"/>
      <c r="C73" s="66"/>
      <c r="D73" s="66"/>
      <c r="E73" s="66"/>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row>
    <row r="74" spans="1:71" ht="15" x14ac:dyDescent="0.25">
      <c r="A74" s="36"/>
      <c r="B74" s="36"/>
      <c r="C74" s="36"/>
      <c r="D74" s="36"/>
      <c r="E74" s="36"/>
      <c r="F74" s="43" t="s">
        <v>340</v>
      </c>
      <c r="G74" s="43"/>
      <c r="H74" s="43"/>
      <c r="I74" s="43"/>
      <c r="J74" s="43"/>
      <c r="K74" s="43"/>
      <c r="L74" s="43"/>
      <c r="M74" s="43"/>
      <c r="N74" s="43"/>
      <c r="O74" s="187"/>
      <c r="P74" s="187"/>
      <c r="Q74" s="187"/>
      <c r="R74" s="187"/>
      <c r="S74" s="187"/>
      <c r="T74" s="187"/>
      <c r="U74" s="187"/>
      <c r="V74" s="187"/>
      <c r="W74" s="187"/>
      <c r="X74" s="187"/>
      <c r="Y74" s="187"/>
      <c r="Z74" s="187"/>
      <c r="AA74" s="187"/>
      <c r="AB74" s="187"/>
      <c r="AC74" s="187"/>
      <c r="AD74" s="187"/>
      <c r="AE74" s="187"/>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715</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3" t="s">
        <v>624</v>
      </c>
      <c r="G82" s="43"/>
      <c r="H82" s="43"/>
      <c r="I82" s="43"/>
      <c r="J82" s="43"/>
      <c r="K82" s="43"/>
      <c r="L82" s="43"/>
      <c r="M82" s="43"/>
      <c r="N82" s="43"/>
      <c r="O82" s="187"/>
      <c r="P82" s="187"/>
      <c r="Q82" s="187"/>
      <c r="R82" s="187"/>
      <c r="S82" s="187"/>
      <c r="T82" s="187"/>
      <c r="U82" s="187"/>
      <c r="V82" s="187"/>
      <c r="W82" s="187"/>
      <c r="X82" s="187"/>
      <c r="Y82" s="187"/>
      <c r="Z82" s="187"/>
      <c r="AA82" s="187"/>
      <c r="AB82" s="187"/>
      <c r="AC82" s="187"/>
      <c r="AD82" s="187"/>
      <c r="AE82" s="187"/>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625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626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627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628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737</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716</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3"/>
      <c r="G91" s="43"/>
      <c r="H91" s="43"/>
      <c r="I91" s="43"/>
      <c r="J91" s="43"/>
      <c r="K91" s="43"/>
      <c r="L91" s="43"/>
      <c r="M91" s="43"/>
      <c r="N91" s="43"/>
      <c r="O91" s="187"/>
      <c r="P91" s="187"/>
      <c r="Q91" s="187"/>
      <c r="R91" s="187"/>
      <c r="S91" s="187"/>
      <c r="T91" s="187"/>
      <c r="U91" s="187"/>
      <c r="V91" s="187"/>
      <c r="W91" s="187"/>
      <c r="X91" s="187"/>
      <c r="Y91" s="187"/>
      <c r="Z91" s="187"/>
      <c r="AA91" s="187"/>
      <c r="AB91" s="187"/>
      <c r="AC91" s="187"/>
      <c r="AD91" s="187"/>
      <c r="AE91" s="187"/>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728</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3" t="s">
        <v>400</v>
      </c>
      <c r="G97" s="43"/>
      <c r="H97" s="43"/>
      <c r="I97" s="43"/>
      <c r="J97" s="43"/>
      <c r="K97" s="43"/>
      <c r="L97" s="43"/>
      <c r="M97" s="43"/>
      <c r="N97" s="43"/>
      <c r="O97" s="187"/>
      <c r="P97" s="187"/>
      <c r="Q97" s="187"/>
      <c r="R97" s="187"/>
      <c r="S97" s="187"/>
      <c r="T97" s="187"/>
      <c r="U97" s="187"/>
      <c r="V97" s="187"/>
      <c r="W97" s="187"/>
      <c r="X97" s="187"/>
      <c r="Y97" s="187"/>
      <c r="Z97" s="187"/>
      <c r="AA97" s="187"/>
      <c r="AB97" s="187"/>
      <c r="AC97" s="187"/>
      <c r="AD97" s="187"/>
      <c r="AE97" s="187"/>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629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2" customFormat="1" ht="15" customHeight="1" x14ac:dyDescent="0.25">
      <c r="A103" s="66"/>
      <c r="B103" s="66"/>
      <c r="C103" s="66"/>
      <c r="D103" s="66"/>
      <c r="E103" s="6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row>
    <row r="104" spans="1:71" ht="15" x14ac:dyDescent="0.25">
      <c r="A104" s="36"/>
      <c r="B104" s="36"/>
      <c r="C104" s="36"/>
      <c r="D104" s="36"/>
      <c r="E104" s="36"/>
      <c r="F104" s="43" t="s">
        <v>404</v>
      </c>
      <c r="G104" s="43"/>
      <c r="H104" s="43"/>
      <c r="I104" s="43"/>
      <c r="J104" s="43"/>
      <c r="K104" s="43"/>
      <c r="L104" s="43"/>
      <c r="M104" s="43"/>
      <c r="N104" s="43"/>
      <c r="O104" s="187"/>
      <c r="P104" s="187"/>
      <c r="Q104" s="187"/>
      <c r="R104" s="187"/>
      <c r="S104" s="187"/>
      <c r="T104" s="187"/>
      <c r="U104" s="187"/>
      <c r="V104" s="187"/>
      <c r="W104" s="187"/>
      <c r="X104" s="187"/>
      <c r="Y104" s="187"/>
      <c r="Z104" s="187"/>
      <c r="AA104" s="187"/>
      <c r="AB104" s="187"/>
      <c r="AC104" s="187"/>
      <c r="AD104" s="187"/>
      <c r="AE104" s="187"/>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708</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709</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2" customFormat="1" ht="15" customHeight="1" x14ac:dyDescent="0.25">
      <c r="A109" s="66"/>
      <c r="B109" s="66"/>
      <c r="C109" s="66"/>
      <c r="D109" s="66"/>
      <c r="E109" s="6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row>
    <row r="110" spans="1:71" ht="15" x14ac:dyDescent="0.25">
      <c r="A110" s="36"/>
      <c r="B110" s="36"/>
      <c r="C110" s="36"/>
      <c r="D110" s="36"/>
      <c r="E110" s="36"/>
      <c r="F110" s="43" t="s">
        <v>405</v>
      </c>
      <c r="G110" s="43"/>
      <c r="H110" s="43"/>
      <c r="I110" s="43"/>
      <c r="J110" s="43"/>
      <c r="K110" s="43"/>
      <c r="L110" s="43"/>
      <c r="M110" s="43"/>
      <c r="N110" s="43"/>
      <c r="O110" s="187"/>
      <c r="P110" s="187"/>
      <c r="Q110" s="187"/>
      <c r="R110" s="187"/>
      <c r="S110" s="187"/>
      <c r="T110" s="187"/>
      <c r="U110" s="187"/>
      <c r="V110" s="187"/>
      <c r="W110" s="187"/>
      <c r="X110" s="187"/>
      <c r="Y110" s="187"/>
      <c r="Z110" s="187"/>
      <c r="AA110" s="187"/>
      <c r="AB110" s="187"/>
      <c r="AC110" s="187"/>
      <c r="AD110" s="187"/>
      <c r="AE110" s="187"/>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630</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631</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632</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2" customFormat="1" ht="15" customHeight="1" x14ac:dyDescent="0.25">
      <c r="A115" s="66"/>
      <c r="B115" s="66"/>
      <c r="C115" s="66"/>
      <c r="D115" s="66"/>
      <c r="E115" s="66"/>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row>
    <row r="116" spans="1:71" ht="15" x14ac:dyDescent="0.25">
      <c r="A116" s="36"/>
      <c r="B116" s="36"/>
      <c r="C116" s="36"/>
      <c r="D116" s="36"/>
      <c r="E116" s="36"/>
      <c r="F116" s="43" t="s">
        <v>406</v>
      </c>
      <c r="G116" s="43"/>
      <c r="H116" s="43"/>
      <c r="I116" s="43"/>
      <c r="J116" s="43"/>
      <c r="K116" s="43"/>
      <c r="L116" s="43"/>
      <c r="M116" s="43"/>
      <c r="N116" s="43"/>
      <c r="O116" s="187"/>
      <c r="P116" s="187"/>
      <c r="Q116" s="187"/>
      <c r="R116" s="187"/>
      <c r="S116" s="187"/>
      <c r="T116" s="187"/>
      <c r="U116" s="187"/>
      <c r="V116" s="187"/>
      <c r="W116" s="187"/>
      <c r="X116" s="187"/>
      <c r="Y116" s="187"/>
      <c r="Z116" s="187"/>
      <c r="AA116" s="187"/>
      <c r="AB116" s="187"/>
      <c r="AC116" s="187"/>
      <c r="AD116" s="187"/>
      <c r="AE116" s="187"/>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6"/>
      <c r="AM118" s="66"/>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6"/>
      <c r="AM119" s="66"/>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3" t="s">
        <v>411</v>
      </c>
      <c r="G124" s="43"/>
      <c r="H124" s="43"/>
      <c r="I124" s="43"/>
      <c r="J124" s="43"/>
      <c r="K124" s="43"/>
      <c r="L124" s="43"/>
      <c r="M124" s="43"/>
      <c r="N124" s="43"/>
      <c r="O124" s="187"/>
      <c r="P124" s="187"/>
      <c r="Q124" s="187"/>
      <c r="R124" s="187"/>
      <c r="S124" s="187"/>
      <c r="T124" s="187"/>
      <c r="U124" s="187"/>
      <c r="V124" s="187"/>
      <c r="W124" s="187"/>
      <c r="X124" s="187"/>
      <c r="Y124" s="187"/>
      <c r="Z124" s="187"/>
      <c r="AA124" s="187"/>
      <c r="AB124" s="187"/>
      <c r="AC124" s="187"/>
      <c r="AD124" s="187"/>
      <c r="AE124" s="187"/>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710</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3" t="s">
        <v>413</v>
      </c>
      <c r="G130" s="43"/>
      <c r="H130" s="43"/>
      <c r="I130" s="43"/>
      <c r="J130" s="43"/>
      <c r="K130" s="43"/>
      <c r="L130" s="43"/>
      <c r="M130" s="43"/>
      <c r="N130" s="43"/>
      <c r="O130" s="187"/>
      <c r="P130" s="187"/>
      <c r="Q130" s="187"/>
      <c r="R130" s="187"/>
      <c r="S130" s="187"/>
      <c r="T130" s="187"/>
      <c r="U130" s="187"/>
      <c r="V130" s="187"/>
      <c r="W130" s="187"/>
      <c r="X130" s="187"/>
      <c r="Y130" s="187"/>
      <c r="Z130" s="187"/>
      <c r="AA130" s="187"/>
      <c r="AB130" s="187"/>
      <c r="AC130" s="187"/>
      <c r="AD130" s="187"/>
      <c r="AE130" s="187"/>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711</v>
      </c>
      <c r="AI132" s="35"/>
      <c r="AJ132" s="35"/>
      <c r="AK132" s="35"/>
      <c r="AL132" s="66"/>
      <c r="AM132" s="66"/>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718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719</v>
      </c>
      <c r="AI134" s="36"/>
      <c r="AJ134" s="36"/>
      <c r="AK134" s="36"/>
      <c r="AL134" s="36"/>
      <c r="AM134" s="36"/>
      <c r="AN134" s="36"/>
      <c r="AO134" s="36"/>
      <c r="AP134" s="36"/>
      <c r="AQ134" s="36"/>
      <c r="AR134" s="36"/>
      <c r="AS134" s="36"/>
      <c r="AT134" s="36"/>
      <c r="AU134" s="66"/>
      <c r="AV134" s="66"/>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720</v>
      </c>
      <c r="AI135" s="35"/>
      <c r="AJ135" s="35"/>
      <c r="AK135" s="35"/>
      <c r="AL135" s="35"/>
      <c r="AM135" s="35"/>
      <c r="AN135" s="66"/>
      <c r="AO135" s="66"/>
      <c r="AP135" s="66"/>
      <c r="AQ135" s="66"/>
      <c r="AR135" s="66"/>
      <c r="AS135" s="66"/>
      <c r="AT135" s="66"/>
      <c r="AU135" s="66"/>
      <c r="AV135" s="66"/>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6"/>
      <c r="AO136" s="66"/>
      <c r="AP136" s="66"/>
      <c r="AQ136" s="66"/>
      <c r="AR136" s="66"/>
      <c r="AS136" s="66"/>
      <c r="AT136" s="66"/>
      <c r="AU136" s="66"/>
      <c r="AV136" s="66"/>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6"/>
      <c r="AO137" s="66"/>
      <c r="AP137" s="66"/>
      <c r="AQ137" s="66"/>
      <c r="AR137" s="66"/>
      <c r="AS137" s="66"/>
      <c r="AT137" s="66"/>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6"/>
      <c r="AO138" s="66"/>
      <c r="AP138" s="66"/>
      <c r="AQ138" s="66"/>
      <c r="AR138" s="66"/>
      <c r="AS138" s="66"/>
      <c r="AT138" s="66"/>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3" t="s">
        <v>414</v>
      </c>
      <c r="G140" s="43"/>
      <c r="H140" s="43"/>
      <c r="I140" s="43"/>
      <c r="J140" s="43"/>
      <c r="K140" s="43"/>
      <c r="L140" s="43"/>
      <c r="M140" s="43"/>
      <c r="N140" s="43"/>
      <c r="O140" s="187"/>
      <c r="P140" s="187"/>
      <c r="Q140" s="187"/>
      <c r="R140" s="187"/>
      <c r="S140" s="187"/>
      <c r="T140" s="187"/>
      <c r="U140" s="187"/>
      <c r="V140" s="187"/>
      <c r="W140" s="187"/>
      <c r="X140" s="187"/>
      <c r="Y140" s="187"/>
      <c r="Z140" s="187"/>
      <c r="AA140" s="187"/>
      <c r="AB140" s="187"/>
      <c r="AC140" s="187"/>
      <c r="AD140" s="187"/>
      <c r="AE140" s="187"/>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721</v>
      </c>
      <c r="AI143" s="35"/>
      <c r="AJ143" s="35"/>
      <c r="AK143" s="35"/>
      <c r="AL143" s="35"/>
      <c r="AM143" s="35"/>
      <c r="AN143" s="36"/>
      <c r="AO143" s="36"/>
      <c r="AP143" s="36"/>
      <c r="AQ143" s="36"/>
      <c r="AR143" s="36"/>
      <c r="AS143" s="36"/>
      <c r="AT143" s="36"/>
      <c r="AU143" s="66"/>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6"/>
      <c r="AI144" s="36"/>
      <c r="AJ144" s="36"/>
      <c r="AK144" s="36"/>
      <c r="AL144" s="36"/>
      <c r="AM144" s="36"/>
      <c r="AN144" s="66"/>
      <c r="AO144" s="66"/>
      <c r="AP144" s="66"/>
      <c r="AQ144" s="66"/>
      <c r="AR144" s="66"/>
      <c r="AS144" s="66"/>
      <c r="AT144" s="66"/>
      <c r="AU144" s="66"/>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3" t="s">
        <v>416</v>
      </c>
      <c r="G146" s="43"/>
      <c r="H146" s="43"/>
      <c r="I146" s="43"/>
      <c r="J146" s="43"/>
      <c r="K146" s="43"/>
      <c r="L146" s="43"/>
      <c r="M146" s="43"/>
      <c r="N146" s="43"/>
      <c r="O146" s="187"/>
      <c r="P146" s="187"/>
      <c r="Q146" s="187"/>
      <c r="R146" s="187"/>
      <c r="S146" s="187"/>
      <c r="T146" s="187"/>
      <c r="U146" s="187"/>
      <c r="V146" s="187"/>
      <c r="W146" s="187"/>
      <c r="X146" s="187"/>
      <c r="Y146" s="187"/>
      <c r="Z146" s="187"/>
      <c r="AA146" s="187"/>
      <c r="AB146" s="187"/>
      <c r="AC146" s="187"/>
      <c r="AD146" s="187"/>
      <c r="AE146" s="187"/>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3" t="s">
        <v>419</v>
      </c>
      <c r="G152" s="43"/>
      <c r="H152" s="43"/>
      <c r="I152" s="43"/>
      <c r="J152" s="43"/>
      <c r="K152" s="43"/>
      <c r="L152" s="43"/>
      <c r="M152" s="43"/>
      <c r="N152" s="43"/>
      <c r="O152" s="187"/>
      <c r="P152" s="187"/>
      <c r="Q152" s="187"/>
      <c r="R152" s="187"/>
      <c r="S152" s="187"/>
      <c r="T152" s="187"/>
      <c r="U152" s="187"/>
      <c r="V152" s="187"/>
      <c r="W152" s="187"/>
      <c r="X152" s="187"/>
      <c r="Y152" s="187"/>
      <c r="Z152" s="187"/>
      <c r="AA152" s="187"/>
      <c r="AB152" s="187"/>
      <c r="AC152" s="187"/>
      <c r="AD152" s="187"/>
      <c r="AE152" s="187"/>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712</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3" t="s">
        <v>421</v>
      </c>
      <c r="G158" s="43"/>
      <c r="H158" s="43"/>
      <c r="I158" s="43"/>
      <c r="J158" s="43"/>
      <c r="K158" s="43"/>
      <c r="L158" s="43"/>
      <c r="M158" s="43"/>
      <c r="N158" s="43"/>
      <c r="O158" s="187"/>
      <c r="P158" s="187"/>
      <c r="Q158" s="187"/>
      <c r="R158" s="187"/>
      <c r="S158" s="187"/>
      <c r="T158" s="187"/>
      <c r="U158" s="187"/>
      <c r="V158" s="187"/>
      <c r="W158" s="187"/>
      <c r="X158" s="187"/>
      <c r="Y158" s="187"/>
      <c r="Z158" s="187"/>
      <c r="AA158" s="187"/>
      <c r="AB158" s="187"/>
      <c r="AC158" s="187"/>
      <c r="AD158" s="187"/>
      <c r="AE158" s="187"/>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6"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6"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6"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6"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3" t="s">
        <v>424</v>
      </c>
      <c r="G164" s="43"/>
      <c r="H164" s="43"/>
      <c r="I164" s="43"/>
      <c r="J164" s="43"/>
      <c r="K164" s="43"/>
      <c r="L164" s="43"/>
      <c r="M164" s="43"/>
      <c r="N164" s="43"/>
      <c r="O164" s="187"/>
      <c r="P164" s="187"/>
      <c r="Q164" s="187"/>
      <c r="R164" s="187"/>
      <c r="S164" s="187"/>
      <c r="T164" s="187"/>
      <c r="U164" s="187"/>
      <c r="V164" s="187"/>
      <c r="W164" s="187"/>
      <c r="X164" s="187"/>
      <c r="Y164" s="187"/>
      <c r="Z164" s="187"/>
      <c r="AA164" s="187"/>
      <c r="AB164" s="187"/>
      <c r="AC164" s="187"/>
      <c r="AD164" s="187"/>
      <c r="AE164" s="187"/>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69" customFormat="1" ht="15" x14ac:dyDescent="0.25">
      <c r="A166" s="66"/>
      <c r="B166" s="66"/>
      <c r="C166" s="66"/>
      <c r="D166" s="66"/>
      <c r="E166" s="66"/>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722</v>
      </c>
      <c r="AI166" s="35"/>
      <c r="AJ166" s="35"/>
      <c r="AK166" s="35"/>
      <c r="AL166" s="35"/>
      <c r="AM166" s="35"/>
      <c r="AN166" s="35"/>
      <c r="AO166" s="35"/>
      <c r="AP166" s="35"/>
      <c r="AQ166" s="35"/>
      <c r="AR166" s="35"/>
      <c r="AS166" s="35"/>
      <c r="AT166" s="35"/>
      <c r="AU166" s="35"/>
      <c r="AV166" s="35"/>
      <c r="AW166" s="35"/>
      <c r="AX166" s="35"/>
      <c r="AY166" s="35"/>
      <c r="AZ166" s="66"/>
      <c r="BA166" s="66"/>
      <c r="BB166" s="66"/>
      <c r="BC166" s="66"/>
      <c r="BD166" s="66"/>
      <c r="BE166" s="66"/>
      <c r="BF166" s="66"/>
      <c r="BG166" s="66"/>
      <c r="BH166" s="66"/>
      <c r="BI166" s="66"/>
      <c r="BJ166" s="66"/>
      <c r="BK166" s="66"/>
      <c r="BL166" s="66"/>
      <c r="BM166" s="66"/>
      <c r="BN166" s="66"/>
      <c r="BO166" s="66"/>
      <c r="BP166" s="66"/>
      <c r="BQ166" s="66"/>
      <c r="BR166" s="66"/>
      <c r="BS166" s="66"/>
    </row>
    <row r="167" spans="1:71" s="69" customFormat="1" ht="15" x14ac:dyDescent="0.25">
      <c r="A167" s="66"/>
      <c r="B167" s="66"/>
      <c r="C167" s="66"/>
      <c r="D167" s="66"/>
      <c r="E167" s="66"/>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6"/>
      <c r="BA167" s="66"/>
      <c r="BB167" s="66"/>
      <c r="BC167" s="66"/>
      <c r="BD167" s="66"/>
      <c r="BE167" s="66"/>
      <c r="BF167" s="66"/>
      <c r="BG167" s="66"/>
      <c r="BH167" s="66"/>
      <c r="BI167" s="66"/>
      <c r="BJ167" s="66"/>
      <c r="BK167" s="66"/>
      <c r="BL167" s="66"/>
      <c r="BM167" s="66"/>
      <c r="BN167" s="66"/>
      <c r="BO167" s="66"/>
      <c r="BP167" s="66"/>
      <c r="BQ167" s="66"/>
      <c r="BR167" s="66"/>
      <c r="BS167" s="66"/>
    </row>
    <row r="168" spans="1:71" s="69" customFormat="1" ht="15" x14ac:dyDescent="0.25">
      <c r="A168" s="66"/>
      <c r="B168" s="66"/>
      <c r="C168" s="66"/>
      <c r="D168" s="66"/>
      <c r="E168" s="66"/>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6"/>
      <c r="BA168" s="66"/>
      <c r="BB168" s="66"/>
      <c r="BC168" s="66"/>
      <c r="BD168" s="66"/>
      <c r="BE168" s="66"/>
      <c r="BF168" s="66"/>
      <c r="BG168" s="66"/>
      <c r="BH168" s="66"/>
      <c r="BI168" s="66"/>
      <c r="BJ168" s="66"/>
      <c r="BK168" s="66"/>
      <c r="BL168" s="66"/>
      <c r="BM168" s="66"/>
      <c r="BN168" s="66"/>
      <c r="BO168" s="66"/>
      <c r="BP168" s="66"/>
      <c r="BQ168" s="66"/>
      <c r="BR168" s="66"/>
      <c r="BS168" s="66"/>
    </row>
    <row r="169" spans="1:71" s="69" customFormat="1" ht="15" x14ac:dyDescent="0.25">
      <c r="A169" s="66"/>
      <c r="B169" s="66"/>
      <c r="C169" s="66"/>
      <c r="D169" s="66"/>
      <c r="E169" s="66"/>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6"/>
      <c r="BA169" s="66"/>
      <c r="BB169" s="66"/>
      <c r="BC169" s="66"/>
      <c r="BD169" s="66"/>
      <c r="BE169" s="66"/>
      <c r="BF169" s="66"/>
      <c r="BG169" s="66"/>
      <c r="BH169" s="66"/>
      <c r="BI169" s="66"/>
      <c r="BJ169" s="66"/>
      <c r="BK169" s="66"/>
      <c r="BL169" s="66"/>
      <c r="BM169" s="66"/>
      <c r="BN169" s="66"/>
      <c r="BO169" s="66"/>
      <c r="BP169" s="66"/>
      <c r="BQ169" s="66"/>
      <c r="BR169" s="66"/>
      <c r="BS169" s="66"/>
    </row>
    <row r="170" spans="1:71" ht="15" x14ac:dyDescent="0.25">
      <c r="A170" s="36"/>
      <c r="B170" s="36"/>
      <c r="C170" s="36"/>
      <c r="D170" s="36"/>
      <c r="E170" s="36"/>
      <c r="F170" s="43" t="s">
        <v>426</v>
      </c>
      <c r="G170" s="43"/>
      <c r="H170" s="43"/>
      <c r="I170" s="43"/>
      <c r="J170" s="43"/>
      <c r="K170" s="43"/>
      <c r="L170" s="43"/>
      <c r="M170" s="43"/>
      <c r="N170" s="43"/>
      <c r="O170" s="187"/>
      <c r="P170" s="187"/>
      <c r="Q170" s="187"/>
      <c r="R170" s="187"/>
      <c r="S170" s="187"/>
      <c r="T170" s="187"/>
      <c r="U170" s="187"/>
      <c r="V170" s="187"/>
      <c r="W170" s="187"/>
      <c r="X170" s="187"/>
      <c r="Y170" s="187"/>
      <c r="Z170" s="187"/>
      <c r="AA170" s="187"/>
      <c r="AB170" s="187"/>
      <c r="AC170" s="187"/>
      <c r="AD170" s="187"/>
      <c r="AE170" s="187"/>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7"/>
      <c r="G180" s="177"/>
      <c r="H180" s="177"/>
      <c r="I180" s="177"/>
      <c r="J180" s="177"/>
      <c r="K180" s="177"/>
      <c r="L180" s="177"/>
      <c r="M180" s="177"/>
      <c r="N180" s="177"/>
      <c r="O180" s="177"/>
      <c r="P180" s="177"/>
      <c r="Q180" s="177"/>
      <c r="R180" s="177"/>
      <c r="S180" s="177"/>
      <c r="T180" s="177"/>
      <c r="U180" s="177"/>
      <c r="V180" s="177"/>
      <c r="W180" s="177"/>
      <c r="X180" s="177"/>
      <c r="Y180" s="177"/>
      <c r="Z180" s="177"/>
      <c r="AA180" s="177"/>
      <c r="AB180" s="177"/>
      <c r="AC180" s="177"/>
      <c r="AD180" s="177"/>
      <c r="AE180" s="177"/>
      <c r="AF180" s="177"/>
      <c r="AG180" s="177"/>
      <c r="AH180" s="177"/>
      <c r="AI180" s="177"/>
      <c r="AJ180" s="177"/>
      <c r="AK180" s="177"/>
      <c r="AL180" s="177"/>
      <c r="AM180" s="177"/>
      <c r="AN180" s="177"/>
      <c r="AO180" s="177"/>
      <c r="AP180" s="177"/>
      <c r="AQ180" s="177"/>
      <c r="AR180" s="177"/>
      <c r="AS180" s="177"/>
      <c r="AT180" s="177"/>
      <c r="AU180" s="177"/>
      <c r="AV180" s="177"/>
      <c r="AW180" s="177"/>
      <c r="AX180" s="177"/>
      <c r="AY180" s="177"/>
      <c r="AZ180" s="177"/>
      <c r="BA180" s="177"/>
      <c r="BB180" s="177"/>
      <c r="BC180" s="177"/>
      <c r="BD180" s="177"/>
      <c r="BE180" s="177"/>
      <c r="BF180" s="177"/>
      <c r="BG180" s="177"/>
      <c r="BH180" s="177"/>
      <c r="BI180" s="177"/>
      <c r="BJ180" s="177"/>
      <c r="BK180" s="177"/>
      <c r="BL180" s="177"/>
      <c r="BM180" s="189"/>
      <c r="BN180" s="189"/>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Robson Coutinho</v>
      </c>
      <c r="E181" s="36"/>
      <c r="F181" s="177" t="s">
        <v>428</v>
      </c>
      <c r="G181" s="177"/>
      <c r="H181" s="177"/>
      <c r="I181" s="177"/>
      <c r="J181" s="177"/>
      <c r="K181" s="177"/>
      <c r="L181" s="177"/>
      <c r="M181" s="177"/>
      <c r="N181" s="177"/>
      <c r="O181" s="177"/>
      <c r="P181" s="177"/>
      <c r="Q181" s="177"/>
      <c r="R181" s="177"/>
      <c r="S181" s="177"/>
      <c r="T181" s="177"/>
      <c r="U181" s="177"/>
      <c r="V181" s="177"/>
      <c r="W181" s="177"/>
      <c r="X181" s="177"/>
      <c r="Y181" s="177"/>
      <c r="Z181" s="177"/>
      <c r="AA181" s="177"/>
      <c r="AB181" s="177"/>
      <c r="AC181" s="177"/>
      <c r="AD181" s="177"/>
      <c r="AE181" s="177"/>
      <c r="AF181" s="177"/>
      <c r="AG181" s="177"/>
      <c r="AH181" s="177"/>
      <c r="AI181" s="177"/>
      <c r="AJ181" s="177"/>
      <c r="AK181" s="177"/>
      <c r="AL181" s="177"/>
      <c r="AM181" s="177"/>
      <c r="AN181" s="177"/>
      <c r="AO181" s="177"/>
      <c r="AP181" s="177"/>
      <c r="AQ181" s="177"/>
      <c r="AR181" s="177"/>
      <c r="AS181" s="177"/>
      <c r="AT181" s="177"/>
      <c r="AU181" s="177"/>
      <c r="AV181" s="177"/>
      <c r="AW181" s="177"/>
      <c r="AX181" s="177"/>
      <c r="AY181" s="177"/>
      <c r="AZ181" s="177"/>
      <c r="BA181" s="177"/>
      <c r="BB181" s="177"/>
      <c r="BC181" s="177"/>
      <c r="BD181" s="177"/>
      <c r="BE181" s="177"/>
      <c r="BF181" s="177"/>
      <c r="BG181" s="177"/>
      <c r="BH181" s="177"/>
      <c r="BI181" s="177"/>
      <c r="BJ181" s="177"/>
      <c r="BK181" s="177"/>
      <c r="BL181" s="177"/>
      <c r="BM181" s="189"/>
      <c r="BN181" s="189"/>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Lucas Zwierzykowski</v>
      </c>
      <c r="E182" s="36"/>
      <c r="F182" s="177"/>
      <c r="G182" s="177"/>
      <c r="H182" s="177"/>
      <c r="I182" s="177"/>
      <c r="J182" s="177"/>
      <c r="K182" s="177"/>
      <c r="L182" s="177"/>
      <c r="M182" s="177"/>
      <c r="N182" s="177"/>
      <c r="O182" s="177"/>
      <c r="P182" s="177"/>
      <c r="Q182" s="177"/>
      <c r="R182" s="177"/>
      <c r="S182" s="177"/>
      <c r="T182" s="177"/>
      <c r="U182" s="177"/>
      <c r="V182" s="177"/>
      <c r="W182" s="177"/>
      <c r="X182" s="177"/>
      <c r="Y182" s="177"/>
      <c r="Z182" s="177"/>
      <c r="AA182" s="177"/>
      <c r="AB182" s="177"/>
      <c r="AC182" s="177"/>
      <c r="AD182" s="177"/>
      <c r="AE182" s="177"/>
      <c r="AF182" s="177"/>
      <c r="AG182" s="177"/>
      <c r="AH182" s="177"/>
      <c r="AI182" s="177"/>
      <c r="AJ182" s="177"/>
      <c r="AK182" s="177"/>
      <c r="AL182" s="177"/>
      <c r="AM182" s="177"/>
      <c r="AN182" s="177"/>
      <c r="AO182" s="177"/>
      <c r="AP182" s="177"/>
      <c r="AQ182" s="177"/>
      <c r="AR182" s="177"/>
      <c r="AS182" s="177"/>
      <c r="AT182" s="177"/>
      <c r="AU182" s="177"/>
      <c r="AV182" s="177"/>
      <c r="AW182" s="177"/>
      <c r="AX182" s="177"/>
      <c r="AY182" s="177"/>
      <c r="AZ182" s="177"/>
      <c r="BA182" s="177"/>
      <c r="BB182" s="177"/>
      <c r="BC182" s="177"/>
      <c r="BD182" s="177"/>
      <c r="BE182" s="177"/>
      <c r="BF182" s="177"/>
      <c r="BG182" s="177"/>
      <c r="BH182" s="177"/>
      <c r="BI182" s="177"/>
      <c r="BJ182" s="177"/>
      <c r="BK182" s="177"/>
      <c r="BL182" s="177"/>
      <c r="BM182" s="189"/>
      <c r="BN182" s="189"/>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79"/>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3" t="s">
        <v>394</v>
      </c>
      <c r="G184" s="43"/>
      <c r="H184" s="43"/>
      <c r="I184" s="43"/>
      <c r="J184" s="43"/>
      <c r="K184" s="43"/>
      <c r="L184" s="43"/>
      <c r="M184" s="43"/>
      <c r="N184" s="43"/>
      <c r="O184" s="187"/>
      <c r="P184" s="187"/>
      <c r="Q184" s="187"/>
      <c r="R184" s="187"/>
      <c r="S184" s="187"/>
      <c r="T184" s="187"/>
      <c r="U184" s="187"/>
      <c r="V184" s="187"/>
      <c r="W184" s="187"/>
      <c r="X184" s="187"/>
      <c r="Y184" s="187"/>
      <c r="Z184" s="187"/>
      <c r="AA184" s="187"/>
      <c r="AB184" s="187"/>
      <c r="AC184" s="187"/>
      <c r="AD184" s="187"/>
      <c r="AE184" s="187"/>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69" customFormat="1" ht="15" x14ac:dyDescent="0.25">
      <c r="A186" s="66"/>
      <c r="B186" s="66"/>
      <c r="C186" s="66"/>
      <c r="D186" s="66"/>
      <c r="E186" s="66"/>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730</v>
      </c>
      <c r="AI186" s="35"/>
      <c r="AJ186" s="35"/>
      <c r="AK186" s="35"/>
      <c r="AL186" s="35"/>
      <c r="AM186" s="35"/>
      <c r="AN186" s="35"/>
      <c r="AO186" s="35"/>
      <c r="AP186" s="35"/>
      <c r="AQ186" s="35"/>
      <c r="AR186" s="35"/>
      <c r="AS186" s="35"/>
      <c r="AT186" s="35"/>
      <c r="AU186" s="35"/>
      <c r="AV186" s="35"/>
      <c r="AW186" s="35"/>
      <c r="AX186" s="35"/>
      <c r="AY186" s="35"/>
      <c r="AZ186" s="66"/>
      <c r="BA186" s="66"/>
      <c r="BB186" s="66"/>
      <c r="BC186" s="66"/>
      <c r="BD186" s="66"/>
      <c r="BE186" s="66"/>
      <c r="BF186" s="66"/>
      <c r="BG186" s="66"/>
      <c r="BH186" s="66"/>
      <c r="BI186" s="66"/>
      <c r="BJ186" s="66"/>
      <c r="BK186" s="66"/>
      <c r="BL186" s="66"/>
      <c r="BM186" s="66"/>
      <c r="BN186" s="66"/>
      <c r="BO186" s="66"/>
      <c r="BP186" s="66"/>
      <c r="BQ186" s="66"/>
      <c r="BR186" s="66"/>
      <c r="BS186" s="66"/>
    </row>
    <row r="187" spans="1:71" s="69" customFormat="1" ht="15" x14ac:dyDescent="0.25">
      <c r="A187" s="66"/>
      <c r="B187" s="66"/>
      <c r="C187" s="66"/>
      <c r="D187" s="66"/>
      <c r="E187" s="66"/>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729</v>
      </c>
      <c r="AI187" s="35"/>
      <c r="AJ187" s="35"/>
      <c r="AK187" s="35"/>
      <c r="AL187" s="35"/>
      <c r="AM187" s="35"/>
      <c r="AN187" s="35"/>
      <c r="AO187" s="35"/>
      <c r="AP187" s="35"/>
      <c r="AQ187" s="35"/>
      <c r="AR187" s="35"/>
      <c r="AS187" s="35"/>
      <c r="AT187" s="35"/>
      <c r="AU187" s="35"/>
      <c r="AV187" s="35"/>
      <c r="AW187" s="35"/>
      <c r="AX187" s="35"/>
      <c r="AY187" s="35"/>
      <c r="AZ187" s="66"/>
      <c r="BA187" s="66"/>
      <c r="BB187" s="66"/>
      <c r="BC187" s="66"/>
      <c r="BD187" s="66"/>
      <c r="BE187" s="66"/>
      <c r="BF187" s="66"/>
      <c r="BG187" s="66"/>
      <c r="BH187" s="66"/>
      <c r="BI187" s="66"/>
      <c r="BJ187" s="66"/>
      <c r="BK187" s="66"/>
      <c r="BL187" s="66"/>
      <c r="BM187" s="66"/>
      <c r="BN187" s="66"/>
      <c r="BO187" s="66"/>
      <c r="BP187" s="66"/>
      <c r="BQ187" s="66"/>
      <c r="BR187" s="66"/>
      <c r="BS187" s="66"/>
    </row>
    <row r="188" spans="1:71" s="69" customFormat="1" ht="15" x14ac:dyDescent="0.25">
      <c r="A188" s="66"/>
      <c r="B188" s="66"/>
      <c r="C188" s="66"/>
      <c r="D188" s="66"/>
      <c r="E188" s="66"/>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6"/>
      <c r="BA188" s="66"/>
      <c r="BB188" s="66"/>
      <c r="BC188" s="66"/>
      <c r="BD188" s="66"/>
      <c r="BE188" s="66"/>
      <c r="BF188" s="66"/>
      <c r="BG188" s="66"/>
      <c r="BH188" s="66"/>
      <c r="BI188" s="66"/>
      <c r="BJ188" s="66"/>
      <c r="BK188" s="66"/>
      <c r="BL188" s="66"/>
      <c r="BM188" s="66"/>
      <c r="BN188" s="66"/>
      <c r="BO188" s="66"/>
      <c r="BP188" s="66"/>
      <c r="BQ188" s="66"/>
      <c r="BR188" s="66"/>
      <c r="BS188" s="66"/>
    </row>
    <row r="189" spans="1:71" ht="15" x14ac:dyDescent="0.25">
      <c r="A189" s="36"/>
      <c r="B189" s="36"/>
      <c r="C189" s="36"/>
      <c r="D189" s="36"/>
      <c r="E189" s="36"/>
      <c r="F189" s="43" t="s">
        <v>340</v>
      </c>
      <c r="G189" s="43"/>
      <c r="H189" s="43"/>
      <c r="I189" s="43"/>
      <c r="J189" s="43"/>
      <c r="K189" s="43"/>
      <c r="L189" s="43"/>
      <c r="M189" s="43"/>
      <c r="N189" s="43"/>
      <c r="O189" s="187"/>
      <c r="P189" s="187"/>
      <c r="Q189" s="187"/>
      <c r="R189" s="187"/>
      <c r="S189" s="187"/>
      <c r="T189" s="187"/>
      <c r="U189" s="187"/>
      <c r="V189" s="187"/>
      <c r="W189" s="187"/>
      <c r="X189" s="187"/>
      <c r="Y189" s="187"/>
      <c r="Z189" s="187"/>
      <c r="AA189" s="187"/>
      <c r="AB189" s="187"/>
      <c r="AC189" s="187"/>
      <c r="AD189" s="187"/>
      <c r="AE189" s="187"/>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715</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3" t="s">
        <v>399</v>
      </c>
      <c r="G197" s="43"/>
      <c r="H197" s="43"/>
      <c r="I197" s="43"/>
      <c r="J197" s="43"/>
      <c r="K197" s="43"/>
      <c r="L197" s="43"/>
      <c r="M197" s="43"/>
      <c r="N197" s="43"/>
      <c r="O197" s="187"/>
      <c r="P197" s="187"/>
      <c r="Q197" s="187"/>
      <c r="R197" s="187"/>
      <c r="S197" s="187"/>
      <c r="T197" s="187"/>
      <c r="U197" s="187"/>
      <c r="V197" s="187"/>
      <c r="W197" s="187"/>
      <c r="X197" s="187"/>
      <c r="Y197" s="187"/>
      <c r="Z197" s="187"/>
      <c r="AA197" s="187"/>
      <c r="AB197" s="187"/>
      <c r="AC197" s="187"/>
      <c r="AD197" s="187"/>
      <c r="AE197" s="187"/>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678</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679</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3" t="s">
        <v>429</v>
      </c>
      <c r="G206" s="43"/>
      <c r="H206" s="43"/>
      <c r="I206" s="43"/>
      <c r="J206" s="43"/>
      <c r="K206" s="43"/>
      <c r="L206" s="43"/>
      <c r="M206" s="43"/>
      <c r="N206" s="43"/>
      <c r="O206" s="187"/>
      <c r="P206" s="187"/>
      <c r="Q206" s="187"/>
      <c r="R206" s="187"/>
      <c r="S206" s="187"/>
      <c r="T206" s="187"/>
      <c r="U206" s="187"/>
      <c r="V206" s="187"/>
      <c r="W206" s="187"/>
      <c r="X206" s="187"/>
      <c r="Y206" s="187"/>
      <c r="Z206" s="187"/>
      <c r="AA206" s="187"/>
      <c r="AB206" s="187"/>
      <c r="AC206" s="187"/>
      <c r="AD206" s="187"/>
      <c r="AE206" s="187"/>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3" t="s">
        <v>400</v>
      </c>
      <c r="G212" s="43"/>
      <c r="H212" s="43"/>
      <c r="I212" s="43"/>
      <c r="J212" s="43"/>
      <c r="K212" s="43"/>
      <c r="L212" s="43"/>
      <c r="M212" s="43"/>
      <c r="N212" s="43"/>
      <c r="O212" s="187"/>
      <c r="P212" s="187"/>
      <c r="Q212" s="187"/>
      <c r="R212" s="187"/>
      <c r="S212" s="187"/>
      <c r="T212" s="187"/>
      <c r="U212" s="187"/>
      <c r="V212" s="187"/>
      <c r="W212" s="187"/>
      <c r="X212" s="187"/>
      <c r="Y212" s="187"/>
      <c r="Z212" s="187"/>
      <c r="AA212" s="187"/>
      <c r="AB212" s="187"/>
      <c r="AC212" s="187"/>
      <c r="AD212" s="187"/>
      <c r="AE212" s="187"/>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2" customFormat="1" ht="15" customHeight="1" x14ac:dyDescent="0.25">
      <c r="A218" s="66"/>
      <c r="B218" s="66"/>
      <c r="C218" s="66"/>
      <c r="D218" s="66"/>
      <c r="E218" s="66"/>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row>
    <row r="219" spans="1:71" ht="15" x14ac:dyDescent="0.25">
      <c r="A219" s="36"/>
      <c r="B219" s="36"/>
      <c r="C219" s="36"/>
      <c r="D219" s="36"/>
      <c r="E219" s="36"/>
      <c r="F219" s="43" t="s">
        <v>406</v>
      </c>
      <c r="G219" s="43"/>
      <c r="H219" s="43"/>
      <c r="I219" s="43"/>
      <c r="J219" s="43"/>
      <c r="K219" s="43"/>
      <c r="L219" s="43"/>
      <c r="M219" s="43"/>
      <c r="N219" s="43"/>
      <c r="O219" s="187"/>
      <c r="P219" s="187"/>
      <c r="Q219" s="187"/>
      <c r="R219" s="187"/>
      <c r="S219" s="187"/>
      <c r="T219" s="187"/>
      <c r="U219" s="187"/>
      <c r="V219" s="187"/>
      <c r="W219" s="187"/>
      <c r="X219" s="187"/>
      <c r="Y219" s="187"/>
      <c r="Z219" s="187"/>
      <c r="AA219" s="187"/>
      <c r="AB219" s="187"/>
      <c r="AC219" s="187"/>
      <c r="AD219" s="187"/>
      <c r="AE219" s="187"/>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6"/>
      <c r="AM221" s="66"/>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6"/>
      <c r="AM222" s="66"/>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3" t="s">
        <v>349</v>
      </c>
      <c r="G227" s="43"/>
      <c r="H227" s="43"/>
      <c r="I227" s="43"/>
      <c r="J227" s="43"/>
      <c r="K227" s="43"/>
      <c r="L227" s="43"/>
      <c r="M227" s="43"/>
      <c r="N227" s="43"/>
      <c r="O227" s="187"/>
      <c r="P227" s="187"/>
      <c r="Q227" s="187"/>
      <c r="R227" s="187"/>
      <c r="S227" s="187"/>
      <c r="T227" s="187"/>
      <c r="U227" s="187"/>
      <c r="V227" s="187"/>
      <c r="W227" s="187"/>
      <c r="X227" s="187"/>
      <c r="Y227" s="187"/>
      <c r="Z227" s="187"/>
      <c r="AA227" s="187"/>
      <c r="AB227" s="187"/>
      <c r="AC227" s="187"/>
      <c r="AD227" s="187"/>
      <c r="AE227" s="187"/>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6"/>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6"/>
      <c r="AI231" s="36"/>
      <c r="AJ231" s="36"/>
      <c r="AK231" s="36"/>
      <c r="AL231" s="36"/>
      <c r="AM231" s="36"/>
      <c r="AN231" s="66"/>
      <c r="AO231" s="66"/>
      <c r="AP231" s="66"/>
      <c r="AQ231" s="66"/>
      <c r="AR231" s="66"/>
      <c r="AS231" s="66"/>
      <c r="AT231" s="66"/>
      <c r="AU231" s="66"/>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3" t="s">
        <v>416</v>
      </c>
      <c r="G233" s="43"/>
      <c r="H233" s="43"/>
      <c r="I233" s="43"/>
      <c r="J233" s="43"/>
      <c r="K233" s="43"/>
      <c r="L233" s="43"/>
      <c r="M233" s="43"/>
      <c r="N233" s="43"/>
      <c r="O233" s="187"/>
      <c r="P233" s="187"/>
      <c r="Q233" s="187"/>
      <c r="R233" s="187"/>
      <c r="S233" s="187"/>
      <c r="T233" s="187"/>
      <c r="U233" s="187"/>
      <c r="V233" s="187"/>
      <c r="W233" s="187"/>
      <c r="X233" s="187"/>
      <c r="Y233" s="187"/>
      <c r="Z233" s="187"/>
      <c r="AA233" s="187"/>
      <c r="AB233" s="187"/>
      <c r="AC233" s="187"/>
      <c r="AD233" s="187"/>
      <c r="AE233" s="187"/>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723</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633</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635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636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79"/>
      <c r="B244" s="179"/>
      <c r="C244" s="179"/>
      <c r="D244" s="179"/>
      <c r="E244" s="179"/>
      <c r="F244" s="178"/>
      <c r="G244" s="178"/>
      <c r="H244" s="178"/>
      <c r="I244" s="178"/>
      <c r="J244" s="178"/>
      <c r="K244" s="178"/>
      <c r="L244" s="178"/>
      <c r="M244" s="178"/>
      <c r="N244" s="178"/>
      <c r="O244" s="178"/>
      <c r="P244" s="178"/>
      <c r="Q244" s="178"/>
      <c r="R244" s="178"/>
      <c r="S244" s="178"/>
      <c r="T244" s="178"/>
      <c r="U244" s="178"/>
      <c r="V244" s="178"/>
      <c r="W244" s="178"/>
      <c r="X244" s="178"/>
      <c r="Y244" s="178"/>
      <c r="Z244" s="178"/>
      <c r="AA244" s="178"/>
      <c r="AB244" s="178"/>
      <c r="AC244" s="178"/>
      <c r="AD244" s="178"/>
      <c r="AE244" s="178"/>
      <c r="AF244" s="178"/>
      <c r="AG244" s="178"/>
      <c r="AH244" s="178"/>
      <c r="AI244" s="178"/>
      <c r="AJ244" s="178"/>
      <c r="AK244" s="178"/>
      <c r="AL244" s="178"/>
      <c r="AM244" s="178"/>
      <c r="AN244" s="178"/>
      <c r="AO244" s="178"/>
      <c r="AP244" s="178"/>
      <c r="AQ244" s="178"/>
      <c r="AR244" s="178"/>
      <c r="AS244" s="178"/>
      <c r="AT244" s="178"/>
      <c r="AU244" s="178"/>
      <c r="AV244" s="178"/>
      <c r="AW244" s="178"/>
      <c r="AX244" s="178"/>
      <c r="AY244" s="178"/>
      <c r="AZ244" s="178"/>
      <c r="BA244" s="178"/>
      <c r="BB244" s="178"/>
      <c r="BC244" s="178"/>
      <c r="BD244" s="178"/>
      <c r="BE244" s="178"/>
      <c r="BF244" s="178"/>
      <c r="BG244" s="178"/>
      <c r="BH244" s="178"/>
      <c r="BI244" s="178"/>
      <c r="BJ244" s="178"/>
      <c r="BK244" s="178"/>
      <c r="BL244" s="178"/>
      <c r="BM244" s="179"/>
      <c r="BN244" s="179"/>
      <c r="BO244" s="36"/>
      <c r="BP244" s="36"/>
      <c r="BQ244" s="36"/>
      <c r="BR244" s="36"/>
      <c r="BS244" s="36"/>
    </row>
    <row r="245" spans="1:71" ht="15" x14ac:dyDescent="0.25">
      <c r="A245" s="179"/>
      <c r="B245" s="179"/>
      <c r="C245" s="179"/>
      <c r="D245" s="179"/>
      <c r="E245" s="179"/>
      <c r="F245" s="178" t="s">
        <v>432</v>
      </c>
      <c r="G245" s="178"/>
      <c r="H245" s="178"/>
      <c r="I245" s="178"/>
      <c r="J245" s="178"/>
      <c r="K245" s="178"/>
      <c r="L245" s="178"/>
      <c r="M245" s="178"/>
      <c r="N245" s="178"/>
      <c r="O245" s="178"/>
      <c r="P245" s="178"/>
      <c r="Q245" s="178"/>
      <c r="R245" s="178"/>
      <c r="S245" s="178"/>
      <c r="T245" s="178"/>
      <c r="U245" s="178"/>
      <c r="V245" s="178"/>
      <c r="W245" s="178"/>
      <c r="X245" s="178"/>
      <c r="Y245" s="178"/>
      <c r="Z245" s="178"/>
      <c r="AA245" s="178"/>
      <c r="AB245" s="178"/>
      <c r="AC245" s="178"/>
      <c r="AD245" s="178"/>
      <c r="AE245" s="178"/>
      <c r="AF245" s="178"/>
      <c r="AG245" s="178"/>
      <c r="AH245" s="178"/>
      <c r="AI245" s="178"/>
      <c r="AJ245" s="178"/>
      <c r="AK245" s="178"/>
      <c r="AL245" s="178"/>
      <c r="AM245" s="178"/>
      <c r="AN245" s="178"/>
      <c r="AO245" s="178"/>
      <c r="AP245" s="178"/>
      <c r="AQ245" s="178"/>
      <c r="AR245" s="178"/>
      <c r="AS245" s="178"/>
      <c r="AT245" s="178"/>
      <c r="AU245" s="178"/>
      <c r="AV245" s="178"/>
      <c r="AW245" s="178"/>
      <c r="AX245" s="178"/>
      <c r="AY245" s="178"/>
      <c r="AZ245" s="178"/>
      <c r="BA245" s="178"/>
      <c r="BB245" s="178"/>
      <c r="BC245" s="178"/>
      <c r="BD245" s="178"/>
      <c r="BE245" s="178"/>
      <c r="BF245" s="178"/>
      <c r="BG245" s="178"/>
      <c r="BH245" s="178"/>
      <c r="BI245" s="178"/>
      <c r="BJ245" s="178"/>
      <c r="BK245" s="178"/>
      <c r="BL245" s="178"/>
      <c r="BM245" s="179"/>
      <c r="BN245" s="179"/>
      <c r="BO245" s="36"/>
      <c r="BP245" s="36"/>
      <c r="BQ245" s="36"/>
      <c r="BR245" s="36"/>
      <c r="BS245" s="36"/>
    </row>
    <row r="246" spans="1:71" ht="15" x14ac:dyDescent="0.25">
      <c r="A246" s="179"/>
      <c r="B246" s="179"/>
      <c r="C246" s="179"/>
      <c r="D246" s="179"/>
      <c r="E246" s="179"/>
      <c r="F246" s="178"/>
      <c r="G246" s="178"/>
      <c r="H246" s="178"/>
      <c r="I246" s="178"/>
      <c r="J246" s="178"/>
      <c r="K246" s="178"/>
      <c r="L246" s="178"/>
      <c r="M246" s="178"/>
      <c r="N246" s="178"/>
      <c r="O246" s="178"/>
      <c r="P246" s="178"/>
      <c r="Q246" s="178"/>
      <c r="R246" s="178"/>
      <c r="S246" s="178"/>
      <c r="T246" s="178"/>
      <c r="U246" s="178"/>
      <c r="V246" s="178"/>
      <c r="W246" s="178"/>
      <c r="X246" s="178"/>
      <c r="Y246" s="178"/>
      <c r="Z246" s="178"/>
      <c r="AA246" s="178"/>
      <c r="AB246" s="178"/>
      <c r="AC246" s="178"/>
      <c r="AD246" s="178"/>
      <c r="AE246" s="178"/>
      <c r="AF246" s="178"/>
      <c r="AG246" s="178"/>
      <c r="AH246" s="178"/>
      <c r="AI246" s="178"/>
      <c r="AJ246" s="178"/>
      <c r="AK246" s="178"/>
      <c r="AL246" s="178"/>
      <c r="AM246" s="178"/>
      <c r="AN246" s="178"/>
      <c r="AO246" s="178"/>
      <c r="AP246" s="178"/>
      <c r="AQ246" s="178"/>
      <c r="AR246" s="178"/>
      <c r="AS246" s="178"/>
      <c r="AT246" s="178"/>
      <c r="AU246" s="178"/>
      <c r="AV246" s="178"/>
      <c r="AW246" s="178"/>
      <c r="AX246" s="178"/>
      <c r="AY246" s="178"/>
      <c r="AZ246" s="178"/>
      <c r="BA246" s="178"/>
      <c r="BB246" s="178"/>
      <c r="BC246" s="178"/>
      <c r="BD246" s="178"/>
      <c r="BE246" s="178"/>
      <c r="BF246" s="178"/>
      <c r="BG246" s="178"/>
      <c r="BH246" s="178"/>
      <c r="BI246" s="178"/>
      <c r="BJ246" s="178"/>
      <c r="BK246" s="178"/>
      <c r="BL246" s="178"/>
      <c r="BM246" s="179"/>
      <c r="BN246" s="179"/>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6"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6"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637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0"/>
      <c r="G266" s="190"/>
      <c r="H266" s="190"/>
      <c r="I266" s="190"/>
      <c r="J266" s="190"/>
      <c r="K266" s="190"/>
      <c r="L266" s="190"/>
      <c r="M266" s="190"/>
      <c r="N266" s="190"/>
      <c r="O266" s="190"/>
      <c r="P266" s="190"/>
      <c r="Q266" s="190"/>
      <c r="R266" s="190"/>
      <c r="S266" s="190"/>
      <c r="T266" s="190"/>
      <c r="U266" s="190"/>
      <c r="V266" s="190"/>
      <c r="W266" s="190"/>
      <c r="X266" s="190"/>
      <c r="Y266" s="190"/>
      <c r="Z266" s="190"/>
      <c r="AA266" s="190"/>
      <c r="AB266" s="190"/>
      <c r="AC266" s="190"/>
      <c r="AD266" s="190"/>
      <c r="AE266" s="190"/>
      <c r="AF266" s="190"/>
      <c r="AG266" s="190"/>
      <c r="AH266" s="191"/>
      <c r="AI266" s="190"/>
      <c r="AJ266" s="190"/>
      <c r="AK266" s="190"/>
      <c r="AL266" s="190"/>
      <c r="AM266" s="190"/>
      <c r="AN266" s="190"/>
      <c r="AO266" s="190"/>
      <c r="AP266" s="190"/>
      <c r="AQ266" s="190"/>
      <c r="AR266" s="190"/>
      <c r="AS266" s="190"/>
      <c r="AT266" s="190"/>
      <c r="AU266" s="190"/>
      <c r="AV266" s="190"/>
      <c r="AW266" s="190"/>
      <c r="AX266" s="190"/>
      <c r="AY266" s="190"/>
      <c r="AZ266" s="190"/>
      <c r="BA266" s="190"/>
      <c r="BB266" s="190"/>
      <c r="BC266" s="190"/>
      <c r="BD266" s="190"/>
      <c r="BE266" s="190"/>
      <c r="BF266" s="190"/>
      <c r="BG266" s="190"/>
      <c r="BH266" s="190"/>
      <c r="BI266" s="190"/>
      <c r="BJ266" s="190"/>
      <c r="BK266" s="190"/>
      <c r="BL266" s="190"/>
      <c r="BM266" s="18"/>
      <c r="BN266" s="18"/>
      <c r="BO266" s="36"/>
      <c r="BP266" s="36"/>
      <c r="BQ266" s="36"/>
      <c r="BR266" s="36"/>
      <c r="BS266" s="36"/>
    </row>
    <row r="267" spans="1:71" ht="15.75" x14ac:dyDescent="0.25">
      <c r="A267" s="18"/>
      <c r="B267" s="18"/>
      <c r="C267" s="18" t="str">
        <f>CAPA!$A$88</f>
        <v>TWK CCIC</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Manoel Pinho</v>
      </c>
      <c r="E267" s="18"/>
      <c r="F267" s="177" t="s">
        <v>433</v>
      </c>
      <c r="G267" s="190"/>
      <c r="H267" s="190"/>
      <c r="I267" s="190"/>
      <c r="J267" s="190"/>
      <c r="K267" s="190"/>
      <c r="L267" s="190"/>
      <c r="M267" s="190"/>
      <c r="N267" s="190"/>
      <c r="O267" s="190"/>
      <c r="P267" s="190"/>
      <c r="Q267" s="190"/>
      <c r="R267" s="190"/>
      <c r="S267" s="190"/>
      <c r="T267" s="190"/>
      <c r="U267" s="190"/>
      <c r="V267" s="190"/>
      <c r="W267" s="190"/>
      <c r="X267" s="190"/>
      <c r="Y267" s="190"/>
      <c r="Z267" s="190"/>
      <c r="AA267" s="190"/>
      <c r="AB267" s="190"/>
      <c r="AC267" s="190"/>
      <c r="AD267" s="190"/>
      <c r="AE267" s="190"/>
      <c r="AF267" s="190"/>
      <c r="AG267" s="190"/>
      <c r="AH267" s="190"/>
      <c r="AI267" s="190"/>
      <c r="AJ267" s="190"/>
      <c r="AK267" s="190"/>
      <c r="AL267" s="190"/>
      <c r="AM267" s="190"/>
      <c r="AN267" s="190"/>
      <c r="AO267" s="190"/>
      <c r="AP267" s="190"/>
      <c r="AQ267" s="190"/>
      <c r="AR267" s="190"/>
      <c r="AS267" s="190"/>
      <c r="AT267" s="190"/>
      <c r="AU267" s="190"/>
      <c r="AV267" s="190"/>
      <c r="AW267" s="190"/>
      <c r="AX267" s="190"/>
      <c r="AY267" s="190"/>
      <c r="AZ267" s="190"/>
      <c r="BA267" s="190"/>
      <c r="BB267" s="190"/>
      <c r="BC267" s="190"/>
      <c r="BD267" s="190"/>
      <c r="BE267" s="190"/>
      <c r="BF267" s="190"/>
      <c r="BG267" s="190"/>
      <c r="BH267" s="190"/>
      <c r="BI267" s="190"/>
      <c r="BJ267" s="190"/>
      <c r="BK267" s="190"/>
      <c r="BL267" s="190"/>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Marco Aurelio Lima Pedroso</v>
      </c>
      <c r="E268" s="18"/>
      <c r="F268" s="177"/>
      <c r="G268" s="190"/>
      <c r="H268" s="190"/>
      <c r="I268" s="190"/>
      <c r="J268" s="190"/>
      <c r="K268" s="190"/>
      <c r="L268" s="190"/>
      <c r="M268" s="190"/>
      <c r="N268" s="190"/>
      <c r="O268" s="190"/>
      <c r="P268" s="190"/>
      <c r="Q268" s="190"/>
      <c r="R268" s="190"/>
      <c r="S268" s="190"/>
      <c r="T268" s="190"/>
      <c r="U268" s="190"/>
      <c r="V268" s="190"/>
      <c r="W268" s="190"/>
      <c r="X268" s="190"/>
      <c r="Y268" s="190"/>
      <c r="Z268" s="190"/>
      <c r="AA268" s="190"/>
      <c r="AB268" s="190"/>
      <c r="AC268" s="190"/>
      <c r="AD268" s="190"/>
      <c r="AE268" s="190"/>
      <c r="AF268" s="190"/>
      <c r="AG268" s="190"/>
      <c r="AH268" s="190"/>
      <c r="AI268" s="190"/>
      <c r="AJ268" s="190"/>
      <c r="AK268" s="190"/>
      <c r="AL268" s="190"/>
      <c r="AM268" s="190"/>
      <c r="AN268" s="190"/>
      <c r="AO268" s="190"/>
      <c r="AP268" s="190"/>
      <c r="AQ268" s="190"/>
      <c r="AR268" s="190"/>
      <c r="AS268" s="190"/>
      <c r="AT268" s="190"/>
      <c r="AU268" s="190"/>
      <c r="AV268" s="190"/>
      <c r="AW268" s="190"/>
      <c r="AX268" s="190"/>
      <c r="AY268" s="190"/>
      <c r="AZ268" s="190"/>
      <c r="BA268" s="190"/>
      <c r="BB268" s="190"/>
      <c r="BC268" s="190"/>
      <c r="BD268" s="190"/>
      <c r="BE268" s="190"/>
      <c r="BF268" s="190"/>
      <c r="BG268" s="190"/>
      <c r="BH268" s="190"/>
      <c r="BI268" s="190"/>
      <c r="BJ268" s="190"/>
      <c r="BK268" s="190"/>
      <c r="BL268" s="190"/>
      <c r="BM268" s="18"/>
      <c r="BN268" s="18"/>
      <c r="BO268" s="36"/>
      <c r="BP268" s="36"/>
      <c r="BQ268" s="36"/>
      <c r="BR268" s="36"/>
      <c r="BS268" s="36"/>
    </row>
    <row r="269" spans="1:71" ht="15" x14ac:dyDescent="0.25">
      <c r="A269" s="36"/>
      <c r="B269" s="36"/>
      <c r="C269" s="36"/>
      <c r="D269" s="36"/>
      <c r="E269" s="36"/>
      <c r="F269" s="66"/>
      <c r="G269" s="66"/>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638</v>
      </c>
      <c r="AI276" s="35"/>
      <c r="AJ276" s="35"/>
      <c r="AK276" s="35"/>
      <c r="AL276" s="35"/>
      <c r="AM276" s="35"/>
      <c r="AN276" s="35"/>
      <c r="AO276" s="35"/>
      <c r="AP276" s="35"/>
      <c r="AQ276" s="35"/>
      <c r="AR276" s="66"/>
      <c r="AS276" s="66"/>
      <c r="AT276" s="66"/>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6"/>
      <c r="BA278" s="66"/>
      <c r="BB278" s="66"/>
      <c r="BC278" s="66"/>
      <c r="BD278" s="66"/>
      <c r="BE278" s="66"/>
      <c r="BF278" s="66"/>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6"/>
      <c r="BA279" s="66"/>
      <c r="BB279" s="66"/>
      <c r="BC279" s="66"/>
      <c r="BD279" s="66"/>
      <c r="BE279" s="66"/>
      <c r="BF279" s="66"/>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6" t="s">
        <v>231</v>
      </c>
      <c r="G282" s="66"/>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c r="AE282" s="66"/>
      <c r="AF282" s="66"/>
      <c r="AG282" s="66"/>
      <c r="AH282" s="66" t="s">
        <v>437</v>
      </c>
      <c r="AI282" s="66"/>
      <c r="AJ282" s="66"/>
      <c r="AK282" s="66"/>
      <c r="AL282" s="66"/>
      <c r="AM282" s="66"/>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6" t="s">
        <v>726</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6"/>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2" customFormat="1" ht="15" customHeight="1" x14ac:dyDescent="0.25">
      <c r="A294" s="66"/>
      <c r="B294" s="66"/>
      <c r="C294" s="66"/>
      <c r="D294" s="66"/>
      <c r="E294" s="66"/>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6"/>
      <c r="AJ294" s="66"/>
      <c r="AK294" s="66"/>
      <c r="AL294" s="66"/>
      <c r="AM294" s="66"/>
      <c r="AN294" s="66"/>
      <c r="AO294" s="66"/>
      <c r="AP294" s="66"/>
      <c r="AQ294" s="36"/>
      <c r="AR294" s="36"/>
      <c r="AS294" s="36"/>
      <c r="AT294" s="3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row>
    <row r="295" spans="1:71" s="182" customFormat="1" ht="15" customHeight="1" x14ac:dyDescent="0.25">
      <c r="A295" s="66"/>
      <c r="B295" s="66"/>
      <c r="C295" s="66"/>
      <c r="D295" s="66"/>
      <c r="E295" s="66"/>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row>
    <row r="296" spans="1:71" s="182" customFormat="1" ht="15" customHeight="1" x14ac:dyDescent="0.25">
      <c r="A296" s="66"/>
      <c r="B296" s="66"/>
      <c r="C296" s="66"/>
      <c r="D296" s="66"/>
      <c r="E296" s="66"/>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2" t="s">
        <v>713</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724</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69" customFormat="1" ht="15" x14ac:dyDescent="0.25">
      <c r="A312" s="66"/>
      <c r="B312" s="66"/>
      <c r="C312" s="66"/>
      <c r="D312" s="66"/>
      <c r="E312" s="66"/>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6"/>
      <c r="BB312" s="66"/>
      <c r="BC312" s="66"/>
      <c r="BD312" s="66"/>
      <c r="BE312" s="66"/>
      <c r="BF312" s="66"/>
      <c r="BG312" s="66"/>
      <c r="BH312" s="66"/>
      <c r="BI312" s="66"/>
      <c r="BJ312" s="66"/>
      <c r="BK312" s="66"/>
      <c r="BL312" s="66"/>
      <c r="BM312" s="66"/>
      <c r="BN312" s="66"/>
      <c r="BO312" s="66"/>
      <c r="BP312" s="66"/>
      <c r="BQ312" s="66"/>
      <c r="BR312" s="66"/>
      <c r="BS312" s="66"/>
    </row>
    <row r="313" spans="1:71" s="69" customFormat="1" ht="15" x14ac:dyDescent="0.25">
      <c r="A313" s="66"/>
      <c r="B313" s="66"/>
      <c r="C313" s="66"/>
      <c r="D313" s="66"/>
      <c r="E313" s="66"/>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6"/>
      <c r="BB313" s="66"/>
      <c r="BC313" s="66"/>
      <c r="BD313" s="66"/>
      <c r="BE313" s="66"/>
      <c r="BF313" s="66"/>
      <c r="BG313" s="66"/>
      <c r="BH313" s="66"/>
      <c r="BI313" s="66"/>
      <c r="BJ313" s="66"/>
      <c r="BK313" s="66"/>
      <c r="BL313" s="66"/>
      <c r="BM313" s="66"/>
      <c r="BN313" s="66"/>
      <c r="BO313" s="66"/>
      <c r="BP313" s="66"/>
      <c r="BQ313" s="66"/>
      <c r="BR313" s="66"/>
      <c r="BS313" s="66"/>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577</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576</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6"/>
      <c r="AV323" s="66"/>
      <c r="AW323" s="66"/>
      <c r="AX323" s="66"/>
      <c r="AY323" s="66"/>
      <c r="AZ323" s="66"/>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639</v>
      </c>
      <c r="AH324" s="20" t="s">
        <v>640</v>
      </c>
      <c r="AK324" s="193"/>
      <c r="AL324" s="193"/>
      <c r="AM324" s="193"/>
      <c r="AN324" s="182"/>
      <c r="AO324" s="182"/>
      <c r="AP324" s="182"/>
      <c r="AQ324" s="182"/>
      <c r="AR324" s="182"/>
      <c r="AS324" s="182"/>
      <c r="AT324" s="182"/>
      <c r="AU324" s="182"/>
      <c r="AV324" s="182"/>
      <c r="AW324" s="182"/>
      <c r="AX324" s="182"/>
      <c r="AY324" s="182"/>
      <c r="AZ324" s="182"/>
    </row>
    <row r="325" spans="1:71" ht="15" x14ac:dyDescent="0.2">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t="s">
        <v>725</v>
      </c>
      <c r="AI325" s="193"/>
      <c r="AJ325" s="193"/>
      <c r="AK325" s="193"/>
      <c r="AL325" s="193"/>
      <c r="AM325" s="193"/>
      <c r="AN325" s="182"/>
      <c r="AO325" s="182"/>
      <c r="AP325" s="182"/>
      <c r="AQ325" s="182"/>
      <c r="AR325" s="182"/>
      <c r="AS325" s="182"/>
      <c r="AT325" s="182"/>
      <c r="AU325" s="182"/>
      <c r="AV325" s="182"/>
      <c r="AW325" s="182"/>
      <c r="AX325" s="182"/>
      <c r="AY325" s="182"/>
      <c r="AZ325" s="182"/>
    </row>
    <row r="326" spans="1:71" ht="15" x14ac:dyDescent="0.2">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82"/>
      <c r="AO326" s="182"/>
      <c r="AP326" s="182"/>
      <c r="AQ326" s="182"/>
      <c r="AR326" s="182"/>
      <c r="AS326" s="182"/>
      <c r="AT326" s="182"/>
      <c r="AU326" s="182"/>
      <c r="AV326" s="182"/>
      <c r="AW326" s="182"/>
      <c r="AX326" s="182"/>
      <c r="AY326" s="182"/>
      <c r="AZ326" s="182"/>
    </row>
    <row r="327" spans="1:71" ht="15" x14ac:dyDescent="0.2">
      <c r="F327" s="20" t="s">
        <v>641</v>
      </c>
      <c r="AH327" s="20" t="s">
        <v>642</v>
      </c>
      <c r="AN327" s="182"/>
      <c r="AO327" s="182"/>
      <c r="AP327" s="182"/>
      <c r="AQ327" s="182"/>
      <c r="AR327" s="182"/>
      <c r="AS327" s="182"/>
      <c r="AT327" s="182"/>
      <c r="AU327" s="182"/>
      <c r="AV327" s="182"/>
      <c r="AW327" s="182"/>
      <c r="AX327" s="182"/>
      <c r="AY327" s="182"/>
      <c r="AZ327" s="182"/>
    </row>
    <row r="328" spans="1:71" ht="15" x14ac:dyDescent="0.2">
      <c r="F328" s="182"/>
      <c r="G328" s="182"/>
      <c r="H328" s="182"/>
      <c r="I328" s="182"/>
      <c r="J328" s="182"/>
      <c r="K328" s="182"/>
      <c r="L328" s="182"/>
      <c r="M328" s="182"/>
      <c r="N328" s="182"/>
      <c r="O328" s="182"/>
      <c r="P328" s="182"/>
      <c r="Q328" s="182"/>
      <c r="R328" s="182"/>
      <c r="S328" s="182"/>
      <c r="T328" s="182"/>
      <c r="U328" s="182"/>
      <c r="V328" s="182"/>
      <c r="W328" s="182"/>
      <c r="X328" s="182"/>
      <c r="Y328" s="182"/>
      <c r="Z328" s="182"/>
      <c r="AA328" s="182"/>
      <c r="AB328" s="182"/>
      <c r="AC328" s="182"/>
      <c r="AD328" s="182"/>
      <c r="AE328" s="182"/>
      <c r="AF328" s="182"/>
      <c r="AG328" s="182"/>
      <c r="AH328" s="182"/>
      <c r="AI328" s="182"/>
      <c r="AJ328" s="182"/>
      <c r="AK328" s="4"/>
      <c r="AL328" s="182"/>
      <c r="AM328" s="182"/>
      <c r="AN328" s="182"/>
      <c r="AO328" s="182"/>
      <c r="AP328" s="182"/>
      <c r="AQ328" s="182"/>
      <c r="AR328" s="182"/>
      <c r="AS328" s="182"/>
      <c r="AT328" s="182"/>
      <c r="AU328" s="193"/>
      <c r="AV328" s="193"/>
      <c r="AW328" s="193"/>
      <c r="AX328" s="193"/>
      <c r="AY328" s="193"/>
      <c r="AZ328" s="182"/>
    </row>
    <row r="329" spans="1:71" ht="15" x14ac:dyDescent="0.2">
      <c r="F329" s="182"/>
      <c r="G329" s="182"/>
      <c r="H329" s="182"/>
      <c r="I329" s="182"/>
      <c r="J329" s="182"/>
      <c r="K329" s="182"/>
      <c r="L329" s="182"/>
      <c r="M329" s="182"/>
      <c r="N329" s="182"/>
      <c r="O329" s="182"/>
      <c r="P329" s="182"/>
      <c r="Q329" s="182"/>
      <c r="R329" s="182"/>
      <c r="S329" s="182"/>
      <c r="T329" s="182"/>
      <c r="U329" s="182"/>
      <c r="V329" s="182"/>
      <c r="W329" s="182"/>
      <c r="X329" s="182"/>
      <c r="Y329" s="182"/>
      <c r="Z329" s="182"/>
      <c r="AA329" s="182"/>
      <c r="AB329" s="182"/>
      <c r="AC329" s="182"/>
      <c r="AD329" s="182"/>
      <c r="AE329" s="182"/>
      <c r="AF329" s="182"/>
      <c r="AG329" s="182"/>
      <c r="AH329" s="182"/>
      <c r="AI329" s="182"/>
      <c r="AJ329" s="182"/>
      <c r="AK329" s="4"/>
      <c r="AL329" s="182"/>
      <c r="AM329" s="182"/>
      <c r="AN329" s="193"/>
      <c r="AO329" s="193"/>
      <c r="AP329" s="193"/>
      <c r="AQ329" s="193"/>
      <c r="AR329" s="193"/>
      <c r="AS329" s="193"/>
      <c r="AT329" s="193"/>
      <c r="AU329" s="193"/>
      <c r="AV329" s="193"/>
      <c r="AW329" s="193"/>
      <c r="AX329" s="193"/>
      <c r="AY329" s="193"/>
      <c r="AZ329" s="182"/>
    </row>
    <row r="330" spans="1:71" ht="15" x14ac:dyDescent="0.2">
      <c r="F330" s="182"/>
      <c r="G330" s="182"/>
      <c r="H330" s="182"/>
      <c r="I330" s="182"/>
      <c r="J330" s="182"/>
      <c r="K330" s="182"/>
      <c r="L330" s="182"/>
      <c r="M330" s="182"/>
      <c r="N330" s="182"/>
      <c r="O330" s="182"/>
      <c r="P330" s="182"/>
      <c r="Q330" s="182"/>
      <c r="R330" s="182"/>
      <c r="S330" s="182"/>
      <c r="T330" s="182"/>
      <c r="U330" s="182"/>
      <c r="V330" s="182"/>
      <c r="W330" s="182"/>
      <c r="X330" s="182"/>
      <c r="Y330" s="182"/>
      <c r="Z330" s="182"/>
      <c r="AA330" s="182"/>
      <c r="AB330" s="182"/>
      <c r="AC330" s="182"/>
      <c r="AD330" s="182"/>
      <c r="AE330" s="182"/>
      <c r="AF330" s="182"/>
      <c r="AG330" s="182"/>
      <c r="AH330" s="182"/>
      <c r="AI330" s="182"/>
      <c r="AJ330" s="182"/>
      <c r="AK330" s="4"/>
      <c r="AL330" s="182"/>
      <c r="AM330" s="182"/>
      <c r="AN330" s="193"/>
      <c r="AO330" s="193"/>
      <c r="AP330" s="193"/>
      <c r="AQ330" s="193"/>
      <c r="AR330" s="193"/>
      <c r="AS330" s="193"/>
      <c r="AT330" s="193"/>
    </row>
    <row r="331" spans="1:71" ht="15" x14ac:dyDescent="0.2">
      <c r="F331" s="182"/>
      <c r="G331" s="182"/>
      <c r="H331" s="182"/>
      <c r="I331" s="182"/>
      <c r="J331" s="182"/>
      <c r="K331" s="182"/>
      <c r="L331" s="182"/>
      <c r="M331" s="182"/>
      <c r="N331" s="182"/>
      <c r="O331" s="182"/>
      <c r="P331" s="182"/>
      <c r="Q331" s="182"/>
      <c r="R331" s="182"/>
      <c r="S331" s="182"/>
      <c r="T331" s="182"/>
      <c r="U331" s="182"/>
      <c r="V331" s="182"/>
      <c r="W331" s="182"/>
      <c r="X331" s="182"/>
      <c r="Y331" s="182"/>
      <c r="Z331" s="182"/>
      <c r="AA331" s="182"/>
      <c r="AB331" s="182"/>
      <c r="AC331" s="182"/>
      <c r="AD331" s="182"/>
      <c r="AE331" s="182"/>
      <c r="AF331" s="182"/>
      <c r="AG331" s="182"/>
      <c r="AH331" s="182"/>
      <c r="AI331" s="182"/>
      <c r="AJ331" s="182"/>
      <c r="AK331" s="4"/>
      <c r="AL331" s="182"/>
      <c r="AM331" s="182"/>
    </row>
    <row r="332" spans="1:71" ht="15" x14ac:dyDescent="0.2">
      <c r="F332" s="193"/>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3"/>
      <c r="AG332" s="193"/>
      <c r="AH332" s="195"/>
      <c r="AI332" s="193"/>
      <c r="AJ332" s="193"/>
      <c r="AK332" s="193"/>
      <c r="AL332" s="193"/>
      <c r="AM332" s="193"/>
      <c r="AN332" s="196"/>
      <c r="AO332" s="196"/>
      <c r="AP332" s="196"/>
      <c r="AQ332" s="196"/>
      <c r="AR332" s="196"/>
      <c r="AS332" s="196"/>
      <c r="AT332" s="196"/>
    </row>
    <row r="333" spans="1:71" ht="15" x14ac:dyDescent="0.2">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3"/>
      <c r="AG333" s="193"/>
      <c r="AH333" s="193"/>
      <c r="AI333" s="193"/>
      <c r="AJ333" s="193"/>
      <c r="AK333" s="193"/>
      <c r="AL333" s="193"/>
      <c r="AM333" s="193"/>
      <c r="AN333" s="196"/>
      <c r="AO333" s="196"/>
      <c r="AP333" s="196"/>
      <c r="AQ333" s="196"/>
      <c r="AR333" s="196"/>
      <c r="AS333" s="196"/>
      <c r="AT333" s="196"/>
    </row>
    <row r="335" spans="1:71" ht="15" x14ac:dyDescent="0.2">
      <c r="AI335" s="196"/>
      <c r="AJ335" s="196"/>
      <c r="AK335" s="196"/>
      <c r="AL335" s="196"/>
      <c r="AM335" s="196"/>
      <c r="AU335" s="194"/>
    </row>
    <row r="336" spans="1:71" ht="15" x14ac:dyDescent="0.2">
      <c r="AI336" s="196"/>
      <c r="AJ336" s="196"/>
      <c r="AK336" s="196"/>
      <c r="AL336" s="196"/>
      <c r="AM336" s="196"/>
      <c r="AN336" s="194"/>
      <c r="AO336" s="194"/>
      <c r="AP336" s="194"/>
      <c r="AQ336" s="194"/>
      <c r="AR336" s="194"/>
      <c r="AS336" s="194"/>
      <c r="AT336" s="194"/>
      <c r="AU336" s="194"/>
    </row>
    <row r="337" spans="6:118" x14ac:dyDescent="0.2">
      <c r="AN337" s="194"/>
      <c r="AO337" s="194"/>
      <c r="AP337" s="194"/>
      <c r="AQ337" s="194"/>
      <c r="AR337" s="194"/>
      <c r="AS337" s="194"/>
      <c r="AT337" s="194"/>
    </row>
    <row r="339" spans="6:118" ht="15" x14ac:dyDescent="0.2">
      <c r="F339" s="193"/>
      <c r="G339" s="193"/>
      <c r="H339" s="193"/>
      <c r="I339" s="193"/>
      <c r="J339" s="193"/>
      <c r="K339" s="193"/>
      <c r="L339" s="193"/>
      <c r="M339" s="193"/>
      <c r="N339" s="193"/>
      <c r="O339" s="193"/>
      <c r="P339" s="193"/>
      <c r="Q339" s="193"/>
      <c r="R339" s="193"/>
      <c r="S339" s="193"/>
      <c r="T339" s="193"/>
      <c r="U339" s="193"/>
      <c r="V339" s="193"/>
      <c r="W339" s="193"/>
      <c r="X339" s="193"/>
      <c r="Y339" s="194"/>
      <c r="Z339" s="194"/>
      <c r="AA339" s="194"/>
      <c r="AB339" s="194"/>
      <c r="AC339" s="194"/>
      <c r="AD339" s="194"/>
      <c r="AE339" s="194"/>
      <c r="AF339" s="194"/>
      <c r="AG339" s="194"/>
      <c r="AH339" s="193"/>
      <c r="AI339" s="194"/>
      <c r="AJ339" s="194"/>
      <c r="AK339" s="194"/>
      <c r="AL339" s="194"/>
      <c r="AM339" s="194"/>
    </row>
    <row r="340" spans="6:118" ht="15" x14ac:dyDescent="0.2">
      <c r="F340" s="194"/>
      <c r="G340" s="193"/>
      <c r="H340" s="193"/>
      <c r="I340" s="193"/>
      <c r="J340" s="193"/>
      <c r="K340" s="193"/>
      <c r="L340" s="193"/>
      <c r="M340" s="193"/>
      <c r="N340" s="193"/>
      <c r="O340" s="193"/>
      <c r="P340" s="193"/>
      <c r="Q340" s="193"/>
      <c r="R340" s="193"/>
      <c r="S340" s="193"/>
      <c r="T340" s="193"/>
      <c r="U340" s="193"/>
      <c r="V340" s="193"/>
      <c r="W340" s="193"/>
      <c r="X340" s="193"/>
      <c r="Y340" s="194"/>
      <c r="Z340" s="194"/>
      <c r="AA340" s="194"/>
      <c r="AB340" s="194"/>
      <c r="AC340" s="194"/>
      <c r="AD340" s="194"/>
      <c r="AE340" s="194"/>
      <c r="AF340" s="194"/>
      <c r="AG340" s="194"/>
      <c r="AH340" s="193"/>
      <c r="AI340" s="194"/>
      <c r="AJ340" s="194"/>
      <c r="AK340" s="194"/>
      <c r="AL340" s="194"/>
      <c r="AM340" s="194"/>
    </row>
    <row r="343" spans="6:118" ht="15" x14ac:dyDescent="0.2">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3"/>
      <c r="AG343" s="193"/>
      <c r="AH343" s="193"/>
      <c r="AI343" s="193"/>
      <c r="AJ343" s="193"/>
      <c r="AK343" s="193"/>
      <c r="AL343" s="193"/>
      <c r="AM343" s="193"/>
      <c r="AN343" s="196"/>
      <c r="AO343" s="196"/>
      <c r="AP343" s="196"/>
      <c r="AQ343" s="196"/>
      <c r="AR343" s="196"/>
      <c r="AS343" s="196"/>
      <c r="AT343" s="196"/>
    </row>
    <row r="345" spans="6:118" ht="15" x14ac:dyDescent="0.2">
      <c r="F345" s="182"/>
      <c r="G345" s="182"/>
      <c r="H345" s="182"/>
      <c r="I345" s="182"/>
      <c r="J345" s="182"/>
      <c r="K345" s="182"/>
      <c r="L345" s="182"/>
      <c r="M345" s="182"/>
      <c r="N345" s="182"/>
      <c r="O345" s="182"/>
      <c r="P345" s="182"/>
      <c r="Q345" s="182"/>
      <c r="R345" s="182"/>
      <c r="S345" s="182"/>
      <c r="T345" s="182"/>
      <c r="U345" s="182"/>
      <c r="V345" s="182"/>
      <c r="W345" s="182"/>
      <c r="X345" s="182"/>
      <c r="Y345" s="182"/>
      <c r="Z345" s="182"/>
      <c r="AA345" s="182"/>
      <c r="AB345" s="182"/>
      <c r="AC345" s="182"/>
      <c r="AD345" s="182"/>
      <c r="AE345" s="182"/>
      <c r="AF345" s="182"/>
      <c r="AG345" s="182"/>
      <c r="AH345" s="182"/>
      <c r="AI345" s="182"/>
      <c r="AJ345" s="182"/>
      <c r="AK345" s="4"/>
      <c r="AL345" s="182"/>
      <c r="AM345" s="182"/>
      <c r="BM345" s="183"/>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c r="DI345" s="64"/>
      <c r="DJ345" s="64"/>
      <c r="DK345" s="64"/>
      <c r="DL345" s="64"/>
      <c r="DM345" s="64"/>
      <c r="DN345" s="64"/>
    </row>
    <row r="346" spans="6:118" ht="15" x14ac:dyDescent="0.2">
      <c r="F346" s="182"/>
      <c r="G346" s="182"/>
      <c r="H346" s="182"/>
      <c r="I346" s="182"/>
      <c r="J346" s="182"/>
      <c r="K346" s="182"/>
      <c r="L346" s="182"/>
      <c r="M346" s="182"/>
      <c r="N346" s="182"/>
      <c r="O346" s="182"/>
      <c r="P346" s="182"/>
      <c r="Q346" s="182"/>
      <c r="R346" s="182"/>
      <c r="S346" s="182"/>
      <c r="T346" s="182"/>
      <c r="U346" s="182"/>
      <c r="V346" s="182"/>
      <c r="W346" s="182"/>
      <c r="X346" s="182"/>
      <c r="Y346" s="182"/>
      <c r="Z346" s="182"/>
      <c r="AA346" s="182"/>
      <c r="AB346" s="182"/>
      <c r="AC346" s="182"/>
      <c r="AD346" s="182"/>
      <c r="AE346" s="182"/>
      <c r="AF346" s="182"/>
      <c r="AG346" s="182"/>
      <c r="AH346" s="182"/>
      <c r="AI346" s="182"/>
      <c r="AJ346" s="182"/>
      <c r="AK346" s="4"/>
      <c r="AL346" s="182"/>
      <c r="AM346" s="182"/>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c r="DI346" s="64"/>
      <c r="DJ346" s="183"/>
      <c r="DK346" s="64"/>
      <c r="DL346" s="64"/>
      <c r="DM346" s="64"/>
      <c r="DN346" s="64"/>
    </row>
    <row r="347" spans="6:118" x14ac:dyDescent="0.2">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c r="DI347" s="64"/>
      <c r="DJ347" s="183"/>
      <c r="DK347" s="64"/>
      <c r="DL347" s="64"/>
      <c r="DM347" s="64"/>
      <c r="DN347" s="64"/>
    </row>
    <row r="349" spans="6:118" x14ac:dyDescent="0.2">
      <c r="BM349" s="197"/>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c r="DI349" s="64"/>
      <c r="DJ349" s="64"/>
      <c r="DK349" s="64"/>
      <c r="DL349" s="64"/>
      <c r="DM349" s="64"/>
      <c r="DN349" s="64"/>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7"/>
  <sheetViews>
    <sheetView tabSelected="1" view="pageBreakPreview" topLeftCell="A255" zoomScale="93" zoomScaleNormal="93" zoomScaleSheetLayoutView="93" workbookViewId="0">
      <selection activeCell="L223" sqref="L22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2" t="str">
        <f>_xlfn.CONCAT("M/V"," """,CAPA!B8,""" ")</f>
        <v xml:space="preserve">M/V "Wen De" </v>
      </c>
      <c r="B1" s="832"/>
      <c r="C1" s="832"/>
      <c r="D1" s="832"/>
      <c r="E1" s="832"/>
      <c r="F1" s="832"/>
      <c r="G1" s="832"/>
      <c r="H1" s="832"/>
      <c r="I1" s="832"/>
      <c r="J1" s="832"/>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838" t="str">
        <f>_xlfn.CONCAT(CAPA!A5,CAPA!B5)</f>
        <v>PGUA/DS/106/26</v>
      </c>
      <c r="H3" s="838"/>
      <c r="I3" s="838"/>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15</v>
      </c>
      <c r="B7" s="253"/>
      <c r="C7" s="253"/>
      <c r="D7" s="253"/>
      <c r="E7" s="253"/>
      <c r="F7" s="253"/>
      <c r="G7" s="253"/>
      <c r="H7" s="253"/>
      <c r="I7" s="253" t="s">
        <v>16</v>
      </c>
    </row>
    <row r="8" spans="1:10" ht="15.75" x14ac:dyDescent="0.3">
      <c r="A8" s="254"/>
      <c r="B8" s="254"/>
      <c r="C8" s="254"/>
      <c r="D8" s="254"/>
      <c r="E8" s="254"/>
      <c r="F8" s="254"/>
      <c r="G8" s="254"/>
      <c r="H8" s="254"/>
      <c r="I8" s="254"/>
    </row>
    <row r="9" spans="1:10" ht="19.5" x14ac:dyDescent="0.4">
      <c r="A9" s="255" t="s">
        <v>690</v>
      </c>
      <c r="B9" s="254"/>
      <c r="C9" s="254"/>
      <c r="D9" s="254"/>
      <c r="E9" s="254"/>
      <c r="F9" s="254"/>
      <c r="G9" s="254"/>
      <c r="H9" s="256"/>
      <c r="I9" s="573" t="s">
        <v>17</v>
      </c>
    </row>
    <row r="10" spans="1:10" ht="19.5" x14ac:dyDescent="0.4">
      <c r="A10" s="255" t="s">
        <v>18</v>
      </c>
      <c r="B10" s="254"/>
      <c r="C10" s="254"/>
      <c r="D10" s="254"/>
      <c r="E10" s="254"/>
      <c r="F10" s="254"/>
      <c r="G10" s="254"/>
      <c r="H10" s="256"/>
      <c r="I10" s="573" t="s">
        <v>19</v>
      </c>
    </row>
    <row r="11" spans="1:10" ht="19.5" x14ac:dyDescent="0.4">
      <c r="A11" s="255" t="s">
        <v>20</v>
      </c>
      <c r="B11" s="254"/>
      <c r="C11" s="254"/>
      <c r="D11" s="254"/>
      <c r="E11" s="254"/>
      <c r="F11" s="254"/>
      <c r="G11" s="254"/>
      <c r="H11" s="256"/>
      <c r="I11" s="573" t="s">
        <v>19</v>
      </c>
    </row>
    <row r="12" spans="1:10" ht="19.5" x14ac:dyDescent="0.4">
      <c r="A12" s="257" t="s">
        <v>692</v>
      </c>
      <c r="B12" s="254"/>
      <c r="C12" s="254"/>
      <c r="D12" s="254"/>
      <c r="E12" s="254"/>
      <c r="F12" s="254"/>
      <c r="G12" s="254"/>
      <c r="H12" s="256"/>
      <c r="I12" s="573" t="s">
        <v>19</v>
      </c>
    </row>
    <row r="13" spans="1:10" ht="19.5" x14ac:dyDescent="0.4">
      <c r="A13" s="255" t="s">
        <v>21</v>
      </c>
      <c r="B13" s="254"/>
      <c r="C13" s="254"/>
      <c r="D13" s="254"/>
      <c r="E13" s="254"/>
      <c r="F13" s="254"/>
      <c r="G13" s="254"/>
      <c r="H13" s="256"/>
      <c r="I13" s="573" t="s">
        <v>22</v>
      </c>
    </row>
    <row r="14" spans="1:10" ht="19.5" x14ac:dyDescent="0.4">
      <c r="A14" s="255" t="s">
        <v>696</v>
      </c>
      <c r="B14" s="254"/>
      <c r="C14" s="254"/>
      <c r="D14" s="254"/>
      <c r="E14" s="254"/>
      <c r="F14" s="254"/>
      <c r="G14" s="254"/>
      <c r="H14" s="256"/>
      <c r="I14" s="573" t="s">
        <v>22</v>
      </c>
    </row>
    <row r="15" spans="1:10" ht="19.5" x14ac:dyDescent="0.4">
      <c r="A15" s="255" t="s">
        <v>697</v>
      </c>
      <c r="B15" s="254"/>
      <c r="C15" s="254"/>
      <c r="D15" s="254"/>
      <c r="E15" s="254"/>
      <c r="F15" s="254"/>
      <c r="G15" s="254"/>
      <c r="H15" s="256"/>
      <c r="I15" s="573" t="s">
        <v>22</v>
      </c>
    </row>
    <row r="16" spans="1:10" ht="19.5" x14ac:dyDescent="0.4">
      <c r="A16" s="255" t="s">
        <v>23</v>
      </c>
      <c r="B16" s="254"/>
      <c r="C16" s="254"/>
      <c r="D16" s="254"/>
      <c r="E16" s="254"/>
      <c r="F16" s="254"/>
      <c r="G16" s="254"/>
      <c r="H16" s="256"/>
      <c r="I16" s="573" t="s">
        <v>22</v>
      </c>
    </row>
    <row r="17" spans="1:16" ht="19.5" x14ac:dyDescent="0.4">
      <c r="A17" s="255" t="s">
        <v>688</v>
      </c>
      <c r="B17" s="254"/>
      <c r="C17" s="254"/>
      <c r="D17" s="254"/>
      <c r="E17" s="254"/>
      <c r="F17" s="254"/>
      <c r="G17" s="254"/>
      <c r="H17" s="256"/>
      <c r="I17" s="573" t="s">
        <v>24</v>
      </c>
    </row>
    <row r="18" spans="1:16" ht="19.5" x14ac:dyDescent="0.4">
      <c r="A18" s="255" t="s">
        <v>25</v>
      </c>
      <c r="B18" s="254"/>
      <c r="C18" s="254"/>
      <c r="D18" s="254"/>
      <c r="E18" s="254"/>
      <c r="F18" s="254"/>
      <c r="G18" s="254"/>
      <c r="H18" s="256"/>
      <c r="I18" s="573" t="s">
        <v>26</v>
      </c>
    </row>
    <row r="19" spans="1:16" ht="20.25" x14ac:dyDescent="0.4">
      <c r="A19" s="255" t="s">
        <v>27</v>
      </c>
      <c r="B19" s="254"/>
      <c r="C19" s="254"/>
      <c r="D19" s="254"/>
      <c r="E19" s="254"/>
      <c r="F19" s="254"/>
      <c r="G19" s="254"/>
      <c r="H19" s="256"/>
      <c r="I19" s="573">
        <v>6</v>
      </c>
      <c r="L19" s="427" t="s">
        <v>574</v>
      </c>
    </row>
    <row r="20" spans="1:16" ht="19.5" x14ac:dyDescent="0.4">
      <c r="A20" s="255" t="s">
        <v>28</v>
      </c>
      <c r="B20" s="254"/>
      <c r="C20" s="254"/>
      <c r="D20" s="254"/>
      <c r="E20" s="254"/>
      <c r="F20" s="254"/>
      <c r="G20" s="254"/>
      <c r="H20" s="256"/>
      <c r="I20" s="573">
        <f>I19+1</f>
        <v>7</v>
      </c>
    </row>
    <row r="21" spans="1:16" ht="19.5" x14ac:dyDescent="0.4">
      <c r="A21" s="255" t="s">
        <v>29</v>
      </c>
      <c r="B21" s="254"/>
      <c r="C21" s="254"/>
      <c r="D21" s="254"/>
      <c r="E21" s="254"/>
      <c r="F21" s="254"/>
      <c r="G21" s="254"/>
      <c r="H21" s="256"/>
      <c r="I21" s="573">
        <f>$I$20</f>
        <v>7</v>
      </c>
    </row>
    <row r="22" spans="1:16" ht="19.5" x14ac:dyDescent="0.4">
      <c r="A22" s="255" t="s">
        <v>689</v>
      </c>
      <c r="B22" s="254"/>
      <c r="C22" s="254"/>
      <c r="D22" s="254"/>
      <c r="E22" s="254"/>
      <c r="F22" s="254"/>
      <c r="G22" s="254"/>
      <c r="H22" s="256"/>
      <c r="I22" s="573">
        <f>$I$20</f>
        <v>7</v>
      </c>
    </row>
    <row r="23" spans="1:16" ht="19.5" x14ac:dyDescent="0.4">
      <c r="A23" s="255"/>
      <c r="B23" s="254"/>
      <c r="C23" s="254"/>
      <c r="D23" s="254"/>
      <c r="E23" s="254"/>
      <c r="F23" s="254"/>
      <c r="G23" s="254"/>
      <c r="H23" s="254"/>
      <c r="I23" s="258"/>
      <c r="L23" s="456"/>
      <c r="M23" s="456"/>
      <c r="N23" s="456"/>
      <c r="O23" s="456"/>
      <c r="P23" s="456"/>
    </row>
    <row r="24" spans="1:16" ht="19.5" x14ac:dyDescent="0.4">
      <c r="A24" s="259" t="s">
        <v>31</v>
      </c>
      <c r="B24" s="254"/>
      <c r="C24" s="254"/>
      <c r="D24" s="254"/>
      <c r="E24" s="254"/>
      <c r="F24" s="254"/>
      <c r="G24" s="254"/>
      <c r="H24" s="254"/>
      <c r="I24" s="258"/>
      <c r="L24" s="456"/>
      <c r="M24" s="456"/>
      <c r="N24" s="456"/>
      <c r="O24" s="456"/>
      <c r="P24" s="456"/>
    </row>
    <row r="25" spans="1:16" ht="19.5" x14ac:dyDescent="0.4">
      <c r="A25" s="255" t="s">
        <v>32</v>
      </c>
      <c r="B25" s="255"/>
      <c r="C25" s="255"/>
      <c r="D25" s="255"/>
      <c r="E25" s="255"/>
      <c r="F25" s="255"/>
      <c r="G25" s="255"/>
      <c r="H25" s="255"/>
      <c r="I25" s="258"/>
      <c r="L25" s="456"/>
      <c r="M25" s="456"/>
      <c r="N25" s="456"/>
      <c r="O25" s="456"/>
      <c r="P25" s="456"/>
    </row>
    <row r="26" spans="1:16" ht="19.5" x14ac:dyDescent="0.4">
      <c r="A26" s="255" t="s">
        <v>33</v>
      </c>
      <c r="B26" s="255"/>
      <c r="C26" s="255"/>
      <c r="D26" s="255"/>
      <c r="E26" s="255"/>
      <c r="F26" s="255"/>
      <c r="G26" s="255"/>
      <c r="H26" s="255"/>
      <c r="I26" s="258"/>
      <c r="L26" s="456"/>
      <c r="M26" s="456"/>
      <c r="N26" s="456"/>
      <c r="O26" s="456"/>
      <c r="P26" s="456"/>
    </row>
    <row r="27" spans="1:16" ht="19.5" x14ac:dyDescent="0.4">
      <c r="A27" s="255" t="s">
        <v>34</v>
      </c>
      <c r="B27" s="255"/>
      <c r="C27" s="255"/>
      <c r="D27" s="255"/>
      <c r="E27" s="255"/>
      <c r="F27" s="255"/>
      <c r="G27" s="255"/>
      <c r="H27" s="255"/>
      <c r="I27" s="258"/>
      <c r="L27" s="456"/>
      <c r="M27" s="456"/>
      <c r="N27" s="456"/>
      <c r="O27" s="456"/>
      <c r="P27" s="456"/>
    </row>
    <row r="28" spans="1:16" ht="19.5" x14ac:dyDescent="0.4">
      <c r="A28" s="255" t="s">
        <v>35</v>
      </c>
      <c r="B28" s="255"/>
      <c r="C28" s="255"/>
      <c r="D28" s="255"/>
      <c r="E28" s="255"/>
      <c r="F28" s="255"/>
      <c r="G28" s="255"/>
      <c r="H28" s="255"/>
      <c r="I28" s="258"/>
      <c r="L28" s="456"/>
      <c r="M28" s="456"/>
      <c r="N28" s="456"/>
      <c r="O28" s="456"/>
      <c r="P28" s="456"/>
    </row>
    <row r="29" spans="1:16" ht="19.5" x14ac:dyDescent="0.4">
      <c r="A29" s="255" t="str">
        <f>IF(A3="DRAUGHT SURVEY REPORT"," - DRAUGHT SURVEY CERTIFICATE"," - DISPLACEMENT SURVEY CERTIFICATE")</f>
        <v xml:space="preserve"> - DRAUGHT SURVEY CERTIFICATE</v>
      </c>
      <c r="B29" s="255"/>
      <c r="C29" s="255"/>
      <c r="D29" s="255"/>
      <c r="E29" s="255"/>
      <c r="F29" s="255"/>
      <c r="G29" s="255"/>
      <c r="H29" s="255"/>
      <c r="I29" s="258"/>
      <c r="L29" s="456"/>
      <c r="M29" s="456"/>
      <c r="N29" s="456"/>
      <c r="O29" s="456"/>
      <c r="P29" s="456"/>
    </row>
    <row r="30" spans="1:16" ht="19.5" x14ac:dyDescent="0.4">
      <c r="A30" s="255" t="s">
        <v>36</v>
      </c>
      <c r="B30" s="255"/>
      <c r="C30" s="255"/>
      <c r="D30" s="255"/>
      <c r="E30" s="255"/>
      <c r="F30" s="255"/>
      <c r="G30" s="255"/>
      <c r="H30" s="255"/>
      <c r="I30" s="258"/>
      <c r="L30" s="456"/>
      <c r="M30" s="456"/>
      <c r="N30" s="456"/>
      <c r="O30" s="456"/>
      <c r="P30" s="456"/>
    </row>
    <row r="31" spans="1:16" ht="19.5" x14ac:dyDescent="0.4">
      <c r="A31" s="255" t="s">
        <v>37</v>
      </c>
      <c r="B31" s="255"/>
      <c r="C31" s="255"/>
      <c r="D31" s="255"/>
      <c r="E31" s="255"/>
      <c r="F31" s="255"/>
      <c r="G31" s="255"/>
      <c r="H31" s="255"/>
      <c r="I31" s="258"/>
      <c r="L31" s="456"/>
      <c r="M31" s="456"/>
      <c r="N31" s="456"/>
      <c r="O31" s="456"/>
      <c r="P31" s="456"/>
    </row>
    <row r="32" spans="1:16" ht="19.5" x14ac:dyDescent="0.4">
      <c r="A32" s="255" t="s">
        <v>38</v>
      </c>
      <c r="B32" s="255"/>
      <c r="C32" s="255"/>
      <c r="D32" s="255"/>
      <c r="E32" s="255"/>
      <c r="F32" s="255"/>
      <c r="G32" s="255"/>
      <c r="H32" s="255"/>
      <c r="I32" s="258"/>
      <c r="L32" s="456"/>
      <c r="M32" s="456"/>
      <c r="N32" s="456"/>
      <c r="O32" s="456"/>
      <c r="P32" s="456"/>
    </row>
    <row r="33" spans="1:16" ht="19.5" x14ac:dyDescent="0.4">
      <c r="A33" s="255" t="s">
        <v>613</v>
      </c>
      <c r="B33" s="255"/>
      <c r="C33" s="255"/>
      <c r="D33" s="255"/>
      <c r="E33" s="255"/>
      <c r="F33" s="255"/>
      <c r="G33" s="255"/>
      <c r="H33" s="255"/>
      <c r="I33" s="255"/>
      <c r="L33" s="456"/>
      <c r="M33" s="456"/>
      <c r="N33" s="456"/>
      <c r="O33" s="456"/>
      <c r="P33" s="456"/>
    </row>
    <row r="34" spans="1:16" ht="23.25" x14ac:dyDescent="0.35">
      <c r="A34" s="837" t="str">
        <f>$A$1</f>
        <v xml:space="preserve">M/V "Wen De" </v>
      </c>
      <c r="B34" s="837"/>
      <c r="C34" s="837"/>
      <c r="D34" s="837"/>
      <c r="E34" s="837"/>
      <c r="F34" s="837"/>
      <c r="G34" s="837"/>
      <c r="H34" s="837"/>
      <c r="I34" s="837"/>
      <c r="J34" s="837"/>
      <c r="L34" s="456"/>
      <c r="M34" s="456"/>
      <c r="N34" s="456"/>
      <c r="O34" s="456"/>
      <c r="P34" s="456"/>
    </row>
    <row r="35" spans="1:16" ht="15.75" x14ac:dyDescent="0.25">
      <c r="A35" s="825" t="str">
        <f>$G$3</f>
        <v>PGUA/DS/106/26</v>
      </c>
      <c r="B35" s="825"/>
      <c r="C35" s="825"/>
      <c r="D35" s="825"/>
      <c r="E35" s="825"/>
      <c r="F35" s="825"/>
      <c r="G35" s="825"/>
      <c r="H35" s="825"/>
      <c r="I35" s="825"/>
      <c r="J35" s="825"/>
      <c r="L35" s="456"/>
      <c r="M35" s="456"/>
      <c r="N35" s="456"/>
      <c r="O35" s="456"/>
      <c r="P35" s="456"/>
    </row>
    <row r="36" spans="1:16" ht="15.75" x14ac:dyDescent="0.25">
      <c r="A36" s="825" t="str">
        <f>A3</f>
        <v>DRAUGHT SURVEY REPORT</v>
      </c>
      <c r="B36" s="825"/>
      <c r="C36" s="825"/>
      <c r="D36" s="825"/>
      <c r="E36" s="825"/>
      <c r="F36" s="825"/>
      <c r="G36" s="825"/>
      <c r="H36" s="825"/>
      <c r="I36" s="825"/>
      <c r="J36" s="825"/>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45" t="s">
        <v>39</v>
      </c>
      <c r="B38" s="845"/>
      <c r="C38" s="845"/>
      <c r="D38" s="845"/>
      <c r="E38" s="845"/>
      <c r="F38" s="845"/>
      <c r="G38" s="845"/>
      <c r="H38" s="845"/>
      <c r="I38" s="845"/>
      <c r="J38" s="845"/>
      <c r="L38" s="456"/>
      <c r="M38" s="456"/>
      <c r="N38" s="456"/>
      <c r="O38" s="456"/>
      <c r="P38" s="456"/>
    </row>
    <row r="39" spans="1:16" ht="15" customHeight="1" x14ac:dyDescent="0.25">
      <c r="A39" s="845"/>
      <c r="B39" s="845"/>
      <c r="C39" s="845"/>
      <c r="D39" s="845"/>
      <c r="E39" s="845"/>
      <c r="F39" s="845"/>
      <c r="G39" s="845"/>
      <c r="H39" s="845"/>
      <c r="I39" s="845"/>
      <c r="J39" s="845"/>
      <c r="L39" s="456"/>
      <c r="M39" s="456"/>
      <c r="N39" s="456"/>
      <c r="O39" s="456"/>
      <c r="P39" s="456"/>
    </row>
    <row r="40" spans="1:16" ht="76.5" customHeight="1" x14ac:dyDescent="0.25">
      <c r="A40" s="846" t="str">
        <f>_xlfn.CONCAT(CAPA!$E$46:$E$55,".")</f>
        <v xml:space="preserve"> Messrs. AGTL - Armazéns Gerais Terminal Ltda.,  Messrs. Cargill Agricola S/A.,  Messrs. BTG Pactual Commodities Sertrading S/A,  Messrs. Cimbessul Terminal Portuario S/A, Messrs. Cotriguaçu Cooperativa Central Regional Iguaçu Ltda.,  Messrs. Amaggi &amp; LDC Terminais Portuários Paranaguá S.A,  Messrs. Rocha Terminais Portuários e Logística .</v>
      </c>
      <c r="B40" s="846"/>
      <c r="C40" s="846"/>
      <c r="D40" s="846"/>
      <c r="E40" s="846"/>
      <c r="F40" s="846"/>
      <c r="G40" s="846"/>
      <c r="H40" s="846"/>
      <c r="I40" s="846"/>
      <c r="J40" s="846"/>
      <c r="L40" s="624" t="str">
        <f>_xlfn.CONCAT(CAPA!$E$46:$E$55,".")</f>
        <v xml:space="preserve"> Messrs. AGTL - Armazéns Gerais Terminal Ltda.,  Messrs. Cargill Agricola S/A.,  Messrs. BTG Pactual Commodities Sertrading S/A,  Messrs. Cimbessul Terminal Portuario S/A, Messrs. Cotriguaçu Cooperativa Central Regional Iguaçu Ltda.,  Messrs. Amaggi &amp; LDC Terminais Portuários Paranaguá S.A,  Messrs. Rocha Terminais Portuários e Logística .</v>
      </c>
      <c r="M40" s="456"/>
      <c r="N40" s="456"/>
      <c r="O40" s="456"/>
      <c r="P40" s="456"/>
    </row>
    <row r="41" spans="1:16" ht="69" customHeight="1" x14ac:dyDescent="0.25">
      <c r="A41" s="847" t="str">
        <f>$L$41</f>
        <v>Attend on board the referenced vessel on  April 2nd, 2026 from 9:00 until 12:00 hours, whilst she was anchored at inner roads area 8.3, and on  April 5th, 2026 from 6:00 until 8:30 hours, whilst she was berthed alongside wharf 212 at port of Paranaguá, Br - Brazil, with views to perform the initial and final draft surveys, ascertaining the following figures:</v>
      </c>
      <c r="B41" s="847"/>
      <c r="C41" s="847"/>
      <c r="D41" s="847"/>
      <c r="E41" s="847"/>
      <c r="F41" s="847"/>
      <c r="G41" s="847"/>
      <c r="H41" s="847"/>
      <c r="I41" s="847"/>
      <c r="J41" s="847"/>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2nd, 2026 from 9:00 until 12:00 hours, whilst she was anchored at inner roads area 8.3, and on  April 5th, 2026 from 6:00 until 8:30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690</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"Wen De" </v>
      </c>
      <c r="B48" s="13"/>
      <c r="C48" s="13"/>
      <c r="D48" s="13"/>
      <c r="E48" s="13"/>
      <c r="F48" s="14" t="str">
        <f>_xlfn.CONCAT("Mr. ",CAPA!$B$30,", ",$L$48)</f>
        <v>Mr. Yong Zhu, the Master</v>
      </c>
      <c r="H48" s="14"/>
      <c r="I48" s="14"/>
      <c r="J48" s="13"/>
      <c r="K48" s="13"/>
      <c r="L48" s="457" t="s">
        <v>552</v>
      </c>
      <c r="M48" s="457"/>
      <c r="N48" s="456"/>
      <c r="O48" s="456"/>
      <c r="P48" s="456"/>
    </row>
    <row r="49" spans="1:16" ht="15.75" x14ac:dyDescent="0.25">
      <c r="A49" s="13"/>
      <c r="B49" s="13"/>
      <c r="C49" s="13"/>
      <c r="D49" s="13"/>
      <c r="E49" s="13"/>
      <c r="F49" s="14" t="str">
        <f>_xlfn.CONCAT("Mr. ",CAPA!$B$31,", ",$L$49)</f>
        <v>Mr. Sheng Hua Sun, the Chief Officer</v>
      </c>
      <c r="H49" s="13"/>
      <c r="I49" s="13"/>
      <c r="J49" s="13"/>
      <c r="K49" s="13"/>
      <c r="L49" s="457" t="s">
        <v>553</v>
      </c>
      <c r="M49" s="457"/>
      <c r="N49" s="456"/>
      <c r="O49" s="456"/>
      <c r="P49" s="456"/>
    </row>
    <row r="50" spans="1:16" ht="15.75" x14ac:dyDescent="0.25">
      <c r="A50" s="13"/>
      <c r="B50" s="13"/>
      <c r="C50" s="13"/>
      <c r="D50" s="13"/>
      <c r="E50" s="13"/>
      <c r="F50" s="14" t="str">
        <f>_xlfn.CONCAT("Mr. ",CAPA!$B$32,", ",$L$50)</f>
        <v>Mr. De Qin Li, the Chief Engineer</v>
      </c>
      <c r="H50" s="13"/>
      <c r="I50" s="13"/>
      <c r="J50" s="13"/>
      <c r="K50" s="13"/>
      <c r="L50" s="458" t="s">
        <v>554</v>
      </c>
      <c r="M50" s="458"/>
      <c r="N50" s="456"/>
      <c r="O50" s="456"/>
      <c r="P50" s="456"/>
    </row>
    <row r="51" spans="1:16" ht="15.75" x14ac:dyDescent="0.25">
      <c r="A51" s="13"/>
      <c r="B51" s="13"/>
      <c r="C51" s="13"/>
      <c r="D51" s="13"/>
      <c r="E51" s="13"/>
      <c r="F51" s="12"/>
      <c r="H51" s="13"/>
      <c r="I51" s="13"/>
      <c r="J51" s="13"/>
      <c r="K51" s="13"/>
      <c r="L51" s="458"/>
      <c r="M51" s="458"/>
      <c r="N51" s="456"/>
      <c r="O51" s="456"/>
      <c r="P51" s="456"/>
    </row>
    <row r="52" spans="1:16" ht="15.75" x14ac:dyDescent="0.25">
      <c r="A52" s="13"/>
      <c r="B52" s="13"/>
      <c r="C52" s="13"/>
      <c r="D52" s="13"/>
      <c r="E52" s="13"/>
      <c r="F52" s="12"/>
      <c r="H52" s="13"/>
      <c r="I52" s="13"/>
      <c r="J52" s="13"/>
      <c r="K52" s="13"/>
      <c r="L52" s="458"/>
      <c r="M52" s="458"/>
      <c r="N52" s="456"/>
      <c r="O52" s="456"/>
      <c r="P52" s="456"/>
    </row>
    <row r="53" spans="1:16" ht="15.75" x14ac:dyDescent="0.25">
      <c r="A53" s="437" t="str">
        <f>CAPA!$A$41</f>
        <v>ALPHAMAR AGÊNCIA MARITIMA LTDA</v>
      </c>
      <c r="B53" s="6"/>
      <c r="C53" s="6"/>
      <c r="D53" s="6"/>
      <c r="E53" s="6"/>
      <c r="F53" s="437" t="str">
        <f>Clients!$D$50</f>
        <v>Mr. Murilo Florentino da Rocha</v>
      </c>
      <c r="H53" s="13"/>
      <c r="I53" s="13"/>
      <c r="J53" s="13"/>
      <c r="L53" s="456"/>
      <c r="M53" s="456"/>
      <c r="N53" s="456"/>
      <c r="O53" s="456"/>
      <c r="P53" s="456"/>
    </row>
    <row r="54" spans="1:16" ht="15.75" x14ac:dyDescent="0.25">
      <c r="A54" s="6" t="s">
        <v>42</v>
      </c>
      <c r="B54" s="6"/>
      <c r="C54" s="6"/>
      <c r="D54" s="6"/>
      <c r="E54" s="6"/>
      <c r="F54" s="437" t="str">
        <f>Clients!$D$51</f>
        <v>Mr. Manoel Carvalho</v>
      </c>
      <c r="H54" s="13"/>
      <c r="I54" s="13"/>
      <c r="J54" s="13"/>
      <c r="L54" s="456"/>
      <c r="M54" s="456"/>
      <c r="N54" s="456"/>
      <c r="O54" s="456"/>
      <c r="P54" s="456"/>
    </row>
    <row r="55" spans="1:16" ht="15.75" x14ac:dyDescent="0.25">
      <c r="A55" s="6"/>
      <c r="B55" s="6"/>
      <c r="C55" s="6"/>
      <c r="D55" s="6"/>
      <c r="E55" s="6"/>
      <c r="F55" s="437" t="s">
        <v>770</v>
      </c>
      <c r="H55" s="13"/>
      <c r="I55" s="13"/>
      <c r="J55" s="13"/>
      <c r="L55" s="456"/>
      <c r="M55" s="456"/>
      <c r="N55" s="456"/>
      <c r="O55" s="456"/>
      <c r="P55" s="456"/>
    </row>
    <row r="56" spans="1:16" ht="15.75" x14ac:dyDescent="0.25">
      <c r="A56" s="13"/>
      <c r="B56" s="13"/>
      <c r="C56" s="13"/>
      <c r="D56" s="13"/>
      <c r="E56" s="13"/>
      <c r="F56" s="12"/>
      <c r="H56" s="13"/>
      <c r="I56" s="13"/>
      <c r="J56" s="13"/>
      <c r="L56" s="456"/>
      <c r="M56" s="456"/>
      <c r="N56" s="456"/>
      <c r="O56" s="456"/>
      <c r="P56" s="456"/>
    </row>
    <row r="57" spans="1:16" ht="15.75" x14ac:dyDescent="0.25">
      <c r="A57" s="13"/>
      <c r="B57" s="13"/>
      <c r="C57" s="13"/>
      <c r="D57" s="13"/>
      <c r="E57" s="13"/>
      <c r="F57" s="12"/>
      <c r="H57" s="13"/>
      <c r="I57" s="13"/>
      <c r="J57" s="13"/>
      <c r="L57" s="456"/>
      <c r="M57" s="456"/>
      <c r="N57" s="456"/>
      <c r="O57" s="456"/>
      <c r="P57" s="456"/>
    </row>
    <row r="58" spans="1:16" ht="15.75" x14ac:dyDescent="0.25">
      <c r="A58" s="436" t="str">
        <f>CAPA!$A$43</f>
        <v>ALPHAMAR AGÊNCIA MARITIMA LTDA</v>
      </c>
      <c r="B58" s="5"/>
      <c r="C58" s="5"/>
      <c r="D58" s="5"/>
      <c r="E58" s="5"/>
      <c r="F58" s="280" t="str">
        <f>Clients!$D$181</f>
        <v>Mr. Robson Coutinho</v>
      </c>
      <c r="H58" s="6"/>
      <c r="I58" s="6"/>
      <c r="J58" s="438"/>
      <c r="L58" s="456"/>
      <c r="M58" s="456"/>
      <c r="N58" s="456"/>
      <c r="O58" s="456"/>
      <c r="P58" s="456"/>
    </row>
    <row r="59" spans="1:16" ht="15.75" x14ac:dyDescent="0.25">
      <c r="A59" s="436" t="s">
        <v>41</v>
      </c>
      <c r="B59" s="5"/>
      <c r="C59" s="5"/>
      <c r="D59" s="5"/>
      <c r="E59" s="5"/>
      <c r="F59" s="280" t="str">
        <f>Clients!$D$182</f>
        <v>Mr. Lucas Zwierzykowski</v>
      </c>
      <c r="H59" s="6"/>
      <c r="I59" s="6"/>
      <c r="J59" s="438"/>
      <c r="L59" s="456"/>
      <c r="M59" s="456"/>
      <c r="N59" s="456"/>
      <c r="O59" s="456"/>
      <c r="P59" s="456"/>
    </row>
    <row r="60" spans="1:16" ht="15.75" x14ac:dyDescent="0.25">
      <c r="A60" s="436"/>
      <c r="B60" s="5"/>
      <c r="C60" s="5"/>
      <c r="D60" s="5"/>
      <c r="E60" s="5"/>
      <c r="F60" s="14"/>
      <c r="H60" s="13"/>
      <c r="I60" s="6"/>
      <c r="J60" s="438"/>
      <c r="L60" s="456"/>
      <c r="M60" s="456"/>
      <c r="N60" s="456"/>
      <c r="O60" s="456"/>
      <c r="P60" s="456"/>
    </row>
    <row r="61" spans="1:16" ht="15.75" x14ac:dyDescent="0.25">
      <c r="A61" s="5"/>
      <c r="B61" s="6"/>
      <c r="C61" s="6"/>
      <c r="D61" s="6"/>
      <c r="E61" s="6"/>
      <c r="F61" s="437"/>
      <c r="H61" s="6"/>
      <c r="I61" s="6"/>
      <c r="J61" s="438"/>
      <c r="L61" s="456"/>
      <c r="M61" s="456"/>
      <c r="N61" s="456"/>
      <c r="O61" s="456"/>
      <c r="P61" s="456"/>
    </row>
    <row r="62" spans="1:16" ht="15.75" x14ac:dyDescent="0.25">
      <c r="A62" s="5" t="str">
        <f>IF(CAPA!$A$88=0,"",CAPA!$A$88)</f>
        <v>TWK CCIC</v>
      </c>
      <c r="B62" s="5"/>
      <c r="C62" s="5"/>
      <c r="D62" s="5"/>
      <c r="E62" s="5"/>
      <c r="F62" s="436" t="s">
        <v>771</v>
      </c>
      <c r="H62" s="6"/>
      <c r="I62" s="6"/>
      <c r="J62" s="438"/>
      <c r="L62" s="456"/>
      <c r="M62" s="456"/>
      <c r="N62" s="456"/>
      <c r="O62" s="456"/>
      <c r="P62" s="456"/>
    </row>
    <row r="63" spans="1:16" ht="15.75" x14ac:dyDescent="0.25">
      <c r="A63" s="5" t="str">
        <f>IF(CAPA!$A$89=0,"",CAPA!$A$89)</f>
        <v>(As Consignees surveyors)</v>
      </c>
      <c r="B63" s="5"/>
      <c r="C63" s="5"/>
      <c r="D63" s="5"/>
      <c r="E63" s="5"/>
      <c r="F63" s="436"/>
      <c r="H63" s="6"/>
      <c r="I63" s="6"/>
      <c r="J63" s="438"/>
      <c r="L63" s="456"/>
      <c r="M63" s="456"/>
      <c r="N63" s="456"/>
      <c r="O63" s="456"/>
      <c r="P63" s="456"/>
    </row>
    <row r="64" spans="1:16" ht="15.75" x14ac:dyDescent="0.25">
      <c r="A64" s="6"/>
      <c r="B64" s="6"/>
      <c r="C64" s="6"/>
      <c r="D64" s="6"/>
      <c r="E64" s="6"/>
      <c r="F64" s="436"/>
      <c r="H64" s="6"/>
      <c r="I64" s="13"/>
      <c r="J64" s="438"/>
      <c r="L64" s="456"/>
      <c r="M64" s="456"/>
      <c r="N64" s="456"/>
      <c r="O64" s="456"/>
      <c r="P64" s="456"/>
    </row>
    <row r="65" spans="1:16" ht="15.75" x14ac:dyDescent="0.25">
      <c r="A65" s="5"/>
      <c r="B65" s="5"/>
      <c r="C65" s="5"/>
      <c r="D65" s="5"/>
      <c r="E65" s="5"/>
      <c r="F65" s="436"/>
      <c r="H65" s="13"/>
      <c r="I65" s="13"/>
      <c r="J65" s="438"/>
      <c r="L65" s="456"/>
      <c r="M65" s="456"/>
      <c r="N65" s="456"/>
      <c r="O65" s="456"/>
      <c r="P65" s="456"/>
    </row>
    <row r="66" spans="1:16" ht="15.75" x14ac:dyDescent="0.25">
      <c r="A66" s="5" t="s">
        <v>43</v>
      </c>
      <c r="B66" s="5"/>
      <c r="C66" s="5"/>
      <c r="D66" s="5"/>
      <c r="E66" s="5"/>
      <c r="F66" s="437" t="str">
        <f>CAPA!$A$85</f>
        <v>Mr. Angela Ramos Guimarães Souza</v>
      </c>
      <c r="H66" s="13"/>
      <c r="I66" s="13"/>
      <c r="J66" s="438"/>
      <c r="L66" s="456"/>
      <c r="M66" s="456"/>
      <c r="N66" s="456"/>
      <c r="O66" s="456"/>
      <c r="P66" s="456"/>
    </row>
    <row r="67" spans="1:16" ht="15.75" x14ac:dyDescent="0.25">
      <c r="A67" s="5"/>
      <c r="B67" s="5"/>
      <c r="C67" s="5"/>
      <c r="D67" s="5"/>
      <c r="E67" s="5"/>
      <c r="F67" s="288"/>
      <c r="G67" s="288"/>
      <c r="H67" s="13"/>
      <c r="I67" s="13"/>
      <c r="J67" s="438"/>
      <c r="L67" s="456"/>
      <c r="M67" s="456"/>
      <c r="N67" s="456"/>
      <c r="O67" s="456"/>
      <c r="P67" s="456"/>
    </row>
    <row r="68" spans="1:16" ht="15.75" x14ac:dyDescent="0.25">
      <c r="A68" s="5"/>
      <c r="B68" s="5"/>
      <c r="C68" s="5"/>
      <c r="D68" s="5"/>
      <c r="E68" s="5"/>
      <c r="F68" s="288"/>
      <c r="G68" s="13"/>
      <c r="H68" s="13"/>
      <c r="I68" s="13"/>
      <c r="J68" s="438"/>
      <c r="L68" s="456"/>
      <c r="M68" s="456"/>
      <c r="N68" s="456"/>
      <c r="O68" s="456"/>
      <c r="P68" s="456"/>
    </row>
    <row r="69" spans="1:16" ht="15.75" x14ac:dyDescent="0.25">
      <c r="A69" s="261" t="s">
        <v>44</v>
      </c>
      <c r="B69" s="13"/>
      <c r="C69" s="13"/>
      <c r="D69" s="13"/>
      <c r="E69" s="13"/>
      <c r="F69" s="261" t="s">
        <v>565</v>
      </c>
      <c r="H69" s="261"/>
      <c r="I69" s="13"/>
      <c r="J69" s="438"/>
      <c r="L69" s="456"/>
      <c r="M69" s="456"/>
      <c r="N69" s="456"/>
      <c r="O69" s="456"/>
      <c r="P69" s="456"/>
    </row>
    <row r="70" spans="1:16" ht="15.75" x14ac:dyDescent="0.25">
      <c r="A70" s="261" t="s">
        <v>45</v>
      </c>
      <c r="B70" s="13"/>
      <c r="C70" s="13"/>
      <c r="D70" s="13"/>
      <c r="E70" s="13"/>
      <c r="F70" s="13" t="s">
        <v>46</v>
      </c>
      <c r="H70" s="13"/>
      <c r="I70" s="13"/>
      <c r="J70" s="13"/>
      <c r="L70" s="456"/>
      <c r="M70" s="456"/>
      <c r="N70" s="456"/>
      <c r="O70" s="456"/>
      <c r="P70" s="456"/>
    </row>
    <row r="71" spans="1:16" ht="15.75" x14ac:dyDescent="0.25">
      <c r="A71" s="13"/>
      <c r="B71" s="13"/>
      <c r="C71" s="13"/>
      <c r="D71" s="13"/>
      <c r="E71" s="13"/>
      <c r="F71" s="736" t="str">
        <f>_xlfn.CONCAT("Mr. ",CAPA!$A$97)</f>
        <v>Mr. Haroldo Fernandes Alves Junior</v>
      </c>
      <c r="G71" s="736"/>
      <c r="H71" s="736"/>
      <c r="I71" s="736"/>
      <c r="J71" s="736"/>
      <c r="L71" s="456"/>
      <c r="M71" s="456"/>
      <c r="N71" s="456"/>
      <c r="O71" s="456"/>
      <c r="P71" s="456"/>
    </row>
    <row r="72" spans="1:16" ht="15.75" x14ac:dyDescent="0.25">
      <c r="A72" s="262" t="s">
        <v>47</v>
      </c>
      <c r="B72" s="13"/>
      <c r="C72" s="13"/>
      <c r="D72" s="13"/>
      <c r="E72" s="13"/>
      <c r="F72" s="13"/>
      <c r="G72" s="13"/>
      <c r="H72" s="13"/>
      <c r="I72" s="13"/>
      <c r="L72" s="456"/>
      <c r="M72" s="456"/>
      <c r="N72" s="456"/>
      <c r="O72" s="456"/>
      <c r="P72" s="456"/>
    </row>
    <row r="73" spans="1:16" ht="15.75" x14ac:dyDescent="0.25">
      <c r="A73" s="262"/>
      <c r="B73" s="13"/>
      <c r="C73" s="13"/>
      <c r="D73" s="13"/>
      <c r="E73" s="13"/>
      <c r="F73" s="13"/>
      <c r="G73" s="13"/>
      <c r="H73" s="13"/>
      <c r="I73" s="13"/>
      <c r="L73" s="456"/>
      <c r="M73" s="456"/>
      <c r="N73" s="456"/>
      <c r="O73" s="456"/>
      <c r="P73" s="456"/>
    </row>
    <row r="74" spans="1:16" ht="15.75" x14ac:dyDescent="0.25">
      <c r="A74" s="261" t="s">
        <v>48</v>
      </c>
      <c r="B74" s="13"/>
      <c r="C74" s="13"/>
      <c r="D74" s="13"/>
      <c r="E74" s="738" t="str">
        <f>CAPA!$B$8</f>
        <v>Wen De</v>
      </c>
      <c r="F74" s="738"/>
      <c r="G74" s="738"/>
      <c r="H74" s="738"/>
      <c r="I74" s="738"/>
      <c r="J74" s="738"/>
      <c r="L74" s="456"/>
      <c r="M74" s="456"/>
      <c r="N74" s="456"/>
      <c r="O74" s="456"/>
      <c r="P74" s="456"/>
    </row>
    <row r="75" spans="1:16" ht="15.75" x14ac:dyDescent="0.25">
      <c r="A75" s="261" t="s">
        <v>49</v>
      </c>
      <c r="B75" s="13"/>
      <c r="C75" s="13"/>
      <c r="D75" s="13"/>
      <c r="E75" s="738" t="str">
        <f>CAPA!$B$12</f>
        <v>VRMS4</v>
      </c>
      <c r="F75" s="738"/>
      <c r="G75" s="5"/>
      <c r="H75" s="5"/>
      <c r="I75" s="13"/>
      <c r="L75" s="456"/>
      <c r="M75" s="456"/>
      <c r="N75" s="456"/>
      <c r="O75" s="456"/>
      <c r="P75" s="456"/>
    </row>
    <row r="76" spans="1:16" ht="15.75" x14ac:dyDescent="0.25">
      <c r="A76" s="261" t="s">
        <v>50</v>
      </c>
      <c r="B76" s="13"/>
      <c r="C76" s="13"/>
      <c r="D76" s="13"/>
      <c r="E76" s="738" t="str">
        <f>CAPA!$B$13</f>
        <v>Hong Kong</v>
      </c>
      <c r="F76" s="738"/>
      <c r="G76" s="738"/>
      <c r="H76" s="5"/>
      <c r="I76" s="13"/>
      <c r="L76" s="456"/>
      <c r="M76" s="456"/>
      <c r="N76" s="456"/>
      <c r="O76" s="456"/>
      <c r="P76" s="456"/>
    </row>
    <row r="77" spans="1:16" ht="15.75" x14ac:dyDescent="0.25">
      <c r="A77" s="261" t="s">
        <v>51</v>
      </c>
      <c r="B77" s="13"/>
      <c r="C77" s="13"/>
      <c r="D77" s="13"/>
      <c r="E77" s="738" t="str">
        <f>CAPA!$B$14</f>
        <v>Hongkongese</v>
      </c>
      <c r="F77" s="738"/>
      <c r="G77" s="738"/>
      <c r="H77" s="738"/>
      <c r="I77" s="738"/>
      <c r="J77" s="738"/>
      <c r="L77" s="456"/>
      <c r="M77" s="456"/>
      <c r="N77" s="456"/>
      <c r="O77" s="456"/>
      <c r="P77" s="456"/>
    </row>
    <row r="78" spans="1:16" ht="15.75" x14ac:dyDescent="0.25">
      <c r="A78" s="261" t="s">
        <v>52</v>
      </c>
      <c r="B78" s="13"/>
      <c r="C78" s="13"/>
      <c r="D78" s="13"/>
      <c r="E78" s="738">
        <f>CAPA!$B$10</f>
        <v>9642772</v>
      </c>
      <c r="F78" s="738"/>
      <c r="G78" s="5"/>
      <c r="H78" s="5"/>
      <c r="I78" s="13"/>
      <c r="L78" s="456"/>
      <c r="M78" s="456"/>
      <c r="N78" s="456"/>
      <c r="O78" s="456"/>
      <c r="P78" s="456"/>
    </row>
    <row r="79" spans="1:16" ht="15.75" x14ac:dyDescent="0.25">
      <c r="A79" s="261" t="s">
        <v>53</v>
      </c>
      <c r="B79" s="13"/>
      <c r="C79" s="13"/>
      <c r="D79" s="13"/>
      <c r="E79" s="263">
        <f>CAPA!$B$15</f>
        <v>229</v>
      </c>
      <c r="F79" s="263"/>
      <c r="G79" s="5"/>
      <c r="H79" s="5"/>
      <c r="I79" s="13"/>
      <c r="L79" s="456"/>
      <c r="M79" s="456"/>
      <c r="N79" s="456"/>
      <c r="O79" s="456"/>
      <c r="P79" s="456"/>
    </row>
    <row r="80" spans="1:16" ht="15.75" x14ac:dyDescent="0.25">
      <c r="A80" s="261" t="s">
        <v>54</v>
      </c>
      <c r="B80" s="13"/>
      <c r="C80" s="13"/>
      <c r="D80" s="13"/>
      <c r="E80" s="263">
        <f>CAPA!$B$16</f>
        <v>225.5</v>
      </c>
      <c r="F80" s="263"/>
      <c r="G80" s="5"/>
      <c r="H80" s="5"/>
      <c r="I80" s="13"/>
      <c r="L80" s="456"/>
      <c r="M80" s="456"/>
      <c r="N80" s="456"/>
      <c r="O80" s="456"/>
      <c r="P80" s="456"/>
    </row>
    <row r="81" spans="1:16" ht="15.75" x14ac:dyDescent="0.25">
      <c r="A81" s="261" t="s">
        <v>55</v>
      </c>
      <c r="B81" s="13"/>
      <c r="C81" s="13"/>
      <c r="D81" s="13"/>
      <c r="E81" s="263">
        <f>CAPA!$B$17</f>
        <v>20.100000000000001</v>
      </c>
      <c r="F81" s="263"/>
      <c r="G81" s="5"/>
      <c r="H81" s="5"/>
      <c r="I81" s="13"/>
      <c r="L81" s="456"/>
      <c r="M81" s="456"/>
      <c r="N81" s="456"/>
      <c r="O81" s="456"/>
      <c r="P81" s="456"/>
    </row>
    <row r="82" spans="1:16" ht="15.75" x14ac:dyDescent="0.25">
      <c r="A82" s="261" t="s">
        <v>56</v>
      </c>
      <c r="B82" s="13"/>
      <c r="C82" s="13"/>
      <c r="D82" s="13"/>
      <c r="E82" s="263">
        <f>CAPA!$B$18</f>
        <v>32.26</v>
      </c>
      <c r="F82" s="263"/>
      <c r="G82" s="5"/>
      <c r="H82" s="5"/>
      <c r="I82" s="13"/>
      <c r="L82" s="456"/>
      <c r="M82" s="456"/>
      <c r="N82" s="456"/>
      <c r="O82" s="456"/>
      <c r="P82" s="456"/>
    </row>
    <row r="83" spans="1:16" ht="15.75" x14ac:dyDescent="0.25">
      <c r="A83" s="261" t="s">
        <v>57</v>
      </c>
      <c r="B83" s="13"/>
      <c r="C83" s="13"/>
      <c r="D83" s="13"/>
      <c r="E83" s="737">
        <f>CAPA!$B$20</f>
        <v>44543</v>
      </c>
      <c r="F83" s="737"/>
      <c r="G83" s="737"/>
      <c r="H83" s="737"/>
      <c r="I83" s="737"/>
      <c r="J83" s="737"/>
      <c r="L83" s="456"/>
      <c r="M83" s="456"/>
      <c r="N83" s="456"/>
      <c r="O83" s="456"/>
      <c r="P83" s="456"/>
    </row>
    <row r="84" spans="1:16" ht="15.75" x14ac:dyDescent="0.25">
      <c r="A84" s="261" t="s">
        <v>58</v>
      </c>
      <c r="B84" s="13"/>
      <c r="C84" s="13"/>
      <c r="D84" s="13"/>
      <c r="E84" s="737">
        <f>CAPA!$B$21</f>
        <v>26987</v>
      </c>
      <c r="F84" s="737"/>
      <c r="G84" s="737"/>
      <c r="H84" s="737"/>
      <c r="I84" s="737"/>
      <c r="J84" s="737"/>
      <c r="L84" s="456"/>
      <c r="M84" s="456"/>
      <c r="N84" s="456"/>
      <c r="O84" s="456"/>
      <c r="P84" s="456"/>
    </row>
    <row r="85" spans="1:16" ht="15.75" x14ac:dyDescent="0.25">
      <c r="A85" s="435" t="s">
        <v>59</v>
      </c>
      <c r="B85" s="13"/>
      <c r="C85" s="13"/>
      <c r="D85" s="13"/>
      <c r="E85" s="848" t="str">
        <f>CAPA!$B$23</f>
        <v>CCS</v>
      </c>
      <c r="F85" s="848"/>
      <c r="G85" s="848"/>
      <c r="H85" s="848"/>
      <c r="I85" s="848"/>
      <c r="J85" s="848"/>
      <c r="L85" s="456"/>
      <c r="M85" s="459" t="str">
        <f>CAPA!$B$23</f>
        <v>CCS</v>
      </c>
      <c r="N85" s="456"/>
      <c r="O85" s="456"/>
      <c r="P85" s="456"/>
    </row>
    <row r="86" spans="1:16" ht="15.75" x14ac:dyDescent="0.25">
      <c r="A86" s="261" t="s">
        <v>60</v>
      </c>
      <c r="B86" s="13"/>
      <c r="C86" s="13"/>
      <c r="D86" s="13"/>
      <c r="E86" s="737">
        <f>CAPA!$B$19</f>
        <v>13447.27</v>
      </c>
      <c r="F86" s="737"/>
      <c r="G86" s="5"/>
      <c r="H86" s="5"/>
      <c r="I86" s="13"/>
      <c r="L86" s="456"/>
      <c r="M86" s="460"/>
      <c r="N86" s="456"/>
      <c r="O86" s="456"/>
      <c r="P86" s="456"/>
    </row>
    <row r="87" spans="1:16" ht="15.75" x14ac:dyDescent="0.25">
      <c r="A87" s="261" t="s">
        <v>61</v>
      </c>
      <c r="B87" s="13"/>
      <c r="C87" s="13"/>
      <c r="D87" s="13"/>
      <c r="E87" s="737" t="str">
        <f>_xlfn.CONCAT(TEXT($I$122,"#,##0.0")," on ",TEXT(F122,"#,##0.00")," m")</f>
        <v>82096,900 on 14,45000 m</v>
      </c>
      <c r="F87" s="737"/>
      <c r="G87" s="737"/>
      <c r="H87" s="737"/>
      <c r="I87" s="737"/>
      <c r="J87" s="737"/>
      <c r="L87" s="456"/>
      <c r="M87" s="456"/>
      <c r="N87" s="456"/>
      <c r="O87" s="456"/>
      <c r="P87" s="456"/>
    </row>
    <row r="88" spans="1:16" ht="15.75" x14ac:dyDescent="0.25">
      <c r="A88" s="261"/>
      <c r="B88" s="13"/>
      <c r="C88" s="13"/>
      <c r="D88" s="13"/>
      <c r="E88" s="264"/>
      <c r="F88" s="264"/>
      <c r="G88" s="13"/>
      <c r="H88" s="13"/>
      <c r="I88" s="13"/>
      <c r="L88" s="456"/>
      <c r="M88" s="456"/>
      <c r="N88" s="456"/>
      <c r="O88" s="456"/>
      <c r="P88" s="456"/>
    </row>
    <row r="89" spans="1:16" ht="15.75" x14ac:dyDescent="0.25">
      <c r="A89" s="261" t="s">
        <v>62</v>
      </c>
      <c r="B89" s="13"/>
      <c r="C89" s="13"/>
      <c r="D89" s="13"/>
      <c r="E89" s="724" t="str">
        <f>CAPA!$B$11</f>
        <v>Dalian Shipbuilding Industry Co., Ltd. (DSIC) / Dalian Shipyard</v>
      </c>
      <c r="F89" s="13"/>
      <c r="G89" s="13"/>
      <c r="H89" s="13"/>
      <c r="I89" s="13"/>
      <c r="L89" s="456"/>
      <c r="M89" s="456"/>
      <c r="N89" s="456"/>
      <c r="O89" s="456"/>
      <c r="P89" s="456"/>
    </row>
    <row r="90" spans="1:16" ht="15.75" x14ac:dyDescent="0.25">
      <c r="A90" s="261"/>
      <c r="B90" s="13"/>
      <c r="C90" s="13"/>
      <c r="D90" s="13"/>
      <c r="E90" s="264"/>
      <c r="F90" s="264"/>
      <c r="G90" s="13"/>
      <c r="H90" s="13"/>
      <c r="I90" s="13"/>
      <c r="L90" s="456"/>
      <c r="M90" s="456"/>
      <c r="N90" s="456"/>
      <c r="O90" s="456"/>
      <c r="P90" s="456"/>
    </row>
    <row r="91" spans="1:16" ht="15.75" x14ac:dyDescent="0.25">
      <c r="A91" s="261" t="s">
        <v>63</v>
      </c>
      <c r="B91" s="13"/>
      <c r="C91" s="13"/>
      <c r="D91" s="13"/>
      <c r="E91" s="736" t="str">
        <f>CAPA!$B$24</f>
        <v>FENGHUA SHIPPING S.A. - Hong Kong</v>
      </c>
      <c r="F91" s="736"/>
      <c r="G91" s="736"/>
      <c r="H91" s="736"/>
      <c r="I91" s="736"/>
      <c r="J91" s="736"/>
      <c r="L91" s="456"/>
      <c r="M91" s="456"/>
      <c r="N91" s="456"/>
      <c r="O91" s="456"/>
      <c r="P91" s="456"/>
    </row>
    <row r="92" spans="1:16" ht="15.75" x14ac:dyDescent="0.25">
      <c r="A92" s="261" t="s">
        <v>64</v>
      </c>
      <c r="B92" s="13"/>
      <c r="C92" s="13"/>
      <c r="D92" s="13"/>
      <c r="E92" s="736" t="str">
        <f>CAPA!$B$25</f>
        <v>SHENZHEN Ocean Shipping Co., Ltd - China</v>
      </c>
      <c r="F92" s="736"/>
      <c r="G92" s="736"/>
      <c r="H92" s="736"/>
      <c r="I92" s="736"/>
      <c r="J92" s="736"/>
      <c r="L92" s="456"/>
      <c r="M92" s="456"/>
      <c r="N92" s="456"/>
      <c r="O92" s="456"/>
      <c r="P92" s="456"/>
    </row>
    <row r="93" spans="1:16" ht="15.75" x14ac:dyDescent="0.25">
      <c r="A93" s="261"/>
      <c r="B93" s="13"/>
      <c r="C93" s="13"/>
      <c r="D93" s="13"/>
      <c r="E93" s="13"/>
      <c r="F93" s="13"/>
      <c r="G93" s="13"/>
      <c r="H93" s="13"/>
      <c r="I93" s="13"/>
      <c r="L93" s="456"/>
      <c r="M93" s="456"/>
      <c r="N93" s="456"/>
      <c r="O93" s="456"/>
      <c r="P93" s="456"/>
    </row>
    <row r="94" spans="1:16" ht="15.75" x14ac:dyDescent="0.25">
      <c r="A94" s="3" t="s">
        <v>20</v>
      </c>
      <c r="B94" s="13"/>
      <c r="C94" s="13"/>
      <c r="D94" s="13"/>
      <c r="E94" s="13"/>
      <c r="F94" s="13"/>
      <c r="G94" s="13"/>
      <c r="H94" s="13"/>
      <c r="I94" s="13"/>
      <c r="L94" s="456"/>
      <c r="M94" s="456"/>
      <c r="N94" s="456"/>
      <c r="O94" s="456"/>
      <c r="P94" s="456"/>
    </row>
    <row r="95" spans="1:16" ht="15.75" x14ac:dyDescent="0.25">
      <c r="A95" s="261"/>
      <c r="B95" s="13"/>
      <c r="C95" s="13"/>
      <c r="D95" s="13"/>
      <c r="E95" s="13"/>
      <c r="F95" s="13"/>
      <c r="G95" s="13"/>
      <c r="H95" s="13"/>
      <c r="I95" s="13"/>
      <c r="L95" s="456"/>
      <c r="M95" s="456"/>
      <c r="N95" s="456"/>
      <c r="O95" s="456"/>
      <c r="P95" s="456"/>
    </row>
    <row r="96" spans="1:16" ht="15.75" x14ac:dyDescent="0.25">
      <c r="A96" s="3" t="s">
        <v>65</v>
      </c>
      <c r="B96" s="827" t="s">
        <v>66</v>
      </c>
      <c r="C96" s="827"/>
      <c r="D96" s="829" t="s">
        <v>67</v>
      </c>
      <c r="E96" s="829"/>
      <c r="F96" s="825" t="s">
        <v>68</v>
      </c>
      <c r="G96" s="825"/>
      <c r="H96" s="825"/>
      <c r="I96" s="825"/>
      <c r="J96" s="265" t="s">
        <v>69</v>
      </c>
      <c r="L96" s="456"/>
      <c r="M96" s="456"/>
      <c r="N96" s="456"/>
      <c r="O96" s="456"/>
      <c r="P96" s="456"/>
    </row>
    <row r="97" spans="1:16" ht="15.75" x14ac:dyDescent="0.25">
      <c r="A97" s="3"/>
      <c r="B97" s="827" t="s">
        <v>70</v>
      </c>
      <c r="C97" s="827"/>
      <c r="D97" s="266"/>
      <c r="F97" s="825" t="s">
        <v>71</v>
      </c>
      <c r="G97" s="825"/>
      <c r="H97" s="825"/>
      <c r="I97" s="825"/>
      <c r="J97" s="13"/>
      <c r="L97" s="456"/>
      <c r="M97" s="456"/>
      <c r="N97" s="456"/>
      <c r="O97" s="456"/>
      <c r="P97" s="456"/>
    </row>
    <row r="98" spans="1:16" ht="15.75" x14ac:dyDescent="0.25">
      <c r="A98" s="260" t="s">
        <v>72</v>
      </c>
      <c r="B98" s="828">
        <f>DCP!$B$28</f>
        <v>438817</v>
      </c>
      <c r="C98" s="828"/>
      <c r="D98" s="821" t="str">
        <f>DCP!$B$15</f>
        <v>Soybeans</v>
      </c>
      <c r="E98" s="821"/>
      <c r="F98" s="822">
        <f>DCP!$B$27</f>
        <v>8909.1400000000012</v>
      </c>
      <c r="G98" s="822"/>
      <c r="H98" s="822"/>
      <c r="I98" s="822"/>
      <c r="J98" s="267">
        <f>IF(DCP!$B$30="FULL",DCP!$B$29,"SLACK")</f>
        <v>49.254697984317225</v>
      </c>
      <c r="L98" s="456"/>
      <c r="M98" s="456"/>
      <c r="N98" s="456"/>
      <c r="O98" s="456"/>
      <c r="P98" s="456"/>
    </row>
    <row r="99" spans="1:16" ht="15.75" x14ac:dyDescent="0.25">
      <c r="A99" s="260" t="s">
        <v>73</v>
      </c>
      <c r="B99" s="828">
        <f>DCP!$C$28</f>
        <v>497814</v>
      </c>
      <c r="C99" s="828"/>
      <c r="D99" s="821" t="str">
        <f>DCP!$C$15</f>
        <v>Soybeans</v>
      </c>
      <c r="E99" s="821"/>
      <c r="F99" s="822">
        <f>DCP!$C$27</f>
        <v>10341.594999999999</v>
      </c>
      <c r="G99" s="822"/>
      <c r="H99" s="822"/>
      <c r="I99" s="822" t="e">
        <f>C99/H99</f>
        <v>#DIV/0!</v>
      </c>
      <c r="J99" s="267">
        <f>IF(DCP!$C$30="FULL",DCP!$C$29,"SLACK")</f>
        <v>48.137062029599889</v>
      </c>
      <c r="L99" s="456"/>
      <c r="M99" s="456"/>
      <c r="N99" s="456"/>
      <c r="O99" s="456"/>
      <c r="P99" s="456"/>
    </row>
    <row r="100" spans="1:16" ht="15.75" x14ac:dyDescent="0.25">
      <c r="A100" s="260" t="s">
        <v>74</v>
      </c>
      <c r="B100" s="828">
        <f>DCP!$D$28</f>
        <v>519772</v>
      </c>
      <c r="C100" s="828"/>
      <c r="D100" s="821" t="str">
        <f>DCP!$D$15</f>
        <v>Soybeans</v>
      </c>
      <c r="E100" s="821"/>
      <c r="F100" s="822">
        <f>DCP!$D$27</f>
        <v>10755.760000000002</v>
      </c>
      <c r="G100" s="822"/>
      <c r="H100" s="822"/>
      <c r="I100" s="822" t="e">
        <f>D100/H100</f>
        <v>#VALUE!</v>
      </c>
      <c r="J100" s="267">
        <f>IF(DCP!$D$30="FULL",DCP!$D$29,"SLACK")</f>
        <v>48.324990516709178</v>
      </c>
      <c r="L100" s="456"/>
      <c r="M100" s="456"/>
      <c r="N100" s="456"/>
      <c r="O100" s="456"/>
      <c r="P100" s="456"/>
    </row>
    <row r="101" spans="1:16" ht="15.75" x14ac:dyDescent="0.25">
      <c r="A101" s="260" t="s">
        <v>75</v>
      </c>
      <c r="B101" s="828">
        <f>DCP!$E$28</f>
        <v>474905</v>
      </c>
      <c r="C101" s="828"/>
      <c r="D101" s="821" t="str">
        <f>DCP!$E$15</f>
        <v>Soybeans</v>
      </c>
      <c r="E101" s="821"/>
      <c r="F101" s="822">
        <f>DCP!$E$27</f>
        <v>9665.6049999999996</v>
      </c>
      <c r="G101" s="822"/>
      <c r="H101" s="822"/>
      <c r="I101" s="822" t="e">
        <f>D101/H101</f>
        <v>#VALUE!</v>
      </c>
      <c r="J101" s="267">
        <f>IF(DCP!$E$30="FULL",DCP!$E$29,"SLACK")</f>
        <v>49.133499661945635</v>
      </c>
      <c r="L101" s="456"/>
      <c r="M101" s="456"/>
      <c r="N101" s="456"/>
      <c r="O101" s="456"/>
      <c r="P101" s="456"/>
    </row>
    <row r="102" spans="1:16" ht="15.75" x14ac:dyDescent="0.25">
      <c r="A102" s="260" t="s">
        <v>76</v>
      </c>
      <c r="B102" s="828">
        <f>DCP!$F$28</f>
        <v>499014</v>
      </c>
      <c r="C102" s="828"/>
      <c r="D102" s="821" t="str">
        <f>DCP!$F$15</f>
        <v>Soybeans</v>
      </c>
      <c r="E102" s="821"/>
      <c r="F102" s="822">
        <f>DCP!$F$27</f>
        <v>10317.275</v>
      </c>
      <c r="G102" s="822"/>
      <c r="H102" s="822"/>
      <c r="I102" s="822" t="e">
        <f>D102/H102</f>
        <v>#VALUE!</v>
      </c>
      <c r="J102" s="267">
        <f>IF(DCP!$F$30="FULL",DCP!$F$29,"SLACK")</f>
        <v>48.366841050568105</v>
      </c>
      <c r="L102" s="456"/>
      <c r="M102" s="456"/>
      <c r="N102" s="456"/>
      <c r="O102" s="456"/>
      <c r="P102" s="456"/>
    </row>
    <row r="103" spans="1:16" ht="15.75" x14ac:dyDescent="0.25">
      <c r="A103" s="260" t="s">
        <v>77</v>
      </c>
      <c r="B103" s="828">
        <f>DCP!$G$28</f>
        <v>497867</v>
      </c>
      <c r="C103" s="828"/>
      <c r="D103" s="821" t="str">
        <f>DCP!$G$15</f>
        <v>Soybeans</v>
      </c>
      <c r="E103" s="821"/>
      <c r="F103" s="822">
        <f>DCP!$G$27</f>
        <v>10299.11</v>
      </c>
      <c r="G103" s="822"/>
      <c r="H103" s="822"/>
      <c r="I103" s="822" t="e">
        <f>D103/H103</f>
        <v>#VALUE!</v>
      </c>
      <c r="J103" s="267">
        <f>IF(DCP!$G$30="FULL",DCP!$G$29,"SLACK")</f>
        <v>48.340778960512118</v>
      </c>
      <c r="L103" s="456"/>
      <c r="M103" s="456"/>
      <c r="N103" s="456"/>
      <c r="O103" s="456"/>
      <c r="P103" s="456"/>
    </row>
    <row r="104" spans="1:16" ht="15.75" x14ac:dyDescent="0.25">
      <c r="A104" s="260" t="s">
        <v>78</v>
      </c>
      <c r="B104" s="828">
        <f>DCP!$H$28</f>
        <v>501712</v>
      </c>
      <c r="C104" s="828"/>
      <c r="D104" s="821" t="str">
        <f>DCP!$H$15</f>
        <v>Soybeans</v>
      </c>
      <c r="E104" s="821"/>
      <c r="F104" s="822">
        <f>DCP!$H$27</f>
        <v>9780.6449999999986</v>
      </c>
      <c r="G104" s="822"/>
      <c r="H104" s="822"/>
      <c r="I104" s="822" t="e">
        <f>D104/H104</f>
        <v>#VALUE!</v>
      </c>
      <c r="J104" s="267">
        <f>IF(DCP!$H$30="FULL",DCP!$H$29,"SLACK")</f>
        <v>51.296412455415783</v>
      </c>
      <c r="L104" s="456"/>
      <c r="M104" s="456"/>
      <c r="N104" s="456"/>
      <c r="O104" s="456"/>
      <c r="P104" s="456"/>
    </row>
    <row r="105" spans="1:16" ht="15.75" x14ac:dyDescent="0.25">
      <c r="A105" s="3" t="s">
        <v>79</v>
      </c>
      <c r="B105" s="830">
        <f>SUM(B98:B104)</f>
        <v>3429901</v>
      </c>
      <c r="C105" s="830"/>
      <c r="D105" s="13"/>
      <c r="F105" s="823">
        <f>SUM(F98:F104)</f>
        <v>70069.13</v>
      </c>
      <c r="G105" s="823"/>
      <c r="H105" s="823"/>
      <c r="I105" s="823"/>
      <c r="L105" s="456"/>
      <c r="M105" s="456"/>
      <c r="N105" s="456"/>
      <c r="O105" s="456"/>
      <c r="P105" s="456"/>
    </row>
    <row r="106" spans="1:16" ht="15.75" x14ac:dyDescent="0.25">
      <c r="A106" s="3"/>
      <c r="B106" s="268"/>
      <c r="C106" s="13"/>
      <c r="D106" s="13"/>
      <c r="E106" s="269"/>
      <c r="F106" s="270"/>
      <c r="G106" s="13"/>
      <c r="H106" s="13"/>
      <c r="I106" s="13"/>
      <c r="L106" s="456"/>
      <c r="M106" s="456"/>
      <c r="N106" s="456"/>
      <c r="O106" s="456"/>
      <c r="P106" s="456"/>
    </row>
    <row r="107" spans="1:16" ht="15.75" x14ac:dyDescent="0.25">
      <c r="A107" s="261"/>
      <c r="B107" s="13"/>
      <c r="C107" s="13"/>
      <c r="D107" s="13"/>
      <c r="E107" s="13"/>
      <c r="F107" s="13"/>
      <c r="G107" s="13"/>
      <c r="H107" s="13"/>
      <c r="I107" s="13"/>
      <c r="L107" s="456"/>
      <c r="M107" s="456"/>
      <c r="N107" s="456"/>
      <c r="O107" s="456"/>
      <c r="P107" s="456"/>
    </row>
    <row r="108" spans="1:16" ht="15.75" x14ac:dyDescent="0.25">
      <c r="A108" s="262" t="s">
        <v>691</v>
      </c>
      <c r="B108" s="13"/>
      <c r="C108" s="13"/>
      <c r="D108" s="13"/>
      <c r="E108" s="13"/>
      <c r="F108" s="13"/>
      <c r="G108" s="13"/>
      <c r="H108" s="13"/>
      <c r="I108" s="13"/>
      <c r="L108" s="456"/>
      <c r="M108" s="456"/>
      <c r="N108" s="456"/>
      <c r="O108" s="456"/>
      <c r="P108" s="456"/>
    </row>
    <row r="109" spans="1:16" ht="15.75" x14ac:dyDescent="0.25">
      <c r="A109" s="262"/>
      <c r="B109" s="13"/>
      <c r="C109" s="13"/>
      <c r="D109" s="13"/>
      <c r="E109" s="13"/>
      <c r="F109" s="13"/>
      <c r="G109" s="13"/>
      <c r="H109" s="13"/>
      <c r="I109" s="13"/>
      <c r="L109" s="456"/>
      <c r="M109" s="456"/>
      <c r="N109" s="456"/>
      <c r="O109" s="456"/>
      <c r="P109" s="456"/>
    </row>
    <row r="110" spans="1:16" ht="15.75" x14ac:dyDescent="0.25">
      <c r="A110" s="261" t="s">
        <v>80</v>
      </c>
      <c r="B110" s="13"/>
      <c r="C110" s="13"/>
      <c r="D110" s="13"/>
      <c r="E110" s="13" t="str">
        <f>_xlfn.CONCAT("Issued by ",CAPA!$B$67)</f>
        <v xml:space="preserve">Issued by DSIC - Dalian Shipbuilding Industry Co., Ltd. </v>
      </c>
      <c r="G110" s="13"/>
      <c r="H110" s="13"/>
      <c r="I110" s="13"/>
      <c r="L110" s="456"/>
      <c r="M110" s="456"/>
      <c r="N110" s="456"/>
      <c r="O110" s="456"/>
      <c r="P110" s="456"/>
    </row>
    <row r="111" spans="1:16" ht="15.75" x14ac:dyDescent="0.25">
      <c r="A111" s="261"/>
      <c r="B111" s="13"/>
      <c r="C111" s="13"/>
      <c r="D111" s="13"/>
      <c r="E111" s="13" t="str">
        <f>_xlfn.CONCAT("on ",CAPA!$B$68,", Dwg. No. ",CAPA!$B$69)</f>
        <v>on 12.11.2013, Dwg. No. DS410-050-4007JS</v>
      </c>
      <c r="G111" s="13"/>
      <c r="H111" s="13"/>
      <c r="I111" s="13"/>
      <c r="L111" s="456"/>
      <c r="M111" s="456"/>
      <c r="N111" s="456"/>
      <c r="O111" s="456"/>
      <c r="P111" s="456"/>
    </row>
    <row r="112" spans="1:16" ht="15.75" x14ac:dyDescent="0.25">
      <c r="A112" s="261"/>
      <c r="B112" s="13"/>
      <c r="C112" s="13"/>
      <c r="D112" s="13"/>
      <c r="E112" s="13" t="str">
        <f>_xlfn.CONCAT("Approved by  ",CAPA!$B$70," on  ",CAPA!$B$71)</f>
        <v>Approved by  DNV on  19.11.2013</v>
      </c>
      <c r="G112" s="13"/>
      <c r="H112" s="13"/>
      <c r="I112" s="13"/>
      <c r="L112" s="456"/>
      <c r="M112" s="456"/>
      <c r="N112" s="456"/>
      <c r="O112" s="456"/>
      <c r="P112" s="456"/>
    </row>
    <row r="113" spans="1:16" ht="15.75" x14ac:dyDescent="0.25">
      <c r="A113" s="261"/>
      <c r="B113" s="13"/>
      <c r="C113" s="13"/>
      <c r="D113" s="13"/>
      <c r="E113" s="14"/>
      <c r="G113" s="14"/>
      <c r="H113" s="14"/>
      <c r="I113" s="13"/>
      <c r="L113" s="456"/>
      <c r="M113" s="456"/>
      <c r="N113" s="456"/>
      <c r="O113" s="456"/>
      <c r="P113" s="456"/>
    </row>
    <row r="114" spans="1:16" ht="15.75" x14ac:dyDescent="0.25">
      <c r="A114" s="261" t="s">
        <v>81</v>
      </c>
      <c r="B114" s="13"/>
      <c r="C114" s="13"/>
      <c r="D114" s="13"/>
      <c r="E114" s="13" t="str">
        <f>$E$110</f>
        <v xml:space="preserve">Issued by DSIC - Dalian Shipbuilding Industry Co., Ltd. </v>
      </c>
      <c r="G114" s="13"/>
      <c r="H114" s="13"/>
      <c r="I114" s="13"/>
      <c r="L114" s="456"/>
      <c r="M114" s="456"/>
      <c r="N114" s="456"/>
      <c r="O114" s="456"/>
      <c r="P114" s="456"/>
    </row>
    <row r="115" spans="1:16" ht="15.75" x14ac:dyDescent="0.25">
      <c r="A115" s="13"/>
      <c r="B115" s="13"/>
      <c r="C115" s="13"/>
      <c r="D115" s="13"/>
      <c r="E115" s="13" t="str">
        <f>_xlfn.CONCAT("on ",CAPA!$B$73," Dwg. no. ",CAPA!$B$74)</f>
        <v>on 2013 Dwg. no. DS410-050-4011JS</v>
      </c>
      <c r="G115" s="13"/>
      <c r="H115" s="13"/>
      <c r="I115" s="13"/>
      <c r="L115" s="456"/>
      <c r="M115" s="456"/>
      <c r="N115" s="456"/>
      <c r="O115" s="456"/>
      <c r="P115" s="456"/>
    </row>
    <row r="116" spans="1:16" ht="15.75" x14ac:dyDescent="0.25">
      <c r="A116" s="13"/>
      <c r="B116" s="13"/>
      <c r="C116" s="13"/>
      <c r="D116" s="13"/>
      <c r="E116" s="13"/>
      <c r="F116" s="13"/>
      <c r="G116" s="13"/>
      <c r="H116" s="13"/>
      <c r="I116" s="13"/>
      <c r="L116" s="456"/>
      <c r="M116" s="456"/>
      <c r="N116" s="456"/>
      <c r="O116" s="456"/>
      <c r="P116" s="456"/>
    </row>
    <row r="117" spans="1:16" ht="15.75" x14ac:dyDescent="0.25">
      <c r="A117" s="262" t="s">
        <v>21</v>
      </c>
      <c r="B117" s="13"/>
      <c r="C117" s="13"/>
      <c r="D117" s="13"/>
      <c r="E117" s="13"/>
      <c r="F117" s="13"/>
      <c r="G117" s="13"/>
      <c r="H117" s="13"/>
      <c r="I117" s="13"/>
      <c r="L117" s="456"/>
      <c r="M117" s="456"/>
      <c r="N117" s="456"/>
      <c r="O117" s="456"/>
      <c r="P117" s="456"/>
    </row>
    <row r="118" spans="1:16" ht="15.75" x14ac:dyDescent="0.25">
      <c r="A118" s="261"/>
      <c r="B118" s="13"/>
      <c r="E118" s="701" t="s">
        <v>82</v>
      </c>
      <c r="F118" s="702" t="s">
        <v>693</v>
      </c>
      <c r="G118" s="831" t="s">
        <v>84</v>
      </c>
      <c r="H118" s="831"/>
      <c r="I118" s="831" t="s">
        <v>85</v>
      </c>
      <c r="J118" s="831"/>
      <c r="K118" s="271"/>
      <c r="L118" s="461"/>
      <c r="M118" s="462"/>
      <c r="N118" s="456"/>
      <c r="O118" s="456"/>
      <c r="P118" s="456"/>
    </row>
    <row r="119" spans="1:16" ht="15.75" x14ac:dyDescent="0.25">
      <c r="A119" s="261" t="s">
        <v>86</v>
      </c>
      <c r="B119" s="10"/>
      <c r="E119" s="272">
        <f>CAPA!$L$78</f>
        <v>0</v>
      </c>
      <c r="F119" s="272">
        <f>CAPA!$M$78</f>
        <v>0</v>
      </c>
      <c r="G119" s="812">
        <f>CAPA!$N$78</f>
        <v>13447.27</v>
      </c>
      <c r="H119" s="812"/>
      <c r="I119" s="812">
        <f>CAPA!$O$78</f>
        <v>0</v>
      </c>
      <c r="J119" s="812"/>
      <c r="K119" s="273"/>
      <c r="L119" s="463"/>
      <c r="M119" s="464"/>
      <c r="N119" s="456"/>
      <c r="O119" s="456"/>
      <c r="P119" s="456"/>
    </row>
    <row r="120" spans="1:16" ht="15.75" x14ac:dyDescent="0.25">
      <c r="A120" s="261" t="s">
        <v>87</v>
      </c>
      <c r="B120" s="10"/>
      <c r="E120" s="272">
        <f>CAPA!$L$79</f>
        <v>0</v>
      </c>
      <c r="F120" s="272">
        <f>CAPA!$M$79</f>
        <v>0</v>
      </c>
      <c r="G120" s="812">
        <f>CAPA!$N$79</f>
        <v>13447.27</v>
      </c>
      <c r="H120" s="812"/>
      <c r="I120" s="812">
        <f>CAPA!$O$79</f>
        <v>0</v>
      </c>
      <c r="J120" s="812"/>
      <c r="K120" s="273"/>
      <c r="L120" s="463"/>
      <c r="M120" s="464"/>
      <c r="N120" s="456"/>
      <c r="O120" s="456"/>
      <c r="P120" s="456"/>
    </row>
    <row r="121" spans="1:16" ht="15.75" x14ac:dyDescent="0.25">
      <c r="A121" s="261" t="s">
        <v>88</v>
      </c>
      <c r="B121" s="10"/>
      <c r="E121" s="272">
        <f>CAPA!$L$80</f>
        <v>5.3739999999999997</v>
      </c>
      <c r="F121" s="272">
        <f>CAPA!$M$80</f>
        <v>14.750999999999999</v>
      </c>
      <c r="G121" s="812">
        <f>CAPA!$N$80</f>
        <v>97720.37000000001</v>
      </c>
      <c r="H121" s="812"/>
      <c r="I121" s="812">
        <f>CAPA!$O$80</f>
        <v>84273.1</v>
      </c>
      <c r="J121" s="812"/>
      <c r="K121" s="273"/>
      <c r="L121" s="463"/>
      <c r="M121" s="464"/>
      <c r="N121" s="456"/>
      <c r="O121" s="456"/>
      <c r="P121" s="456"/>
    </row>
    <row r="122" spans="1:16" ht="15.75" x14ac:dyDescent="0.25">
      <c r="A122" s="261" t="s">
        <v>89</v>
      </c>
      <c r="B122" s="10"/>
      <c r="E122" s="272">
        <f>CAPA!$L$81</f>
        <v>5.6749999999999998</v>
      </c>
      <c r="F122" s="272">
        <f>CAPA!$M$81</f>
        <v>14.45</v>
      </c>
      <c r="G122" s="812">
        <f>CAPA!$N$81</f>
        <v>95544.17</v>
      </c>
      <c r="H122" s="812"/>
      <c r="I122" s="812">
        <f>CAPA!$O$81</f>
        <v>82096.899999999994</v>
      </c>
      <c r="J122" s="812"/>
      <c r="K122" s="273"/>
      <c r="L122" s="463"/>
      <c r="M122" s="464"/>
      <c r="N122" s="456"/>
      <c r="O122" s="456"/>
      <c r="P122" s="456"/>
    </row>
    <row r="123" spans="1:16" ht="15.75" x14ac:dyDescent="0.25">
      <c r="A123" s="261" t="s">
        <v>90</v>
      </c>
      <c r="B123" s="10"/>
      <c r="E123" s="272">
        <f>CAPA!$L$82</f>
        <v>5.976</v>
      </c>
      <c r="F123" s="272">
        <f>CAPA!$M$82</f>
        <v>14.148999999999999</v>
      </c>
      <c r="G123" s="812">
        <f>CAPA!$N$82</f>
        <v>93369.67</v>
      </c>
      <c r="H123" s="812"/>
      <c r="I123" s="812">
        <f>CAPA!$O$82</f>
        <v>79922.399999999994</v>
      </c>
      <c r="J123" s="812"/>
      <c r="K123" s="273"/>
      <c r="L123" s="463"/>
      <c r="M123" s="464"/>
      <c r="N123" s="456"/>
      <c r="O123" s="456"/>
      <c r="P123" s="456"/>
    </row>
    <row r="124" spans="1:16" ht="15.75" x14ac:dyDescent="0.25">
      <c r="A124" s="261"/>
      <c r="B124" s="10"/>
      <c r="C124" s="10"/>
      <c r="D124" s="10"/>
      <c r="E124" s="10"/>
      <c r="F124" s="10"/>
      <c r="G124" s="10"/>
      <c r="H124" s="10"/>
      <c r="I124" s="10"/>
      <c r="L124" s="456"/>
      <c r="M124" s="456"/>
      <c r="N124" s="456"/>
      <c r="O124" s="456"/>
      <c r="P124" s="456"/>
    </row>
    <row r="125" spans="1:16" ht="15.75" x14ac:dyDescent="0.25">
      <c r="A125" s="261"/>
      <c r="B125" s="10"/>
      <c r="C125" s="10"/>
      <c r="D125" s="10"/>
      <c r="E125" s="10"/>
      <c r="F125" s="10"/>
      <c r="G125" s="10"/>
      <c r="H125" s="10"/>
      <c r="I125" s="10"/>
      <c r="L125" s="456"/>
      <c r="M125" s="456"/>
      <c r="N125" s="456"/>
      <c r="O125" s="456"/>
      <c r="P125" s="456"/>
    </row>
    <row r="126" spans="1:16" ht="15.75" x14ac:dyDescent="0.25">
      <c r="A126" s="262" t="s">
        <v>694</v>
      </c>
      <c r="B126" s="10"/>
      <c r="C126" s="10"/>
      <c r="D126" s="10"/>
      <c r="E126" s="10"/>
      <c r="F126" s="10"/>
      <c r="G126" s="10"/>
      <c r="H126" s="10"/>
      <c r="I126" s="10"/>
      <c r="L126" s="456"/>
      <c r="M126" s="456"/>
      <c r="N126" s="456"/>
      <c r="O126" s="456"/>
      <c r="P126" s="456"/>
    </row>
    <row r="127" spans="1:16" x14ac:dyDescent="0.25">
      <c r="A127" s="274"/>
      <c r="B127" s="10"/>
      <c r="C127" s="10"/>
      <c r="D127" s="10"/>
      <c r="E127" s="10"/>
      <c r="F127" s="10"/>
      <c r="G127" s="10"/>
      <c r="H127" s="10"/>
      <c r="I127" s="10"/>
      <c r="L127" s="456"/>
      <c r="M127" s="456"/>
      <c r="N127" s="456"/>
      <c r="O127" s="456"/>
      <c r="P127" s="456"/>
    </row>
    <row r="128" spans="1:16" ht="15.75" x14ac:dyDescent="0.25">
      <c r="A128" s="261" t="s">
        <v>91</v>
      </c>
      <c r="B128" s="10"/>
      <c r="C128" s="10"/>
      <c r="D128" s="10"/>
      <c r="E128" s="390" t="str">
        <f>_xlfn.CONCAT(OrdinalDate(Draft!$E$4),", ",YEAR(Draft!$E$4)," from ",TEXT(Draft!$O$4,"h:mm;@")," until ",TEXT(Draft!$O$6,"h:mm;@")," hrs")</f>
        <v xml:space="preserve"> April 2nd, 2026 from 9:00 until 12:00 hrs</v>
      </c>
      <c r="G128" s="275"/>
      <c r="H128" s="275"/>
      <c r="I128" s="10"/>
      <c r="L128" s="456" t="str">
        <f>_xlfn.CONCAT(TEXT(Draft!$E$4,"[$-en-US]mmmm d, aaaa;@")," from ",TEXT(Draft!$O$4,"h:mm;@")," until ",TEXT(Draft!$O$6,"h:mm;@")," hrs")</f>
        <v>April 2, 2026 from 9:00 until 12:00 hrs</v>
      </c>
      <c r="M128" s="456"/>
      <c r="N128" s="456"/>
      <c r="O128" s="456"/>
      <c r="P128" s="456"/>
    </row>
    <row r="129" spans="1:16" ht="15.75" x14ac:dyDescent="0.25">
      <c r="A129" s="261" t="s">
        <v>92</v>
      </c>
      <c r="B129" s="10"/>
      <c r="C129" s="10"/>
      <c r="D129" s="10"/>
      <c r="E129" s="14" t="str">
        <f>CONCATENATE(Draft!$E$5," (",Draft!$AN$4," ",Draft!H6,")")</f>
        <v>Paranaguá, Br - Brazil (inner roads 8,3)</v>
      </c>
      <c r="G129" s="13"/>
      <c r="H129" s="13"/>
      <c r="I129" s="10"/>
      <c r="L129" s="456"/>
      <c r="M129" s="456"/>
      <c r="N129" s="456"/>
      <c r="O129" s="456"/>
      <c r="P129" s="456"/>
    </row>
    <row r="130" spans="1:16" ht="15.75" x14ac:dyDescent="0.25">
      <c r="A130" s="261" t="s">
        <v>93</v>
      </c>
      <c r="B130" s="10"/>
      <c r="C130" s="10"/>
      <c r="D130" s="10"/>
      <c r="E130" s="391">
        <f>Draft!$O$7</f>
        <v>0.1</v>
      </c>
      <c r="G130" s="13"/>
      <c r="H130" s="13"/>
      <c r="I130" s="10"/>
      <c r="L130" s="456"/>
      <c r="M130" s="456"/>
      <c r="N130" s="456"/>
      <c r="O130" s="456"/>
      <c r="P130" s="456"/>
    </row>
    <row r="131" spans="1:16" ht="15.75" x14ac:dyDescent="0.25">
      <c r="A131" s="261" t="s">
        <v>594</v>
      </c>
      <c r="B131" s="10"/>
      <c r="C131" s="10"/>
      <c r="D131" s="10"/>
      <c r="E131" s="619">
        <f>Draft!$O$8</f>
        <v>1</v>
      </c>
      <c r="F131" s="389"/>
      <c r="G131" s="276"/>
      <c r="H131" s="276"/>
      <c r="I131" s="276"/>
      <c r="L131" s="456"/>
      <c r="M131" s="456"/>
      <c r="N131" s="456"/>
      <c r="O131" s="456"/>
      <c r="P131" s="456"/>
    </row>
    <row r="132" spans="1:16" ht="15.75" x14ac:dyDescent="0.25">
      <c r="A132" s="261" t="s">
        <v>94</v>
      </c>
      <c r="B132" s="10"/>
      <c r="C132" s="10"/>
      <c r="D132" s="10"/>
      <c r="E132" s="14" t="str">
        <f>Draft!$E$8</f>
        <v>Ebb tide, &lt; 1knot</v>
      </c>
      <c r="G132" s="13"/>
      <c r="H132" s="13"/>
      <c r="I132" s="10"/>
      <c r="L132" s="456"/>
      <c r="M132" s="456"/>
      <c r="N132" s="456"/>
      <c r="O132" s="456"/>
      <c r="P132" s="456"/>
    </row>
    <row r="133" spans="1:16" ht="15.75" x14ac:dyDescent="0.25">
      <c r="A133" s="261" t="s">
        <v>95</v>
      </c>
      <c r="B133" s="10"/>
      <c r="C133" s="10"/>
      <c r="D133" s="10"/>
      <c r="E133" s="14" t="str">
        <f>Draft!$E$7</f>
        <v>Fine</v>
      </c>
      <c r="G133" s="13"/>
      <c r="H133" s="13"/>
      <c r="I133" s="10"/>
      <c r="L133" s="456"/>
      <c r="M133" s="456"/>
      <c r="N133" s="456"/>
      <c r="O133" s="456"/>
      <c r="P133" s="456"/>
    </row>
    <row r="134" spans="1:16" ht="15.75" x14ac:dyDescent="0.25">
      <c r="A134" s="261"/>
      <c r="B134" s="10"/>
      <c r="C134" s="10"/>
      <c r="D134" s="10"/>
      <c r="E134" s="10"/>
      <c r="F134" s="13"/>
      <c r="G134" s="13"/>
      <c r="H134" s="13"/>
      <c r="I134" s="10"/>
      <c r="L134" s="456"/>
      <c r="M134" s="456"/>
      <c r="N134" s="456"/>
      <c r="O134" s="456"/>
      <c r="P134" s="456"/>
    </row>
    <row r="135" spans="1:16" ht="15.75" x14ac:dyDescent="0.25">
      <c r="A135" s="261"/>
      <c r="B135" s="10"/>
      <c r="C135" s="10"/>
      <c r="D135" s="10"/>
      <c r="E135" s="10"/>
      <c r="F135" s="13"/>
      <c r="G135" s="13"/>
      <c r="H135" s="13"/>
      <c r="I135" s="10"/>
      <c r="L135" s="456"/>
      <c r="M135" s="456"/>
      <c r="N135" s="456"/>
      <c r="O135" s="456"/>
      <c r="P135" s="456"/>
    </row>
    <row r="136" spans="1:16" ht="15.75" x14ac:dyDescent="0.25">
      <c r="A136" s="262" t="s">
        <v>695</v>
      </c>
      <c r="B136" s="10"/>
      <c r="C136" s="10"/>
      <c r="D136" s="10"/>
      <c r="E136" s="10"/>
      <c r="F136" s="13"/>
      <c r="G136" s="13"/>
      <c r="H136" s="13"/>
      <c r="I136" s="10"/>
      <c r="L136" s="456"/>
      <c r="M136" s="456"/>
      <c r="N136" s="456"/>
      <c r="O136" s="456"/>
      <c r="P136" s="456"/>
    </row>
    <row r="137" spans="1:16" ht="15.75" x14ac:dyDescent="0.25">
      <c r="A137" s="261"/>
      <c r="B137" s="10"/>
      <c r="C137" s="10"/>
      <c r="D137" s="10"/>
      <c r="E137" s="10"/>
      <c r="F137" s="13"/>
      <c r="G137" s="13"/>
      <c r="H137" s="13"/>
      <c r="I137" s="10"/>
      <c r="L137" s="456"/>
      <c r="M137" s="456"/>
      <c r="N137" s="456"/>
      <c r="O137" s="456"/>
      <c r="P137" s="456"/>
    </row>
    <row r="138" spans="1:16" ht="15.75" x14ac:dyDescent="0.25">
      <c r="A138" s="261" t="s">
        <v>91</v>
      </c>
      <c r="B138" s="10"/>
      <c r="C138" s="10"/>
      <c r="D138" s="10"/>
      <c r="E138" s="826" t="str">
        <f>_xlfn.CONCAT(OrdinalDate(Draft!$X$4),", ",YEAR(Draft!$X$4)," from ",TEXT(Draft!$AH$4,"h:mm;@")," until ",TEXT(Draft!$AH$6,"h:mm;@")," hrs")</f>
        <v xml:space="preserve"> April 5th, 2026 from 6:00 until 8:30 hrs</v>
      </c>
      <c r="F138" s="826"/>
      <c r="G138" s="826"/>
      <c r="H138" s="826"/>
      <c r="I138" s="826"/>
      <c r="J138" s="826"/>
      <c r="L138" s="456"/>
      <c r="M138" s="456"/>
      <c r="N138" s="456"/>
      <c r="O138" s="456"/>
      <c r="P138" s="456"/>
    </row>
    <row r="139" spans="1:16" ht="15.75" x14ac:dyDescent="0.25">
      <c r="A139" s="261" t="s">
        <v>92</v>
      </c>
      <c r="B139" s="10"/>
      <c r="C139" s="10"/>
      <c r="D139" s="10"/>
      <c r="E139" s="14" t="str">
        <f>CONCATENATE(Draft!$X$5," (",Draft!$AO$4," ",Draft!$AA$6,")")</f>
        <v>Paranaguá, Br - Brazil (wharf 212)</v>
      </c>
      <c r="G139" s="13"/>
      <c r="H139" s="13"/>
      <c r="I139" s="10"/>
      <c r="L139" s="456"/>
      <c r="M139" s="456"/>
      <c r="N139" s="456"/>
      <c r="O139" s="456"/>
      <c r="P139" s="456"/>
    </row>
    <row r="140" spans="1:16" ht="15.75" x14ac:dyDescent="0.25">
      <c r="A140" s="261" t="s">
        <v>93</v>
      </c>
      <c r="B140" s="10"/>
      <c r="C140" s="10"/>
      <c r="D140" s="10"/>
      <c r="E140" s="391">
        <f>Draft!$AH$7</f>
        <v>0.1</v>
      </c>
      <c r="G140" s="13"/>
      <c r="H140" s="13"/>
      <c r="I140" s="10"/>
      <c r="L140" s="456"/>
      <c r="M140" s="456"/>
      <c r="N140" s="456"/>
      <c r="O140" s="456"/>
      <c r="P140" s="456"/>
    </row>
    <row r="141" spans="1:16" ht="15.75" x14ac:dyDescent="0.25">
      <c r="A141" s="261" t="s">
        <v>594</v>
      </c>
      <c r="B141" s="10"/>
      <c r="C141" s="10"/>
      <c r="D141" s="10"/>
      <c r="E141" s="619">
        <f>Draft!$AH$8</f>
        <v>1</v>
      </c>
      <c r="G141" s="277"/>
      <c r="H141" s="277"/>
      <c r="I141" s="10"/>
      <c r="L141" s="452"/>
      <c r="M141" s="452"/>
      <c r="N141" s="452"/>
      <c r="O141" s="452"/>
      <c r="P141" s="452"/>
    </row>
    <row r="142" spans="1:16" ht="15.75" x14ac:dyDescent="0.25">
      <c r="A142" s="261" t="s">
        <v>94</v>
      </c>
      <c r="B142" s="10"/>
      <c r="C142" s="10"/>
      <c r="D142" s="10"/>
      <c r="E142" s="14" t="str">
        <f>Draft!$X$8</f>
        <v>Ebb tide, &gt;1knot</v>
      </c>
      <c r="G142" s="13"/>
      <c r="H142" s="13"/>
      <c r="I142" s="10"/>
      <c r="L142" s="452"/>
      <c r="M142" s="452"/>
      <c r="N142" s="452"/>
      <c r="O142" s="452"/>
      <c r="P142" s="452"/>
    </row>
    <row r="143" spans="1:16" ht="15.75" x14ac:dyDescent="0.25">
      <c r="A143" s="261" t="s">
        <v>95</v>
      </c>
      <c r="B143" s="10"/>
      <c r="C143" s="10"/>
      <c r="D143" s="10"/>
      <c r="E143" s="14" t="str">
        <f>Draft!$X$7</f>
        <v>Fine</v>
      </c>
      <c r="G143" s="13"/>
      <c r="H143" s="13"/>
      <c r="I143" s="10"/>
      <c r="L143" s="452"/>
      <c r="M143" s="452"/>
      <c r="N143" s="452"/>
      <c r="O143" s="452"/>
      <c r="P143" s="452"/>
    </row>
    <row r="144" spans="1:16" ht="15.75" x14ac:dyDescent="0.25">
      <c r="A144" s="261"/>
      <c r="B144" s="10"/>
      <c r="C144" s="10"/>
      <c r="D144" s="10"/>
      <c r="E144" s="10"/>
      <c r="F144" s="13"/>
      <c r="G144" s="13"/>
      <c r="H144" s="13"/>
      <c r="I144" s="10"/>
      <c r="L144" s="452"/>
      <c r="M144" s="452"/>
      <c r="N144" s="452"/>
      <c r="O144" s="452"/>
      <c r="P144" s="452"/>
    </row>
    <row r="145" spans="1:21" ht="15.75" x14ac:dyDescent="0.25">
      <c r="A145" s="261"/>
      <c r="B145" s="10"/>
      <c r="C145" s="10"/>
      <c r="D145" s="10"/>
      <c r="E145" s="10"/>
      <c r="F145" s="13"/>
      <c r="G145" s="13"/>
      <c r="H145" s="13"/>
      <c r="I145" s="10"/>
      <c r="L145" s="452"/>
      <c r="M145" s="452"/>
      <c r="N145" s="452"/>
      <c r="O145" s="452"/>
      <c r="P145" s="452"/>
    </row>
    <row r="146" spans="1:21" ht="15.75" x14ac:dyDescent="0.25">
      <c r="A146" s="262" t="s">
        <v>96</v>
      </c>
      <c r="B146" s="10"/>
      <c r="C146" s="10"/>
      <c r="D146" s="10"/>
      <c r="E146" s="10"/>
      <c r="F146" s="13"/>
      <c r="G146" s="13"/>
      <c r="H146" s="13"/>
      <c r="I146" s="10"/>
      <c r="L146" s="452"/>
      <c r="M146" s="452"/>
      <c r="N146" s="452"/>
      <c r="O146" s="452"/>
      <c r="P146" s="452"/>
    </row>
    <row r="147" spans="1:21" ht="15.75" x14ac:dyDescent="0.25">
      <c r="A147" s="261"/>
      <c r="B147" s="10"/>
      <c r="C147" s="10"/>
      <c r="D147" s="10"/>
      <c r="E147" s="10"/>
      <c r="F147" s="13"/>
      <c r="G147" s="13"/>
      <c r="H147" s="13"/>
      <c r="I147" s="10"/>
      <c r="L147" s="452"/>
      <c r="M147" s="452"/>
      <c r="N147" s="452"/>
      <c r="O147" s="452"/>
      <c r="P147" s="452"/>
    </row>
    <row r="148" spans="1:21" ht="15.75" x14ac:dyDescent="0.25">
      <c r="A148" s="261" t="s">
        <v>97</v>
      </c>
      <c r="B148" s="10"/>
      <c r="C148" s="10"/>
      <c r="D148" s="10"/>
      <c r="E148" s="14" t="str">
        <f>CAPA!$B$6</f>
        <v>Soybeans in bulk</v>
      </c>
      <c r="G148" s="13"/>
      <c r="H148" s="13"/>
      <c r="I148" s="10"/>
      <c r="L148" s="452"/>
      <c r="M148" s="452"/>
      <c r="N148" s="452"/>
      <c r="O148" s="452"/>
      <c r="P148" s="452"/>
    </row>
    <row r="149" spans="1:21" ht="15.75" x14ac:dyDescent="0.25">
      <c r="A149" s="261" t="s">
        <v>98</v>
      </c>
      <c r="B149" s="10"/>
      <c r="C149" s="10"/>
      <c r="D149" s="10"/>
      <c r="E149" s="14" t="str">
        <f>_xlfn.CONCAT("Port of ",Draft!$E$5)</f>
        <v>Port of Paranaguá, Br - Brazil</v>
      </c>
      <c r="G149" s="13"/>
      <c r="H149" s="13"/>
      <c r="I149" s="10"/>
      <c r="L149" s="452"/>
      <c r="M149" s="452"/>
      <c r="N149" s="452"/>
      <c r="O149" s="452"/>
      <c r="P149" s="452"/>
    </row>
    <row r="150" spans="1:21" ht="15.75" x14ac:dyDescent="0.25">
      <c r="A150" s="261" t="s">
        <v>99</v>
      </c>
      <c r="B150" s="10"/>
      <c r="C150" s="10"/>
      <c r="D150" s="10"/>
      <c r="E150" s="14" t="str">
        <f>CAPA!$B$38</f>
        <v>One China Port</v>
      </c>
      <c r="G150" s="13"/>
      <c r="H150" s="13"/>
      <c r="I150" s="10"/>
      <c r="L150" s="452"/>
      <c r="M150" s="452"/>
      <c r="N150" s="452"/>
      <c r="O150" s="452"/>
      <c r="P150" s="452"/>
    </row>
    <row r="151" spans="1:21" ht="15.75" x14ac:dyDescent="0.25">
      <c r="A151" s="261" t="s">
        <v>100</v>
      </c>
      <c r="B151" s="10"/>
      <c r="C151" s="10"/>
      <c r="D151" s="10"/>
      <c r="E151" s="14" t="str">
        <f>CAPA!$B$36</f>
        <v>Barley on bulk</v>
      </c>
      <c r="G151" s="13"/>
      <c r="H151" s="13"/>
      <c r="I151" s="10"/>
      <c r="L151" s="452"/>
      <c r="M151" s="453" t="s">
        <v>555</v>
      </c>
      <c r="N151" s="454" t="s">
        <v>314</v>
      </c>
      <c r="O151" s="455"/>
      <c r="P151" s="455"/>
      <c r="Q151" s="10"/>
      <c r="R151" s="10"/>
      <c r="S151" s="10"/>
      <c r="T151" s="10"/>
      <c r="U151" s="10"/>
    </row>
    <row r="152" spans="1:21" ht="15.75" x14ac:dyDescent="0.25">
      <c r="A152" s="261" t="s">
        <v>101</v>
      </c>
      <c r="B152" s="10"/>
      <c r="C152" s="10"/>
      <c r="D152" s="10"/>
      <c r="E152" s="14" t="str">
        <f>CAPA!$B$37</f>
        <v>Zhangzhou, China</v>
      </c>
      <c r="G152" s="13"/>
      <c r="H152" s="13"/>
      <c r="I152" s="10"/>
      <c r="L152" s="452"/>
      <c r="M152" s="453" t="s">
        <v>556</v>
      </c>
      <c r="N152" s="454" t="s">
        <v>316</v>
      </c>
      <c r="O152" s="455"/>
      <c r="P152" s="455"/>
      <c r="Q152" s="10"/>
      <c r="R152" s="10"/>
      <c r="S152" s="10"/>
      <c r="T152" s="10"/>
      <c r="U152" s="10"/>
    </row>
    <row r="153" spans="1:21" ht="15.75" x14ac:dyDescent="0.25">
      <c r="A153" s="261"/>
      <c r="B153" s="10"/>
      <c r="C153" s="10"/>
      <c r="D153" s="10"/>
      <c r="E153" s="10"/>
      <c r="F153" s="13"/>
      <c r="G153" s="13"/>
      <c r="H153" s="13"/>
      <c r="I153" s="10"/>
      <c r="L153" s="452"/>
      <c r="M153" s="453" t="s">
        <v>557</v>
      </c>
      <c r="N153" s="454" t="s">
        <v>317</v>
      </c>
      <c r="O153" s="455"/>
      <c r="P153" s="455"/>
      <c r="Q153" s="10"/>
      <c r="R153" s="10"/>
      <c r="S153" s="10"/>
      <c r="T153" s="10"/>
      <c r="U153" s="10"/>
    </row>
    <row r="154" spans="1:21" ht="15.75" x14ac:dyDescent="0.25">
      <c r="A154" s="261"/>
      <c r="B154" s="10"/>
      <c r="C154" s="10"/>
      <c r="D154" s="10"/>
      <c r="E154" s="10"/>
      <c r="F154" s="10"/>
      <c r="G154" s="10"/>
      <c r="H154" s="10"/>
      <c r="I154" s="10"/>
      <c r="L154" s="452"/>
      <c r="M154" s="453" t="s">
        <v>558</v>
      </c>
      <c r="N154" s="454" t="s">
        <v>319</v>
      </c>
      <c r="O154" s="455"/>
      <c r="P154" s="455"/>
      <c r="Q154" s="10"/>
      <c r="R154" s="10"/>
      <c r="S154" s="10"/>
      <c r="T154" s="10"/>
      <c r="U154" s="10"/>
    </row>
    <row r="155" spans="1:21" ht="15.75" x14ac:dyDescent="0.25">
      <c r="A155" s="278" t="s">
        <v>102</v>
      </c>
      <c r="B155" s="278"/>
      <c r="C155" s="10"/>
      <c r="D155" s="10"/>
      <c r="E155" s="10"/>
      <c r="F155" s="10"/>
      <c r="G155" s="17"/>
      <c r="H155" s="824">
        <f>$I$211</f>
        <v>70069.13</v>
      </c>
      <c r="I155" s="824"/>
      <c r="J155" s="10" t="s">
        <v>103</v>
      </c>
      <c r="L155" s="452"/>
      <c r="M155" s="453" t="s">
        <v>559</v>
      </c>
      <c r="N155" s="454" t="s">
        <v>320</v>
      </c>
      <c r="O155" s="455"/>
      <c r="P155" s="455"/>
      <c r="Q155" s="10"/>
      <c r="R155" s="10"/>
      <c r="S155" s="10"/>
      <c r="T155" s="10"/>
      <c r="U155" s="10"/>
    </row>
    <row r="156" spans="1:21" ht="15.75" x14ac:dyDescent="0.25">
      <c r="A156" s="261"/>
      <c r="B156" s="10"/>
      <c r="C156" s="10"/>
      <c r="D156" s="10"/>
      <c r="E156" s="10"/>
      <c r="F156" s="10"/>
      <c r="G156" s="12"/>
      <c r="H156" s="10"/>
      <c r="I156" s="10"/>
      <c r="J156" s="10"/>
      <c r="L156" s="452"/>
      <c r="M156" s="453" t="s">
        <v>557</v>
      </c>
      <c r="N156" s="454" t="s">
        <v>321</v>
      </c>
      <c r="O156" s="455"/>
      <c r="P156" s="455"/>
      <c r="Q156" s="10"/>
      <c r="R156" s="10"/>
      <c r="S156" s="10"/>
      <c r="T156" s="10"/>
      <c r="U156" s="10"/>
    </row>
    <row r="157" spans="1:21" ht="15.75" x14ac:dyDescent="0.25">
      <c r="A157" s="278" t="s">
        <v>698</v>
      </c>
      <c r="B157" s="278"/>
      <c r="C157" s="13"/>
      <c r="D157" s="13" t="s">
        <v>104</v>
      </c>
      <c r="E157" s="10"/>
      <c r="G157" s="17"/>
      <c r="H157" s="824">
        <f>$I$212</f>
        <v>70092.861594392569</v>
      </c>
      <c r="I157" s="824"/>
      <c r="J157" s="10" t="s">
        <v>103</v>
      </c>
      <c r="L157" s="452"/>
      <c r="M157" s="453" t="s">
        <v>560</v>
      </c>
      <c r="N157" s="454" t="s">
        <v>322</v>
      </c>
      <c r="O157" s="455"/>
      <c r="P157" s="455"/>
      <c r="Q157" s="10"/>
      <c r="R157" s="10"/>
      <c r="S157" s="10"/>
      <c r="T157" s="10"/>
      <c r="U157" s="10"/>
    </row>
    <row r="158" spans="1:21" ht="15.75" x14ac:dyDescent="0.25">
      <c r="A158" s="279"/>
      <c r="B158" s="279"/>
      <c r="C158" s="14"/>
      <c r="D158" s="14" t="s">
        <v>105</v>
      </c>
      <c r="E158" s="10"/>
      <c r="G158" s="17"/>
      <c r="H158" s="824">
        <f>$H$216</f>
        <v>70044.259999999995</v>
      </c>
      <c r="I158" s="824"/>
      <c r="J158" s="10" t="s">
        <v>103</v>
      </c>
      <c r="L158" s="452"/>
      <c r="M158" s="452" t="s">
        <v>605</v>
      </c>
      <c r="N158" s="70" t="s">
        <v>63</v>
      </c>
      <c r="O158" s="452"/>
      <c r="P158" s="452"/>
    </row>
    <row r="159" spans="1:21" ht="15.75" x14ac:dyDescent="0.25">
      <c r="A159" s="279"/>
      <c r="B159" s="279"/>
      <c r="C159" s="13"/>
      <c r="D159" s="13" t="s">
        <v>106</v>
      </c>
      <c r="E159" s="13"/>
      <c r="G159" s="17"/>
      <c r="H159" s="824">
        <f>$H$217</f>
        <v>70136.372000000003</v>
      </c>
      <c r="I159" s="824"/>
      <c r="J159" s="10" t="s">
        <v>103</v>
      </c>
      <c r="L159" s="452"/>
      <c r="M159" s="452" t="s">
        <v>606</v>
      </c>
      <c r="N159" s="70" t="s">
        <v>604</v>
      </c>
      <c r="O159" s="452"/>
      <c r="P159" s="452"/>
    </row>
    <row r="160" spans="1:21" ht="15.75" x14ac:dyDescent="0.25">
      <c r="A160" s="279"/>
      <c r="B160" s="279"/>
      <c r="C160" s="15"/>
      <c r="D160" s="15" t="str">
        <f>IFERROR(_xlfn.IFS(Draft!U84=N151,M151,Draft!U84=N152,M152,Draft!U84=N153,M153,Draft!U84=N154,M154,Draft!U84=N155,M155,Draft!U84=N156,M156,Draft!U84=N157,M157,Draft!U84=N158,M158,Draft!U84=N159,M159),"")</f>
        <v>CONSIGNEES SURVEYOR:</v>
      </c>
      <c r="E160" s="15"/>
      <c r="G160" s="17"/>
      <c r="H160" s="824">
        <f>Draft!$X$84</f>
        <v>70106.301000000007</v>
      </c>
      <c r="I160" s="824"/>
      <c r="J160" s="10" t="s">
        <v>103</v>
      </c>
      <c r="L160" s="452"/>
      <c r="M160" s="452"/>
      <c r="N160" s="452"/>
      <c r="O160" s="452"/>
      <c r="P160" s="452"/>
    </row>
    <row r="161" spans="1:16" ht="7.5" customHeight="1" thickBot="1" x14ac:dyDescent="0.3">
      <c r="A161" s="289"/>
      <c r="B161" s="289"/>
      <c r="C161" s="290"/>
      <c r="D161" s="290"/>
      <c r="E161" s="290"/>
      <c r="F161" s="290"/>
      <c r="G161" s="291"/>
      <c r="H161" s="292"/>
      <c r="I161" s="293"/>
      <c r="J161" s="294"/>
      <c r="L161" s="452"/>
      <c r="M161" s="452"/>
      <c r="N161" s="452"/>
      <c r="O161" s="452"/>
      <c r="P161" s="452"/>
    </row>
    <row r="162" spans="1:16" ht="21" customHeight="1" thickBot="1" x14ac:dyDescent="0.45">
      <c r="A162" s="295"/>
      <c r="B162" s="292"/>
      <c r="C162" s="292"/>
      <c r="D162" s="292"/>
      <c r="E162" s="292"/>
      <c r="F162" s="296"/>
      <c r="G162" s="833" t="s">
        <v>107</v>
      </c>
      <c r="H162" s="834"/>
      <c r="I162" s="835" t="s">
        <v>108</v>
      </c>
      <c r="J162" s="836"/>
      <c r="L162" s="452"/>
      <c r="M162" s="452"/>
      <c r="N162" s="452"/>
      <c r="O162" s="452"/>
      <c r="P162" s="452"/>
    </row>
    <row r="163" spans="1:16" ht="14.1" customHeight="1" x14ac:dyDescent="0.25">
      <c r="A163" s="791" t="str">
        <f>$A$1</f>
        <v xml:space="preserve">M/V "Wen De" </v>
      </c>
      <c r="B163" s="792"/>
      <c r="C163" s="792"/>
      <c r="D163" s="792"/>
      <c r="E163" s="792"/>
      <c r="F163" s="793"/>
      <c r="G163" s="800" t="str">
        <f>_xlfn.CONCAT(Draft!$E$6," ",Draft!$H$6)</f>
        <v>Inner roads 8,3</v>
      </c>
      <c r="H163" s="800"/>
      <c r="I163" s="801" t="str">
        <f>_xlfn.CONCAT(Draft!$X$6," ",Draft!$AA$6)</f>
        <v>Wharf 212</v>
      </c>
      <c r="J163" s="802"/>
      <c r="L163" s="452"/>
      <c r="M163" s="452"/>
      <c r="N163" s="452"/>
      <c r="O163" s="452"/>
      <c r="P163" s="452"/>
    </row>
    <row r="164" spans="1:16" ht="14.1" customHeight="1" x14ac:dyDescent="0.25">
      <c r="A164" s="794"/>
      <c r="B164" s="795"/>
      <c r="C164" s="795"/>
      <c r="D164" s="795"/>
      <c r="E164" s="795"/>
      <c r="F164" s="796"/>
      <c r="G164" s="815" t="str">
        <f>_xlfn.CONCAT(TEXT(Draft!$E$4,"dd.mm.aaaa")," - ",TEXT(Draft!$O$5,"hh:mm")," h")</f>
        <v>02.04.2026 - 09:05 h</v>
      </c>
      <c r="H164" s="816"/>
      <c r="I164" s="815" t="str">
        <f>_xlfn.CONCAT(TEXT(Draft!$X$4,"dd.mm.aaaa")," - ",TEXT(Draft!$AH$5,"hh:mm")," h")</f>
        <v>05.04.2026 - 06:15 h</v>
      </c>
      <c r="J164" s="817"/>
      <c r="L164" s="452" t="str">
        <f>_xlfn.CONCAT(OrdinalDate(Draft!$X$4),", ",YEAR(Draft!$X$4))</f>
        <v xml:space="preserve"> April 5th, 2026</v>
      </c>
      <c r="M164" s="452"/>
      <c r="N164" s="452"/>
      <c r="O164" s="452"/>
      <c r="P164" s="452"/>
    </row>
    <row r="165" spans="1:16" ht="14.1" customHeight="1" x14ac:dyDescent="0.25">
      <c r="A165" s="797"/>
      <c r="B165" s="798"/>
      <c r="C165" s="798"/>
      <c r="D165" s="798"/>
      <c r="E165" s="798"/>
      <c r="F165" s="799"/>
      <c r="G165" s="803">
        <f>Draft!$O$7</f>
        <v>0.1</v>
      </c>
      <c r="H165" s="804"/>
      <c r="I165" s="803">
        <f>Draft!$AH$7</f>
        <v>0.1</v>
      </c>
      <c r="J165" s="805"/>
      <c r="L165" s="452"/>
      <c r="M165" s="452"/>
      <c r="N165" s="452"/>
      <c r="O165" s="452"/>
      <c r="P165" s="452"/>
    </row>
    <row r="166" spans="1:16" ht="14.1" customHeight="1" x14ac:dyDescent="0.25">
      <c r="A166" s="811" t="str">
        <f>_xlfn.CONCAT("IMO NO.  ",CAPA!$B$10)</f>
        <v>IMO NO.  9642772</v>
      </c>
      <c r="B166" s="806"/>
      <c r="C166" s="806" t="str">
        <f>_xlfn.CONCAT("FLAG:  ",CAPA!$B$14)</f>
        <v>FLAG:  Hongkongese</v>
      </c>
      <c r="D166" s="806"/>
      <c r="E166" s="806" t="str">
        <f>_xlfn.CONCAT("BUILD:  ",CAPA!$B$9)</f>
        <v>BUILD:  2013</v>
      </c>
      <c r="F166" s="807"/>
      <c r="G166" s="808" t="str">
        <f>CONCATENATE("Wind force ",TEXT(Draft!$O$8,"00"))</f>
        <v>Wind force 01</v>
      </c>
      <c r="H166" s="809"/>
      <c r="I166" s="808" t="str">
        <f>CONCATENATE("Wind force ",TEXT(Draft!$AH$8,"00"))</f>
        <v>Wind force 01</v>
      </c>
      <c r="J166" s="809"/>
      <c r="L166" s="452"/>
      <c r="M166" s="452"/>
      <c r="N166" s="452"/>
      <c r="O166" s="452"/>
      <c r="P166" s="452"/>
    </row>
    <row r="167" spans="1:16" ht="14.1" customHeight="1" x14ac:dyDescent="0.25">
      <c r="A167" s="439" t="str">
        <f>IF(Draft!H84="NÃO","DRAUGHT SURVEY CERTIFICATE","FULL DISPLACEMENT SURVEY CERTIFICATE")</f>
        <v>DRAUGHT SURVEY CERTIFICATE</v>
      </c>
      <c r="B167" s="297"/>
      <c r="C167" s="297"/>
      <c r="D167" s="297"/>
      <c r="E167" s="297"/>
      <c r="F167" s="298"/>
      <c r="G167" s="808" t="str">
        <f>Draft!$E$8</f>
        <v>Ebb tide, &lt; 1knot</v>
      </c>
      <c r="H167" s="809"/>
      <c r="I167" s="808" t="str">
        <f>Draft!$X$8</f>
        <v>Ebb tide, &gt;1knot</v>
      </c>
      <c r="J167" s="810"/>
      <c r="L167" s="452"/>
      <c r="M167" s="452"/>
      <c r="N167" s="452"/>
      <c r="O167" s="452"/>
      <c r="P167" s="452"/>
    </row>
    <row r="168" spans="1:16" ht="14.1" customHeight="1" thickBot="1" x14ac:dyDescent="0.3">
      <c r="A168" s="440" t="str">
        <f>$G$3</f>
        <v>PGUA/DS/106/26</v>
      </c>
      <c r="B168" s="299"/>
      <c r="C168" s="299"/>
      <c r="D168" s="299"/>
      <c r="E168" s="299"/>
      <c r="F168" s="300"/>
      <c r="G168" s="818" t="str">
        <f>_xlfn.CONCAT("Weather:   ",Draft!$E$7)</f>
        <v>Weather:   Fine</v>
      </c>
      <c r="H168" s="819"/>
      <c r="I168" s="818" t="str">
        <f>_xlfn.CONCAT("Weather:   ",Draft!$X$7)</f>
        <v>Weather:   Fine</v>
      </c>
      <c r="J168" s="820"/>
      <c r="L168" s="452"/>
      <c r="M168" s="452"/>
      <c r="N168" s="452"/>
      <c r="O168" s="452"/>
      <c r="P168" s="452"/>
    </row>
    <row r="169" spans="1:16" ht="3.75" customHeight="1" thickBot="1" x14ac:dyDescent="0.3">
      <c r="A169" s="301"/>
      <c r="B169" s="301"/>
      <c r="C169" s="301"/>
      <c r="D169" s="301"/>
      <c r="E169" s="301"/>
      <c r="F169" s="302"/>
      <c r="G169" s="301"/>
      <c r="H169" s="301"/>
      <c r="I169" s="303"/>
      <c r="J169" s="304"/>
      <c r="L169" s="452"/>
      <c r="M169" s="452"/>
      <c r="N169" s="452"/>
      <c r="O169" s="452"/>
      <c r="P169" s="452"/>
    </row>
    <row r="170" spans="1:16" ht="12.95" customHeight="1" x14ac:dyDescent="0.25">
      <c r="A170" s="321" t="s">
        <v>699</v>
      </c>
      <c r="B170" s="331"/>
      <c r="C170" s="331"/>
      <c r="D170" s="331"/>
      <c r="E170" s="331"/>
      <c r="F170" s="332"/>
      <c r="G170" s="779" t="s">
        <v>109</v>
      </c>
      <c r="H170" s="780"/>
      <c r="I170" s="813" t="s">
        <v>110</v>
      </c>
      <c r="J170" s="814"/>
      <c r="L170" s="452"/>
      <c r="M170" s="452"/>
      <c r="N170" s="452"/>
      <c r="O170" s="452"/>
      <c r="P170" s="452"/>
    </row>
    <row r="171" spans="1:16" ht="12.95" customHeight="1" x14ac:dyDescent="0.25">
      <c r="A171" s="333" t="s">
        <v>111</v>
      </c>
      <c r="B171" s="307"/>
      <c r="C171" s="307"/>
      <c r="D171" s="307"/>
      <c r="E171" s="307"/>
      <c r="F171" s="308"/>
      <c r="G171" s="741">
        <f>Draft!$C$25</f>
        <v>4.58</v>
      </c>
      <c r="H171" s="742"/>
      <c r="I171" s="747">
        <f>Draft!$U$25</f>
        <v>13.14</v>
      </c>
      <c r="J171" s="748"/>
      <c r="L171" s="452"/>
      <c r="M171" s="452"/>
      <c r="N171" s="452"/>
      <c r="O171" s="452"/>
      <c r="P171" s="452"/>
    </row>
    <row r="172" spans="1:16" ht="12.95" customHeight="1" x14ac:dyDescent="0.25">
      <c r="A172" s="444" t="s">
        <v>112</v>
      </c>
      <c r="B172" s="310"/>
      <c r="C172" s="310"/>
      <c r="D172" s="310"/>
      <c r="E172" s="310"/>
      <c r="F172" s="311"/>
      <c r="G172" s="732">
        <f>Draft!$G$25</f>
        <v>4.72</v>
      </c>
      <c r="H172" s="733"/>
      <c r="I172" s="749">
        <f>Draft!$Y$25</f>
        <v>13.15</v>
      </c>
      <c r="J172" s="750"/>
      <c r="L172" s="452"/>
      <c r="M172" s="452"/>
      <c r="N172" s="452"/>
      <c r="O172" s="452"/>
      <c r="P172" s="452"/>
    </row>
    <row r="173" spans="1:16" ht="12.95" customHeight="1" x14ac:dyDescent="0.25">
      <c r="A173" s="334" t="s">
        <v>113</v>
      </c>
      <c r="B173" s="310"/>
      <c r="C173" s="310"/>
      <c r="D173" s="310"/>
      <c r="E173" s="310"/>
      <c r="F173" s="311"/>
      <c r="G173" s="732">
        <f>($G$171+$G$172)/2</f>
        <v>4.6500000000000004</v>
      </c>
      <c r="H173" s="733"/>
      <c r="I173" s="732">
        <f>($I$171+$I$172)/2</f>
        <v>13.145</v>
      </c>
      <c r="J173" s="750"/>
      <c r="L173" s="452"/>
      <c r="M173" s="452"/>
      <c r="N173" s="452"/>
      <c r="O173" s="452"/>
      <c r="P173" s="452"/>
    </row>
    <row r="174" spans="1:16" ht="12.95" customHeight="1" x14ac:dyDescent="0.25">
      <c r="A174" s="444" t="s">
        <v>114</v>
      </c>
      <c r="B174" s="309"/>
      <c r="C174" s="309"/>
      <c r="D174" s="309"/>
      <c r="E174" s="309"/>
      <c r="F174" s="312"/>
      <c r="G174" s="734">
        <f>Draft!$M$25</f>
        <v>-0.17370000000000108</v>
      </c>
      <c r="H174" s="735"/>
      <c r="I174" s="743">
        <f>Draft!$AE$25</f>
        <v>-2.0399999999998641E-2</v>
      </c>
      <c r="J174" s="744"/>
      <c r="L174" s="452"/>
      <c r="M174" s="452"/>
      <c r="N174" s="452"/>
      <c r="O174" s="452"/>
      <c r="P174" s="452"/>
    </row>
    <row r="175" spans="1:16" ht="12.95" customHeight="1" x14ac:dyDescent="0.25">
      <c r="A175" s="325" t="s">
        <v>700</v>
      </c>
      <c r="B175" s="305"/>
      <c r="C175" s="305"/>
      <c r="D175" s="305"/>
      <c r="E175" s="305"/>
      <c r="F175" s="306"/>
      <c r="G175" s="739">
        <f>Draft!$P$25</f>
        <v>4.4762999999999993</v>
      </c>
      <c r="H175" s="740"/>
      <c r="I175" s="745">
        <f>Draft!$AH$25</f>
        <v>13.124600000000001</v>
      </c>
      <c r="J175" s="746"/>
      <c r="L175" s="452"/>
      <c r="M175" s="452"/>
      <c r="N175" s="452"/>
      <c r="O175" s="452"/>
      <c r="P175" s="452"/>
    </row>
    <row r="176" spans="1:16" ht="12.95" customHeight="1" x14ac:dyDescent="0.25">
      <c r="A176" s="333" t="s">
        <v>115</v>
      </c>
      <c r="B176" s="307"/>
      <c r="C176" s="307"/>
      <c r="D176" s="307"/>
      <c r="E176" s="307"/>
      <c r="F176" s="308"/>
      <c r="G176" s="741">
        <f>Draft!$C$26</f>
        <v>5.72</v>
      </c>
      <c r="H176" s="742"/>
      <c r="I176" s="747">
        <f>Draft!$U$26</f>
        <v>13.27</v>
      </c>
      <c r="J176" s="748"/>
      <c r="L176" s="452"/>
      <c r="M176" s="452"/>
      <c r="N176" s="452"/>
      <c r="O176" s="452"/>
      <c r="P176" s="452"/>
    </row>
    <row r="177" spans="1:16" ht="12.95" customHeight="1" x14ac:dyDescent="0.25">
      <c r="A177" s="444" t="s">
        <v>116</v>
      </c>
      <c r="B177" s="310"/>
      <c r="C177" s="310"/>
      <c r="D177" s="310"/>
      <c r="E177" s="310"/>
      <c r="F177" s="311"/>
      <c r="G177" s="732">
        <f>Draft!$G$26</f>
        <v>5.92</v>
      </c>
      <c r="H177" s="733"/>
      <c r="I177" s="749">
        <f>Draft!$Y$26</f>
        <v>13.28</v>
      </c>
      <c r="J177" s="750"/>
      <c r="L177" s="452"/>
      <c r="M177" s="452"/>
      <c r="N177" s="452"/>
      <c r="O177" s="452"/>
      <c r="P177" s="452"/>
    </row>
    <row r="178" spans="1:16" ht="12.95" customHeight="1" x14ac:dyDescent="0.25">
      <c r="A178" s="334" t="s">
        <v>117</v>
      </c>
      <c r="B178" s="310"/>
      <c r="C178" s="310"/>
      <c r="D178" s="310"/>
      <c r="E178" s="310"/>
      <c r="F178" s="311"/>
      <c r="G178" s="732">
        <f>($G$176+$G$177)/2</f>
        <v>5.82</v>
      </c>
      <c r="H178" s="733"/>
      <c r="I178" s="732">
        <f>($I$176+$I$177)/2</f>
        <v>13.274999999999999</v>
      </c>
      <c r="J178" s="750"/>
      <c r="L178" s="452"/>
      <c r="M178" s="452"/>
      <c r="N178" s="452"/>
      <c r="O178" s="452"/>
      <c r="P178" s="452"/>
    </row>
    <row r="179" spans="1:16" ht="12.95" customHeight="1" x14ac:dyDescent="0.25">
      <c r="A179" s="444" t="s">
        <v>118</v>
      </c>
      <c r="B179" s="309"/>
      <c r="C179" s="309"/>
      <c r="D179" s="309"/>
      <c r="E179" s="309"/>
      <c r="F179" s="312"/>
      <c r="G179" s="734">
        <f>Draft!$M$26</f>
        <v>-4.2700000000000848E-2</v>
      </c>
      <c r="H179" s="735"/>
      <c r="I179" s="743">
        <f>Draft!$AE$26</f>
        <v>-1.8799999999998818E-2</v>
      </c>
      <c r="J179" s="744"/>
      <c r="L179" s="452"/>
      <c r="M179" s="452"/>
      <c r="N179" s="452"/>
      <c r="O179" s="452"/>
      <c r="P179" s="452"/>
    </row>
    <row r="180" spans="1:16" ht="12.95" customHeight="1" x14ac:dyDescent="0.25">
      <c r="A180" s="325" t="s">
        <v>701</v>
      </c>
      <c r="B180" s="305"/>
      <c r="C180" s="305"/>
      <c r="D180" s="305"/>
      <c r="E180" s="305"/>
      <c r="F180" s="306"/>
      <c r="G180" s="739">
        <f>Draft!$P$26</f>
        <v>5.7772999999999994</v>
      </c>
      <c r="H180" s="740"/>
      <c r="I180" s="745">
        <f>Draft!$AH$26</f>
        <v>13.2562</v>
      </c>
      <c r="J180" s="746"/>
      <c r="L180" s="452"/>
      <c r="M180" s="452"/>
      <c r="N180" s="452"/>
      <c r="O180" s="452"/>
      <c r="P180" s="452"/>
    </row>
    <row r="181" spans="1:16" ht="12.95" customHeight="1" x14ac:dyDescent="0.25">
      <c r="A181" s="333" t="s">
        <v>119</v>
      </c>
      <c r="B181" s="307"/>
      <c r="C181" s="307"/>
      <c r="D181" s="307"/>
      <c r="E181" s="307"/>
      <c r="F181" s="308"/>
      <c r="G181" s="741">
        <f>Draft!$C$27</f>
        <v>7.13</v>
      </c>
      <c r="H181" s="742"/>
      <c r="I181" s="747">
        <f>Draft!$U$27</f>
        <v>13.17</v>
      </c>
      <c r="J181" s="748"/>
      <c r="L181" s="452"/>
      <c r="M181" s="452"/>
      <c r="N181" s="452"/>
      <c r="O181" s="452"/>
      <c r="P181" s="452"/>
    </row>
    <row r="182" spans="1:16" ht="12.95" customHeight="1" x14ac:dyDescent="0.25">
      <c r="A182" s="334" t="s">
        <v>120</v>
      </c>
      <c r="B182" s="310"/>
      <c r="C182" s="310"/>
      <c r="D182" s="310"/>
      <c r="E182" s="310"/>
      <c r="F182" s="311"/>
      <c r="G182" s="732">
        <f>Draft!$G$27</f>
        <v>7.12</v>
      </c>
      <c r="H182" s="733"/>
      <c r="I182" s="749">
        <f>Draft!$Y$27</f>
        <v>13.18</v>
      </c>
      <c r="J182" s="750"/>
      <c r="L182" s="452"/>
      <c r="M182" s="452"/>
      <c r="N182" s="452"/>
      <c r="O182" s="452"/>
      <c r="P182" s="452"/>
    </row>
    <row r="183" spans="1:16" ht="12.95" customHeight="1" x14ac:dyDescent="0.25">
      <c r="A183" s="334" t="s">
        <v>121</v>
      </c>
      <c r="B183" s="310"/>
      <c r="C183" s="310"/>
      <c r="D183" s="310"/>
      <c r="E183" s="310"/>
      <c r="F183" s="311"/>
      <c r="G183" s="732">
        <f>($G$181+$G$182)/2</f>
        <v>7.125</v>
      </c>
      <c r="H183" s="733"/>
      <c r="I183" s="732">
        <f>($I$181+$I$182)/2</f>
        <v>13.175000000000001</v>
      </c>
      <c r="J183" s="750"/>
      <c r="L183" s="452"/>
      <c r="M183" s="452"/>
      <c r="N183" s="452"/>
      <c r="O183" s="452"/>
      <c r="P183" s="452"/>
    </row>
    <row r="184" spans="1:16" ht="12.95" customHeight="1" x14ac:dyDescent="0.25">
      <c r="A184" s="444" t="s">
        <v>122</v>
      </c>
      <c r="B184" s="309"/>
      <c r="C184" s="309"/>
      <c r="D184" s="309"/>
      <c r="E184" s="309"/>
      <c r="F184" s="312"/>
      <c r="G184" s="734">
        <f>Draft!$M$27</f>
        <v>8.8899999999999757E-2</v>
      </c>
      <c r="H184" s="735"/>
      <c r="I184" s="743">
        <f>Draft!$AE$27</f>
        <v>-1.699999999999946E-2</v>
      </c>
      <c r="J184" s="744"/>
      <c r="L184" s="452"/>
      <c r="M184" s="452"/>
      <c r="N184" s="452"/>
      <c r="O184" s="452"/>
      <c r="P184" s="452"/>
    </row>
    <row r="185" spans="1:16" ht="12.95" customHeight="1" x14ac:dyDescent="0.25">
      <c r="A185" s="325" t="s">
        <v>702</v>
      </c>
      <c r="B185" s="305"/>
      <c r="C185" s="305"/>
      <c r="D185" s="305"/>
      <c r="E185" s="305"/>
      <c r="F185" s="306"/>
      <c r="G185" s="739">
        <f>Draft!$P$27</f>
        <v>7.2138999999999998</v>
      </c>
      <c r="H185" s="740"/>
      <c r="I185" s="745">
        <f>Draft!$AH$27</f>
        <v>13.158000000000001</v>
      </c>
      <c r="J185" s="746"/>
      <c r="L185" s="452"/>
      <c r="M185" s="452"/>
      <c r="N185" s="452"/>
      <c r="O185" s="452"/>
      <c r="P185" s="452"/>
    </row>
    <row r="186" spans="1:16" ht="12.95" customHeight="1" thickBot="1" x14ac:dyDescent="0.3">
      <c r="A186" s="445" t="s">
        <v>123</v>
      </c>
      <c r="B186" s="313"/>
      <c r="C186" s="313"/>
      <c r="D186" s="313"/>
      <c r="E186" s="313"/>
      <c r="F186" s="314"/>
      <c r="G186" s="783">
        <f>Draft!$O$20+Draft!$H$18</f>
        <v>1.8499999999999999E-2</v>
      </c>
      <c r="H186" s="784"/>
      <c r="I186" s="775">
        <f>$G$186</f>
        <v>1.8499999999999999E-2</v>
      </c>
      <c r="J186" s="776"/>
      <c r="L186" s="452"/>
      <c r="M186" s="452"/>
      <c r="N186" s="452"/>
      <c r="O186" s="452"/>
      <c r="P186" s="452"/>
    </row>
    <row r="187" spans="1:16" ht="12.95" customHeight="1" thickBot="1" x14ac:dyDescent="0.3">
      <c r="A187" s="446" t="s">
        <v>124</v>
      </c>
      <c r="B187" s="315"/>
      <c r="C187" s="315"/>
      <c r="D187" s="315"/>
      <c r="E187" s="315"/>
      <c r="F187" s="316"/>
      <c r="G187" s="777">
        <f>Draft!$K$31</f>
        <v>5.7942499999999999</v>
      </c>
      <c r="H187" s="785"/>
      <c r="I187" s="777">
        <f>Draft!$AC$31</f>
        <v>13.227475</v>
      </c>
      <c r="J187" s="778"/>
      <c r="L187" s="452"/>
      <c r="M187" s="452"/>
      <c r="N187" s="452"/>
      <c r="O187" s="452"/>
      <c r="P187" s="452"/>
    </row>
    <row r="188" spans="1:16" ht="3.75" customHeight="1" thickBot="1" x14ac:dyDescent="0.3">
      <c r="A188" s="451"/>
      <c r="B188" s="317"/>
      <c r="C188" s="317"/>
      <c r="D188" s="317"/>
      <c r="E188" s="317"/>
      <c r="F188" s="317"/>
      <c r="G188" s="318"/>
      <c r="H188" s="319"/>
      <c r="I188" s="320"/>
      <c r="J188" s="346"/>
      <c r="L188" s="452"/>
      <c r="M188" s="452"/>
      <c r="N188" s="452"/>
      <c r="O188" s="452"/>
      <c r="P188" s="452"/>
    </row>
    <row r="189" spans="1:16" ht="12.95" customHeight="1" x14ac:dyDescent="0.25">
      <c r="A189" s="321" t="s">
        <v>125</v>
      </c>
      <c r="B189" s="322"/>
      <c r="C189" s="322"/>
      <c r="D189" s="322"/>
      <c r="E189" s="322"/>
      <c r="F189" s="323"/>
      <c r="G189" s="324" t="str">
        <f>IF(G185=0,"",IF(G185&gt;G175,"BY STERN","BY HEAD"))</f>
        <v>BY STERN</v>
      </c>
      <c r="H189" s="392">
        <f>Draft!$P$29</f>
        <v>2.7376000000000005</v>
      </c>
      <c r="I189" s="324" t="str">
        <f>IF(I185=0,"",IF(I185&gt;I175,"BY STERN","BY HEAD"))</f>
        <v>BY STERN</v>
      </c>
      <c r="J189" s="441">
        <f>Draft!$AH$29</f>
        <v>3.3400000000000318E-2</v>
      </c>
      <c r="L189" s="452"/>
      <c r="M189" s="452"/>
      <c r="N189" s="452"/>
      <c r="O189" s="452"/>
      <c r="P189" s="452"/>
    </row>
    <row r="190" spans="1:16" ht="12.95" customHeight="1" x14ac:dyDescent="0.25">
      <c r="A190" s="325" t="s">
        <v>126</v>
      </c>
      <c r="B190" s="326"/>
      <c r="C190" s="326"/>
      <c r="D190" s="326"/>
      <c r="E190" s="326"/>
      <c r="F190" s="327"/>
      <c r="G190" s="328" t="str">
        <f>_xlfn.CONCAT(Draft!$P$35," ",TEXT(Draft!$M$35,"0.00")," º")</f>
        <v>S 000 º</v>
      </c>
      <c r="H190" s="393">
        <f>Draft!$G$35</f>
        <v>20</v>
      </c>
      <c r="I190" s="328" t="str">
        <f>_xlfn.CONCAT(Draft!$AH$35," ",TEXT(Draft!$AE$35,"0.00")," º")</f>
        <v>S 000 º</v>
      </c>
      <c r="J190" s="442">
        <f>Draft!$Y$35</f>
        <v>1</v>
      </c>
      <c r="L190" s="452"/>
      <c r="M190" s="452"/>
      <c r="N190" s="452"/>
      <c r="O190" s="452"/>
      <c r="P190" s="452"/>
    </row>
    <row r="191" spans="1:16" ht="12.95" customHeight="1" thickBot="1" x14ac:dyDescent="0.3">
      <c r="A191" s="329" t="s">
        <v>128</v>
      </c>
      <c r="B191" s="294"/>
      <c r="C191" s="294"/>
      <c r="D191" s="294"/>
      <c r="E191" s="294"/>
      <c r="F191" s="330"/>
      <c r="G191" s="395" t="str">
        <f>Draft!$M$33</f>
        <v>HOGGING</v>
      </c>
      <c r="H191" s="394">
        <f>Draft!$G$33</f>
        <v>6.7800000000000082</v>
      </c>
      <c r="I191" s="395" t="str">
        <f>Draft!$AE$33</f>
        <v>SAGGING</v>
      </c>
      <c r="J191" s="443">
        <f>Draft!$Y$33</f>
        <v>11.489999999999867</v>
      </c>
      <c r="L191" s="452"/>
      <c r="M191" s="452"/>
      <c r="N191" s="452"/>
      <c r="O191" s="452"/>
      <c r="P191" s="452"/>
    </row>
    <row r="192" spans="1:16" ht="3.75" customHeight="1" thickBot="1" x14ac:dyDescent="0.3">
      <c r="A192" s="309"/>
      <c r="B192" s="309"/>
      <c r="C192" s="309"/>
      <c r="D192" s="309"/>
      <c r="E192" s="309"/>
      <c r="F192" s="309"/>
      <c r="G192" s="309"/>
      <c r="H192" s="309"/>
      <c r="I192" s="320"/>
      <c r="J192" s="304"/>
      <c r="L192" s="452"/>
      <c r="M192" s="452"/>
      <c r="N192" s="452"/>
      <c r="O192" s="452"/>
      <c r="P192" s="452"/>
    </row>
    <row r="193" spans="1:16" ht="12.95" customHeight="1" x14ac:dyDescent="0.25">
      <c r="A193" s="321" t="s">
        <v>129</v>
      </c>
      <c r="B193" s="331"/>
      <c r="C193" s="331"/>
      <c r="D193" s="331"/>
      <c r="E193" s="331"/>
      <c r="F193" s="332"/>
      <c r="G193" s="779" t="s">
        <v>109</v>
      </c>
      <c r="H193" s="780"/>
      <c r="I193" s="781" t="s">
        <v>110</v>
      </c>
      <c r="J193" s="782"/>
      <c r="L193" s="452"/>
      <c r="M193" s="452"/>
      <c r="N193" s="452"/>
      <c r="O193" s="452"/>
      <c r="P193" s="452"/>
    </row>
    <row r="194" spans="1:16" ht="12.95" customHeight="1" x14ac:dyDescent="0.25">
      <c r="A194" s="333" t="s">
        <v>130</v>
      </c>
      <c r="B194" s="307"/>
      <c r="C194" s="307"/>
      <c r="D194" s="307"/>
      <c r="E194" s="307"/>
      <c r="F194" s="308"/>
      <c r="G194" s="839">
        <f>Draft!$J$43</f>
        <v>35672.579999999994</v>
      </c>
      <c r="H194" s="840"/>
      <c r="I194" s="839">
        <f>Draft!$AB$43</f>
        <v>86721.24</v>
      </c>
      <c r="J194" s="854"/>
      <c r="L194" s="452"/>
      <c r="M194" s="452"/>
      <c r="N194" s="452"/>
      <c r="O194" s="452"/>
      <c r="P194" s="452"/>
    </row>
    <row r="195" spans="1:16" ht="12.95" customHeight="1" x14ac:dyDescent="0.25">
      <c r="A195" s="334" t="s">
        <v>131</v>
      </c>
      <c r="B195" s="310"/>
      <c r="C195" s="310"/>
      <c r="D195" s="310"/>
      <c r="E195" s="310"/>
      <c r="F195" s="311"/>
      <c r="G195" s="841">
        <f>Draft!$H$57</f>
        <v>-433.46783124207593</v>
      </c>
      <c r="H195" s="842"/>
      <c r="I195" s="841">
        <f>Draft!$Z$57</f>
        <v>4.9868982642129058</v>
      </c>
      <c r="J195" s="855"/>
      <c r="L195" s="452"/>
      <c r="M195" s="452"/>
      <c r="N195" s="452"/>
      <c r="O195" s="452"/>
      <c r="P195" s="452"/>
    </row>
    <row r="196" spans="1:16" ht="12.95" customHeight="1" x14ac:dyDescent="0.25">
      <c r="A196" s="334" t="s">
        <v>132</v>
      </c>
      <c r="B196" s="310"/>
      <c r="C196" s="310"/>
      <c r="D196" s="310"/>
      <c r="E196" s="310"/>
      <c r="F196" s="311"/>
      <c r="G196" s="841">
        <f>Draft!$H$58</f>
        <v>52.012506139246256</v>
      </c>
      <c r="H196" s="842"/>
      <c r="I196" s="841">
        <f>Draft!$Z$58</f>
        <v>4.1033314501109286E-3</v>
      </c>
      <c r="J196" s="855"/>
      <c r="L196" s="452"/>
      <c r="M196" s="452"/>
      <c r="N196" s="452"/>
      <c r="O196" s="452"/>
      <c r="P196" s="452"/>
    </row>
    <row r="197" spans="1:16" ht="12.95" customHeight="1" x14ac:dyDescent="0.25">
      <c r="A197" s="334" t="s">
        <v>133</v>
      </c>
      <c r="B197" s="310"/>
      <c r="C197" s="310"/>
      <c r="D197" s="310"/>
      <c r="E197" s="310"/>
      <c r="F197" s="311"/>
      <c r="G197" s="773">
        <f>Draft!$H$61</f>
        <v>35291.124674897168</v>
      </c>
      <c r="H197" s="774"/>
      <c r="I197" s="773">
        <f>Draft!$Z$61</f>
        <v>86726.231001595675</v>
      </c>
      <c r="J197" s="856"/>
      <c r="L197" s="452"/>
      <c r="M197" s="452"/>
      <c r="N197" s="452"/>
      <c r="O197" s="452"/>
      <c r="P197" s="452"/>
    </row>
    <row r="198" spans="1:16" ht="12.95" customHeight="1" x14ac:dyDescent="0.25">
      <c r="A198" s="334" t="s">
        <v>134</v>
      </c>
      <c r="B198" s="310"/>
      <c r="C198" s="310"/>
      <c r="D198" s="310"/>
      <c r="E198" s="310"/>
      <c r="F198" s="311"/>
      <c r="G198" s="843">
        <f>Draft!$H$62</f>
        <v>1.0169999999999999</v>
      </c>
      <c r="H198" s="844"/>
      <c r="I198" s="843">
        <f>Draft!$Z$62</f>
        <v>1.0169999999999999</v>
      </c>
      <c r="J198" s="853"/>
      <c r="L198" s="452"/>
      <c r="M198" s="452"/>
      <c r="N198" s="452"/>
      <c r="O198" s="452"/>
      <c r="P198" s="452"/>
    </row>
    <row r="199" spans="1:16" ht="12.95" customHeight="1" x14ac:dyDescent="0.25">
      <c r="A199" s="334" t="s">
        <v>703</v>
      </c>
      <c r="B199" s="310"/>
      <c r="C199" s="310"/>
      <c r="D199" s="310"/>
      <c r="E199" s="310"/>
      <c r="F199" s="311"/>
      <c r="G199" s="773">
        <f>Draft!$H$63</f>
        <v>35015.681750605283</v>
      </c>
      <c r="H199" s="774"/>
      <c r="I199" s="773">
        <f>Draft!$Z$63</f>
        <v>86049.343344997847</v>
      </c>
      <c r="J199" s="856"/>
      <c r="L199" s="452"/>
      <c r="M199" s="452"/>
      <c r="N199" s="452"/>
      <c r="O199" s="452"/>
      <c r="P199" s="452"/>
    </row>
    <row r="200" spans="1:16" ht="12.95" customHeight="1" thickBot="1" x14ac:dyDescent="0.3">
      <c r="A200" s="335" t="s">
        <v>704</v>
      </c>
      <c r="B200" s="336"/>
      <c r="C200" s="336"/>
      <c r="D200" s="336"/>
      <c r="E200" s="336"/>
      <c r="F200" s="337"/>
      <c r="G200" s="851">
        <f>Draft!$H$72</f>
        <v>21288.2</v>
      </c>
      <c r="H200" s="852"/>
      <c r="I200" s="851">
        <f>Draft!$AF$72</f>
        <v>2201.2000000000003</v>
      </c>
      <c r="J200" s="857"/>
      <c r="L200" s="452"/>
      <c r="M200" s="452"/>
      <c r="N200" s="452"/>
      <c r="O200" s="452"/>
      <c r="P200" s="452"/>
    </row>
    <row r="201" spans="1:16" ht="12.95" customHeight="1" thickBot="1" x14ac:dyDescent="0.3">
      <c r="A201" s="612" t="s">
        <v>705</v>
      </c>
      <c r="B201" s="613"/>
      <c r="C201" s="613"/>
      <c r="D201" s="613"/>
      <c r="E201" s="613"/>
      <c r="F201" s="613"/>
      <c r="G201" s="729">
        <f>Draft!$H$74</f>
        <v>13727.481750605282</v>
      </c>
      <c r="H201" s="730"/>
      <c r="I201" s="729">
        <f>Draft!$Z$74</f>
        <v>83848.14334499785</v>
      </c>
      <c r="J201" s="731"/>
      <c r="K201" s="447"/>
      <c r="L201" s="452"/>
      <c r="M201" s="452"/>
      <c r="N201" s="452"/>
      <c r="O201" s="452"/>
      <c r="P201" s="452"/>
    </row>
    <row r="202" spans="1:16" ht="12.95" customHeight="1" x14ac:dyDescent="0.25">
      <c r="A202" s="338" t="s">
        <v>608</v>
      </c>
      <c r="B202" s="339"/>
      <c r="C202" s="339"/>
      <c r="D202" s="339"/>
      <c r="E202" s="339"/>
      <c r="F202" s="340"/>
      <c r="G202" s="861">
        <f>Draft!$H$75</f>
        <v>13447.27</v>
      </c>
      <c r="H202" s="862"/>
      <c r="I202" s="341"/>
      <c r="J202" s="342"/>
      <c r="L202" s="452"/>
      <c r="M202" s="452"/>
      <c r="N202" s="452"/>
      <c r="O202" s="452"/>
      <c r="P202" s="452"/>
    </row>
    <row r="203" spans="1:16" ht="12.95" customHeight="1" x14ac:dyDescent="0.25">
      <c r="A203" s="343" t="str">
        <f>IF(Draft!H84="NÃO","Calculated constant","Declared constant")</f>
        <v>Calculated constant</v>
      </c>
      <c r="B203" s="344"/>
      <c r="C203" s="344"/>
      <c r="D203" s="344"/>
      <c r="E203" s="344"/>
      <c r="F203" s="345"/>
      <c r="G203" s="863">
        <f>Draft!$H$77</f>
        <v>308.01175060528112</v>
      </c>
      <c r="H203" s="864"/>
      <c r="I203" s="320"/>
      <c r="J203" s="346"/>
      <c r="L203" s="452"/>
      <c r="M203" s="452"/>
      <c r="N203" s="452"/>
      <c r="O203" s="452"/>
      <c r="P203" s="452"/>
    </row>
    <row r="204" spans="1:16" ht="12.95" customHeight="1" x14ac:dyDescent="0.25">
      <c r="A204" s="347" t="s">
        <v>706</v>
      </c>
      <c r="B204" s="348"/>
      <c r="C204" s="348"/>
      <c r="D204" s="348"/>
      <c r="E204" s="348"/>
      <c r="F204" s="349"/>
      <c r="G204" s="858">
        <f>Draft!$H$76</f>
        <v>27.8</v>
      </c>
      <c r="H204" s="860"/>
      <c r="I204" s="858">
        <f>Draft!$Z$76</f>
        <v>0</v>
      </c>
      <c r="J204" s="859"/>
      <c r="L204" s="452"/>
      <c r="M204" s="452"/>
      <c r="N204" s="452"/>
      <c r="O204" s="452"/>
      <c r="P204" s="452"/>
    </row>
    <row r="205" spans="1:16" ht="12.95" customHeight="1" thickBot="1" x14ac:dyDescent="0.3">
      <c r="A205" s="350" t="str">
        <f>IF(I201=0,"",IF(I201&gt;G201,"Total cargo loaded on board as per draught survey","Total cargo discharged as per draught survey"))</f>
        <v>Total cargo loaded on board as per draught survey</v>
      </c>
      <c r="B205" s="351"/>
      <c r="C205" s="351"/>
      <c r="D205" s="351"/>
      <c r="E205" s="351"/>
      <c r="F205" s="351"/>
      <c r="G205" s="352"/>
      <c r="H205" s="353"/>
      <c r="I205" s="849">
        <f>Draft!$Z$77</f>
        <v>70092.861594392569</v>
      </c>
      <c r="J205" s="850"/>
      <c r="L205" s="452"/>
      <c r="M205" s="452"/>
      <c r="N205" s="452"/>
      <c r="O205" s="452"/>
      <c r="P205" s="452"/>
    </row>
    <row r="206" spans="1:16" ht="3.75" customHeight="1" thickBot="1" x14ac:dyDescent="0.3">
      <c r="A206" s="301"/>
      <c r="B206" s="301"/>
      <c r="C206" s="301"/>
      <c r="D206" s="301"/>
      <c r="E206" s="301"/>
      <c r="F206" s="301"/>
      <c r="G206" s="301"/>
      <c r="H206" s="301"/>
      <c r="I206" s="303"/>
      <c r="J206" s="304"/>
      <c r="L206" s="452"/>
      <c r="M206" s="452"/>
      <c r="N206" s="452"/>
      <c r="O206" s="452"/>
      <c r="P206" s="452"/>
    </row>
    <row r="207" spans="1:16" ht="12.95" customHeight="1" x14ac:dyDescent="0.25">
      <c r="A207" s="354" t="str">
        <f>_xlfn.CONCAT("Loading terminals: ",CAPA!E58,CAPA!E59,CAPA!E60,CAPA!E61,CAPA!E62,CAPA!E63,CAPA!E64,CAPA!E65,CAPA!E66,CAPA!E67,CAPA!E68,CAPA!E69,CAPA!E70,CAPA!E71,".")</f>
        <v>Loading terminals: AG, CG, CB, CT, ALTP, RO, BTG 2 V, .</v>
      </c>
      <c r="B207" s="355"/>
      <c r="C207" s="355"/>
      <c r="D207" s="355"/>
      <c r="E207" s="355"/>
      <c r="F207" s="625"/>
      <c r="G207" s="9" t="s">
        <v>135</v>
      </c>
      <c r="H207" s="399">
        <f>Draft!$J$47</f>
        <v>65.093999999999994</v>
      </c>
      <c r="I207" s="9" t="s">
        <v>135</v>
      </c>
      <c r="J207" s="448">
        <f>Draft!$AB$47</f>
        <v>71.927000000000007</v>
      </c>
      <c r="L207" s="452"/>
      <c r="M207" s="452"/>
      <c r="N207" s="452"/>
      <c r="O207" s="452"/>
      <c r="P207" s="452"/>
    </row>
    <row r="208" spans="1:16" ht="12.95" customHeight="1" x14ac:dyDescent="0.25">
      <c r="A208" s="396" t="str">
        <f>_xlfn.CONCAT("Cargo: ",CAPA!B6)</f>
        <v>Cargo: Soybeans in bulk</v>
      </c>
      <c r="B208" s="398"/>
      <c r="C208" s="398"/>
      <c r="D208" s="398"/>
      <c r="E208" s="398"/>
      <c r="F208" s="397"/>
      <c r="G208" s="356" t="s">
        <v>141</v>
      </c>
      <c r="H208" s="400">
        <f>Draft!$J$53</f>
        <v>961.2</v>
      </c>
      <c r="I208" s="356" t="s">
        <v>141</v>
      </c>
      <c r="J208" s="449">
        <f>Draft!$AB$53</f>
        <v>1277.7429999999999</v>
      </c>
      <c r="L208" s="452"/>
      <c r="M208" s="452"/>
      <c r="N208" s="452"/>
      <c r="O208" s="452"/>
      <c r="P208" s="452"/>
    </row>
    <row r="209" spans="1:16" ht="12.95" customHeight="1" thickBot="1" x14ac:dyDescent="0.3">
      <c r="A209" s="757" t="str">
        <f>CONCATENATE(Draft!$E$5,". ",$L$164)</f>
        <v>Paranaguá, Br - Brazil.  April 5th, 2026</v>
      </c>
      <c r="B209" s="758"/>
      <c r="C209" s="758"/>
      <c r="D209" s="758"/>
      <c r="E209" s="758"/>
      <c r="F209" s="759"/>
      <c r="G209" s="357" t="s">
        <v>142</v>
      </c>
      <c r="H209" s="401">
        <f>Draft!$J$54</f>
        <v>929.9</v>
      </c>
      <c r="I209" s="357" t="s">
        <v>142</v>
      </c>
      <c r="J209" s="450">
        <f>Draft!$AB$54</f>
        <v>1261.154</v>
      </c>
      <c r="L209" s="452"/>
      <c r="M209" s="452"/>
      <c r="N209" s="452"/>
      <c r="O209" s="452"/>
      <c r="P209" s="452"/>
    </row>
    <row r="210" spans="1:16" ht="3.75" customHeight="1" thickBot="1" x14ac:dyDescent="0.3">
      <c r="A210" s="358"/>
      <c r="B210" s="359"/>
      <c r="C210" s="359"/>
      <c r="D210" s="359"/>
      <c r="E210" s="359"/>
      <c r="F210" s="360"/>
      <c r="G210" s="360"/>
      <c r="H210" s="360"/>
      <c r="I210" s="360"/>
      <c r="J210" s="304"/>
      <c r="L210" s="452"/>
      <c r="M210" s="452"/>
      <c r="N210" s="452"/>
      <c r="O210" s="452"/>
      <c r="P210" s="452"/>
    </row>
    <row r="211" spans="1:16" ht="12.95" customHeight="1" thickTop="1" x14ac:dyDescent="0.25">
      <c r="A211" s="361" t="str">
        <f>IF(I201=0,"",IF(I201&gt;G201,"Total cargo loaded on board as per shore scales","Total manifested cargo"))</f>
        <v>Total cargo loaded on board as per shore scales</v>
      </c>
      <c r="B211" s="362"/>
      <c r="C211" s="362"/>
      <c r="D211" s="362"/>
      <c r="E211" s="362"/>
      <c r="F211" s="362"/>
      <c r="G211" s="363"/>
      <c r="H211" s="364"/>
      <c r="I211" s="760">
        <f>Draft!$Z$78</f>
        <v>70069.13</v>
      </c>
      <c r="J211" s="761"/>
      <c r="L211" s="452"/>
      <c r="M211" s="452"/>
      <c r="N211" s="452"/>
      <c r="O211" s="452"/>
      <c r="P211" s="452"/>
    </row>
    <row r="212" spans="1:16" ht="12.95" customHeight="1" x14ac:dyDescent="0.25">
      <c r="A212" s="365" t="str">
        <f>A205</f>
        <v>Total cargo loaded on board as per draught survey</v>
      </c>
      <c r="B212" s="614"/>
      <c r="C212" s="614"/>
      <c r="D212" s="614"/>
      <c r="E212" s="614"/>
      <c r="F212" s="614"/>
      <c r="G212" s="615"/>
      <c r="H212" s="616"/>
      <c r="I212" s="762">
        <f>Draft!$Z$77</f>
        <v>70092.861594392569</v>
      </c>
      <c r="J212" s="763"/>
      <c r="L212" s="452"/>
      <c r="M212" s="452"/>
      <c r="N212" s="452"/>
      <c r="O212" s="452"/>
      <c r="P212" s="452"/>
    </row>
    <row r="213" spans="1:16" ht="12.95" customHeight="1" thickBot="1" x14ac:dyDescent="0.3">
      <c r="A213" s="617" t="str">
        <f>IF($G$213&gt;0,"Surplus","Shortage")</f>
        <v>Surplus</v>
      </c>
      <c r="B213" s="366"/>
      <c r="C213" s="366"/>
      <c r="D213" s="366"/>
      <c r="E213" s="366"/>
      <c r="F213" s="366"/>
      <c r="G213" s="766">
        <f>$I$212-$I$211</f>
        <v>23.731594392564148</v>
      </c>
      <c r="H213" s="766"/>
      <c r="I213" s="764">
        <f>($G$213/$I$211)*100</f>
        <v>3.3868829815018604E-2</v>
      </c>
      <c r="J213" s="765"/>
      <c r="L213" s="452"/>
      <c r="M213" s="452"/>
      <c r="N213" s="452"/>
      <c r="O213" s="452"/>
      <c r="P213" s="452"/>
    </row>
    <row r="214" spans="1:16" ht="30" customHeight="1" thickTop="1" x14ac:dyDescent="0.25">
      <c r="A214" s="367"/>
      <c r="B214" s="367"/>
      <c r="C214" s="367"/>
      <c r="D214" s="367"/>
      <c r="E214" s="367"/>
      <c r="F214" s="367"/>
      <c r="G214" s="367"/>
      <c r="H214" s="367"/>
      <c r="I214" s="303"/>
      <c r="J214" s="304"/>
      <c r="L214" s="452"/>
      <c r="M214" s="452"/>
      <c r="N214" s="452"/>
      <c r="O214" s="452"/>
      <c r="P214" s="452"/>
    </row>
    <row r="215" spans="1:16" ht="12.95" customHeight="1" x14ac:dyDescent="0.25">
      <c r="A215" s="10"/>
      <c r="B215" s="10"/>
      <c r="C215" s="10"/>
      <c r="D215" s="10"/>
      <c r="E215" s="10"/>
      <c r="F215" s="10"/>
      <c r="G215" s="10"/>
      <c r="H215" s="10"/>
      <c r="I215" s="10"/>
      <c r="L215" s="452"/>
      <c r="M215" s="452"/>
      <c r="N215" s="452"/>
      <c r="O215" s="452"/>
      <c r="P215" s="452"/>
    </row>
    <row r="216" spans="1:16" ht="12.95" customHeight="1" x14ac:dyDescent="0.25">
      <c r="A216" s="409" t="s">
        <v>137</v>
      </c>
      <c r="B216" s="409"/>
      <c r="C216" s="409"/>
      <c r="D216" s="409"/>
      <c r="E216" s="409"/>
      <c r="F216" s="410"/>
      <c r="G216" s="411" t="s">
        <v>138</v>
      </c>
      <c r="H216" s="575">
        <f>Draft!$X$82</f>
        <v>70044.259999999995</v>
      </c>
      <c r="I216" s="576">
        <f>H216-I211</f>
        <v>-24.870000000009895</v>
      </c>
      <c r="J216" s="618">
        <f>IFERROR((I216/I211)*100,"")</f>
        <v>-3.5493519043278965E-2</v>
      </c>
      <c r="L216" s="452"/>
      <c r="M216" s="452"/>
      <c r="N216" s="452"/>
      <c r="O216" s="452"/>
      <c r="P216" s="452"/>
    </row>
    <row r="217" spans="1:16" ht="12.95" customHeight="1" x14ac:dyDescent="0.25">
      <c r="A217" s="412" t="str">
        <f>_xlfn.CONCAT("José Antonio Machado Gomes Pereira"," / ",CAPA!A97)</f>
        <v>José Antonio Machado Gomes Pereira / Haroldo Fernandes Alves Junior</v>
      </c>
      <c r="B217" s="412"/>
      <c r="C217" s="412"/>
      <c r="D217" s="412"/>
      <c r="E217" s="412"/>
      <c r="F217" s="410"/>
      <c r="G217" s="411" t="s">
        <v>139</v>
      </c>
      <c r="H217" s="575">
        <f>Draft!$X$83</f>
        <v>70136.372000000003</v>
      </c>
      <c r="I217" s="576">
        <f>H217-I211</f>
        <v>67.24199999999837</v>
      </c>
      <c r="J217" s="618">
        <f>IFERROR((I217/I211)*100,"")</f>
        <v>9.5965227483198912E-2</v>
      </c>
      <c r="L217" s="452"/>
      <c r="M217" s="452"/>
      <c r="N217" s="452"/>
      <c r="O217" s="452"/>
      <c r="P217" s="452"/>
    </row>
    <row r="218" spans="1:16" ht="12.95" customHeight="1" x14ac:dyDescent="0.25">
      <c r="A218" s="412" t="s">
        <v>140</v>
      </c>
      <c r="B218" s="412"/>
      <c r="C218" s="412"/>
      <c r="D218" s="412"/>
      <c r="E218" s="412"/>
      <c r="F218" s="413"/>
      <c r="G218" s="414" t="str">
        <f>Draft!$U$84</f>
        <v>Consignees:</v>
      </c>
      <c r="H218" s="575">
        <f>Draft!$X$84</f>
        <v>70106.301000000007</v>
      </c>
      <c r="I218" s="576">
        <f>H218-I211</f>
        <v>37.171000000002095</v>
      </c>
      <c r="J218" s="618">
        <f>IFERROR((I218/I211)*100,"")</f>
        <v>5.3049038856343857E-2</v>
      </c>
      <c r="L218" s="452"/>
      <c r="M218" s="452"/>
      <c r="N218" s="452"/>
      <c r="O218" s="452"/>
      <c r="P218" s="452"/>
    </row>
    <row r="219" spans="1:16" ht="12.95" customHeight="1" x14ac:dyDescent="0.25">
      <c r="A219" s="303"/>
      <c r="B219" s="368"/>
      <c r="C219" s="368"/>
      <c r="D219" s="368"/>
      <c r="E219" s="368"/>
      <c r="F219" s="368"/>
      <c r="G219" s="303"/>
      <c r="H219" s="303"/>
      <c r="I219" s="303"/>
      <c r="J219" s="304"/>
      <c r="L219" s="452"/>
      <c r="M219" s="452"/>
      <c r="N219" s="452"/>
      <c r="O219" s="452"/>
      <c r="P219" s="452"/>
    </row>
    <row r="220" spans="1:16" ht="12.95" customHeight="1" x14ac:dyDescent="0.25">
      <c r="A220" s="303"/>
      <c r="B220" s="368"/>
      <c r="C220" s="368"/>
      <c r="D220" s="368"/>
      <c r="E220" s="368"/>
      <c r="F220" s="368"/>
      <c r="G220" s="303"/>
      <c r="H220" s="303"/>
      <c r="I220" s="303"/>
      <c r="J220" s="304"/>
      <c r="L220" s="452"/>
      <c r="M220" s="452"/>
      <c r="N220" s="452"/>
      <c r="O220" s="452"/>
      <c r="P220" s="452"/>
    </row>
    <row r="221" spans="1:16" ht="15.75" x14ac:dyDescent="0.25">
      <c r="A221" s="3" t="s">
        <v>536</v>
      </c>
      <c r="B221" s="16"/>
      <c r="C221" s="16"/>
      <c r="D221" s="16"/>
      <c r="E221" s="16"/>
      <c r="F221" s="287" t="s">
        <v>537</v>
      </c>
      <c r="G221" s="406">
        <f>Draft!$E$4</f>
        <v>46114</v>
      </c>
      <c r="H221" s="373">
        <v>0.39930555555555558</v>
      </c>
      <c r="I221" s="374" t="s">
        <v>538</v>
      </c>
      <c r="J221" s="375">
        <f>IFERROR(ROUND(Draft!$P$29,2),"")</f>
        <v>2.74</v>
      </c>
      <c r="L221" s="452"/>
      <c r="M221" s="452"/>
      <c r="N221" s="452"/>
      <c r="O221" s="452"/>
      <c r="P221" s="452"/>
    </row>
    <row r="222" spans="1:16" x14ac:dyDescent="0.25">
      <c r="A222" s="281" t="s">
        <v>0</v>
      </c>
      <c r="B222" s="281" t="s">
        <v>1</v>
      </c>
      <c r="C222" s="281" t="s">
        <v>2</v>
      </c>
      <c r="D222" s="281" t="s">
        <v>1</v>
      </c>
      <c r="E222" s="751" t="s">
        <v>564</v>
      </c>
      <c r="F222" s="751"/>
      <c r="G222" s="281" t="s">
        <v>3</v>
      </c>
      <c r="H222" s="281" t="s">
        <v>1</v>
      </c>
      <c r="I222" s="281" t="s">
        <v>1</v>
      </c>
      <c r="J222" s="281" t="s">
        <v>4</v>
      </c>
      <c r="L222" s="452"/>
      <c r="M222" s="452"/>
      <c r="N222" s="452"/>
      <c r="O222" s="452"/>
      <c r="P222" s="452"/>
    </row>
    <row r="223" spans="1:16" x14ac:dyDescent="0.25">
      <c r="A223" s="282" t="s">
        <v>707</v>
      </c>
      <c r="B223" s="282" t="s">
        <v>5</v>
      </c>
      <c r="C223" s="282" t="s">
        <v>6</v>
      </c>
      <c r="D223" s="282" t="s">
        <v>7</v>
      </c>
      <c r="E223" s="283" t="s">
        <v>8</v>
      </c>
      <c r="F223" s="283" t="s">
        <v>9</v>
      </c>
      <c r="G223" s="282" t="s">
        <v>7</v>
      </c>
      <c r="H223" s="282" t="s">
        <v>535</v>
      </c>
      <c r="I223" s="282" t="s">
        <v>10</v>
      </c>
      <c r="J223" s="282" t="s">
        <v>11</v>
      </c>
      <c r="L223" s="452"/>
      <c r="M223" s="452"/>
      <c r="N223" s="452"/>
      <c r="O223" s="452"/>
      <c r="P223" s="452"/>
    </row>
    <row r="224" spans="1:16" x14ac:dyDescent="0.25">
      <c r="A224" s="372" t="s">
        <v>12</v>
      </c>
      <c r="B224" s="521">
        <v>21.62</v>
      </c>
      <c r="C224" s="521">
        <v>0.51</v>
      </c>
      <c r="D224" s="521">
        <v>4.59</v>
      </c>
      <c r="E224" s="767" t="s">
        <v>772</v>
      </c>
      <c r="F224" s="767"/>
      <c r="G224" s="571">
        <f>IFERROR(D224+(E224+F224),D224)</f>
        <v>4.59</v>
      </c>
      <c r="H224" s="521">
        <v>533.64</v>
      </c>
      <c r="I224" s="522">
        <v>1.0229999999999999</v>
      </c>
      <c r="J224" s="523">
        <f>ROUND(H224*I224,1)</f>
        <v>545.9</v>
      </c>
      <c r="L224" s="452"/>
      <c r="M224" s="452"/>
      <c r="N224" s="452"/>
      <c r="O224" s="452"/>
      <c r="P224" s="452"/>
    </row>
    <row r="225" spans="1:16" x14ac:dyDescent="0.25">
      <c r="A225" s="369" t="s">
        <v>780</v>
      </c>
      <c r="B225" s="1">
        <v>21.26</v>
      </c>
      <c r="C225" s="1">
        <v>0.59</v>
      </c>
      <c r="D225" s="1">
        <v>19.850000000000001</v>
      </c>
      <c r="E225" s="768"/>
      <c r="F225" s="768"/>
      <c r="G225" s="667">
        <f>IFERROR(D225+(E225+F225),D225)</f>
        <v>19.850000000000001</v>
      </c>
      <c r="H225" s="1">
        <v>1343.52</v>
      </c>
      <c r="I225" s="525">
        <v>1.0229999999999999</v>
      </c>
      <c r="J225" s="524">
        <f>IFERROR(ROUND(H225*I225,1),"")</f>
        <v>1374.4</v>
      </c>
      <c r="L225" s="452"/>
      <c r="M225" s="452"/>
      <c r="N225" s="452"/>
      <c r="O225" s="452"/>
      <c r="P225" s="452"/>
    </row>
    <row r="226" spans="1:16" x14ac:dyDescent="0.25">
      <c r="A226" s="369" t="s">
        <v>781</v>
      </c>
      <c r="B226" s="1">
        <v>21.25</v>
      </c>
      <c r="C226" s="1">
        <v>0.59</v>
      </c>
      <c r="D226" s="1">
        <v>19.7</v>
      </c>
      <c r="E226" s="768"/>
      <c r="F226" s="768"/>
      <c r="G226" s="667">
        <f t="shared" ref="G226:G235" si="0">IFERROR(D226+(E226+F226),D226)</f>
        <v>19.7</v>
      </c>
      <c r="H226" s="1">
        <v>1315.97</v>
      </c>
      <c r="I226" s="525">
        <v>1.0229999999999999</v>
      </c>
      <c r="J226" s="524">
        <f t="shared" ref="J226:J236" si="1">IFERROR(ROUND(H226*I226,1),"")</f>
        <v>1346.2</v>
      </c>
      <c r="L226" s="452"/>
      <c r="M226" s="452"/>
      <c r="N226" s="452"/>
      <c r="O226" s="452"/>
      <c r="P226" s="452"/>
    </row>
    <row r="227" spans="1:16" x14ac:dyDescent="0.25">
      <c r="A227" s="369" t="s">
        <v>782</v>
      </c>
      <c r="B227" s="1">
        <v>21.25</v>
      </c>
      <c r="C227" s="1">
        <v>0.61</v>
      </c>
      <c r="D227" s="1">
        <v>20.260000000000002</v>
      </c>
      <c r="E227" s="768"/>
      <c r="F227" s="768"/>
      <c r="G227" s="667">
        <f t="shared" si="0"/>
        <v>20.260000000000002</v>
      </c>
      <c r="H227" s="1">
        <v>1539.47</v>
      </c>
      <c r="I227" s="525">
        <v>1.018</v>
      </c>
      <c r="J227" s="524">
        <f t="shared" si="1"/>
        <v>1567.2</v>
      </c>
      <c r="L227" s="452"/>
      <c r="M227" s="452"/>
      <c r="N227" s="452"/>
      <c r="O227" s="452"/>
      <c r="P227" s="452"/>
    </row>
    <row r="228" spans="1:16" x14ac:dyDescent="0.25">
      <c r="A228" s="369" t="s">
        <v>783</v>
      </c>
      <c r="B228" s="1">
        <v>21.23</v>
      </c>
      <c r="C228" s="1">
        <v>0.6</v>
      </c>
      <c r="D228" s="1">
        <v>20.190000000000001</v>
      </c>
      <c r="E228" s="768"/>
      <c r="F228" s="768"/>
      <c r="G228" s="667">
        <f t="shared" si="0"/>
        <v>20.190000000000001</v>
      </c>
      <c r="H228" s="1">
        <v>1524.9194</v>
      </c>
      <c r="I228" s="525">
        <v>1.018</v>
      </c>
      <c r="J228" s="524">
        <f t="shared" si="1"/>
        <v>1552.4</v>
      </c>
      <c r="L228" s="452"/>
      <c r="M228" s="452"/>
      <c r="N228" s="452"/>
      <c r="O228" s="452"/>
      <c r="P228" s="452"/>
    </row>
    <row r="229" spans="1:16" x14ac:dyDescent="0.25">
      <c r="A229" s="369" t="s">
        <v>784</v>
      </c>
      <c r="B229" s="1">
        <v>21.22</v>
      </c>
      <c r="C229" s="1">
        <v>0.48</v>
      </c>
      <c r="D229" s="1">
        <v>19.97</v>
      </c>
      <c r="E229" s="768"/>
      <c r="F229" s="768"/>
      <c r="G229" s="667">
        <f t="shared" si="0"/>
        <v>19.97</v>
      </c>
      <c r="H229" s="1">
        <v>2896.73</v>
      </c>
      <c r="I229" s="525">
        <v>1.0229999999999999</v>
      </c>
      <c r="J229" s="524">
        <f t="shared" si="1"/>
        <v>2963.4</v>
      </c>
      <c r="L229" s="452"/>
      <c r="M229" s="452"/>
      <c r="N229" s="452"/>
      <c r="O229" s="452"/>
      <c r="P229" s="452"/>
    </row>
    <row r="230" spans="1:16" x14ac:dyDescent="0.25">
      <c r="A230" s="369" t="s">
        <v>785</v>
      </c>
      <c r="B230" s="1">
        <v>21.23</v>
      </c>
      <c r="C230" s="1">
        <v>0.5</v>
      </c>
      <c r="D230" s="1">
        <v>20.350000000000001</v>
      </c>
      <c r="E230" s="768"/>
      <c r="F230" s="768"/>
      <c r="G230" s="667">
        <f t="shared" si="0"/>
        <v>20.350000000000001</v>
      </c>
      <c r="H230" s="1">
        <v>3056.4810000000002</v>
      </c>
      <c r="I230" s="525">
        <v>1.0229999999999999</v>
      </c>
      <c r="J230" s="524">
        <f t="shared" si="1"/>
        <v>3126.8</v>
      </c>
      <c r="L230" s="452"/>
      <c r="M230" s="452"/>
      <c r="N230" s="452"/>
      <c r="O230" s="452"/>
      <c r="P230" s="452"/>
    </row>
    <row r="231" spans="1:16" x14ac:dyDescent="0.25">
      <c r="A231" s="369" t="s">
        <v>786</v>
      </c>
      <c r="B231" s="1">
        <v>21.25</v>
      </c>
      <c r="C231" s="1">
        <v>0.6</v>
      </c>
      <c r="D231" s="1">
        <v>20.65</v>
      </c>
      <c r="E231" s="768"/>
      <c r="F231" s="768"/>
      <c r="G231" s="667">
        <f t="shared" si="0"/>
        <v>20.65</v>
      </c>
      <c r="H231" s="1">
        <v>2658.5529999999999</v>
      </c>
      <c r="I231" s="525">
        <v>1.022</v>
      </c>
      <c r="J231" s="524">
        <f t="shared" si="1"/>
        <v>2717</v>
      </c>
      <c r="L231" s="452"/>
      <c r="M231" s="452"/>
      <c r="N231" s="452"/>
      <c r="O231" s="452"/>
      <c r="P231" s="452"/>
    </row>
    <row r="232" spans="1:16" x14ac:dyDescent="0.25">
      <c r="A232" s="369" t="s">
        <v>787</v>
      </c>
      <c r="B232" s="1">
        <v>21.23</v>
      </c>
      <c r="C232" s="1">
        <v>0.6</v>
      </c>
      <c r="D232" s="1">
        <v>20.04</v>
      </c>
      <c r="E232" s="768"/>
      <c r="F232" s="768"/>
      <c r="G232" s="667">
        <f t="shared" si="0"/>
        <v>20.04</v>
      </c>
      <c r="H232" s="1">
        <v>2522.8072000000002</v>
      </c>
      <c r="I232" s="525">
        <v>1.022</v>
      </c>
      <c r="J232" s="524">
        <f t="shared" si="1"/>
        <v>2578.3000000000002</v>
      </c>
      <c r="L232" s="452"/>
      <c r="M232" s="452"/>
      <c r="N232" s="452"/>
      <c r="O232" s="452"/>
      <c r="P232" s="452"/>
    </row>
    <row r="233" spans="1:16" x14ac:dyDescent="0.25">
      <c r="A233" s="369" t="s">
        <v>788</v>
      </c>
      <c r="B233" s="1">
        <v>21.54</v>
      </c>
      <c r="C233" s="1">
        <v>0.52</v>
      </c>
      <c r="D233" s="1">
        <v>19.38</v>
      </c>
      <c r="E233" s="768"/>
      <c r="F233" s="768"/>
      <c r="G233" s="667">
        <f t="shared" si="0"/>
        <v>19.38</v>
      </c>
      <c r="H233" s="1">
        <v>881.6</v>
      </c>
      <c r="I233" s="525">
        <v>1.0229999999999999</v>
      </c>
      <c r="J233" s="524">
        <f t="shared" si="1"/>
        <v>901.9</v>
      </c>
      <c r="L233" s="452"/>
      <c r="M233" s="452"/>
      <c r="N233" s="452"/>
      <c r="O233" s="452"/>
      <c r="P233" s="452"/>
    </row>
    <row r="234" spans="1:16" x14ac:dyDescent="0.25">
      <c r="A234" s="369" t="s">
        <v>789</v>
      </c>
      <c r="B234" s="1">
        <v>21.54</v>
      </c>
      <c r="C234" s="1">
        <v>0.51</v>
      </c>
      <c r="D234" s="1">
        <v>5.93</v>
      </c>
      <c r="E234" s="768"/>
      <c r="F234" s="768"/>
      <c r="G234" s="667">
        <f t="shared" si="0"/>
        <v>5.93</v>
      </c>
      <c r="H234" s="1">
        <v>832.46640000000002</v>
      </c>
      <c r="I234" s="525">
        <v>1.0229999999999999</v>
      </c>
      <c r="J234" s="524">
        <f t="shared" si="1"/>
        <v>851.6</v>
      </c>
      <c r="L234" s="452"/>
      <c r="M234" s="452"/>
      <c r="N234" s="452"/>
      <c r="O234" s="452"/>
      <c r="P234" s="452"/>
    </row>
    <row r="235" spans="1:16" x14ac:dyDescent="0.25">
      <c r="A235" s="370" t="s">
        <v>534</v>
      </c>
      <c r="B235" s="1">
        <v>5.42</v>
      </c>
      <c r="C235" s="1">
        <v>0.5</v>
      </c>
      <c r="D235" s="1">
        <v>4.32</v>
      </c>
      <c r="E235" s="768"/>
      <c r="F235" s="768"/>
      <c r="G235" s="667">
        <f t="shared" si="0"/>
        <v>4.32</v>
      </c>
      <c r="H235" s="1">
        <v>140.202</v>
      </c>
      <c r="I235" s="525">
        <v>1.016</v>
      </c>
      <c r="J235" s="524">
        <f t="shared" si="1"/>
        <v>142.4</v>
      </c>
      <c r="L235" s="452"/>
      <c r="M235" s="452"/>
      <c r="N235" s="452"/>
      <c r="O235" s="452"/>
      <c r="P235" s="452"/>
    </row>
    <row r="236" spans="1:16" x14ac:dyDescent="0.25">
      <c r="A236" s="371" t="s">
        <v>13</v>
      </c>
      <c r="B236" s="2">
        <v>9.02</v>
      </c>
      <c r="C236" s="2">
        <v>0.56000000000000005</v>
      </c>
      <c r="D236" s="2">
        <v>5.7</v>
      </c>
      <c r="E236" s="769"/>
      <c r="F236" s="769"/>
      <c r="G236" s="572">
        <f>IFERROR(D236+(E236+F236),D236)</f>
        <v>5.7</v>
      </c>
      <c r="H236" s="2">
        <v>562.47199999999998</v>
      </c>
      <c r="I236" s="526">
        <v>1.0229999999999999</v>
      </c>
      <c r="J236" s="527">
        <f t="shared" si="1"/>
        <v>575.4</v>
      </c>
      <c r="L236" s="452"/>
      <c r="M236" s="452"/>
      <c r="N236" s="452"/>
      <c r="O236" s="452"/>
      <c r="P236" s="452"/>
    </row>
    <row r="237" spans="1:16" x14ac:dyDescent="0.25">
      <c r="A237" s="284" t="s">
        <v>14</v>
      </c>
      <c r="B237" s="285"/>
      <c r="C237" s="285"/>
      <c r="D237" s="285"/>
      <c r="E237" s="285"/>
      <c r="F237" s="285"/>
      <c r="G237" s="286"/>
      <c r="H237" s="528">
        <f>SUM($H$224:$H$236)</f>
        <v>19808.831000000002</v>
      </c>
      <c r="I237" s="529"/>
      <c r="J237" s="528">
        <f>SUM($J$224:$J$236)</f>
        <v>20242.900000000001</v>
      </c>
      <c r="L237" s="452"/>
      <c r="M237" s="452"/>
      <c r="N237" s="452"/>
      <c r="O237" s="452"/>
      <c r="P237" s="452"/>
    </row>
    <row r="238" spans="1:16" x14ac:dyDescent="0.25">
      <c r="L238" s="452"/>
      <c r="M238" s="452"/>
      <c r="N238" s="452"/>
      <c r="O238" s="452"/>
      <c r="P238" s="452"/>
    </row>
    <row r="239" spans="1:16" x14ac:dyDescent="0.25">
      <c r="L239" s="452"/>
      <c r="M239" s="452"/>
      <c r="N239" s="452"/>
      <c r="O239" s="452"/>
      <c r="P239" s="452"/>
    </row>
    <row r="240" spans="1:16" ht="15.75" x14ac:dyDescent="0.25">
      <c r="A240" s="3" t="s">
        <v>539</v>
      </c>
      <c r="F240" s="287" t="s">
        <v>537</v>
      </c>
      <c r="G240" s="406">
        <f>Draft!$X$4</f>
        <v>46117</v>
      </c>
      <c r="H240" s="373">
        <v>0.27430555555555558</v>
      </c>
      <c r="I240" s="374" t="s">
        <v>538</v>
      </c>
      <c r="J240" s="375">
        <f>IFERROR(ROUND(Draft!$AH$29,2),"")</f>
        <v>0.03</v>
      </c>
      <c r="L240" s="452"/>
      <c r="M240" s="452"/>
      <c r="N240" s="452"/>
      <c r="O240" s="452"/>
      <c r="P240" s="452"/>
    </row>
    <row r="241" spans="1:16" x14ac:dyDescent="0.25">
      <c r="A241" s="281" t="s">
        <v>0</v>
      </c>
      <c r="B241" s="281" t="s">
        <v>1</v>
      </c>
      <c r="C241" s="281" t="s">
        <v>2</v>
      </c>
      <c r="D241" s="281" t="s">
        <v>1</v>
      </c>
      <c r="E241" s="751" t="s">
        <v>564</v>
      </c>
      <c r="F241" s="751"/>
      <c r="G241" s="281" t="s">
        <v>3</v>
      </c>
      <c r="H241" s="281" t="s">
        <v>1</v>
      </c>
      <c r="I241" s="281" t="s">
        <v>1</v>
      </c>
      <c r="J241" s="281" t="s">
        <v>4</v>
      </c>
      <c r="L241" s="452"/>
      <c r="M241" s="452"/>
      <c r="N241" s="452"/>
      <c r="O241" s="452"/>
      <c r="P241" s="452"/>
    </row>
    <row r="242" spans="1:16" x14ac:dyDescent="0.25">
      <c r="A242" s="282" t="s">
        <v>707</v>
      </c>
      <c r="B242" s="282" t="s">
        <v>5</v>
      </c>
      <c r="C242" s="282" t="s">
        <v>6</v>
      </c>
      <c r="D242" s="282" t="s">
        <v>7</v>
      </c>
      <c r="E242" s="283" t="s">
        <v>8</v>
      </c>
      <c r="F242" s="283" t="s">
        <v>9</v>
      </c>
      <c r="G242" s="282" t="s">
        <v>7</v>
      </c>
      <c r="H242" s="282" t="s">
        <v>535</v>
      </c>
      <c r="I242" s="282" t="s">
        <v>10</v>
      </c>
      <c r="J242" s="282" t="s">
        <v>11</v>
      </c>
      <c r="L242" s="452"/>
      <c r="M242" s="452"/>
      <c r="N242" s="452"/>
      <c r="O242" s="452"/>
      <c r="P242" s="452"/>
    </row>
    <row r="243" spans="1:16" x14ac:dyDescent="0.25">
      <c r="A243" s="372" t="str">
        <f t="shared" ref="A243:C255" si="2">A224</f>
        <v>F.PK</v>
      </c>
      <c r="B243" s="521">
        <f t="shared" si="2"/>
        <v>21.62</v>
      </c>
      <c r="C243" s="521">
        <f t="shared" si="2"/>
        <v>0.51</v>
      </c>
      <c r="D243" s="571">
        <v>3.14</v>
      </c>
      <c r="E243" s="767" t="str">
        <f>E224</f>
        <v>Directly applied on volumes.</v>
      </c>
      <c r="F243" s="767"/>
      <c r="G243" s="571">
        <f>IFERROR(D243+(E243+F243),D243)</f>
        <v>3.14</v>
      </c>
      <c r="H243" s="571">
        <v>310.36</v>
      </c>
      <c r="I243" s="522">
        <f t="shared" ref="I243:I255" si="3">I224</f>
        <v>1.0229999999999999</v>
      </c>
      <c r="J243" s="523">
        <f>ROUND(H243*I243,1)</f>
        <v>317.5</v>
      </c>
      <c r="L243" s="452"/>
      <c r="M243" s="452"/>
      <c r="N243" s="452"/>
      <c r="O243" s="452"/>
      <c r="P243" s="452"/>
    </row>
    <row r="244" spans="1:16" x14ac:dyDescent="0.25">
      <c r="A244" s="369" t="str">
        <f t="shared" si="2"/>
        <v>1 WBT (P)</v>
      </c>
      <c r="B244" s="1">
        <f t="shared" si="2"/>
        <v>21.26</v>
      </c>
      <c r="C244" s="1">
        <f t="shared" si="2"/>
        <v>0.59</v>
      </c>
      <c r="D244" s="667">
        <v>0.01</v>
      </c>
      <c r="E244" s="768"/>
      <c r="F244" s="768"/>
      <c r="G244" s="667">
        <f>IFERROR(D244+(E244+F244),D244)</f>
        <v>0.01</v>
      </c>
      <c r="H244" s="667">
        <v>12.88</v>
      </c>
      <c r="I244" s="269">
        <f t="shared" si="3"/>
        <v>1.0229999999999999</v>
      </c>
      <c r="J244" s="524">
        <f>IFERROR(ROUND(H244*I244,1),"")</f>
        <v>13.2</v>
      </c>
      <c r="L244" s="452"/>
      <c r="M244" s="452"/>
      <c r="N244" s="452"/>
      <c r="O244" s="452"/>
      <c r="P244" s="452"/>
    </row>
    <row r="245" spans="1:16" x14ac:dyDescent="0.25">
      <c r="A245" s="369" t="str">
        <f t="shared" si="2"/>
        <v>1 WBT (S)</v>
      </c>
      <c r="B245" s="1">
        <f t="shared" si="2"/>
        <v>21.25</v>
      </c>
      <c r="C245" s="1">
        <f t="shared" si="2"/>
        <v>0.59</v>
      </c>
      <c r="D245" s="667">
        <v>0.03</v>
      </c>
      <c r="E245" s="768"/>
      <c r="F245" s="768"/>
      <c r="G245" s="667">
        <f t="shared" ref="G245:G254" si="4">IFERROR(D245+(E245+F245),D245)</f>
        <v>0.03</v>
      </c>
      <c r="H245" s="667">
        <v>17.84</v>
      </c>
      <c r="I245" s="269">
        <f t="shared" si="3"/>
        <v>1.0229999999999999</v>
      </c>
      <c r="J245" s="524">
        <f t="shared" ref="J245:J255" si="5">IFERROR(ROUND(H245*I245,1),"")</f>
        <v>18.3</v>
      </c>
      <c r="L245" s="452"/>
      <c r="M245" s="452"/>
      <c r="N245" s="452"/>
      <c r="O245" s="452"/>
      <c r="P245" s="452"/>
    </row>
    <row r="246" spans="1:16" x14ac:dyDescent="0.25">
      <c r="A246" s="369" t="str">
        <f t="shared" si="2"/>
        <v>2 WBT (P)</v>
      </c>
      <c r="B246" s="1">
        <f t="shared" si="2"/>
        <v>21.25</v>
      </c>
      <c r="C246" s="1">
        <f t="shared" si="2"/>
        <v>0.61</v>
      </c>
      <c r="D246" s="667">
        <v>0</v>
      </c>
      <c r="E246" s="768"/>
      <c r="F246" s="768"/>
      <c r="G246" s="667">
        <f t="shared" si="4"/>
        <v>0</v>
      </c>
      <c r="H246" s="667">
        <v>16.7</v>
      </c>
      <c r="I246" s="269">
        <f t="shared" si="3"/>
        <v>1.018</v>
      </c>
      <c r="J246" s="524">
        <f t="shared" si="5"/>
        <v>17</v>
      </c>
      <c r="L246" s="452"/>
      <c r="M246" s="452"/>
      <c r="N246" s="452"/>
      <c r="O246" s="452"/>
      <c r="P246" s="452"/>
    </row>
    <row r="247" spans="1:16" x14ac:dyDescent="0.25">
      <c r="A247" s="369" t="str">
        <f t="shared" si="2"/>
        <v>2 WBT (S)</v>
      </c>
      <c r="B247" s="1">
        <f t="shared" si="2"/>
        <v>21.23</v>
      </c>
      <c r="C247" s="1">
        <f t="shared" si="2"/>
        <v>0.6</v>
      </c>
      <c r="D247" s="667">
        <v>0.01</v>
      </c>
      <c r="E247" s="768"/>
      <c r="F247" s="768"/>
      <c r="G247" s="667">
        <f t="shared" si="4"/>
        <v>0.01</v>
      </c>
      <c r="H247" s="667">
        <v>20.5</v>
      </c>
      <c r="I247" s="269">
        <f t="shared" si="3"/>
        <v>1.018</v>
      </c>
      <c r="J247" s="524">
        <f t="shared" si="5"/>
        <v>20.9</v>
      </c>
      <c r="L247" s="452"/>
      <c r="M247" s="452"/>
      <c r="N247" s="452"/>
      <c r="O247" s="452"/>
      <c r="P247" s="452"/>
    </row>
    <row r="248" spans="1:16" x14ac:dyDescent="0.25">
      <c r="A248" s="369" t="str">
        <f t="shared" si="2"/>
        <v>3 WBT (P)</v>
      </c>
      <c r="B248" s="1">
        <f t="shared" si="2"/>
        <v>21.22</v>
      </c>
      <c r="C248" s="1">
        <f t="shared" si="2"/>
        <v>0.48</v>
      </c>
      <c r="D248" s="667">
        <v>0.01</v>
      </c>
      <c r="E248" s="768"/>
      <c r="F248" s="768"/>
      <c r="G248" s="667">
        <f t="shared" si="4"/>
        <v>0.01</v>
      </c>
      <c r="H248" s="667">
        <v>41.46</v>
      </c>
      <c r="I248" s="269">
        <f t="shared" si="3"/>
        <v>1.0229999999999999</v>
      </c>
      <c r="J248" s="524">
        <f t="shared" si="5"/>
        <v>42.4</v>
      </c>
      <c r="L248" s="452"/>
      <c r="M248" s="452"/>
      <c r="N248" s="452"/>
      <c r="O248" s="452"/>
      <c r="P248" s="452"/>
    </row>
    <row r="249" spans="1:16" x14ac:dyDescent="0.25">
      <c r="A249" s="369" t="str">
        <f t="shared" si="2"/>
        <v>3 WBT (S)</v>
      </c>
      <c r="B249" s="1">
        <f t="shared" si="2"/>
        <v>21.23</v>
      </c>
      <c r="C249" s="1">
        <f t="shared" si="2"/>
        <v>0.5</v>
      </c>
      <c r="D249" s="667">
        <v>0.03</v>
      </c>
      <c r="E249" s="768"/>
      <c r="F249" s="768"/>
      <c r="G249" s="667">
        <f t="shared" si="4"/>
        <v>0.03</v>
      </c>
      <c r="H249" s="667">
        <v>56.78</v>
      </c>
      <c r="I249" s="269">
        <f t="shared" si="3"/>
        <v>1.0229999999999999</v>
      </c>
      <c r="J249" s="524">
        <f t="shared" si="5"/>
        <v>58.1</v>
      </c>
      <c r="L249" s="452"/>
      <c r="M249" s="452"/>
      <c r="N249" s="452"/>
      <c r="O249" s="452"/>
      <c r="P249" s="452"/>
    </row>
    <row r="250" spans="1:16" x14ac:dyDescent="0.25">
      <c r="A250" s="369" t="str">
        <f t="shared" si="2"/>
        <v>4 WBT (P)</v>
      </c>
      <c r="B250" s="1">
        <f t="shared" si="2"/>
        <v>21.25</v>
      </c>
      <c r="C250" s="1">
        <f t="shared" si="2"/>
        <v>0.6</v>
      </c>
      <c r="D250" s="667">
        <v>0.01</v>
      </c>
      <c r="E250" s="768"/>
      <c r="F250" s="768"/>
      <c r="G250" s="667">
        <f t="shared" si="4"/>
        <v>0.01</v>
      </c>
      <c r="H250" s="667">
        <v>41.23</v>
      </c>
      <c r="I250" s="269">
        <f t="shared" si="3"/>
        <v>1.022</v>
      </c>
      <c r="J250" s="524">
        <f t="shared" si="5"/>
        <v>42.1</v>
      </c>
      <c r="L250" s="452"/>
      <c r="M250" s="452"/>
      <c r="N250" s="452"/>
      <c r="O250" s="452"/>
      <c r="P250" s="452"/>
    </row>
    <row r="251" spans="1:16" x14ac:dyDescent="0.25">
      <c r="A251" s="369" t="str">
        <f t="shared" si="2"/>
        <v>4 WBT (S)</v>
      </c>
      <c r="B251" s="1">
        <f t="shared" si="2"/>
        <v>21.23</v>
      </c>
      <c r="C251" s="1">
        <f t="shared" si="2"/>
        <v>0.6</v>
      </c>
      <c r="D251" s="667">
        <v>0.01</v>
      </c>
      <c r="E251" s="768"/>
      <c r="F251" s="768"/>
      <c r="G251" s="667">
        <f t="shared" si="4"/>
        <v>0.01</v>
      </c>
      <c r="H251" s="667">
        <v>41.23</v>
      </c>
      <c r="I251" s="269">
        <f t="shared" si="3"/>
        <v>1.022</v>
      </c>
      <c r="J251" s="524">
        <f t="shared" si="5"/>
        <v>42.1</v>
      </c>
      <c r="L251" s="452"/>
      <c r="M251" s="452"/>
      <c r="N251" s="452"/>
      <c r="O251" s="452"/>
      <c r="P251" s="452"/>
    </row>
    <row r="252" spans="1:16" x14ac:dyDescent="0.25">
      <c r="A252" s="369" t="str">
        <f t="shared" si="2"/>
        <v>5 WBT (P)</v>
      </c>
      <c r="B252" s="1">
        <f t="shared" si="2"/>
        <v>21.54</v>
      </c>
      <c r="C252" s="1">
        <f t="shared" si="2"/>
        <v>0.52</v>
      </c>
      <c r="D252" s="667">
        <v>0.01</v>
      </c>
      <c r="E252" s="768"/>
      <c r="F252" s="768"/>
      <c r="G252" s="667">
        <f t="shared" si="4"/>
        <v>0.01</v>
      </c>
      <c r="H252" s="667">
        <v>13.75</v>
      </c>
      <c r="I252" s="269">
        <f t="shared" si="3"/>
        <v>1.0229999999999999</v>
      </c>
      <c r="J252" s="524">
        <f t="shared" si="5"/>
        <v>14.1</v>
      </c>
      <c r="L252" s="452"/>
      <c r="M252" s="452"/>
      <c r="N252" s="452"/>
      <c r="O252" s="452"/>
      <c r="P252" s="452"/>
    </row>
    <row r="253" spans="1:16" x14ac:dyDescent="0.25">
      <c r="A253" s="369" t="str">
        <f t="shared" si="2"/>
        <v>5 WBT (S)</v>
      </c>
      <c r="B253" s="1">
        <f t="shared" si="2"/>
        <v>21.54</v>
      </c>
      <c r="C253" s="1">
        <f t="shared" si="2"/>
        <v>0.51</v>
      </c>
      <c r="D253" s="667">
        <v>0.01</v>
      </c>
      <c r="E253" s="768"/>
      <c r="F253" s="768"/>
      <c r="G253" s="667">
        <f t="shared" si="4"/>
        <v>0.01</v>
      </c>
      <c r="H253" s="667">
        <v>13.75</v>
      </c>
      <c r="I253" s="269">
        <f t="shared" si="3"/>
        <v>1.0229999999999999</v>
      </c>
      <c r="J253" s="524">
        <f t="shared" si="5"/>
        <v>14.1</v>
      </c>
      <c r="L253" s="452"/>
      <c r="M253" s="452"/>
      <c r="N253" s="452"/>
      <c r="O253" s="452"/>
      <c r="P253" s="452"/>
    </row>
    <row r="254" spans="1:16" x14ac:dyDescent="0.25">
      <c r="A254" s="370" t="str">
        <f t="shared" si="2"/>
        <v>5 TS (P)</v>
      </c>
      <c r="B254" s="1">
        <f t="shared" si="2"/>
        <v>5.42</v>
      </c>
      <c r="C254" s="1">
        <f t="shared" si="2"/>
        <v>0.5</v>
      </c>
      <c r="D254" s="667">
        <v>0.05</v>
      </c>
      <c r="E254" s="768"/>
      <c r="F254" s="768"/>
      <c r="G254" s="667">
        <f t="shared" si="4"/>
        <v>0.05</v>
      </c>
      <c r="H254" s="667">
        <v>5.85</v>
      </c>
      <c r="I254" s="525">
        <f t="shared" si="3"/>
        <v>1.016</v>
      </c>
      <c r="J254" s="524">
        <f t="shared" si="5"/>
        <v>5.9</v>
      </c>
      <c r="L254" s="452"/>
      <c r="M254" s="452"/>
      <c r="N254" s="452"/>
      <c r="O254" s="452"/>
      <c r="P254" s="452"/>
    </row>
    <row r="255" spans="1:16" x14ac:dyDescent="0.25">
      <c r="A255" s="371" t="str">
        <f t="shared" si="2"/>
        <v>A.PK</v>
      </c>
      <c r="B255" s="2">
        <f t="shared" si="2"/>
        <v>9.02</v>
      </c>
      <c r="C255" s="2">
        <f t="shared" si="2"/>
        <v>0.56000000000000005</v>
      </c>
      <c r="D255" s="667">
        <v>0.6</v>
      </c>
      <c r="E255" s="769"/>
      <c r="F255" s="769"/>
      <c r="G255" s="572">
        <f>IFERROR(D255+(E255+F255),D255)</f>
        <v>0.6</v>
      </c>
      <c r="H255" s="572">
        <v>3</v>
      </c>
      <c r="I255" s="526">
        <f t="shared" si="3"/>
        <v>1.0229999999999999</v>
      </c>
      <c r="J255" s="527">
        <f t="shared" si="5"/>
        <v>3.1</v>
      </c>
      <c r="L255" s="452"/>
      <c r="M255" s="452"/>
      <c r="N255" s="452"/>
      <c r="O255" s="452"/>
      <c r="P255" s="452"/>
    </row>
    <row r="256" spans="1:16" x14ac:dyDescent="0.25">
      <c r="A256" s="284" t="s">
        <v>14</v>
      </c>
      <c r="B256" s="285"/>
      <c r="C256" s="285"/>
      <c r="D256" s="285"/>
      <c r="E256" s="285"/>
      <c r="F256" s="285"/>
      <c r="G256" s="286"/>
      <c r="H256" s="528">
        <f>SUM($H$243:$H$255)</f>
        <v>595.33000000000004</v>
      </c>
      <c r="I256" s="529"/>
      <c r="J256" s="528">
        <f>SUM($J$243:$J$255)</f>
        <v>608.80000000000007</v>
      </c>
      <c r="L256" s="452"/>
      <c r="M256" s="452"/>
      <c r="N256" s="452"/>
      <c r="O256" s="452"/>
      <c r="P256" s="452"/>
    </row>
    <row r="257" spans="1:16" x14ac:dyDescent="0.25">
      <c r="L257" s="452"/>
      <c r="M257" s="452"/>
      <c r="N257" s="452"/>
      <c r="O257" s="452"/>
      <c r="P257" s="452"/>
    </row>
    <row r="258" spans="1:16" x14ac:dyDescent="0.25">
      <c r="L258" s="452"/>
      <c r="M258" s="452"/>
      <c r="N258" s="452"/>
      <c r="O258" s="452"/>
      <c r="P258" s="452"/>
    </row>
    <row r="259" spans="1:16" x14ac:dyDescent="0.25">
      <c r="L259" s="452"/>
      <c r="M259" s="452"/>
      <c r="N259" s="452"/>
      <c r="O259" s="452"/>
      <c r="P259" s="452"/>
    </row>
    <row r="260" spans="1:16" ht="15.75" x14ac:dyDescent="0.25">
      <c r="A260" s="376" t="s">
        <v>540</v>
      </c>
      <c r="L260" s="452"/>
      <c r="M260" s="452"/>
      <c r="N260" s="452"/>
      <c r="O260" s="452"/>
      <c r="P260" s="452"/>
    </row>
    <row r="261" spans="1:16" x14ac:dyDescent="0.25">
      <c r="A261" s="281" t="s">
        <v>0</v>
      </c>
      <c r="B261" s="281" t="s">
        <v>1</v>
      </c>
      <c r="C261" s="281" t="s">
        <v>2</v>
      </c>
      <c r="D261" s="281" t="s">
        <v>1</v>
      </c>
      <c r="E261" s="751" t="s">
        <v>564</v>
      </c>
      <c r="F261" s="751"/>
      <c r="G261" s="281" t="s">
        <v>3</v>
      </c>
      <c r="H261" s="281" t="s">
        <v>1</v>
      </c>
      <c r="I261" s="281" t="s">
        <v>1</v>
      </c>
      <c r="J261" s="281" t="s">
        <v>4</v>
      </c>
      <c r="L261" s="452"/>
      <c r="M261" s="452"/>
      <c r="N261" s="452"/>
      <c r="O261" s="452"/>
      <c r="P261" s="452"/>
    </row>
    <row r="262" spans="1:16" x14ac:dyDescent="0.25">
      <c r="A262" s="282" t="s">
        <v>707</v>
      </c>
      <c r="B262" s="408" t="s">
        <v>5</v>
      </c>
      <c r="C262" s="408" t="s">
        <v>6</v>
      </c>
      <c r="D262" s="282" t="s">
        <v>7</v>
      </c>
      <c r="E262" s="283" t="s">
        <v>8</v>
      </c>
      <c r="F262" s="283" t="s">
        <v>9</v>
      </c>
      <c r="G262" s="408" t="s">
        <v>7</v>
      </c>
      <c r="H262" s="282" t="s">
        <v>535</v>
      </c>
      <c r="I262" s="282" t="s">
        <v>10</v>
      </c>
      <c r="J262" s="408" t="s">
        <v>11</v>
      </c>
      <c r="L262" s="452"/>
      <c r="M262" s="452"/>
      <c r="N262" s="452"/>
      <c r="O262" s="452"/>
      <c r="P262" s="452"/>
    </row>
    <row r="263" spans="1:16" x14ac:dyDescent="0.25">
      <c r="A263" s="372" t="s">
        <v>542</v>
      </c>
      <c r="B263" s="770" t="s">
        <v>773</v>
      </c>
      <c r="C263" s="770"/>
      <c r="D263" s="770"/>
      <c r="E263" s="770"/>
      <c r="F263" s="770"/>
      <c r="G263" s="770"/>
      <c r="H263" s="521">
        <v>213</v>
      </c>
      <c r="I263" s="522">
        <v>1</v>
      </c>
      <c r="J263" s="524">
        <f t="shared" ref="J263:J265" si="6">IFERROR(ROUND(H263*I263,1),"")</f>
        <v>213</v>
      </c>
      <c r="L263" s="452"/>
      <c r="M263" s="452"/>
      <c r="N263" s="452"/>
      <c r="O263" s="452"/>
      <c r="P263" s="452"/>
    </row>
    <row r="264" spans="1:16" x14ac:dyDescent="0.25">
      <c r="A264" s="369" t="s">
        <v>543</v>
      </c>
      <c r="B264" s="771"/>
      <c r="C264" s="771"/>
      <c r="D264" s="771"/>
      <c r="E264" s="771"/>
      <c r="F264" s="771"/>
      <c r="G264" s="771"/>
      <c r="H264" s="1">
        <v>39</v>
      </c>
      <c r="I264" s="525">
        <v>1</v>
      </c>
      <c r="J264" s="524">
        <f t="shared" si="6"/>
        <v>39</v>
      </c>
      <c r="L264" s="452"/>
      <c r="M264" s="452"/>
      <c r="N264" s="452"/>
      <c r="O264" s="452"/>
      <c r="P264" s="452"/>
    </row>
    <row r="265" spans="1:16" x14ac:dyDescent="0.25">
      <c r="A265" s="378" t="s">
        <v>764</v>
      </c>
      <c r="B265" s="772"/>
      <c r="C265" s="772"/>
      <c r="D265" s="772"/>
      <c r="E265" s="772"/>
      <c r="F265" s="772"/>
      <c r="G265" s="772"/>
      <c r="H265" s="2">
        <v>35</v>
      </c>
      <c r="I265" s="526">
        <v>1</v>
      </c>
      <c r="J265" s="527">
        <f t="shared" si="6"/>
        <v>35</v>
      </c>
      <c r="L265" s="452"/>
      <c r="M265" s="452"/>
      <c r="N265" s="452"/>
      <c r="O265" s="452"/>
      <c r="P265" s="452"/>
    </row>
    <row r="266" spans="1:16" x14ac:dyDescent="0.25">
      <c r="A266" s="377" t="s">
        <v>14</v>
      </c>
      <c r="B266" s="286"/>
      <c r="C266" s="286"/>
      <c r="D266" s="286"/>
      <c r="E266" s="286"/>
      <c r="F266" s="286"/>
      <c r="G266" s="286"/>
      <c r="H266" s="530">
        <f>SUM($H$263:$H$265)</f>
        <v>287</v>
      </c>
      <c r="I266" s="531"/>
      <c r="J266" s="530">
        <f>SUM($J$263:$J$265)</f>
        <v>287</v>
      </c>
      <c r="L266" s="452"/>
      <c r="M266" s="452"/>
      <c r="N266" s="452"/>
      <c r="O266" s="452"/>
      <c r="P266" s="452"/>
    </row>
    <row r="267" spans="1:16" x14ac:dyDescent="0.25">
      <c r="L267" s="452"/>
      <c r="M267" s="452"/>
      <c r="N267" s="452"/>
      <c r="O267" s="452"/>
      <c r="P267" s="452"/>
    </row>
    <row r="268" spans="1:16" x14ac:dyDescent="0.25">
      <c r="L268" s="452"/>
      <c r="M268" s="452"/>
      <c r="N268" s="452"/>
      <c r="O268" s="452"/>
      <c r="P268" s="452"/>
    </row>
    <row r="269" spans="1:16" ht="15.75" x14ac:dyDescent="0.25">
      <c r="A269" s="3" t="s">
        <v>541</v>
      </c>
      <c r="L269" s="452"/>
      <c r="M269" s="452"/>
      <c r="N269" s="452"/>
      <c r="O269" s="452"/>
      <c r="P269" s="452"/>
    </row>
    <row r="270" spans="1:16" x14ac:dyDescent="0.25">
      <c r="A270" s="281" t="s">
        <v>0</v>
      </c>
      <c r="B270" s="281" t="s">
        <v>1</v>
      </c>
      <c r="C270" s="281" t="s">
        <v>2</v>
      </c>
      <c r="D270" s="281" t="s">
        <v>1</v>
      </c>
      <c r="E270" s="751" t="s">
        <v>564</v>
      </c>
      <c r="F270" s="751"/>
      <c r="G270" s="281" t="s">
        <v>3</v>
      </c>
      <c r="H270" s="281" t="s">
        <v>1</v>
      </c>
      <c r="I270" s="281" t="s">
        <v>1</v>
      </c>
      <c r="J270" s="281" t="s">
        <v>4</v>
      </c>
      <c r="L270" s="452"/>
      <c r="M270" s="452"/>
      <c r="N270" s="452"/>
      <c r="O270" s="452"/>
      <c r="P270" s="452"/>
    </row>
    <row r="271" spans="1:16" x14ac:dyDescent="0.25">
      <c r="A271" s="282" t="s">
        <v>707</v>
      </c>
      <c r="B271" s="282" t="s">
        <v>5</v>
      </c>
      <c r="C271" s="282" t="s">
        <v>6</v>
      </c>
      <c r="D271" s="282" t="s">
        <v>7</v>
      </c>
      <c r="E271" s="283" t="s">
        <v>8</v>
      </c>
      <c r="F271" s="283" t="s">
        <v>9</v>
      </c>
      <c r="G271" s="408" t="s">
        <v>7</v>
      </c>
      <c r="H271" s="282" t="s">
        <v>535</v>
      </c>
      <c r="I271" s="282" t="s">
        <v>10</v>
      </c>
      <c r="J271" s="408" t="s">
        <v>11</v>
      </c>
      <c r="L271" s="452"/>
      <c r="M271" s="452"/>
      <c r="N271" s="452"/>
      <c r="O271" s="452"/>
      <c r="P271" s="452"/>
    </row>
    <row r="272" spans="1:16" x14ac:dyDescent="0.25">
      <c r="A272" s="372" t="s">
        <v>542</v>
      </c>
      <c r="B272" s="770" t="str">
        <f>B263</f>
        <v>GAUGE</v>
      </c>
      <c r="C272" s="770"/>
      <c r="D272" s="770"/>
      <c r="E272" s="770"/>
      <c r="F272" s="770"/>
      <c r="G272" s="770"/>
      <c r="H272" s="571">
        <v>204</v>
      </c>
      <c r="I272" s="522">
        <v>1</v>
      </c>
      <c r="J272" s="524">
        <f t="shared" ref="J272:J274" si="7">IFERROR(ROUND(H272*I272,1),"")</f>
        <v>204</v>
      </c>
      <c r="L272" s="452"/>
      <c r="M272" s="452"/>
      <c r="N272" s="452"/>
      <c r="O272" s="452"/>
      <c r="P272" s="452"/>
    </row>
    <row r="273" spans="1:16" x14ac:dyDescent="0.25">
      <c r="A273" s="369" t="s">
        <v>543</v>
      </c>
      <c r="B273" s="771"/>
      <c r="C273" s="771"/>
      <c r="D273" s="771"/>
      <c r="E273" s="771"/>
      <c r="F273" s="771"/>
      <c r="G273" s="771"/>
      <c r="H273" s="667">
        <v>39</v>
      </c>
      <c r="I273" s="525">
        <v>1</v>
      </c>
      <c r="J273" s="524">
        <f t="shared" si="7"/>
        <v>39</v>
      </c>
      <c r="L273" s="452"/>
      <c r="M273" s="452"/>
      <c r="N273" s="452"/>
      <c r="O273" s="452"/>
      <c r="P273" s="452"/>
    </row>
    <row r="274" spans="1:16" x14ac:dyDescent="0.25">
      <c r="A274" s="378" t="s">
        <v>764</v>
      </c>
      <c r="B274" s="772"/>
      <c r="C274" s="772"/>
      <c r="D274" s="772"/>
      <c r="E274" s="772"/>
      <c r="F274" s="772"/>
      <c r="G274" s="772"/>
      <c r="H274" s="572">
        <v>35</v>
      </c>
      <c r="I274" s="526">
        <v>1</v>
      </c>
      <c r="J274" s="527">
        <f t="shared" si="7"/>
        <v>35</v>
      </c>
      <c r="L274" s="452"/>
      <c r="M274" s="452"/>
      <c r="N274" s="452"/>
      <c r="O274" s="452"/>
      <c r="P274" s="452"/>
    </row>
    <row r="275" spans="1:16" x14ac:dyDescent="0.25">
      <c r="A275" s="377" t="s">
        <v>14</v>
      </c>
      <c r="B275" s="286"/>
      <c r="C275" s="286"/>
      <c r="D275" s="286"/>
      <c r="E275" s="286"/>
      <c r="F275" s="286"/>
      <c r="G275" s="286"/>
      <c r="H275" s="530">
        <f>SUM($H$272:$H$274)</f>
        <v>278</v>
      </c>
      <c r="I275" s="531"/>
      <c r="J275" s="530">
        <f>SUM($J$272:$J$274)</f>
        <v>278</v>
      </c>
      <c r="L275" s="452"/>
      <c r="M275" s="452"/>
      <c r="N275" s="452"/>
      <c r="O275" s="452"/>
      <c r="P275" s="452"/>
    </row>
    <row r="276" spans="1:16" x14ac:dyDescent="0.25">
      <c r="L276" s="452"/>
      <c r="M276" s="452"/>
      <c r="N276" s="452"/>
      <c r="O276" s="452"/>
      <c r="P276" s="452"/>
    </row>
    <row r="277" spans="1:16" x14ac:dyDescent="0.25">
      <c r="L277" s="452"/>
      <c r="M277" s="452"/>
      <c r="N277" s="452"/>
      <c r="O277" s="452"/>
      <c r="P277" s="452"/>
    </row>
    <row r="278" spans="1:16" ht="15.75" x14ac:dyDescent="0.25">
      <c r="A278" s="376" t="s">
        <v>689</v>
      </c>
      <c r="B278" s="7"/>
      <c r="C278" s="7"/>
      <c r="D278" s="7"/>
      <c r="E278" s="7"/>
      <c r="F278" s="7"/>
      <c r="G278" s="7"/>
      <c r="H278" s="7"/>
      <c r="I278" s="7"/>
      <c r="J278" s="7"/>
      <c r="L278" s="452"/>
      <c r="M278" s="452"/>
      <c r="N278" s="452"/>
      <c r="O278" s="452"/>
      <c r="P278" s="452"/>
    </row>
    <row r="279" spans="1:16" x14ac:dyDescent="0.25">
      <c r="A279" s="379"/>
      <c r="B279" s="8"/>
      <c r="C279" s="8"/>
      <c r="D279" s="384"/>
      <c r="E279" s="8"/>
      <c r="F279" s="754" t="s">
        <v>544</v>
      </c>
      <c r="G279" s="754"/>
      <c r="H279" s="380"/>
      <c r="I279" s="755" t="s">
        <v>545</v>
      </c>
      <c r="J279" s="756"/>
      <c r="L279" s="452"/>
      <c r="M279" s="452"/>
      <c r="N279" s="452"/>
      <c r="O279" s="452"/>
      <c r="P279" s="452"/>
    </row>
    <row r="280" spans="1:16" ht="15.75" x14ac:dyDescent="0.25">
      <c r="A280" s="385" t="s">
        <v>546</v>
      </c>
      <c r="B280" s="386"/>
      <c r="C280" s="386"/>
      <c r="D280" s="415"/>
      <c r="E280" s="386"/>
      <c r="F280" s="752">
        <f>Draft!$H$65</f>
        <v>532.9</v>
      </c>
      <c r="G280" s="752"/>
      <c r="H280" s="402"/>
      <c r="I280" s="752">
        <f>Draft!$Z$65</f>
        <v>1080</v>
      </c>
      <c r="J280" s="753"/>
      <c r="L280" s="452"/>
      <c r="M280" s="452"/>
      <c r="N280" s="452"/>
      <c r="O280" s="452"/>
      <c r="P280" s="452"/>
    </row>
    <row r="281" spans="1:16" ht="15.75" x14ac:dyDescent="0.25">
      <c r="A281" s="381" t="s">
        <v>547</v>
      </c>
      <c r="D281" s="416"/>
      <c r="F281" s="787">
        <f>Draft!$H$66</f>
        <v>225.4</v>
      </c>
      <c r="G281" s="787"/>
      <c r="H281" s="403"/>
      <c r="I281" s="787">
        <f>Draft!$Z$66</f>
        <v>225.4</v>
      </c>
      <c r="J281" s="788"/>
      <c r="L281" s="452"/>
      <c r="M281" s="452"/>
      <c r="N281" s="452"/>
      <c r="O281" s="452"/>
      <c r="P281" s="452"/>
    </row>
    <row r="282" spans="1:16" ht="15.75" x14ac:dyDescent="0.25">
      <c r="A282" s="381" t="s">
        <v>548</v>
      </c>
      <c r="D282" s="416"/>
      <c r="F282" s="787" t="str">
        <f>Draft!$H$67</f>
        <v>K</v>
      </c>
      <c r="G282" s="787"/>
      <c r="H282" s="403"/>
      <c r="I282" s="787" t="str">
        <f>Draft!$Z$67</f>
        <v>K</v>
      </c>
      <c r="J282" s="788"/>
      <c r="L282" s="452"/>
      <c r="M282" s="452"/>
      <c r="N282" s="452"/>
      <c r="O282" s="452"/>
      <c r="P282" s="452"/>
    </row>
    <row r="283" spans="1:16" ht="15.75" x14ac:dyDescent="0.25">
      <c r="A283" s="381" t="s">
        <v>549</v>
      </c>
      <c r="D283" s="416"/>
      <c r="F283" s="787">
        <f>$J$266</f>
        <v>287</v>
      </c>
      <c r="G283" s="787"/>
      <c r="H283" s="403"/>
      <c r="I283" s="787">
        <f>$J$275</f>
        <v>278</v>
      </c>
      <c r="J283" s="788"/>
      <c r="L283" s="452"/>
      <c r="M283" s="452"/>
      <c r="N283" s="452"/>
      <c r="O283" s="452"/>
      <c r="P283" s="452"/>
    </row>
    <row r="284" spans="1:16" ht="15.75" x14ac:dyDescent="0.25">
      <c r="A284" s="381" t="s">
        <v>550</v>
      </c>
      <c r="D284" s="416"/>
      <c r="F284" s="787">
        <f>$J$237</f>
        <v>20242.900000000001</v>
      </c>
      <c r="G284" s="787"/>
      <c r="H284" s="403"/>
      <c r="I284" s="787">
        <f>$J$256</f>
        <v>608.80000000000007</v>
      </c>
      <c r="J284" s="788"/>
      <c r="L284" s="452"/>
      <c r="M284" s="452"/>
      <c r="N284" s="452"/>
      <c r="O284" s="452"/>
      <c r="P284" s="452"/>
    </row>
    <row r="285" spans="1:16" ht="15.75" x14ac:dyDescent="0.25">
      <c r="A285" s="387" t="s">
        <v>774</v>
      </c>
      <c r="B285" s="388"/>
      <c r="C285" s="388"/>
      <c r="D285" s="417"/>
      <c r="E285" s="388"/>
      <c r="F285" s="789">
        <f>Draft!$H$71</f>
        <v>0</v>
      </c>
      <c r="G285" s="789"/>
      <c r="H285" s="404"/>
      <c r="I285" s="789">
        <f>Draft!$Z$71</f>
        <v>9</v>
      </c>
      <c r="J285" s="790"/>
      <c r="L285" s="452"/>
      <c r="M285" s="452"/>
      <c r="N285" s="452"/>
      <c r="O285" s="452"/>
      <c r="P285" s="452"/>
    </row>
    <row r="286" spans="1:16" ht="15.75" x14ac:dyDescent="0.25">
      <c r="A286" s="382" t="s">
        <v>14</v>
      </c>
      <c r="B286" s="8"/>
      <c r="C286" s="8"/>
      <c r="D286" s="383"/>
      <c r="E286" s="8"/>
      <c r="F286" s="786">
        <f>SUM($F$280:$G$285)</f>
        <v>21288.2</v>
      </c>
      <c r="G286" s="786"/>
      <c r="H286" s="405"/>
      <c r="I286" s="789">
        <f>SUM($I$280:$J$285)</f>
        <v>2201.2000000000003</v>
      </c>
      <c r="J286" s="789"/>
      <c r="L286" s="452"/>
      <c r="M286" s="452"/>
      <c r="N286" s="452"/>
      <c r="O286" s="452"/>
      <c r="P286" s="452"/>
    </row>
    <row r="287" spans="1:16" x14ac:dyDescent="0.25">
      <c r="L287" s="452"/>
      <c r="M287" s="452"/>
      <c r="N287" s="452"/>
      <c r="O287" s="452"/>
      <c r="P287" s="452"/>
    </row>
  </sheetData>
  <mergeCells count="173">
    <mergeCell ref="A38:J39"/>
    <mergeCell ref="A40:J40"/>
    <mergeCell ref="A41:J41"/>
    <mergeCell ref="F96:I96"/>
    <mergeCell ref="E83:J83"/>
    <mergeCell ref="E84:J84"/>
    <mergeCell ref="E85:J85"/>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20:H120"/>
    <mergeCell ref="B103:C103"/>
    <mergeCell ref="B104:C104"/>
    <mergeCell ref="B105:C105"/>
    <mergeCell ref="I118:J118"/>
    <mergeCell ref="G118:H118"/>
    <mergeCell ref="G122:H122"/>
    <mergeCell ref="G123:H123"/>
    <mergeCell ref="E222:F222"/>
    <mergeCell ref="A1:J1"/>
    <mergeCell ref="G162:H162"/>
    <mergeCell ref="I162:J162"/>
    <mergeCell ref="H157:I157"/>
    <mergeCell ref="H158:I158"/>
    <mergeCell ref="H155:I155"/>
    <mergeCell ref="F100:I100"/>
    <mergeCell ref="A36:J36"/>
    <mergeCell ref="A34:J34"/>
    <mergeCell ref="A35:J35"/>
    <mergeCell ref="G3:I3"/>
    <mergeCell ref="G194:H194"/>
    <mergeCell ref="G195:H195"/>
    <mergeCell ref="G196:H196"/>
    <mergeCell ref="G197:H197"/>
    <mergeCell ref="G198:H198"/>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G121:H121"/>
    <mergeCell ref="E138:J138"/>
    <mergeCell ref="I119:J119"/>
    <mergeCell ref="I120:J120"/>
    <mergeCell ref="I121:J121"/>
    <mergeCell ref="I122:J122"/>
    <mergeCell ref="I123:J123"/>
    <mergeCell ref="G174:H174"/>
    <mergeCell ref="G119:H119"/>
    <mergeCell ref="G170:H170"/>
    <mergeCell ref="I170:J170"/>
    <mergeCell ref="G164:H164"/>
    <mergeCell ref="I164:J164"/>
    <mergeCell ref="G168:H168"/>
    <mergeCell ref="I168:J168"/>
    <mergeCell ref="D103:E103"/>
    <mergeCell ref="D104:E104"/>
    <mergeCell ref="F103:I103"/>
    <mergeCell ref="F104:I104"/>
    <mergeCell ref="F105:I105"/>
    <mergeCell ref="H159:I159"/>
    <mergeCell ref="H160:I160"/>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G173:H173"/>
    <mergeCell ref="F286:G286"/>
    <mergeCell ref="I281:J281"/>
    <mergeCell ref="I282:J282"/>
    <mergeCell ref="I283:J283"/>
    <mergeCell ref="I284:J284"/>
    <mergeCell ref="I285:J285"/>
    <mergeCell ref="I286:J286"/>
    <mergeCell ref="F281:G281"/>
    <mergeCell ref="F282:G282"/>
    <mergeCell ref="F283:G283"/>
    <mergeCell ref="F284:G284"/>
    <mergeCell ref="F285:G285"/>
    <mergeCell ref="G199:H199"/>
    <mergeCell ref="I184:J184"/>
    <mergeCell ref="I185:J185"/>
    <mergeCell ref="I186:J186"/>
    <mergeCell ref="I187:J187"/>
    <mergeCell ref="G193:H193"/>
    <mergeCell ref="I193:J193"/>
    <mergeCell ref="G185:H185"/>
    <mergeCell ref="G186:H186"/>
    <mergeCell ref="G187:H187"/>
    <mergeCell ref="E241:F241"/>
    <mergeCell ref="E261:F261"/>
    <mergeCell ref="E270:F270"/>
    <mergeCell ref="I280:J280"/>
    <mergeCell ref="F279:G279"/>
    <mergeCell ref="I279:J279"/>
    <mergeCell ref="F280:G280"/>
    <mergeCell ref="A209:F209"/>
    <mergeCell ref="I211:J211"/>
    <mergeCell ref="I212:J212"/>
    <mergeCell ref="I213:J213"/>
    <mergeCell ref="G213:H213"/>
    <mergeCell ref="E243:F255"/>
    <mergeCell ref="E224:F236"/>
    <mergeCell ref="B263:G265"/>
    <mergeCell ref="B272:G274"/>
    <mergeCell ref="G201:H201"/>
    <mergeCell ref="I201:J201"/>
    <mergeCell ref="G183:H183"/>
    <mergeCell ref="G184:H184"/>
    <mergeCell ref="E91:J91"/>
    <mergeCell ref="E92:J92"/>
    <mergeCell ref="F71:J71"/>
    <mergeCell ref="E86:F86"/>
    <mergeCell ref="E78:F78"/>
    <mergeCell ref="E74:J74"/>
    <mergeCell ref="E75:F75"/>
    <mergeCell ref="E76:G76"/>
    <mergeCell ref="E77:J77"/>
    <mergeCell ref="E87:J87"/>
    <mergeCell ref="G179:H179"/>
    <mergeCell ref="G180:H180"/>
    <mergeCell ref="G181:H181"/>
    <mergeCell ref="I179:J179"/>
    <mergeCell ref="I180:J180"/>
    <mergeCell ref="I181:J181"/>
    <mergeCell ref="I182:J182"/>
    <mergeCell ref="I183:J183"/>
    <mergeCell ref="G182:H182"/>
    <mergeCell ref="G175:H175"/>
  </mergeCells>
  <conditionalFormatting sqref="B98">
    <cfRule type="cellIs" dxfId="65" priority="34" operator="equal">
      <formula>0</formula>
    </cfRule>
  </conditionalFormatting>
  <conditionalFormatting sqref="F98">
    <cfRule type="cellIs" dxfId="64" priority="32" operator="equal">
      <formula>0</formula>
    </cfRule>
  </conditionalFormatting>
  <conditionalFormatting sqref="F99:F104">
    <cfRule type="cellIs" dxfId="63" priority="30" operator="equal">
      <formula>0</formula>
    </cfRule>
  </conditionalFormatting>
  <conditionalFormatting sqref="B99:B104">
    <cfRule type="cellIs" dxfId="62" priority="27" operator="equal">
      <formula>0</formula>
    </cfRule>
  </conditionalFormatting>
  <conditionalFormatting sqref="D98">
    <cfRule type="cellIs" dxfId="61" priority="29" operator="equal">
      <formula>0</formula>
    </cfRule>
  </conditionalFormatting>
  <conditionalFormatting sqref="D99:D104">
    <cfRule type="cellIs" dxfId="60" priority="28" operator="equal">
      <formula>0</formula>
    </cfRule>
  </conditionalFormatting>
  <conditionalFormatting sqref="G218:I218">
    <cfRule type="expression" dxfId="59" priority="15">
      <formula>$G$218=0</formula>
    </cfRule>
  </conditionalFormatting>
  <conditionalFormatting sqref="H160:I160">
    <cfRule type="cellIs" dxfId="58" priority="12" operator="equal">
      <formula>0</formula>
    </cfRule>
  </conditionalFormatting>
  <conditionalFormatting sqref="J160">
    <cfRule type="expression" dxfId="57" priority="10">
      <formula>$D$160=""</formula>
    </cfRule>
  </conditionalFormatting>
  <conditionalFormatting sqref="H221">
    <cfRule type="cellIs" dxfId="56" priority="6" operator="equal">
      <formula>0</formula>
    </cfRule>
  </conditionalFormatting>
  <conditionalFormatting sqref="H240">
    <cfRule type="cellIs" dxfId="5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&amp;RPGUA/DS/106/26</oddHeader>
    <oddFooter>&amp;C&amp;P</oddFooter>
  </headerFooter>
  <rowBreaks count="6" manualBreakCount="6">
    <brk id="33" max="9" man="1"/>
    <brk id="71" max="9" man="1"/>
    <brk id="115" max="9" man="1"/>
    <brk id="160" max="9" man="1"/>
    <brk id="218" max="9" man="1"/>
    <brk id="25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4"/>
  <sheetViews>
    <sheetView view="pageBreakPreview" topLeftCell="A272" zoomScaleNormal="93" zoomScaleSheetLayoutView="100" workbookViewId="0">
      <selection activeCell="L291" sqref="L29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2" t="str">
        <f>_xlfn.CONCAT("MV"," """,CAPA!B8,""" ")</f>
        <v xml:space="preserve">MV "Wen De" </v>
      </c>
      <c r="B1" s="832"/>
      <c r="C1" s="832"/>
      <c r="D1" s="832"/>
      <c r="E1" s="832"/>
      <c r="F1" s="832"/>
      <c r="G1" s="832"/>
      <c r="H1" s="832"/>
      <c r="I1" s="832"/>
      <c r="J1" s="832"/>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838" t="str">
        <f>_xlfn.CONCAT(CAPA!A5,CAPA!B5)</f>
        <v>PGUA/DS/106/26</v>
      </c>
      <c r="H3" s="838"/>
      <c r="I3" s="838"/>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15</v>
      </c>
      <c r="B7" s="253"/>
      <c r="C7" s="253"/>
      <c r="D7" s="253"/>
      <c r="E7" s="253"/>
      <c r="F7" s="253"/>
      <c r="G7" s="253"/>
      <c r="H7" s="253"/>
      <c r="I7" s="253" t="s">
        <v>16</v>
      </c>
    </row>
    <row r="8" spans="1:10" ht="15.75" x14ac:dyDescent="0.3">
      <c r="A8" s="254"/>
      <c r="B8" s="254"/>
      <c r="C8" s="254"/>
      <c r="D8" s="254"/>
      <c r="E8" s="254"/>
      <c r="F8" s="254"/>
      <c r="G8" s="254"/>
      <c r="H8" s="254"/>
      <c r="I8" s="254"/>
    </row>
    <row r="9" spans="1:10" ht="19.5" x14ac:dyDescent="0.4">
      <c r="A9" s="255" t="s">
        <v>690</v>
      </c>
      <c r="B9" s="254"/>
      <c r="C9" s="254"/>
      <c r="D9" s="254"/>
      <c r="E9" s="254"/>
      <c r="F9" s="254"/>
      <c r="G9" s="254"/>
      <c r="H9" s="256"/>
      <c r="I9" s="256" t="s">
        <v>17</v>
      </c>
    </row>
    <row r="10" spans="1:10" ht="19.5" x14ac:dyDescent="0.4">
      <c r="A10" s="255" t="s">
        <v>18</v>
      </c>
      <c r="B10" s="254"/>
      <c r="C10" s="254"/>
      <c r="D10" s="254"/>
      <c r="E10" s="254"/>
      <c r="F10" s="254"/>
      <c r="G10" s="254"/>
      <c r="H10" s="256"/>
      <c r="I10" s="256" t="s">
        <v>19</v>
      </c>
    </row>
    <row r="11" spans="1:10" ht="19.5" x14ac:dyDescent="0.4">
      <c r="A11" s="255" t="s">
        <v>20</v>
      </c>
      <c r="B11" s="254"/>
      <c r="C11" s="254"/>
      <c r="D11" s="254"/>
      <c r="E11" s="254"/>
      <c r="F11" s="254"/>
      <c r="G11" s="254"/>
      <c r="H11" s="256"/>
      <c r="I11" s="256" t="s">
        <v>19</v>
      </c>
    </row>
    <row r="12" spans="1:10" ht="19.5" x14ac:dyDescent="0.4">
      <c r="A12" s="257" t="s">
        <v>692</v>
      </c>
      <c r="B12" s="254"/>
      <c r="C12" s="254"/>
      <c r="D12" s="254"/>
      <c r="E12" s="254"/>
      <c r="F12" s="254"/>
      <c r="G12" s="254"/>
      <c r="H12" s="256"/>
      <c r="I12" s="256" t="s">
        <v>19</v>
      </c>
    </row>
    <row r="13" spans="1:10" ht="19.5" x14ac:dyDescent="0.4">
      <c r="A13" s="255" t="s">
        <v>21</v>
      </c>
      <c r="B13" s="254"/>
      <c r="C13" s="254"/>
      <c r="D13" s="254"/>
      <c r="E13" s="254"/>
      <c r="F13" s="254"/>
      <c r="G13" s="254"/>
      <c r="H13" s="256"/>
      <c r="I13" s="256" t="s">
        <v>22</v>
      </c>
    </row>
    <row r="14" spans="1:10" ht="19.5" x14ac:dyDescent="0.4">
      <c r="A14" s="255" t="s">
        <v>696</v>
      </c>
      <c r="B14" s="254"/>
      <c r="C14" s="254"/>
      <c r="D14" s="254"/>
      <c r="E14" s="254"/>
      <c r="F14" s="254"/>
      <c r="G14" s="254"/>
      <c r="H14" s="256"/>
      <c r="I14" s="256" t="s">
        <v>22</v>
      </c>
    </row>
    <row r="15" spans="1:10" ht="19.5" x14ac:dyDescent="0.4">
      <c r="A15" s="255" t="s">
        <v>697</v>
      </c>
      <c r="B15" s="254"/>
      <c r="C15" s="254"/>
      <c r="D15" s="254"/>
      <c r="E15" s="254"/>
      <c r="F15" s="254"/>
      <c r="G15" s="254"/>
      <c r="H15" s="256"/>
      <c r="I15" s="256" t="s">
        <v>22</v>
      </c>
    </row>
    <row r="16" spans="1:10" ht="19.5" x14ac:dyDescent="0.4">
      <c r="A16" s="255" t="s">
        <v>23</v>
      </c>
      <c r="B16" s="254"/>
      <c r="C16" s="254"/>
      <c r="D16" s="254"/>
      <c r="E16" s="254"/>
      <c r="F16" s="254"/>
      <c r="G16" s="254"/>
      <c r="H16" s="256"/>
      <c r="I16" s="256" t="s">
        <v>22</v>
      </c>
    </row>
    <row r="17" spans="1:16" ht="19.5" x14ac:dyDescent="0.4">
      <c r="A17" s="255" t="s">
        <v>688</v>
      </c>
      <c r="B17" s="254"/>
      <c r="C17" s="254"/>
      <c r="D17" s="254"/>
      <c r="E17" s="254"/>
      <c r="F17" s="254"/>
      <c r="G17" s="254"/>
      <c r="H17" s="256"/>
      <c r="I17" s="256" t="s">
        <v>24</v>
      </c>
    </row>
    <row r="18" spans="1:16" ht="19.5" x14ac:dyDescent="0.4">
      <c r="A18" s="255" t="s">
        <v>25</v>
      </c>
      <c r="B18" s="254"/>
      <c r="C18" s="254"/>
      <c r="D18" s="254"/>
      <c r="E18" s="254"/>
      <c r="F18" s="254"/>
      <c r="G18" s="254"/>
      <c r="H18" s="256"/>
      <c r="I18" s="256" t="s">
        <v>26</v>
      </c>
    </row>
    <row r="19" spans="1:16" ht="20.25" x14ac:dyDescent="0.4">
      <c r="A19" s="255" t="s">
        <v>27</v>
      </c>
      <c r="B19" s="254"/>
      <c r="C19" s="254"/>
      <c r="D19" s="254"/>
      <c r="E19" s="254"/>
      <c r="F19" s="254"/>
      <c r="G19" s="254"/>
      <c r="H19" s="256"/>
      <c r="I19" s="256" t="s">
        <v>26</v>
      </c>
      <c r="L19" s="427" t="s">
        <v>568</v>
      </c>
    </row>
    <row r="20" spans="1:16" ht="19.5" x14ac:dyDescent="0.4">
      <c r="A20" s="255" t="s">
        <v>28</v>
      </c>
      <c r="B20" s="254"/>
      <c r="C20" s="254"/>
      <c r="D20" s="254"/>
      <c r="E20" s="254"/>
      <c r="F20" s="254"/>
      <c r="G20" s="254"/>
      <c r="H20" s="256"/>
      <c r="I20" s="255" t="str">
        <f>IF($I$19="07","08","07")</f>
        <v>07</v>
      </c>
    </row>
    <row r="21" spans="1:16" ht="19.5" x14ac:dyDescent="0.4">
      <c r="A21" s="255" t="s">
        <v>29</v>
      </c>
      <c r="B21" s="254"/>
      <c r="C21" s="254"/>
      <c r="D21" s="254"/>
      <c r="E21" s="254"/>
      <c r="F21" s="254"/>
      <c r="G21" s="254"/>
      <c r="H21" s="256"/>
      <c r="I21" s="255" t="str">
        <f>$I$20</f>
        <v>07</v>
      </c>
    </row>
    <row r="22" spans="1:16" ht="19.5" x14ac:dyDescent="0.4">
      <c r="A22" s="255" t="s">
        <v>30</v>
      </c>
      <c r="B22" s="254"/>
      <c r="C22" s="254"/>
      <c r="D22" s="254"/>
      <c r="E22" s="254"/>
      <c r="F22" s="254"/>
      <c r="G22" s="254"/>
      <c r="H22" s="256"/>
      <c r="I22" s="255" t="str">
        <f>$I$20</f>
        <v>07</v>
      </c>
    </row>
    <row r="23" spans="1:16" ht="19.5" x14ac:dyDescent="0.4">
      <c r="A23" s="255"/>
      <c r="B23" s="254"/>
      <c r="C23" s="254"/>
      <c r="D23" s="254"/>
      <c r="E23" s="254"/>
      <c r="F23" s="254"/>
      <c r="G23" s="254"/>
      <c r="H23" s="254"/>
      <c r="I23" s="258"/>
      <c r="L23" s="456"/>
      <c r="M23" s="456"/>
      <c r="N23" s="456"/>
      <c r="O23" s="456"/>
      <c r="P23" s="456"/>
    </row>
    <row r="24" spans="1:16" ht="19.5" x14ac:dyDescent="0.4">
      <c r="A24" s="259" t="s">
        <v>31</v>
      </c>
      <c r="B24" s="254"/>
      <c r="C24" s="254"/>
      <c r="D24" s="254"/>
      <c r="E24" s="254"/>
      <c r="F24" s="254"/>
      <c r="G24" s="254"/>
      <c r="H24" s="254"/>
      <c r="I24" s="258"/>
      <c r="L24" s="456"/>
      <c r="M24" s="456"/>
      <c r="N24" s="456"/>
      <c r="O24" s="456"/>
      <c r="P24" s="456"/>
    </row>
    <row r="25" spans="1:16" ht="19.5" x14ac:dyDescent="0.4">
      <c r="A25" s="255" t="s">
        <v>32</v>
      </c>
      <c r="B25" s="255"/>
      <c r="C25" s="255"/>
      <c r="D25" s="255"/>
      <c r="E25" s="255"/>
      <c r="F25" s="255"/>
      <c r="G25" s="255"/>
      <c r="H25" s="255"/>
      <c r="I25" s="258"/>
      <c r="L25" s="456"/>
      <c r="M25" s="456"/>
      <c r="N25" s="456"/>
      <c r="O25" s="456"/>
      <c r="P25" s="456"/>
    </row>
    <row r="26" spans="1:16" ht="19.5" x14ac:dyDescent="0.4">
      <c r="A26" s="255" t="s">
        <v>33</v>
      </c>
      <c r="B26" s="255"/>
      <c r="C26" s="255"/>
      <c r="D26" s="255"/>
      <c r="E26" s="255"/>
      <c r="F26" s="255"/>
      <c r="G26" s="255"/>
      <c r="H26" s="255"/>
      <c r="I26" s="258"/>
      <c r="L26" s="456"/>
      <c r="M26" s="456"/>
      <c r="N26" s="456"/>
      <c r="O26" s="456"/>
      <c r="P26" s="456"/>
    </row>
    <row r="27" spans="1:16" ht="19.5" x14ac:dyDescent="0.4">
      <c r="A27" s="255" t="s">
        <v>34</v>
      </c>
      <c r="B27" s="255"/>
      <c r="C27" s="255"/>
      <c r="D27" s="255"/>
      <c r="E27" s="255"/>
      <c r="F27" s="255"/>
      <c r="G27" s="255"/>
      <c r="H27" s="255"/>
      <c r="I27" s="258"/>
      <c r="L27" s="456"/>
      <c r="M27" s="456"/>
      <c r="N27" s="456"/>
      <c r="O27" s="456"/>
      <c r="P27" s="456"/>
    </row>
    <row r="28" spans="1:16" ht="19.5" x14ac:dyDescent="0.4">
      <c r="A28" s="255" t="s">
        <v>35</v>
      </c>
      <c r="B28" s="255"/>
      <c r="C28" s="255"/>
      <c r="D28" s="255"/>
      <c r="E28" s="255"/>
      <c r="F28" s="255"/>
      <c r="G28" s="255"/>
      <c r="H28" s="255"/>
      <c r="I28" s="258"/>
      <c r="L28" s="456"/>
      <c r="M28" s="456"/>
      <c r="N28" s="456"/>
      <c r="O28" s="456"/>
      <c r="P28" s="456"/>
    </row>
    <row r="29" spans="1:16" ht="19.5" x14ac:dyDescent="0.4">
      <c r="A29" s="255" t="str">
        <f>Relato!A29</f>
        <v xml:space="preserve"> - DRAUGHT SURVEY CERTIFICATE</v>
      </c>
      <c r="B29" s="255"/>
      <c r="C29" s="255"/>
      <c r="D29" s="255"/>
      <c r="E29" s="255"/>
      <c r="F29" s="255"/>
      <c r="G29" s="255"/>
      <c r="H29" s="255"/>
      <c r="I29" s="258"/>
      <c r="L29" s="456"/>
      <c r="M29" s="456"/>
      <c r="N29" s="456"/>
      <c r="O29" s="456"/>
      <c r="P29" s="456"/>
    </row>
    <row r="30" spans="1:16" ht="19.5" x14ac:dyDescent="0.4">
      <c r="A30" s="255" t="s">
        <v>36</v>
      </c>
      <c r="B30" s="255"/>
      <c r="C30" s="255"/>
      <c r="D30" s="255"/>
      <c r="E30" s="255"/>
      <c r="F30" s="255"/>
      <c r="G30" s="255"/>
      <c r="H30" s="255"/>
      <c r="I30" s="258"/>
      <c r="L30" s="456"/>
      <c r="M30" s="456"/>
      <c r="N30" s="456"/>
      <c r="O30" s="456"/>
      <c r="P30" s="456"/>
    </row>
    <row r="31" spans="1:16" ht="19.5" x14ac:dyDescent="0.4">
      <c r="A31" s="255" t="s">
        <v>37</v>
      </c>
      <c r="B31" s="255"/>
      <c r="C31" s="255"/>
      <c r="D31" s="255"/>
      <c r="E31" s="255"/>
      <c r="F31" s="255"/>
      <c r="G31" s="255"/>
      <c r="H31" s="255"/>
      <c r="I31" s="258"/>
      <c r="L31" s="456"/>
      <c r="M31" s="456"/>
      <c r="N31" s="456"/>
      <c r="O31" s="456"/>
      <c r="P31" s="456"/>
    </row>
    <row r="32" spans="1:16" ht="19.5" x14ac:dyDescent="0.4">
      <c r="A32" s="255" t="s">
        <v>38</v>
      </c>
      <c r="B32" s="255"/>
      <c r="C32" s="255"/>
      <c r="D32" s="255"/>
      <c r="E32" s="255"/>
      <c r="F32" s="255"/>
      <c r="G32" s="255"/>
      <c r="H32" s="255"/>
      <c r="I32" s="258"/>
      <c r="L32" s="456"/>
      <c r="M32" s="456"/>
      <c r="N32" s="456"/>
      <c r="O32" s="456"/>
      <c r="P32" s="456"/>
    </row>
    <row r="33" spans="1:16" ht="19.5" x14ac:dyDescent="0.4">
      <c r="A33" s="255" t="str">
        <f>Relato!A33</f>
        <v xml:space="preserve"> - LINK TO THE DIGITAL DOCUMENTATION, PHOTOGRAPHS AND VIDEOS;</v>
      </c>
      <c r="B33" s="255"/>
      <c r="C33" s="255"/>
      <c r="D33" s="255"/>
      <c r="E33" s="255"/>
      <c r="F33" s="255"/>
      <c r="G33" s="255"/>
      <c r="H33" s="255"/>
      <c r="I33" s="255"/>
      <c r="L33" s="456"/>
      <c r="M33" s="456"/>
      <c r="N33" s="456"/>
      <c r="O33" s="456"/>
      <c r="P33" s="456"/>
    </row>
    <row r="34" spans="1:16" ht="23.25" x14ac:dyDescent="0.35">
      <c r="A34" s="837" t="str">
        <f>$A$1</f>
        <v xml:space="preserve">MV "Wen De" </v>
      </c>
      <c r="B34" s="837"/>
      <c r="C34" s="837"/>
      <c r="D34" s="837"/>
      <c r="E34" s="837"/>
      <c r="F34" s="837"/>
      <c r="G34" s="837"/>
      <c r="H34" s="837"/>
      <c r="I34" s="837"/>
      <c r="J34" s="837"/>
      <c r="L34" s="456"/>
      <c r="M34" s="456"/>
      <c r="N34" s="456"/>
      <c r="O34" s="456"/>
      <c r="P34" s="456"/>
    </row>
    <row r="35" spans="1:16" ht="15.75" x14ac:dyDescent="0.25">
      <c r="A35" s="825" t="str">
        <f>$G$3</f>
        <v>PGUA/DS/106/26</v>
      </c>
      <c r="B35" s="825"/>
      <c r="C35" s="825"/>
      <c r="D35" s="825"/>
      <c r="E35" s="825"/>
      <c r="F35" s="825"/>
      <c r="G35" s="825"/>
      <c r="H35" s="825"/>
      <c r="I35" s="825"/>
      <c r="J35" s="825"/>
      <c r="L35" s="456"/>
      <c r="M35" s="456"/>
      <c r="N35" s="456"/>
      <c r="O35" s="456"/>
      <c r="P35" s="456"/>
    </row>
    <row r="36" spans="1:16" ht="15.75" x14ac:dyDescent="0.25">
      <c r="A36" s="825" t="str">
        <f>A3</f>
        <v>DRAUGHT SURVEY REPORT</v>
      </c>
      <c r="B36" s="825"/>
      <c r="C36" s="825"/>
      <c r="D36" s="825"/>
      <c r="E36" s="825"/>
      <c r="F36" s="825"/>
      <c r="G36" s="825"/>
      <c r="H36" s="825"/>
      <c r="I36" s="825"/>
      <c r="J36" s="825"/>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45" t="s">
        <v>39</v>
      </c>
      <c r="B38" s="845"/>
      <c r="C38" s="845"/>
      <c r="D38" s="845"/>
      <c r="E38" s="845"/>
      <c r="F38" s="845"/>
      <c r="G38" s="845"/>
      <c r="H38" s="845"/>
      <c r="I38" s="845"/>
      <c r="J38" s="845"/>
      <c r="L38" s="456"/>
      <c r="M38" s="456"/>
      <c r="N38" s="456"/>
      <c r="O38" s="456"/>
      <c r="P38" s="456"/>
    </row>
    <row r="39" spans="1:16" ht="15" customHeight="1" x14ac:dyDescent="0.25">
      <c r="A39" s="845"/>
      <c r="B39" s="845"/>
      <c r="C39" s="845"/>
      <c r="D39" s="845"/>
      <c r="E39" s="845"/>
      <c r="F39" s="845"/>
      <c r="G39" s="845"/>
      <c r="H39" s="845"/>
      <c r="I39" s="845"/>
      <c r="J39" s="845"/>
      <c r="L39" s="456"/>
      <c r="M39" s="456"/>
      <c r="N39" s="456"/>
      <c r="O39" s="456"/>
      <c r="P39" s="456"/>
    </row>
    <row r="40" spans="1:16" ht="63" x14ac:dyDescent="0.25">
      <c r="A40" s="845" t="str">
        <f>_xlfn.CONCAT(CAPA!$E$46:$E$55,".")</f>
        <v xml:space="preserve"> Messrs. AGTL - Armazéns Gerais Terminal Ltda.,  Messrs. Cargill Agricola S/A.,  Messrs. BTG Pactual Commodities Sertrading S/A,  Messrs. Cimbessul Terminal Portuario S/A, Messrs. Cotriguaçu Cooperativa Central Regional Iguaçu Ltda.,  Messrs. Amaggi &amp; LDC Terminais Portuários Paranaguá S.A,  Messrs. Rocha Terminais Portuários e Logística .</v>
      </c>
      <c r="B40" s="845"/>
      <c r="C40" s="845"/>
      <c r="D40" s="845"/>
      <c r="E40" s="845"/>
      <c r="F40" s="845"/>
      <c r="G40" s="845"/>
      <c r="H40" s="845"/>
      <c r="I40" s="845"/>
      <c r="J40" s="845"/>
      <c r="L40" s="621" t="str">
        <f>_xlfn.CONCAT(CAPA!$E$46:$E$55,".")</f>
        <v xml:space="preserve"> Messrs. AGTL - Armazéns Gerais Terminal Ltda.,  Messrs. Cargill Agricola S/A.,  Messrs. BTG Pactual Commodities Sertrading S/A,  Messrs. Cimbessul Terminal Portuario S/A, Messrs. Cotriguaçu Cooperativa Central Regional Iguaçu Ltda.,  Messrs. Amaggi &amp; LDC Terminais Portuários Paranaguá S.A,  Messrs. Rocha Terminais Portuários e Logística .</v>
      </c>
      <c r="M40" s="456"/>
      <c r="N40" s="456"/>
      <c r="O40" s="456"/>
      <c r="P40" s="456"/>
    </row>
    <row r="41" spans="1:16" ht="60" x14ac:dyDescent="0.25">
      <c r="A41" s="847" t="str">
        <f>$L$41</f>
        <v>Attend on board the referenced vessel on  April 2nd, 2026 from 9:00 until 12:00 hours, whilst she was anchored at inner roads area 8.3, and on  April 5th, 2026 from 6:00 until 8:30 hours, whilst she was berthed alongside wharf 212 at port of Paranaguá, Br - Brazil, with views to perform the initial and final draft surveys, ascertaining the following figures:</v>
      </c>
      <c r="B41" s="847"/>
      <c r="C41" s="847"/>
      <c r="D41" s="847"/>
      <c r="E41" s="847"/>
      <c r="F41" s="847"/>
      <c r="G41" s="847"/>
      <c r="H41" s="847"/>
      <c r="I41" s="847"/>
      <c r="J41" s="847"/>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2nd, 2026 from 9:00 until 12:00 hours, whilst she was anchored at inner roads area 8.3, and on  April 5th, 2026 from 6:00 until 8:30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690</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40</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"Wen De" </v>
      </c>
      <c r="B48" s="13"/>
      <c r="C48" s="13"/>
      <c r="D48" s="13"/>
      <c r="E48" s="13"/>
      <c r="F48" s="14" t="str">
        <f>_xlfn.CONCAT("Mr. ",CAPA!$B$30,", ",$L$48)</f>
        <v>Mr. Yong Zhu, the Master</v>
      </c>
      <c r="H48" s="14"/>
      <c r="I48" s="14"/>
      <c r="J48" s="13"/>
      <c r="K48" s="13"/>
      <c r="L48" s="457" t="s">
        <v>552</v>
      </c>
      <c r="M48" s="457"/>
      <c r="N48" s="456"/>
      <c r="O48" s="456"/>
      <c r="P48" s="456"/>
    </row>
    <row r="49" spans="1:16" ht="15.75" x14ac:dyDescent="0.25">
      <c r="A49" s="13"/>
      <c r="B49" s="13"/>
      <c r="C49" s="13"/>
      <c r="D49" s="13"/>
      <c r="E49" s="13"/>
      <c r="F49" s="14" t="str">
        <f>_xlfn.CONCAT("Mr. ",CAPA!$B$31,", ",$L$49)</f>
        <v>Mr. Sheng Hua Sun, the Chief Officer</v>
      </c>
      <c r="H49" s="13"/>
      <c r="I49" s="13"/>
      <c r="J49" s="13"/>
      <c r="K49" s="13"/>
      <c r="L49" s="457" t="s">
        <v>553</v>
      </c>
      <c r="M49" s="457"/>
      <c r="N49" s="456"/>
      <c r="O49" s="456"/>
      <c r="P49" s="456"/>
    </row>
    <row r="50" spans="1:16" ht="15.75" x14ac:dyDescent="0.25">
      <c r="A50" s="13"/>
      <c r="B50" s="13"/>
      <c r="C50" s="13"/>
      <c r="D50" s="13"/>
      <c r="E50" s="13"/>
      <c r="F50" s="14" t="str">
        <f>_xlfn.CONCAT("Mr. ",CAPA!$B$32,", ",$L$50)</f>
        <v>Mr. De Qin Li, the Chief Engineer</v>
      </c>
      <c r="H50" s="13"/>
      <c r="I50" s="13"/>
      <c r="J50" s="13"/>
      <c r="K50" s="13"/>
      <c r="L50" s="458" t="s">
        <v>554</v>
      </c>
      <c r="M50" s="458"/>
      <c r="N50" s="456"/>
      <c r="O50" s="456"/>
      <c r="P50" s="456"/>
    </row>
    <row r="51" spans="1:16" ht="15.75" x14ac:dyDescent="0.25">
      <c r="A51" s="13"/>
      <c r="B51" s="13"/>
      <c r="C51" s="13"/>
      <c r="D51" s="13"/>
      <c r="E51" s="13"/>
      <c r="F51" s="14"/>
      <c r="H51" s="13"/>
      <c r="I51" s="13"/>
      <c r="J51" s="13"/>
      <c r="K51" s="13"/>
      <c r="L51" s="458"/>
      <c r="M51" s="458"/>
      <c r="N51" s="456"/>
      <c r="O51" s="456"/>
      <c r="P51" s="456"/>
    </row>
    <row r="52" spans="1:16" ht="15.75" x14ac:dyDescent="0.25">
      <c r="A52" s="13"/>
      <c r="B52" s="13"/>
      <c r="C52" s="13"/>
      <c r="D52" s="13"/>
      <c r="E52" s="13"/>
      <c r="F52" s="14"/>
      <c r="H52" s="13"/>
      <c r="I52" s="13"/>
      <c r="J52" s="13"/>
      <c r="K52" s="13"/>
      <c r="L52" s="458"/>
      <c r="M52" s="458"/>
      <c r="N52" s="456"/>
      <c r="O52" s="456"/>
      <c r="P52" s="456"/>
    </row>
    <row r="53" spans="1:16" ht="15.75" x14ac:dyDescent="0.25">
      <c r="A53" s="437" t="str">
        <f>CAPA!$A$41</f>
        <v>ALPHAMAR AGÊNCIA MARITIMA LTDA</v>
      </c>
      <c r="B53" s="6"/>
      <c r="C53" s="6"/>
      <c r="D53" s="6"/>
      <c r="E53" s="6"/>
      <c r="F53" s="437" t="str">
        <f>Clients!$D$50</f>
        <v>Mr. Murilo Florentino da Rocha</v>
      </c>
      <c r="H53" s="13"/>
      <c r="I53" s="13"/>
      <c r="J53" s="13"/>
      <c r="K53" s="13"/>
      <c r="L53" s="458"/>
      <c r="M53" s="458"/>
      <c r="N53" s="456"/>
      <c r="O53" s="456"/>
      <c r="P53" s="456"/>
    </row>
    <row r="54" spans="1:16" ht="15.75" x14ac:dyDescent="0.25">
      <c r="A54" s="6" t="s">
        <v>42</v>
      </c>
      <c r="B54" s="6"/>
      <c r="C54" s="6"/>
      <c r="D54" s="6"/>
      <c r="E54" s="6"/>
      <c r="F54" s="437" t="str">
        <f>Clients!$D$51</f>
        <v>Mr. Manoel Carvalho</v>
      </c>
      <c r="H54" s="13"/>
      <c r="I54" s="13"/>
      <c r="J54" s="13"/>
      <c r="K54" s="13"/>
      <c r="L54" s="458"/>
      <c r="M54" s="458"/>
      <c r="N54" s="456"/>
      <c r="O54" s="456"/>
      <c r="P54" s="456"/>
    </row>
    <row r="55" spans="1:16" ht="15.75" x14ac:dyDescent="0.25">
      <c r="A55" s="6"/>
      <c r="B55" s="6"/>
      <c r="C55" s="6"/>
      <c r="D55" s="6"/>
      <c r="E55" s="6"/>
      <c r="F55" s="437" t="str">
        <f>Clients!$D$52</f>
        <v>Mr. André David</v>
      </c>
      <c r="H55" s="13"/>
      <c r="I55" s="13"/>
      <c r="J55" s="13"/>
      <c r="K55" s="13"/>
      <c r="L55" s="458"/>
      <c r="M55" s="458"/>
      <c r="N55" s="456"/>
      <c r="O55" s="456"/>
      <c r="P55" s="456"/>
    </row>
    <row r="56" spans="1:16" ht="15.75" x14ac:dyDescent="0.25">
      <c r="A56" s="6"/>
      <c r="B56" s="6"/>
      <c r="C56" s="6"/>
      <c r="D56" s="6"/>
      <c r="E56" s="6"/>
      <c r="F56" s="437" t="str">
        <f>Clients!$D$53</f>
        <v xml:space="preserve"> </v>
      </c>
      <c r="H56" s="13"/>
      <c r="I56" s="13"/>
      <c r="J56" s="13"/>
      <c r="K56" s="13"/>
      <c r="L56" s="458"/>
      <c r="M56" s="458"/>
      <c r="N56" s="456"/>
      <c r="O56" s="456"/>
      <c r="P56" s="456"/>
    </row>
    <row r="57" spans="1:16" ht="15.75" x14ac:dyDescent="0.25">
      <c r="A57" s="6"/>
      <c r="B57" s="6"/>
      <c r="C57" s="6"/>
      <c r="D57" s="6"/>
      <c r="E57" s="6"/>
      <c r="F57" s="437" t="str">
        <f>Clients!$D$54</f>
        <v xml:space="preserve"> </v>
      </c>
      <c r="H57" s="13"/>
      <c r="I57" s="13"/>
      <c r="J57" s="13"/>
      <c r="K57" s="13"/>
      <c r="L57" s="458"/>
      <c r="M57" s="458"/>
      <c r="N57" s="456"/>
      <c r="O57" s="456"/>
      <c r="P57" s="456"/>
    </row>
    <row r="58" spans="1:16" ht="15.75" x14ac:dyDescent="0.25">
      <c r="A58" s="6"/>
      <c r="B58" s="6"/>
      <c r="C58" s="6"/>
      <c r="D58" s="6"/>
      <c r="E58" s="6"/>
      <c r="F58" s="437" t="str">
        <f>Clients!$D$55</f>
        <v xml:space="preserve"> </v>
      </c>
      <c r="H58" s="13"/>
      <c r="I58" s="13"/>
      <c r="J58" s="13"/>
      <c r="K58" s="13"/>
      <c r="L58" s="458"/>
      <c r="M58" s="458"/>
      <c r="N58" s="456"/>
      <c r="O58" s="456"/>
      <c r="P58" s="456"/>
    </row>
    <row r="59" spans="1:16" ht="15.75" x14ac:dyDescent="0.25">
      <c r="A59" s="13"/>
      <c r="B59" s="13"/>
      <c r="C59" s="13"/>
      <c r="D59" s="13"/>
      <c r="E59" s="13"/>
      <c r="F59" s="12"/>
      <c r="H59" s="13"/>
      <c r="I59" s="13"/>
      <c r="J59" s="13"/>
      <c r="K59" s="13"/>
      <c r="L59" s="458"/>
      <c r="M59" s="458"/>
      <c r="N59" s="456"/>
      <c r="O59" s="456"/>
      <c r="P59" s="456"/>
    </row>
    <row r="60" spans="1:16" ht="15.75" x14ac:dyDescent="0.25">
      <c r="A60" s="13"/>
      <c r="B60" s="13"/>
      <c r="C60" s="13"/>
      <c r="D60" s="13"/>
      <c r="E60" s="13"/>
      <c r="F60" s="12"/>
      <c r="H60" s="13"/>
      <c r="I60" s="13"/>
      <c r="J60" s="13"/>
      <c r="K60" s="13"/>
      <c r="L60" s="458"/>
      <c r="M60" s="458"/>
      <c r="N60" s="456"/>
      <c r="O60" s="456"/>
      <c r="P60" s="456"/>
    </row>
    <row r="61" spans="1:16" ht="15.75" x14ac:dyDescent="0.25">
      <c r="A61" s="436" t="str">
        <f>CAPA!$A$43</f>
        <v>ALPHAMAR AGÊNCIA MARITIMA LTDA</v>
      </c>
      <c r="B61" s="5"/>
      <c r="C61" s="5"/>
      <c r="D61" s="5"/>
      <c r="E61" s="5"/>
      <c r="F61" s="280" t="str">
        <f>Clients!$D$181</f>
        <v>Mr. Robson Coutinho</v>
      </c>
      <c r="H61" s="6"/>
      <c r="I61" s="6"/>
      <c r="J61" s="438"/>
      <c r="L61" s="456"/>
      <c r="M61" s="456"/>
      <c r="N61" s="456"/>
      <c r="O61" s="456"/>
      <c r="P61" s="456"/>
    </row>
    <row r="62" spans="1:16" ht="15.75" x14ac:dyDescent="0.25">
      <c r="A62" s="436" t="s">
        <v>41</v>
      </c>
      <c r="B62" s="5"/>
      <c r="C62" s="5"/>
      <c r="D62" s="5"/>
      <c r="E62" s="5"/>
      <c r="F62" s="280" t="str">
        <f>Clients!$D$182</f>
        <v>Mr. Lucas Zwierzykowski</v>
      </c>
      <c r="H62" s="6"/>
      <c r="I62" s="6"/>
      <c r="J62" s="438"/>
      <c r="L62" s="456"/>
      <c r="M62" s="456"/>
      <c r="N62" s="456"/>
      <c r="O62" s="456"/>
      <c r="P62" s="456"/>
    </row>
    <row r="63" spans="1:16" ht="15.75" x14ac:dyDescent="0.25">
      <c r="A63" s="436"/>
      <c r="B63" s="5"/>
      <c r="C63" s="5"/>
      <c r="D63" s="5"/>
      <c r="E63" s="5"/>
      <c r="F63" s="280" t="str">
        <f>Clients!$D$183</f>
        <v xml:space="preserve"> </v>
      </c>
      <c r="H63" s="6"/>
      <c r="I63" s="6"/>
      <c r="J63" s="438"/>
      <c r="L63" s="456"/>
      <c r="M63" s="456"/>
      <c r="N63" s="456"/>
      <c r="O63" s="456"/>
      <c r="P63" s="456"/>
    </row>
    <row r="64" spans="1:16" ht="15.75" x14ac:dyDescent="0.25">
      <c r="A64" s="436"/>
      <c r="B64" s="5"/>
      <c r="C64" s="5"/>
      <c r="D64" s="5"/>
      <c r="E64" s="5"/>
      <c r="F64" s="280" t="str">
        <f>Clients!$D$184</f>
        <v xml:space="preserve"> </v>
      </c>
      <c r="H64" s="6"/>
      <c r="I64" s="6"/>
      <c r="J64" s="438"/>
      <c r="L64" s="456"/>
      <c r="M64" s="456"/>
      <c r="N64" s="456"/>
      <c r="O64" s="456"/>
      <c r="P64" s="456"/>
    </row>
    <row r="65" spans="1:16" ht="15.75" x14ac:dyDescent="0.25">
      <c r="A65" s="436"/>
      <c r="B65" s="5"/>
      <c r="C65" s="5"/>
      <c r="D65" s="5"/>
      <c r="E65" s="5"/>
      <c r="F65" s="280" t="str">
        <f>Clients!$D$185</f>
        <v xml:space="preserve"> </v>
      </c>
      <c r="H65" s="13"/>
      <c r="I65" s="6"/>
      <c r="J65" s="438"/>
      <c r="L65" s="456"/>
      <c r="M65" s="456"/>
      <c r="N65" s="456"/>
      <c r="O65" s="456"/>
      <c r="P65" s="456"/>
    </row>
    <row r="66" spans="1:16" ht="15.75" x14ac:dyDescent="0.25">
      <c r="A66" s="436"/>
      <c r="B66" s="5"/>
      <c r="C66" s="5"/>
      <c r="D66" s="5"/>
      <c r="E66" s="5"/>
      <c r="F66" s="14"/>
      <c r="H66" s="13"/>
      <c r="I66" s="6"/>
      <c r="J66" s="438"/>
      <c r="L66" s="456"/>
      <c r="M66" s="456"/>
      <c r="N66" s="456"/>
      <c r="O66" s="456"/>
      <c r="P66" s="456"/>
    </row>
    <row r="67" spans="1:16" ht="15.75" x14ac:dyDescent="0.25">
      <c r="A67" s="436"/>
      <c r="B67" s="5"/>
      <c r="C67" s="5"/>
      <c r="D67" s="5"/>
      <c r="E67" s="5"/>
      <c r="F67" s="14"/>
      <c r="H67" s="13"/>
      <c r="I67" s="6"/>
      <c r="J67" s="438"/>
      <c r="L67" s="456"/>
      <c r="M67" s="456"/>
      <c r="N67" s="456"/>
      <c r="O67" s="456"/>
      <c r="P67" s="456"/>
    </row>
    <row r="68" spans="1:16" ht="15.75" x14ac:dyDescent="0.25">
      <c r="A68" s="5"/>
      <c r="B68" s="6"/>
      <c r="C68" s="6"/>
      <c r="D68" s="6"/>
      <c r="E68" s="6"/>
      <c r="F68" s="437"/>
      <c r="H68" s="6"/>
      <c r="I68" s="6"/>
      <c r="J68" s="438"/>
      <c r="L68" s="456"/>
      <c r="M68" s="456"/>
      <c r="N68" s="456"/>
      <c r="O68" s="456"/>
      <c r="P68" s="456"/>
    </row>
    <row r="69" spans="1:16" ht="15.75" x14ac:dyDescent="0.25">
      <c r="A69" s="5" t="str">
        <f>IF(CAPA!$A$88=0,"",CAPA!$A$88)</f>
        <v>TWK CCIC</v>
      </c>
      <c r="B69" s="5"/>
      <c r="C69" s="5"/>
      <c r="D69" s="5"/>
      <c r="E69" s="5"/>
      <c r="F69" s="436" t="str">
        <f>Clients!$D$267</f>
        <v>Mr. João Manoel Pinho</v>
      </c>
      <c r="H69" s="6"/>
      <c r="I69" s="6"/>
      <c r="J69" s="438"/>
      <c r="L69" s="456"/>
      <c r="M69" s="456"/>
      <c r="N69" s="456"/>
      <c r="O69" s="456"/>
      <c r="P69" s="456"/>
    </row>
    <row r="70" spans="1:16" ht="15.75" x14ac:dyDescent="0.25">
      <c r="A70" s="5" t="str">
        <f>IF(CAPA!$A$89=0,"",CAPA!$A$89)</f>
        <v>(As Consignees surveyors)</v>
      </c>
      <c r="B70" s="5"/>
      <c r="C70" s="5"/>
      <c r="D70" s="5"/>
      <c r="E70" s="5"/>
      <c r="F70" s="436" t="str">
        <f>Clients!$D$268</f>
        <v>Mr. Marco Aurelio Lima Pedroso</v>
      </c>
      <c r="H70" s="6"/>
      <c r="I70" s="6"/>
      <c r="J70" s="438"/>
      <c r="L70" s="456"/>
      <c r="M70" s="456"/>
      <c r="N70" s="456"/>
      <c r="O70" s="456"/>
      <c r="P70" s="456"/>
    </row>
    <row r="71" spans="1:16" ht="15.75" x14ac:dyDescent="0.25">
      <c r="A71" s="5"/>
      <c r="B71" s="5"/>
      <c r="C71" s="5"/>
      <c r="D71" s="5"/>
      <c r="E71" s="5"/>
      <c r="F71" s="436"/>
      <c r="H71" s="6"/>
      <c r="I71" s="6"/>
      <c r="J71" s="438"/>
      <c r="L71" s="456"/>
      <c r="M71" s="456"/>
      <c r="N71" s="456"/>
      <c r="O71" s="456"/>
      <c r="P71" s="456"/>
    </row>
    <row r="72" spans="1:16" ht="15.75" x14ac:dyDescent="0.25">
      <c r="A72" s="5"/>
      <c r="B72" s="5"/>
      <c r="C72" s="5"/>
      <c r="D72" s="5"/>
      <c r="E72" s="5"/>
      <c r="F72" s="436"/>
      <c r="H72" s="6"/>
      <c r="I72" s="6"/>
      <c r="J72" s="438"/>
      <c r="L72" s="456"/>
      <c r="M72" s="456"/>
      <c r="N72" s="456"/>
      <c r="O72" s="456"/>
      <c r="P72" s="456"/>
    </row>
    <row r="73" spans="1:16" ht="15.75" x14ac:dyDescent="0.25">
      <c r="A73" s="5"/>
      <c r="B73" s="5"/>
      <c r="C73" s="5"/>
      <c r="D73" s="5"/>
      <c r="E73" s="5"/>
      <c r="F73" s="436"/>
      <c r="H73" s="6"/>
      <c r="I73" s="6"/>
      <c r="J73" s="438"/>
      <c r="L73" s="456"/>
      <c r="M73" s="456"/>
      <c r="N73" s="456"/>
      <c r="O73" s="456"/>
      <c r="P73" s="456"/>
    </row>
    <row r="74" spans="1:16" ht="15.75" x14ac:dyDescent="0.25">
      <c r="A74" s="5" t="str">
        <f>IF(CAPA!$A$91=0,"",CAPA!$A$91)</f>
        <v/>
      </c>
      <c r="B74" s="5"/>
      <c r="C74" s="5"/>
      <c r="D74" s="5"/>
      <c r="E74" s="5"/>
      <c r="F74" s="436" t="str">
        <f>Clients!$D$271</f>
        <v xml:space="preserve"> </v>
      </c>
      <c r="H74" s="6"/>
      <c r="I74" s="6"/>
      <c r="J74" s="438"/>
      <c r="L74" s="456"/>
      <c r="M74" s="456"/>
      <c r="N74" s="456"/>
      <c r="O74" s="456"/>
      <c r="P74" s="456"/>
    </row>
    <row r="75" spans="1:16" ht="15.75" x14ac:dyDescent="0.25">
      <c r="A75" s="5" t="str">
        <f>IF(CAPA!$A$92=0,"",CAPA!$A$92)</f>
        <v/>
      </c>
      <c r="B75" s="5"/>
      <c r="C75" s="5"/>
      <c r="D75" s="5"/>
      <c r="E75" s="5"/>
      <c r="F75" s="436" t="str">
        <f>Clients!$D$272</f>
        <v xml:space="preserve"> </v>
      </c>
      <c r="H75" s="6"/>
      <c r="I75" s="6"/>
      <c r="J75" s="438"/>
      <c r="L75" s="456"/>
      <c r="M75" s="456"/>
      <c r="N75" s="456"/>
      <c r="O75" s="456"/>
      <c r="P75" s="456"/>
    </row>
    <row r="76" spans="1:16" ht="15.75" x14ac:dyDescent="0.25">
      <c r="A76" s="5"/>
      <c r="B76" s="5"/>
      <c r="C76" s="5"/>
      <c r="D76" s="5"/>
      <c r="E76" s="5"/>
      <c r="F76" s="436"/>
      <c r="H76" s="6"/>
      <c r="I76" s="6"/>
      <c r="J76" s="438"/>
      <c r="L76" s="456"/>
      <c r="M76" s="456"/>
      <c r="N76" s="456"/>
      <c r="O76" s="456"/>
      <c r="P76" s="456"/>
    </row>
    <row r="77" spans="1:16" ht="15.75" x14ac:dyDescent="0.25">
      <c r="A77" s="5"/>
      <c r="B77" s="5"/>
      <c r="C77" s="5"/>
      <c r="D77" s="5"/>
      <c r="E77" s="5"/>
      <c r="F77" s="436"/>
      <c r="H77" s="6"/>
      <c r="I77" s="6"/>
      <c r="J77" s="438"/>
      <c r="L77" s="456"/>
      <c r="M77" s="456"/>
      <c r="N77" s="456"/>
      <c r="O77" s="456"/>
      <c r="P77" s="456"/>
    </row>
    <row r="78" spans="1:16" ht="15.75" x14ac:dyDescent="0.25">
      <c r="A78" s="5"/>
      <c r="B78" s="5"/>
      <c r="C78" s="5"/>
      <c r="D78" s="5"/>
      <c r="E78" s="5"/>
      <c r="F78" s="436"/>
      <c r="H78" s="6"/>
      <c r="I78" s="6"/>
      <c r="J78" s="438"/>
      <c r="L78" s="456"/>
      <c r="M78" s="456"/>
      <c r="N78" s="456"/>
      <c r="O78" s="456"/>
      <c r="P78" s="456"/>
    </row>
    <row r="79" spans="1:16" ht="15.75" x14ac:dyDescent="0.25">
      <c r="A79" s="6" t="str">
        <f>IF(CAPA!A94=0,"",CAPA!A94)</f>
        <v/>
      </c>
      <c r="B79" s="6"/>
      <c r="C79" s="6"/>
      <c r="D79" s="6"/>
      <c r="E79" s="6"/>
      <c r="F79" s="436" t="str">
        <f>Clients!$D$275</f>
        <v xml:space="preserve"> </v>
      </c>
      <c r="H79" s="6"/>
      <c r="I79" s="6"/>
      <c r="J79" s="438"/>
      <c r="L79" s="456"/>
      <c r="M79" s="456"/>
      <c r="N79" s="456"/>
      <c r="O79" s="456"/>
      <c r="P79" s="456"/>
    </row>
    <row r="80" spans="1:16" ht="15.75" x14ac:dyDescent="0.25">
      <c r="A80" s="6" t="str">
        <f>IF(CAPA!A95=0,"",CAPA!A95)</f>
        <v/>
      </c>
      <c r="B80" s="6"/>
      <c r="C80" s="6"/>
      <c r="D80" s="6"/>
      <c r="E80" s="6"/>
      <c r="F80" s="436" t="str">
        <f>Clients!$D$276</f>
        <v xml:space="preserve"> </v>
      </c>
      <c r="H80" s="6"/>
      <c r="I80" s="6"/>
      <c r="J80" s="438"/>
      <c r="L80" s="456"/>
      <c r="M80" s="456"/>
      <c r="N80" s="456"/>
      <c r="O80" s="456"/>
      <c r="P80" s="456"/>
    </row>
    <row r="81" spans="1:16" ht="15.75" x14ac:dyDescent="0.25">
      <c r="A81" s="6"/>
      <c r="B81" s="6"/>
      <c r="C81" s="6"/>
      <c r="D81" s="6"/>
      <c r="E81" s="6"/>
      <c r="F81" s="436"/>
      <c r="H81" s="6"/>
      <c r="I81" s="13"/>
      <c r="J81" s="438"/>
      <c r="L81" s="456"/>
      <c r="M81" s="456"/>
      <c r="N81" s="456"/>
      <c r="O81" s="456"/>
      <c r="P81" s="456"/>
    </row>
    <row r="82" spans="1:16" ht="15.75" x14ac:dyDescent="0.25">
      <c r="A82" s="6"/>
      <c r="B82" s="6"/>
      <c r="C82" s="6"/>
      <c r="D82" s="6"/>
      <c r="E82" s="6"/>
      <c r="F82" s="436"/>
      <c r="H82" s="6"/>
      <c r="I82" s="13"/>
      <c r="J82" s="438"/>
      <c r="L82" s="456"/>
      <c r="M82" s="456"/>
      <c r="N82" s="456"/>
      <c r="O82" s="456"/>
      <c r="P82" s="456"/>
    </row>
    <row r="83" spans="1:16" ht="15.75" x14ac:dyDescent="0.25">
      <c r="A83" s="5"/>
      <c r="B83" s="5"/>
      <c r="C83" s="5"/>
      <c r="D83" s="5"/>
      <c r="E83" s="5"/>
      <c r="F83" s="436"/>
      <c r="H83" s="13"/>
      <c r="I83" s="13"/>
      <c r="J83" s="438"/>
      <c r="L83" s="456"/>
      <c r="M83" s="456"/>
      <c r="N83" s="456"/>
      <c r="O83" s="456"/>
      <c r="P83" s="456"/>
    </row>
    <row r="84" spans="1:16" ht="15.75" x14ac:dyDescent="0.25">
      <c r="A84" s="5" t="s">
        <v>43</v>
      </c>
      <c r="B84" s="5"/>
      <c r="C84" s="5"/>
      <c r="D84" s="5"/>
      <c r="E84" s="5"/>
      <c r="F84" s="437" t="str">
        <f>CAPA!$A$85</f>
        <v>Mr. Angela Ramos Guimarães Souza</v>
      </c>
      <c r="H84" s="13"/>
      <c r="I84" s="13"/>
      <c r="J84" s="438"/>
      <c r="L84" s="456"/>
      <c r="M84" s="456"/>
      <c r="N84" s="456"/>
      <c r="O84" s="456"/>
      <c r="P84" s="456"/>
    </row>
    <row r="85" spans="1:16" ht="15.75" x14ac:dyDescent="0.25">
      <c r="A85" s="5"/>
      <c r="B85" s="5"/>
      <c r="C85" s="5"/>
      <c r="D85" s="5"/>
      <c r="E85" s="5"/>
      <c r="F85" s="288"/>
      <c r="G85" s="288"/>
      <c r="H85" s="13"/>
      <c r="I85" s="13"/>
      <c r="J85" s="438"/>
      <c r="L85" s="456"/>
      <c r="M85" s="456"/>
      <c r="N85" s="456"/>
      <c r="O85" s="456"/>
      <c r="P85" s="456"/>
    </row>
    <row r="86" spans="1:16" ht="15.75" x14ac:dyDescent="0.25">
      <c r="A86" s="5"/>
      <c r="B86" s="5"/>
      <c r="C86" s="5"/>
      <c r="D86" s="5"/>
      <c r="E86" s="5"/>
      <c r="F86" s="288"/>
      <c r="G86" s="13"/>
      <c r="H86" s="13"/>
      <c r="I86" s="13"/>
      <c r="J86" s="438"/>
      <c r="L86" s="456"/>
      <c r="M86" s="456"/>
      <c r="N86" s="456"/>
      <c r="O86" s="456"/>
      <c r="P86" s="456"/>
    </row>
    <row r="87" spans="1:16" ht="15.75" x14ac:dyDescent="0.25">
      <c r="A87" s="261" t="s">
        <v>44</v>
      </c>
      <c r="B87" s="13"/>
      <c r="C87" s="13"/>
      <c r="D87" s="13"/>
      <c r="E87" s="13"/>
      <c r="F87" s="261" t="s">
        <v>565</v>
      </c>
      <c r="H87" s="261"/>
      <c r="I87" s="13"/>
      <c r="J87" s="438"/>
      <c r="L87" s="456"/>
      <c r="M87" s="456"/>
      <c r="N87" s="456"/>
      <c r="O87" s="456"/>
      <c r="P87" s="456"/>
    </row>
    <row r="88" spans="1:16" ht="15.75" x14ac:dyDescent="0.25">
      <c r="A88" s="261" t="s">
        <v>45</v>
      </c>
      <c r="B88" s="13"/>
      <c r="C88" s="13"/>
      <c r="D88" s="13"/>
      <c r="E88" s="13"/>
      <c r="F88" s="13" t="s">
        <v>46</v>
      </c>
      <c r="H88" s="13"/>
      <c r="I88" s="13"/>
      <c r="J88" s="13"/>
      <c r="L88" s="456"/>
      <c r="M88" s="456"/>
      <c r="N88" s="456"/>
      <c r="O88" s="456"/>
      <c r="P88" s="456"/>
    </row>
    <row r="89" spans="1:16" ht="15.75" x14ac:dyDescent="0.25">
      <c r="A89" s="13"/>
      <c r="B89" s="13"/>
      <c r="C89" s="13"/>
      <c r="D89" s="13"/>
      <c r="E89" s="13"/>
      <c r="F89" s="736" t="str">
        <f>_xlfn.CONCAT("Mr. ",CAPA!$A$97)</f>
        <v>Mr. Haroldo Fernandes Alves Junior</v>
      </c>
      <c r="G89" s="736"/>
      <c r="H89" s="736"/>
      <c r="I89" s="736"/>
      <c r="J89" s="736"/>
      <c r="L89" s="456"/>
      <c r="M89" s="456"/>
      <c r="N89" s="456"/>
      <c r="O89" s="456"/>
      <c r="P89" s="456"/>
    </row>
    <row r="90" spans="1:16" ht="15.75" x14ac:dyDescent="0.25">
      <c r="A90" s="262" t="s">
        <v>47</v>
      </c>
      <c r="B90" s="13"/>
      <c r="C90" s="13"/>
      <c r="D90" s="13"/>
      <c r="E90" s="13"/>
      <c r="F90" s="13"/>
      <c r="G90" s="13"/>
      <c r="H90" s="13"/>
      <c r="I90" s="13"/>
      <c r="L90" s="456"/>
      <c r="M90" s="456"/>
      <c r="N90" s="456"/>
      <c r="O90" s="456"/>
      <c r="P90" s="456"/>
    </row>
    <row r="91" spans="1:16" ht="15.75" x14ac:dyDescent="0.25">
      <c r="A91" s="262"/>
      <c r="B91" s="13"/>
      <c r="C91" s="13"/>
      <c r="D91" s="13"/>
      <c r="E91" s="13"/>
      <c r="F91" s="13"/>
      <c r="G91" s="13"/>
      <c r="H91" s="13"/>
      <c r="I91" s="13"/>
      <c r="L91" s="456"/>
      <c r="M91" s="456"/>
      <c r="N91" s="456"/>
      <c r="O91" s="456"/>
      <c r="P91" s="456"/>
    </row>
    <row r="92" spans="1:16" ht="15.75" x14ac:dyDescent="0.25">
      <c r="A92" s="261" t="s">
        <v>48</v>
      </c>
      <c r="B92" s="13"/>
      <c r="C92" s="13"/>
      <c r="D92" s="13"/>
      <c r="E92" s="738" t="str">
        <f>CAPA!$B$8</f>
        <v>Wen De</v>
      </c>
      <c r="F92" s="738"/>
      <c r="G92" s="738"/>
      <c r="H92" s="738"/>
      <c r="I92" s="738"/>
      <c r="J92" s="738"/>
      <c r="L92" s="456"/>
      <c r="M92" s="456"/>
      <c r="N92" s="456"/>
      <c r="O92" s="456"/>
      <c r="P92" s="456"/>
    </row>
    <row r="93" spans="1:16" ht="15.75" x14ac:dyDescent="0.25">
      <c r="A93" s="261" t="s">
        <v>49</v>
      </c>
      <c r="B93" s="13"/>
      <c r="C93" s="13"/>
      <c r="D93" s="13"/>
      <c r="E93" s="738" t="str">
        <f>CAPA!$B$12</f>
        <v>VRMS4</v>
      </c>
      <c r="F93" s="738"/>
      <c r="G93" s="5"/>
      <c r="H93" s="5"/>
      <c r="I93" s="13"/>
      <c r="L93" s="456"/>
      <c r="M93" s="456"/>
      <c r="N93" s="456"/>
      <c r="O93" s="456"/>
      <c r="P93" s="456"/>
    </row>
    <row r="94" spans="1:16" ht="15.75" x14ac:dyDescent="0.25">
      <c r="A94" s="261" t="s">
        <v>50</v>
      </c>
      <c r="B94" s="13"/>
      <c r="C94" s="13"/>
      <c r="D94" s="13"/>
      <c r="E94" s="738" t="str">
        <f>CAPA!$B$13</f>
        <v>Hong Kong</v>
      </c>
      <c r="F94" s="738"/>
      <c r="G94" s="738"/>
      <c r="H94" s="5"/>
      <c r="I94" s="13"/>
      <c r="L94" s="456"/>
      <c r="M94" s="456"/>
      <c r="N94" s="456"/>
      <c r="O94" s="456"/>
      <c r="P94" s="456"/>
    </row>
    <row r="95" spans="1:16" ht="15.75" x14ac:dyDescent="0.25">
      <c r="A95" s="261" t="s">
        <v>51</v>
      </c>
      <c r="B95" s="13"/>
      <c r="C95" s="13"/>
      <c r="D95" s="13"/>
      <c r="E95" s="738" t="str">
        <f>CAPA!$B$14</f>
        <v>Hongkongese</v>
      </c>
      <c r="F95" s="738"/>
      <c r="G95" s="738"/>
      <c r="H95" s="738"/>
      <c r="I95" s="738"/>
      <c r="J95" s="738"/>
      <c r="L95" s="456"/>
      <c r="M95" s="456"/>
      <c r="N95" s="456"/>
      <c r="O95" s="456"/>
      <c r="P95" s="456"/>
    </row>
    <row r="96" spans="1:16" ht="15.75" x14ac:dyDescent="0.25">
      <c r="A96" s="261" t="s">
        <v>52</v>
      </c>
      <c r="B96" s="13"/>
      <c r="C96" s="13"/>
      <c r="D96" s="13"/>
      <c r="E96" s="738">
        <f>CAPA!$B$10</f>
        <v>9642772</v>
      </c>
      <c r="F96" s="738"/>
      <c r="G96" s="5"/>
      <c r="H96" s="5"/>
      <c r="I96" s="13"/>
      <c r="L96" s="456"/>
      <c r="M96" s="456"/>
      <c r="N96" s="456"/>
      <c r="O96" s="456"/>
      <c r="P96" s="456"/>
    </row>
    <row r="97" spans="1:16" ht="15.75" x14ac:dyDescent="0.25">
      <c r="A97" s="261" t="s">
        <v>53</v>
      </c>
      <c r="B97" s="13"/>
      <c r="C97" s="13"/>
      <c r="D97" s="13"/>
      <c r="E97" s="263">
        <f>CAPA!$B$15</f>
        <v>229</v>
      </c>
      <c r="F97" s="263"/>
      <c r="G97" s="5"/>
      <c r="H97" s="5"/>
      <c r="I97" s="13"/>
      <c r="L97" s="456"/>
      <c r="M97" s="456"/>
      <c r="N97" s="456"/>
      <c r="O97" s="456"/>
      <c r="P97" s="456"/>
    </row>
    <row r="98" spans="1:16" ht="15.75" x14ac:dyDescent="0.25">
      <c r="A98" s="261" t="s">
        <v>54</v>
      </c>
      <c r="B98" s="13"/>
      <c r="C98" s="13"/>
      <c r="D98" s="13"/>
      <c r="E98" s="263">
        <f>CAPA!$B$16</f>
        <v>225.5</v>
      </c>
      <c r="F98" s="263"/>
      <c r="G98" s="5"/>
      <c r="H98" s="5"/>
      <c r="I98" s="13"/>
      <c r="L98" s="456"/>
      <c r="M98" s="456"/>
      <c r="N98" s="456"/>
      <c r="O98" s="456"/>
      <c r="P98" s="456"/>
    </row>
    <row r="99" spans="1:16" ht="15.75" x14ac:dyDescent="0.25">
      <c r="A99" s="261" t="s">
        <v>55</v>
      </c>
      <c r="B99" s="13"/>
      <c r="C99" s="13"/>
      <c r="D99" s="13"/>
      <c r="E99" s="263">
        <f>CAPA!$B$17</f>
        <v>20.100000000000001</v>
      </c>
      <c r="F99" s="263"/>
      <c r="G99" s="5"/>
      <c r="H99" s="5"/>
      <c r="I99" s="13"/>
      <c r="L99" s="456"/>
      <c r="M99" s="456"/>
      <c r="N99" s="456"/>
      <c r="O99" s="456"/>
      <c r="P99" s="456"/>
    </row>
    <row r="100" spans="1:16" ht="15.75" x14ac:dyDescent="0.25">
      <c r="A100" s="261" t="s">
        <v>56</v>
      </c>
      <c r="B100" s="13"/>
      <c r="C100" s="13"/>
      <c r="D100" s="13"/>
      <c r="E100" s="263">
        <f>CAPA!$B$18</f>
        <v>32.26</v>
      </c>
      <c r="F100" s="263"/>
      <c r="G100" s="5"/>
      <c r="H100" s="5"/>
      <c r="I100" s="13"/>
      <c r="L100" s="456"/>
      <c r="M100" s="456"/>
      <c r="N100" s="456"/>
      <c r="O100" s="456"/>
      <c r="P100" s="456"/>
    </row>
    <row r="101" spans="1:16" ht="15.75" x14ac:dyDescent="0.25">
      <c r="A101" s="261" t="s">
        <v>57</v>
      </c>
      <c r="B101" s="13"/>
      <c r="C101" s="13"/>
      <c r="D101" s="13"/>
      <c r="E101" s="737">
        <f>CAPA!$B$20</f>
        <v>44543</v>
      </c>
      <c r="F101" s="737"/>
      <c r="G101" s="737"/>
      <c r="H101" s="737"/>
      <c r="I101" s="737"/>
      <c r="J101" s="737"/>
      <c r="L101" s="456"/>
      <c r="M101" s="456"/>
      <c r="N101" s="456"/>
      <c r="O101" s="456"/>
      <c r="P101" s="456"/>
    </row>
    <row r="102" spans="1:16" ht="15.75" x14ac:dyDescent="0.25">
      <c r="A102" s="261" t="s">
        <v>58</v>
      </c>
      <c r="B102" s="13"/>
      <c r="C102" s="13"/>
      <c r="D102" s="13"/>
      <c r="E102" s="737">
        <f>CAPA!$B$21</f>
        <v>26987</v>
      </c>
      <c r="F102" s="737"/>
      <c r="G102" s="737"/>
      <c r="H102" s="737"/>
      <c r="I102" s="737"/>
      <c r="J102" s="737"/>
      <c r="L102" s="456"/>
      <c r="M102" s="456"/>
      <c r="N102" s="456"/>
      <c r="O102" s="456"/>
      <c r="P102" s="456"/>
    </row>
    <row r="103" spans="1:16" ht="15.75" x14ac:dyDescent="0.25">
      <c r="A103" s="435" t="s">
        <v>59</v>
      </c>
      <c r="B103" s="13"/>
      <c r="C103" s="13"/>
      <c r="D103" s="13"/>
      <c r="E103" s="848" t="str">
        <f>CAPA!$B$23</f>
        <v>CCS</v>
      </c>
      <c r="F103" s="848"/>
      <c r="G103" s="848"/>
      <c r="H103" s="848"/>
      <c r="I103" s="848"/>
      <c r="J103" s="848"/>
      <c r="L103" s="456"/>
      <c r="M103" s="459" t="str">
        <f>CAPA!$B$23</f>
        <v>CCS</v>
      </c>
      <c r="N103" s="456"/>
      <c r="O103" s="456"/>
      <c r="P103" s="456"/>
    </row>
    <row r="104" spans="1:16" ht="15.75" x14ac:dyDescent="0.25">
      <c r="A104" s="261" t="s">
        <v>60</v>
      </c>
      <c r="B104" s="13"/>
      <c r="C104" s="13"/>
      <c r="D104" s="13"/>
      <c r="E104" s="737">
        <f>CAPA!$B$19</f>
        <v>13447.27</v>
      </c>
      <c r="F104" s="737"/>
      <c r="G104" s="5"/>
      <c r="H104" s="5"/>
      <c r="I104" s="13"/>
      <c r="L104" s="456"/>
      <c r="M104" s="460"/>
      <c r="N104" s="456"/>
      <c r="O104" s="456"/>
      <c r="P104" s="456"/>
    </row>
    <row r="105" spans="1:16" ht="15.75" x14ac:dyDescent="0.25">
      <c r="A105" s="261" t="s">
        <v>61</v>
      </c>
      <c r="B105" s="13"/>
      <c r="C105" s="13"/>
      <c r="D105" s="13"/>
      <c r="E105" s="737" t="str">
        <f>_xlfn.CONCAT(TEXT($I$140,"#,##0.0")," on ",TEXT(F140,"#,##0.00")," m")</f>
        <v>82,096.9 on 14.45 m</v>
      </c>
      <c r="F105" s="737"/>
      <c r="G105" s="737"/>
      <c r="H105" s="737"/>
      <c r="I105" s="737"/>
      <c r="J105" s="737"/>
      <c r="L105" s="456"/>
      <c r="M105" s="456"/>
      <c r="N105" s="456"/>
      <c r="O105" s="456"/>
      <c r="P105" s="456"/>
    </row>
    <row r="106" spans="1:16" ht="15.75" x14ac:dyDescent="0.25">
      <c r="A106" s="261"/>
      <c r="B106" s="13"/>
      <c r="C106" s="13"/>
      <c r="D106" s="13"/>
      <c r="E106" s="264"/>
      <c r="F106" s="264"/>
      <c r="G106" s="13"/>
      <c r="H106" s="13"/>
      <c r="I106" s="13"/>
      <c r="L106" s="456"/>
      <c r="M106" s="456"/>
      <c r="N106" s="456"/>
      <c r="O106" s="456"/>
      <c r="P106" s="456"/>
    </row>
    <row r="107" spans="1:16" ht="15.75" x14ac:dyDescent="0.25">
      <c r="A107" s="261" t="s">
        <v>62</v>
      </c>
      <c r="B107" s="13"/>
      <c r="C107" s="13"/>
      <c r="D107" s="13"/>
      <c r="E107" s="14" t="str">
        <f>CAPA!$B$11</f>
        <v>Dalian Shipbuilding Industry Co., Ltd. (DSIC) / Dalian Shipyard</v>
      </c>
      <c r="F107" s="13"/>
      <c r="G107" s="13"/>
      <c r="H107" s="13"/>
      <c r="I107" s="13"/>
      <c r="L107" s="456"/>
      <c r="M107" s="456"/>
      <c r="N107" s="456"/>
      <c r="O107" s="456"/>
      <c r="P107" s="456"/>
    </row>
    <row r="108" spans="1:16" ht="15.75" x14ac:dyDescent="0.25">
      <c r="A108" s="261"/>
      <c r="B108" s="13"/>
      <c r="C108" s="13"/>
      <c r="D108" s="13"/>
      <c r="E108" s="264"/>
      <c r="F108" s="264"/>
      <c r="G108" s="13"/>
      <c r="H108" s="13"/>
      <c r="I108" s="13"/>
      <c r="L108" s="456"/>
      <c r="M108" s="456"/>
      <c r="N108" s="456"/>
      <c r="O108" s="456"/>
      <c r="P108" s="456"/>
    </row>
    <row r="109" spans="1:16" ht="15.75" x14ac:dyDescent="0.25">
      <c r="A109" s="261" t="s">
        <v>63</v>
      </c>
      <c r="B109" s="13"/>
      <c r="C109" s="13"/>
      <c r="D109" s="13"/>
      <c r="E109" s="736" t="str">
        <f>CAPA!$B$24</f>
        <v>FENGHUA SHIPPING S.A. - Hong Kong</v>
      </c>
      <c r="F109" s="736"/>
      <c r="G109" s="736"/>
      <c r="H109" s="736"/>
      <c r="I109" s="736"/>
      <c r="J109" s="736"/>
      <c r="L109" s="456"/>
      <c r="M109" s="456"/>
      <c r="N109" s="456"/>
      <c r="O109" s="456"/>
      <c r="P109" s="456"/>
    </row>
    <row r="110" spans="1:16" ht="15.75" x14ac:dyDescent="0.25">
      <c r="A110" s="261" t="s">
        <v>64</v>
      </c>
      <c r="B110" s="13"/>
      <c r="C110" s="13"/>
      <c r="D110" s="13"/>
      <c r="E110" s="736" t="str">
        <f>CAPA!$B$25</f>
        <v>SHENZHEN Ocean Shipping Co., Ltd - China</v>
      </c>
      <c r="F110" s="736"/>
      <c r="G110" s="736"/>
      <c r="H110" s="736"/>
      <c r="I110" s="736"/>
      <c r="J110" s="736"/>
      <c r="L110" s="456"/>
      <c r="M110" s="456"/>
      <c r="N110" s="456"/>
      <c r="O110" s="456"/>
      <c r="P110" s="456"/>
    </row>
    <row r="111" spans="1:16" ht="15.75" x14ac:dyDescent="0.25">
      <c r="A111" s="261"/>
      <c r="B111" s="13"/>
      <c r="C111" s="13"/>
      <c r="D111" s="13"/>
      <c r="E111" s="13"/>
      <c r="F111" s="13"/>
      <c r="G111" s="13"/>
      <c r="H111" s="13"/>
      <c r="I111" s="13"/>
      <c r="L111" s="456"/>
      <c r="M111" s="456"/>
      <c r="N111" s="456"/>
      <c r="O111" s="456"/>
      <c r="P111" s="456"/>
    </row>
    <row r="112" spans="1:16" ht="15.75" x14ac:dyDescent="0.25">
      <c r="A112" s="3" t="s">
        <v>20</v>
      </c>
      <c r="B112" s="13"/>
      <c r="C112" s="13"/>
      <c r="D112" s="13"/>
      <c r="E112" s="13"/>
      <c r="F112" s="13"/>
      <c r="G112" s="13"/>
      <c r="H112" s="13"/>
      <c r="I112" s="13"/>
      <c r="L112" s="456"/>
      <c r="M112" s="456"/>
      <c r="N112" s="456"/>
      <c r="O112" s="456"/>
      <c r="P112" s="456"/>
    </row>
    <row r="113" spans="1:16" ht="15.75" x14ac:dyDescent="0.25">
      <c r="A113" s="261"/>
      <c r="B113" s="13"/>
      <c r="C113" s="13"/>
      <c r="D113" s="13"/>
      <c r="E113" s="13"/>
      <c r="F113" s="13"/>
      <c r="G113" s="13"/>
      <c r="H113" s="13"/>
      <c r="I113" s="13"/>
      <c r="L113" s="456"/>
      <c r="M113" s="456"/>
      <c r="N113" s="456"/>
      <c r="O113" s="456"/>
      <c r="P113" s="456"/>
    </row>
    <row r="114" spans="1:16" ht="15.75" x14ac:dyDescent="0.25">
      <c r="A114" s="3" t="s">
        <v>65</v>
      </c>
      <c r="B114" s="827" t="s">
        <v>66</v>
      </c>
      <c r="C114" s="827"/>
      <c r="D114" s="829" t="s">
        <v>67</v>
      </c>
      <c r="E114" s="829"/>
      <c r="F114" s="825" t="s">
        <v>68</v>
      </c>
      <c r="G114" s="825"/>
      <c r="H114" s="825"/>
      <c r="I114" s="825"/>
      <c r="J114" s="265" t="s">
        <v>69</v>
      </c>
      <c r="L114" s="456"/>
      <c r="M114" s="456"/>
      <c r="N114" s="456"/>
      <c r="O114" s="456"/>
      <c r="P114" s="456"/>
    </row>
    <row r="115" spans="1:16" ht="15.75" x14ac:dyDescent="0.25">
      <c r="A115" s="3"/>
      <c r="B115" s="827" t="s">
        <v>70</v>
      </c>
      <c r="C115" s="827"/>
      <c r="D115" s="266"/>
      <c r="F115" s="825" t="s">
        <v>71</v>
      </c>
      <c r="G115" s="825"/>
      <c r="H115" s="825"/>
      <c r="I115" s="825"/>
      <c r="J115" s="13"/>
      <c r="L115" s="456"/>
      <c r="M115" s="456"/>
      <c r="N115" s="456"/>
      <c r="O115" s="456"/>
      <c r="P115" s="456"/>
    </row>
    <row r="116" spans="1:16" ht="15.75" x14ac:dyDescent="0.25">
      <c r="A116" s="260" t="s">
        <v>72</v>
      </c>
      <c r="B116" s="828">
        <f>DCP!$B$28</f>
        <v>438817</v>
      </c>
      <c r="C116" s="828"/>
      <c r="D116" s="821" t="str">
        <f>DCP!$B$15</f>
        <v>Soybeans</v>
      </c>
      <c r="E116" s="821"/>
      <c r="F116" s="822">
        <f>DCP!$B$27</f>
        <v>8909.1400000000012</v>
      </c>
      <c r="G116" s="822"/>
      <c r="H116" s="822"/>
      <c r="I116" s="822"/>
      <c r="J116" s="267">
        <f>Relato!J98</f>
        <v>49.254697984317225</v>
      </c>
      <c r="L116" s="456"/>
      <c r="M116" s="456"/>
      <c r="N116" s="456"/>
      <c r="O116" s="456"/>
      <c r="P116" s="456"/>
    </row>
    <row r="117" spans="1:16" ht="15.75" x14ac:dyDescent="0.25">
      <c r="A117" s="260" t="s">
        <v>73</v>
      </c>
      <c r="B117" s="828">
        <f>DCP!$C$28</f>
        <v>497814</v>
      </c>
      <c r="C117" s="828"/>
      <c r="D117" s="821" t="str">
        <f>DCP!$C$15</f>
        <v>Soybeans</v>
      </c>
      <c r="E117" s="821"/>
      <c r="F117" s="822">
        <f>DCP!$C$27</f>
        <v>10341.594999999999</v>
      </c>
      <c r="G117" s="822"/>
      <c r="H117" s="822"/>
      <c r="I117" s="822" t="e">
        <f>C117/H117</f>
        <v>#DIV/0!</v>
      </c>
      <c r="J117" s="267">
        <f>Relato!J99</f>
        <v>48.137062029599889</v>
      </c>
      <c r="L117" s="456"/>
      <c r="M117" s="456"/>
      <c r="N117" s="456"/>
      <c r="O117" s="456"/>
      <c r="P117" s="456"/>
    </row>
    <row r="118" spans="1:16" ht="15.75" x14ac:dyDescent="0.25">
      <c r="A118" s="260" t="s">
        <v>74</v>
      </c>
      <c r="B118" s="828">
        <f>DCP!$D$28</f>
        <v>519772</v>
      </c>
      <c r="C118" s="828"/>
      <c r="D118" s="821" t="str">
        <f>DCP!$D$15</f>
        <v>Soybeans</v>
      </c>
      <c r="E118" s="821"/>
      <c r="F118" s="822">
        <f>DCP!$D$27</f>
        <v>10755.760000000002</v>
      </c>
      <c r="G118" s="822"/>
      <c r="H118" s="822"/>
      <c r="I118" s="822" t="e">
        <f>D118/H118</f>
        <v>#VALUE!</v>
      </c>
      <c r="J118" s="267">
        <f>Relato!J100</f>
        <v>48.324990516709178</v>
      </c>
      <c r="L118" s="456"/>
      <c r="M118" s="456"/>
      <c r="N118" s="456"/>
      <c r="O118" s="456"/>
      <c r="P118" s="456"/>
    </row>
    <row r="119" spans="1:16" ht="15.75" x14ac:dyDescent="0.25">
      <c r="A119" s="260" t="s">
        <v>75</v>
      </c>
      <c r="B119" s="828">
        <f>DCP!$E$28</f>
        <v>474905</v>
      </c>
      <c r="C119" s="828"/>
      <c r="D119" s="821" t="str">
        <f>DCP!$E$15</f>
        <v>Soybeans</v>
      </c>
      <c r="E119" s="821"/>
      <c r="F119" s="822">
        <f>DCP!$E$27</f>
        <v>9665.6049999999996</v>
      </c>
      <c r="G119" s="822"/>
      <c r="H119" s="822"/>
      <c r="I119" s="822" t="e">
        <f>D119/H119</f>
        <v>#VALUE!</v>
      </c>
      <c r="J119" s="267">
        <f>Relato!J101</f>
        <v>49.133499661945635</v>
      </c>
      <c r="L119" s="456"/>
      <c r="M119" s="456"/>
      <c r="N119" s="456"/>
      <c r="O119" s="456"/>
      <c r="P119" s="456"/>
    </row>
    <row r="120" spans="1:16" ht="15.75" x14ac:dyDescent="0.25">
      <c r="A120" s="260" t="s">
        <v>76</v>
      </c>
      <c r="B120" s="828">
        <f>DCP!$F$28</f>
        <v>499014</v>
      </c>
      <c r="C120" s="828"/>
      <c r="D120" s="821" t="str">
        <f>DCP!$F$15</f>
        <v>Soybeans</v>
      </c>
      <c r="E120" s="821"/>
      <c r="F120" s="822">
        <f>DCP!$F$27</f>
        <v>10317.275</v>
      </c>
      <c r="G120" s="822"/>
      <c r="H120" s="822"/>
      <c r="I120" s="822" t="e">
        <f>D120/H120</f>
        <v>#VALUE!</v>
      </c>
      <c r="J120" s="267">
        <f>Relato!J102</f>
        <v>48.366841050568105</v>
      </c>
      <c r="L120" s="456"/>
      <c r="M120" s="456"/>
      <c r="N120" s="456"/>
      <c r="O120" s="456"/>
      <c r="P120" s="456"/>
    </row>
    <row r="121" spans="1:16" ht="15.75" x14ac:dyDescent="0.25">
      <c r="A121" s="260" t="s">
        <v>77</v>
      </c>
      <c r="B121" s="828">
        <f>DCP!$G$28</f>
        <v>497867</v>
      </c>
      <c r="C121" s="828"/>
      <c r="D121" s="821" t="str">
        <f>DCP!$G$15</f>
        <v>Soybeans</v>
      </c>
      <c r="E121" s="821"/>
      <c r="F121" s="822">
        <f>DCP!$G$27</f>
        <v>10299.11</v>
      </c>
      <c r="G121" s="822"/>
      <c r="H121" s="822"/>
      <c r="I121" s="822" t="e">
        <f>D121/H121</f>
        <v>#VALUE!</v>
      </c>
      <c r="J121" s="267">
        <f>Relato!J103</f>
        <v>48.340778960512118</v>
      </c>
      <c r="L121" s="456"/>
      <c r="M121" s="456"/>
      <c r="N121" s="456"/>
      <c r="O121" s="456"/>
      <c r="P121" s="456"/>
    </row>
    <row r="122" spans="1:16" ht="15.75" x14ac:dyDescent="0.25">
      <c r="A122" s="260" t="s">
        <v>78</v>
      </c>
      <c r="B122" s="828">
        <f>DCP!$H$28</f>
        <v>501712</v>
      </c>
      <c r="C122" s="828"/>
      <c r="D122" s="821" t="str">
        <f>DCP!$H$15</f>
        <v>Soybeans</v>
      </c>
      <c r="E122" s="821"/>
      <c r="F122" s="822">
        <f>DCP!$H$27</f>
        <v>9780.6449999999986</v>
      </c>
      <c r="G122" s="822"/>
      <c r="H122" s="822"/>
      <c r="I122" s="822" t="e">
        <f>D122/H122</f>
        <v>#VALUE!</v>
      </c>
      <c r="J122" s="267">
        <f>Relato!J104</f>
        <v>51.296412455415783</v>
      </c>
      <c r="L122" s="456"/>
      <c r="M122" s="456"/>
      <c r="N122" s="456"/>
      <c r="O122" s="456"/>
      <c r="P122" s="456"/>
    </row>
    <row r="123" spans="1:16" ht="15.75" x14ac:dyDescent="0.25">
      <c r="A123" s="3" t="s">
        <v>79</v>
      </c>
      <c r="B123" s="830">
        <f>SUM(B116:B122)</f>
        <v>3429901</v>
      </c>
      <c r="C123" s="830"/>
      <c r="D123" s="13"/>
      <c r="F123" s="823">
        <f>SUM(F116:F122)</f>
        <v>70069.13</v>
      </c>
      <c r="G123" s="823"/>
      <c r="H123" s="823"/>
      <c r="I123" s="823"/>
      <c r="L123" s="456"/>
      <c r="M123" s="456"/>
      <c r="N123" s="456"/>
      <c r="O123" s="456"/>
      <c r="P123" s="456"/>
    </row>
    <row r="124" spans="1:16" ht="15.75" x14ac:dyDescent="0.25">
      <c r="A124" s="3"/>
      <c r="B124" s="268"/>
      <c r="C124" s="13"/>
      <c r="D124" s="13"/>
      <c r="E124" s="269"/>
      <c r="F124" s="270"/>
      <c r="G124" s="13"/>
      <c r="H124" s="13"/>
      <c r="I124" s="13"/>
      <c r="L124" s="456"/>
      <c r="M124" s="456"/>
      <c r="N124" s="456"/>
      <c r="O124" s="456"/>
      <c r="P124" s="456"/>
    </row>
    <row r="125" spans="1:16" ht="15.75" x14ac:dyDescent="0.25">
      <c r="A125" s="261"/>
      <c r="B125" s="13"/>
      <c r="C125" s="13"/>
      <c r="D125" s="13"/>
      <c r="E125" s="13"/>
      <c r="F125" s="13"/>
      <c r="G125" s="13"/>
      <c r="H125" s="13"/>
      <c r="I125" s="13"/>
      <c r="L125" s="456"/>
      <c r="M125" s="456"/>
      <c r="N125" s="456"/>
      <c r="O125" s="456"/>
      <c r="P125" s="456"/>
    </row>
    <row r="126" spans="1:16" ht="15.75" x14ac:dyDescent="0.25">
      <c r="A126" s="262" t="s">
        <v>691</v>
      </c>
      <c r="B126" s="13"/>
      <c r="C126" s="13"/>
      <c r="D126" s="13"/>
      <c r="E126" s="13"/>
      <c r="F126" s="13"/>
      <c r="G126" s="13"/>
      <c r="H126" s="13"/>
      <c r="I126" s="13"/>
      <c r="L126" s="456"/>
      <c r="M126" s="456"/>
      <c r="N126" s="456"/>
      <c r="O126" s="456"/>
      <c r="P126" s="456"/>
    </row>
    <row r="127" spans="1:16" ht="15.75" x14ac:dyDescent="0.25">
      <c r="A127" s="262"/>
      <c r="B127" s="13"/>
      <c r="C127" s="13"/>
      <c r="D127" s="13"/>
      <c r="E127" s="13"/>
      <c r="F127" s="13"/>
      <c r="G127" s="13"/>
      <c r="H127" s="13"/>
      <c r="I127" s="13"/>
      <c r="L127" s="456"/>
      <c r="M127" s="456"/>
      <c r="N127" s="456"/>
      <c r="O127" s="456"/>
      <c r="P127" s="456"/>
    </row>
    <row r="128" spans="1:16" ht="15.75" x14ac:dyDescent="0.25">
      <c r="A128" s="261" t="s">
        <v>80</v>
      </c>
      <c r="B128" s="13"/>
      <c r="C128" s="13"/>
      <c r="D128" s="13"/>
      <c r="E128" s="13" t="str">
        <f>_xlfn.CONCAT("Issued by ",CAPA!$B$67)</f>
        <v xml:space="preserve">Issued by DSIC - Dalian Shipbuilding Industry Co., Ltd. </v>
      </c>
      <c r="G128" s="13"/>
      <c r="H128" s="13"/>
      <c r="I128" s="13"/>
      <c r="L128" s="456"/>
      <c r="M128" s="456"/>
      <c r="N128" s="456"/>
      <c r="O128" s="456"/>
      <c r="P128" s="456"/>
    </row>
    <row r="129" spans="1:16" ht="15.75" x14ac:dyDescent="0.25">
      <c r="A129" s="261"/>
      <c r="B129" s="13"/>
      <c r="C129" s="13"/>
      <c r="D129" s="13"/>
      <c r="E129" s="13" t="str">
        <f>_xlfn.CONCAT("on ",CAPA!$B$68,", Dwg. No. ",CAPA!$B$69)</f>
        <v>on 12.11.2013, Dwg. No. DS410-050-4007JS</v>
      </c>
      <c r="G129" s="13"/>
      <c r="H129" s="13"/>
      <c r="I129" s="13"/>
      <c r="L129" s="456"/>
      <c r="M129" s="456"/>
      <c r="N129" s="456"/>
      <c r="O129" s="456"/>
      <c r="P129" s="456"/>
    </row>
    <row r="130" spans="1:16" ht="15.75" x14ac:dyDescent="0.25">
      <c r="A130" s="261"/>
      <c r="B130" s="13"/>
      <c r="C130" s="13"/>
      <c r="D130" s="13"/>
      <c r="E130" s="13" t="str">
        <f>_xlfn.CONCAT("Approved by  ",CAPA!$B$70," on  ",CAPA!$B$71)</f>
        <v>Approved by  DNV on  19.11.2013</v>
      </c>
      <c r="G130" s="13"/>
      <c r="H130" s="13"/>
      <c r="I130" s="13"/>
      <c r="L130" s="456"/>
      <c r="M130" s="456"/>
      <c r="N130" s="456"/>
      <c r="O130" s="456"/>
      <c r="P130" s="456"/>
    </row>
    <row r="131" spans="1:16" ht="15.75" x14ac:dyDescent="0.25">
      <c r="A131" s="261"/>
      <c r="B131" s="13"/>
      <c r="C131" s="13"/>
      <c r="D131" s="13"/>
      <c r="E131" s="14"/>
      <c r="G131" s="14"/>
      <c r="H131" s="14"/>
      <c r="I131" s="13"/>
      <c r="L131" s="456"/>
      <c r="M131" s="456"/>
      <c r="N131" s="456"/>
      <c r="O131" s="456"/>
      <c r="P131" s="456"/>
    </row>
    <row r="132" spans="1:16" ht="15.75" x14ac:dyDescent="0.25">
      <c r="A132" s="261" t="s">
        <v>81</v>
      </c>
      <c r="B132" s="13"/>
      <c r="C132" s="13"/>
      <c r="D132" s="13"/>
      <c r="E132" s="13" t="str">
        <f>$E$128</f>
        <v xml:space="preserve">Issued by DSIC - Dalian Shipbuilding Industry Co., Ltd. </v>
      </c>
      <c r="G132" s="13"/>
      <c r="H132" s="13"/>
      <c r="I132" s="13"/>
      <c r="L132" s="456"/>
      <c r="M132" s="456"/>
      <c r="N132" s="456"/>
      <c r="O132" s="456"/>
      <c r="P132" s="456"/>
    </row>
    <row r="133" spans="1:16" ht="15.75" x14ac:dyDescent="0.25">
      <c r="A133" s="13"/>
      <c r="B133" s="13"/>
      <c r="C133" s="13"/>
      <c r="D133" s="13"/>
      <c r="E133" s="13" t="str">
        <f>_xlfn.CONCAT("on ",CAPA!$B$73," Dwg. no. ",CAPA!$B$74)</f>
        <v>on 2013 Dwg. no. DS410-050-4011JS</v>
      </c>
      <c r="G133" s="13"/>
      <c r="H133" s="13"/>
      <c r="I133" s="13"/>
      <c r="L133" s="456"/>
      <c r="M133" s="456"/>
      <c r="N133" s="456"/>
      <c r="O133" s="456"/>
      <c r="P133" s="456"/>
    </row>
    <row r="134" spans="1:16" ht="15.75" x14ac:dyDescent="0.25">
      <c r="A134" s="13"/>
      <c r="B134" s="13"/>
      <c r="C134" s="13"/>
      <c r="D134" s="13"/>
      <c r="E134" s="13"/>
      <c r="F134" s="13"/>
      <c r="G134" s="13"/>
      <c r="H134" s="13"/>
      <c r="I134" s="13"/>
      <c r="L134" s="456"/>
      <c r="M134" s="456"/>
      <c r="N134" s="456"/>
      <c r="O134" s="456"/>
      <c r="P134" s="456"/>
    </row>
    <row r="135" spans="1:16" ht="15.75" x14ac:dyDescent="0.25">
      <c r="A135" s="262" t="s">
        <v>21</v>
      </c>
      <c r="B135" s="13"/>
      <c r="C135" s="13"/>
      <c r="D135" s="13"/>
      <c r="E135" s="13"/>
      <c r="F135" s="13"/>
      <c r="G135" s="13"/>
      <c r="H135" s="13"/>
      <c r="I135" s="13"/>
      <c r="L135" s="456"/>
      <c r="M135" s="456"/>
      <c r="N135" s="456"/>
      <c r="O135" s="456"/>
      <c r="P135" s="456"/>
    </row>
    <row r="136" spans="1:16" ht="15.75" x14ac:dyDescent="0.25">
      <c r="A136" s="261"/>
      <c r="B136" s="13"/>
      <c r="E136" s="701" t="s">
        <v>82</v>
      </c>
      <c r="F136" s="702" t="s">
        <v>693</v>
      </c>
      <c r="G136" s="831" t="s">
        <v>84</v>
      </c>
      <c r="H136" s="831"/>
      <c r="I136" s="831" t="s">
        <v>85</v>
      </c>
      <c r="J136" s="831"/>
      <c r="K136" s="271"/>
      <c r="L136" s="461"/>
      <c r="M136" s="462"/>
      <c r="N136" s="456"/>
      <c r="O136" s="456"/>
      <c r="P136" s="456"/>
    </row>
    <row r="137" spans="1:16" ht="15.75" x14ac:dyDescent="0.25">
      <c r="A137" s="261" t="s">
        <v>86</v>
      </c>
      <c r="B137" s="10"/>
      <c r="E137" s="272">
        <f>CAPA!$L$78</f>
        <v>0</v>
      </c>
      <c r="F137" s="272">
        <f>CAPA!$M$78</f>
        <v>0</v>
      </c>
      <c r="G137" s="812">
        <f>CAPA!$N$78</f>
        <v>13447.27</v>
      </c>
      <c r="H137" s="812"/>
      <c r="I137" s="812">
        <f>CAPA!$O$78</f>
        <v>0</v>
      </c>
      <c r="J137" s="812"/>
      <c r="K137" s="273"/>
      <c r="L137" s="463"/>
      <c r="M137" s="464"/>
      <c r="N137" s="456"/>
      <c r="O137" s="456"/>
      <c r="P137" s="456"/>
    </row>
    <row r="138" spans="1:16" ht="15.75" x14ac:dyDescent="0.25">
      <c r="A138" s="261" t="s">
        <v>87</v>
      </c>
      <c r="B138" s="10"/>
      <c r="E138" s="272">
        <f>CAPA!$L$79</f>
        <v>0</v>
      </c>
      <c r="F138" s="272">
        <f>CAPA!$M$79</f>
        <v>0</v>
      </c>
      <c r="G138" s="812">
        <f>CAPA!$N$79</f>
        <v>13447.27</v>
      </c>
      <c r="H138" s="812"/>
      <c r="I138" s="812">
        <f>CAPA!$O$79</f>
        <v>0</v>
      </c>
      <c r="J138" s="812"/>
      <c r="K138" s="273"/>
      <c r="L138" s="463"/>
      <c r="M138" s="464"/>
      <c r="N138" s="456"/>
      <c r="O138" s="456"/>
      <c r="P138" s="456"/>
    </row>
    <row r="139" spans="1:16" ht="15.75" x14ac:dyDescent="0.25">
      <c r="A139" s="261" t="s">
        <v>88</v>
      </c>
      <c r="B139" s="10"/>
      <c r="E139" s="272">
        <f>CAPA!$L$80</f>
        <v>5.3739999999999997</v>
      </c>
      <c r="F139" s="272">
        <f>CAPA!$M$80</f>
        <v>14.750999999999999</v>
      </c>
      <c r="G139" s="812">
        <f>CAPA!$N$80</f>
        <v>97720.37000000001</v>
      </c>
      <c r="H139" s="812"/>
      <c r="I139" s="812">
        <f>CAPA!$O$80</f>
        <v>84273.1</v>
      </c>
      <c r="J139" s="812"/>
      <c r="K139" s="273"/>
      <c r="L139" s="463"/>
      <c r="M139" s="464"/>
      <c r="N139" s="456"/>
      <c r="O139" s="456"/>
      <c r="P139" s="456"/>
    </row>
    <row r="140" spans="1:16" ht="15.75" x14ac:dyDescent="0.25">
      <c r="A140" s="261" t="s">
        <v>89</v>
      </c>
      <c r="B140" s="10"/>
      <c r="E140" s="272">
        <f>CAPA!$L$81</f>
        <v>5.6749999999999998</v>
      </c>
      <c r="F140" s="272">
        <f>CAPA!$M$81</f>
        <v>14.45</v>
      </c>
      <c r="G140" s="812">
        <f>CAPA!$N$81</f>
        <v>95544.17</v>
      </c>
      <c r="H140" s="812"/>
      <c r="I140" s="812">
        <f>CAPA!$O$81</f>
        <v>82096.899999999994</v>
      </c>
      <c r="J140" s="812"/>
      <c r="K140" s="273"/>
      <c r="L140" s="463"/>
      <c r="M140" s="464"/>
      <c r="N140" s="456"/>
      <c r="O140" s="456"/>
      <c r="P140" s="456"/>
    </row>
    <row r="141" spans="1:16" ht="15.75" x14ac:dyDescent="0.25">
      <c r="A141" s="261" t="s">
        <v>90</v>
      </c>
      <c r="B141" s="10"/>
      <c r="E141" s="272">
        <f>CAPA!$L$82</f>
        <v>5.976</v>
      </c>
      <c r="F141" s="272">
        <f>CAPA!$M$82</f>
        <v>14.148999999999999</v>
      </c>
      <c r="G141" s="812">
        <f>CAPA!$N$82</f>
        <v>93369.67</v>
      </c>
      <c r="H141" s="812"/>
      <c r="I141" s="812">
        <f>CAPA!$O$82</f>
        <v>79922.399999999994</v>
      </c>
      <c r="J141" s="812"/>
      <c r="K141" s="273"/>
      <c r="L141" s="463"/>
      <c r="M141" s="464"/>
      <c r="N141" s="456"/>
      <c r="O141" s="456"/>
      <c r="P141" s="456"/>
    </row>
    <row r="142" spans="1:16" ht="15.75" x14ac:dyDescent="0.25">
      <c r="A142" s="261"/>
      <c r="B142" s="10"/>
      <c r="C142" s="10"/>
      <c r="D142" s="10"/>
      <c r="E142" s="10"/>
      <c r="F142" s="10"/>
      <c r="G142" s="10"/>
      <c r="H142" s="10"/>
      <c r="I142" s="10"/>
      <c r="L142" s="456"/>
      <c r="M142" s="456"/>
      <c r="N142" s="456"/>
      <c r="O142" s="456"/>
      <c r="P142" s="456"/>
    </row>
    <row r="143" spans="1:16" ht="15.75" x14ac:dyDescent="0.25">
      <c r="A143" s="261"/>
      <c r="B143" s="10"/>
      <c r="C143" s="10"/>
      <c r="D143" s="10"/>
      <c r="E143" s="10"/>
      <c r="F143" s="10"/>
      <c r="G143" s="10"/>
      <c r="H143" s="10"/>
      <c r="I143" s="10"/>
      <c r="L143" s="456"/>
      <c r="M143" s="456"/>
      <c r="N143" s="456"/>
      <c r="O143" s="456"/>
      <c r="P143" s="456"/>
    </row>
    <row r="144" spans="1:16" ht="15.75" x14ac:dyDescent="0.25">
      <c r="A144" s="262" t="s">
        <v>694</v>
      </c>
      <c r="B144" s="10"/>
      <c r="C144" s="10"/>
      <c r="D144" s="10"/>
      <c r="E144" s="10"/>
      <c r="F144" s="10"/>
      <c r="G144" s="10"/>
      <c r="H144" s="10"/>
      <c r="I144" s="10"/>
      <c r="L144" s="456"/>
      <c r="M144" s="456"/>
      <c r="N144" s="456"/>
      <c r="O144" s="456"/>
      <c r="P144" s="456"/>
    </row>
    <row r="145" spans="1:16" x14ac:dyDescent="0.25">
      <c r="A145" s="274"/>
      <c r="B145" s="10"/>
      <c r="C145" s="10"/>
      <c r="D145" s="10"/>
      <c r="E145" s="10"/>
      <c r="F145" s="10"/>
      <c r="G145" s="10"/>
      <c r="H145" s="10"/>
      <c r="I145" s="10"/>
      <c r="L145" s="456"/>
      <c r="M145" s="456"/>
      <c r="N145" s="456"/>
      <c r="O145" s="456"/>
      <c r="P145" s="456"/>
    </row>
    <row r="146" spans="1:16" ht="15.75" x14ac:dyDescent="0.25">
      <c r="A146" s="261" t="s">
        <v>91</v>
      </c>
      <c r="B146" s="10"/>
      <c r="C146" s="10"/>
      <c r="D146" s="10"/>
      <c r="E146" s="390" t="str">
        <f>Relato!$E$128</f>
        <v xml:space="preserve"> April 2nd, 2026 from 9:00 until 12:00 hrs</v>
      </c>
      <c r="G146" s="275"/>
      <c r="H146" s="275"/>
      <c r="I146" s="10"/>
      <c r="L146" s="456"/>
      <c r="M146" s="456"/>
      <c r="N146" s="456"/>
      <c r="O146" s="456"/>
      <c r="P146" s="456"/>
    </row>
    <row r="147" spans="1:16" ht="15.75" x14ac:dyDescent="0.25">
      <c r="A147" s="261" t="s">
        <v>92</v>
      </c>
      <c r="B147" s="10"/>
      <c r="C147" s="10"/>
      <c r="D147" s="10"/>
      <c r="E147" s="14" t="str">
        <f>Relato!$E$129</f>
        <v>Paranaguá, Br - Brazil (inner roads 8,3)</v>
      </c>
      <c r="G147" s="13"/>
      <c r="H147" s="13"/>
      <c r="I147" s="10"/>
      <c r="L147" s="456"/>
      <c r="M147" s="456"/>
      <c r="N147" s="456"/>
      <c r="O147" s="456"/>
      <c r="P147" s="456"/>
    </row>
    <row r="148" spans="1:16" ht="15.75" x14ac:dyDescent="0.25">
      <c r="A148" s="261" t="s">
        <v>93</v>
      </c>
      <c r="B148" s="10"/>
      <c r="C148" s="10"/>
      <c r="D148" s="10"/>
      <c r="E148" s="391">
        <f>Draft!$O$7</f>
        <v>0.1</v>
      </c>
      <c r="G148" s="13"/>
      <c r="H148" s="13"/>
      <c r="I148" s="10"/>
      <c r="L148" s="456"/>
      <c r="M148" s="456"/>
      <c r="N148" s="456"/>
      <c r="O148" s="456"/>
      <c r="P148" s="456"/>
    </row>
    <row r="149" spans="1:16" ht="15.75" x14ac:dyDescent="0.25">
      <c r="A149" s="261" t="s">
        <v>594</v>
      </c>
      <c r="B149" s="10"/>
      <c r="C149" s="10"/>
      <c r="D149" s="10"/>
      <c r="E149" s="619">
        <f>Draft!$O$8</f>
        <v>1</v>
      </c>
      <c r="F149" s="389"/>
      <c r="G149" s="276"/>
      <c r="H149" s="276"/>
      <c r="I149" s="276"/>
      <c r="L149" s="456"/>
      <c r="M149" s="456"/>
      <c r="N149" s="456"/>
      <c r="O149" s="456"/>
      <c r="P149" s="456"/>
    </row>
    <row r="150" spans="1:16" ht="15.75" x14ac:dyDescent="0.25">
      <c r="A150" s="261" t="s">
        <v>94</v>
      </c>
      <c r="B150" s="10"/>
      <c r="C150" s="10"/>
      <c r="D150" s="10"/>
      <c r="E150" s="14" t="str">
        <f>Draft!$E$8</f>
        <v>Ebb tide, &lt; 1knot</v>
      </c>
      <c r="G150" s="13"/>
      <c r="H150" s="13"/>
      <c r="I150" s="10"/>
      <c r="L150" s="456"/>
      <c r="M150" s="456"/>
      <c r="N150" s="456"/>
      <c r="O150" s="456"/>
      <c r="P150" s="456"/>
    </row>
    <row r="151" spans="1:16" ht="15.75" x14ac:dyDescent="0.25">
      <c r="A151" s="261" t="s">
        <v>95</v>
      </c>
      <c r="B151" s="10"/>
      <c r="C151" s="10"/>
      <c r="D151" s="10"/>
      <c r="E151" s="14" t="str">
        <f>Draft!$E$7</f>
        <v>Fine</v>
      </c>
      <c r="G151" s="13"/>
      <c r="H151" s="13"/>
      <c r="I151" s="10"/>
      <c r="L151" s="456"/>
      <c r="M151" s="456"/>
      <c r="N151" s="456"/>
      <c r="O151" s="456"/>
      <c r="P151" s="456"/>
    </row>
    <row r="152" spans="1:16" ht="15.75" x14ac:dyDescent="0.25">
      <c r="A152" s="261"/>
      <c r="B152" s="10"/>
      <c r="C152" s="10"/>
      <c r="D152" s="10"/>
      <c r="E152" s="10"/>
      <c r="F152" s="13"/>
      <c r="G152" s="13"/>
      <c r="H152" s="13"/>
      <c r="I152" s="10"/>
      <c r="L152" s="456"/>
      <c r="M152" s="456"/>
      <c r="N152" s="456"/>
      <c r="O152" s="456"/>
      <c r="P152" s="456"/>
    </row>
    <row r="153" spans="1:16" ht="15.75" x14ac:dyDescent="0.25">
      <c r="A153" s="261"/>
      <c r="B153" s="10"/>
      <c r="C153" s="10"/>
      <c r="D153" s="10"/>
      <c r="E153" s="10"/>
      <c r="F153" s="13"/>
      <c r="G153" s="13"/>
      <c r="H153" s="13"/>
      <c r="I153" s="10"/>
      <c r="L153" s="456"/>
      <c r="M153" s="456"/>
      <c r="N153" s="456"/>
      <c r="O153" s="456"/>
      <c r="P153" s="456"/>
    </row>
    <row r="154" spans="1:16" ht="15.75" x14ac:dyDescent="0.25">
      <c r="A154" s="262" t="s">
        <v>695</v>
      </c>
      <c r="B154" s="10"/>
      <c r="C154" s="10"/>
      <c r="D154" s="10"/>
      <c r="E154" s="10"/>
      <c r="F154" s="13"/>
      <c r="G154" s="13"/>
      <c r="H154" s="13"/>
      <c r="I154" s="10"/>
      <c r="L154" s="456"/>
      <c r="M154" s="456"/>
      <c r="N154" s="456"/>
      <c r="O154" s="456"/>
      <c r="P154" s="456"/>
    </row>
    <row r="155" spans="1:16" ht="15.75" x14ac:dyDescent="0.25">
      <c r="A155" s="261"/>
      <c r="B155" s="10"/>
      <c r="C155" s="10"/>
      <c r="D155" s="10"/>
      <c r="E155" s="10"/>
      <c r="F155" s="13"/>
      <c r="G155" s="13"/>
      <c r="H155" s="13"/>
      <c r="I155" s="10"/>
      <c r="L155" s="456"/>
      <c r="M155" s="456"/>
      <c r="N155" s="456"/>
      <c r="O155" s="456"/>
      <c r="P155" s="456"/>
    </row>
    <row r="156" spans="1:16" ht="15.75" x14ac:dyDescent="0.25">
      <c r="A156" s="261" t="s">
        <v>91</v>
      </c>
      <c r="B156" s="10"/>
      <c r="C156" s="10"/>
      <c r="D156" s="10"/>
      <c r="E156" s="390" t="str">
        <f>Relato!$E$138</f>
        <v xml:space="preserve"> April 5th, 2026 from 6:00 until 8:30 hrs</v>
      </c>
      <c r="G156" s="13"/>
      <c r="H156" s="13"/>
      <c r="I156" s="10"/>
      <c r="L156" s="456"/>
      <c r="M156" s="456"/>
      <c r="N156" s="456"/>
      <c r="O156" s="456"/>
      <c r="P156" s="456"/>
    </row>
    <row r="157" spans="1:16" ht="15.75" x14ac:dyDescent="0.25">
      <c r="A157" s="261" t="s">
        <v>92</v>
      </c>
      <c r="B157" s="10"/>
      <c r="C157" s="10"/>
      <c r="D157" s="10"/>
      <c r="E157" s="14" t="str">
        <f>Relato!$E$139</f>
        <v>Paranaguá, Br - Brazil (wharf 212)</v>
      </c>
      <c r="G157" s="13"/>
      <c r="H157" s="13"/>
      <c r="I157" s="10"/>
      <c r="L157" s="456"/>
      <c r="M157" s="456"/>
      <c r="N157" s="456"/>
      <c r="O157" s="456"/>
      <c r="P157" s="456"/>
    </row>
    <row r="158" spans="1:16" ht="15.75" x14ac:dyDescent="0.25">
      <c r="A158" s="261" t="s">
        <v>93</v>
      </c>
      <c r="B158" s="10"/>
      <c r="C158" s="10"/>
      <c r="D158" s="10"/>
      <c r="E158" s="391">
        <f>Draft!$AH$7</f>
        <v>0.1</v>
      </c>
      <c r="G158" s="13"/>
      <c r="H158" s="13"/>
      <c r="I158" s="10"/>
      <c r="L158" s="456"/>
      <c r="M158" s="456"/>
      <c r="N158" s="456"/>
      <c r="O158" s="456"/>
      <c r="P158" s="456"/>
    </row>
    <row r="159" spans="1:16" ht="15.75" x14ac:dyDescent="0.25">
      <c r="A159" s="261" t="s">
        <v>594</v>
      </c>
      <c r="B159" s="10"/>
      <c r="C159" s="10"/>
      <c r="D159" s="10"/>
      <c r="E159" s="619">
        <f>Draft!$AH$8</f>
        <v>1</v>
      </c>
      <c r="G159" s="277"/>
      <c r="H159" s="277"/>
      <c r="I159" s="10"/>
      <c r="L159" s="452"/>
      <c r="M159" s="452"/>
      <c r="N159" s="452"/>
      <c r="O159" s="452"/>
      <c r="P159" s="452"/>
    </row>
    <row r="160" spans="1:16" ht="15.75" x14ac:dyDescent="0.25">
      <c r="A160" s="261" t="s">
        <v>94</v>
      </c>
      <c r="B160" s="10"/>
      <c r="C160" s="10"/>
      <c r="D160" s="10"/>
      <c r="E160" s="14" t="str">
        <f>Draft!$X$8</f>
        <v>Ebb tide, &gt;1knot</v>
      </c>
      <c r="G160" s="13"/>
      <c r="H160" s="13"/>
      <c r="I160" s="10"/>
      <c r="L160" s="452"/>
      <c r="M160" s="452"/>
      <c r="N160" s="452"/>
      <c r="O160" s="452"/>
      <c r="P160" s="452"/>
    </row>
    <row r="161" spans="1:21" ht="15.75" x14ac:dyDescent="0.25">
      <c r="A161" s="261" t="s">
        <v>95</v>
      </c>
      <c r="B161" s="10"/>
      <c r="C161" s="10"/>
      <c r="D161" s="10"/>
      <c r="E161" s="14" t="str">
        <f>Draft!$X$7</f>
        <v>Fine</v>
      </c>
      <c r="G161" s="13"/>
      <c r="H161" s="13"/>
      <c r="I161" s="10"/>
      <c r="L161" s="452"/>
      <c r="M161" s="452"/>
      <c r="N161" s="452"/>
      <c r="O161" s="452"/>
      <c r="P161" s="452"/>
    </row>
    <row r="162" spans="1:21" ht="15.75" x14ac:dyDescent="0.25">
      <c r="A162" s="261"/>
      <c r="B162" s="10"/>
      <c r="C162" s="10"/>
      <c r="D162" s="10"/>
      <c r="E162" s="10"/>
      <c r="F162" s="13"/>
      <c r="G162" s="13"/>
      <c r="H162" s="13"/>
      <c r="I162" s="10"/>
      <c r="L162" s="452"/>
      <c r="M162" s="452"/>
      <c r="N162" s="452"/>
      <c r="O162" s="452"/>
      <c r="P162" s="452"/>
    </row>
    <row r="163" spans="1:21" ht="15.75" x14ac:dyDescent="0.25">
      <c r="A163" s="261"/>
      <c r="B163" s="10"/>
      <c r="C163" s="10"/>
      <c r="D163" s="10"/>
      <c r="E163" s="10"/>
      <c r="F163" s="13"/>
      <c r="G163" s="13"/>
      <c r="H163" s="13"/>
      <c r="I163" s="10"/>
      <c r="L163" s="452"/>
      <c r="M163" s="452"/>
      <c r="N163" s="452"/>
      <c r="O163" s="452"/>
      <c r="P163" s="452"/>
    </row>
    <row r="164" spans="1:21" ht="15.75" x14ac:dyDescent="0.25">
      <c r="A164" s="262" t="s">
        <v>96</v>
      </c>
      <c r="B164" s="10"/>
      <c r="C164" s="10"/>
      <c r="D164" s="10"/>
      <c r="E164" s="10"/>
      <c r="F164" s="13"/>
      <c r="G164" s="13"/>
      <c r="H164" s="13"/>
      <c r="I164" s="10"/>
      <c r="L164" s="452"/>
      <c r="M164" s="452"/>
      <c r="N164" s="452"/>
      <c r="O164" s="452"/>
      <c r="P164" s="452"/>
    </row>
    <row r="165" spans="1:21" ht="15.75" x14ac:dyDescent="0.25">
      <c r="A165" s="261"/>
      <c r="B165" s="10"/>
      <c r="C165" s="10"/>
      <c r="D165" s="10"/>
      <c r="E165" s="10"/>
      <c r="F165" s="13"/>
      <c r="G165" s="13"/>
      <c r="H165" s="13"/>
      <c r="I165" s="10"/>
      <c r="L165" s="452"/>
      <c r="M165" s="452"/>
      <c r="N165" s="452"/>
      <c r="O165" s="452"/>
      <c r="P165" s="452"/>
    </row>
    <row r="166" spans="1:21" ht="15.75" x14ac:dyDescent="0.25">
      <c r="A166" s="261" t="s">
        <v>97</v>
      </c>
      <c r="B166" s="10"/>
      <c r="C166" s="10"/>
      <c r="D166" s="10"/>
      <c r="E166" s="14" t="str">
        <f>CAPA!$B$6</f>
        <v>Soybeans in bulk</v>
      </c>
      <c r="G166" s="13"/>
      <c r="H166" s="13"/>
      <c r="I166" s="10"/>
      <c r="L166" s="452"/>
      <c r="M166" s="452"/>
      <c r="N166" s="452"/>
      <c r="O166" s="452"/>
      <c r="P166" s="452"/>
    </row>
    <row r="167" spans="1:21" ht="15.75" x14ac:dyDescent="0.25">
      <c r="A167" s="261" t="s">
        <v>98</v>
      </c>
      <c r="B167" s="10"/>
      <c r="C167" s="10"/>
      <c r="D167" s="10"/>
      <c r="E167" s="14" t="str">
        <f>_xlfn.CONCAT("Port of ",Draft!$E$5)</f>
        <v>Port of Paranaguá, Br - Brazil</v>
      </c>
      <c r="G167" s="13"/>
      <c r="H167" s="13"/>
      <c r="I167" s="10"/>
      <c r="L167" s="452"/>
      <c r="M167" s="452"/>
      <c r="N167" s="452"/>
      <c r="O167" s="452"/>
      <c r="P167" s="452"/>
    </row>
    <row r="168" spans="1:21" ht="15.75" x14ac:dyDescent="0.25">
      <c r="A168" s="261" t="s">
        <v>99</v>
      </c>
      <c r="B168" s="10"/>
      <c r="C168" s="10"/>
      <c r="D168" s="10"/>
      <c r="E168" s="14" t="str">
        <f>CAPA!$B$38</f>
        <v>One China Port</v>
      </c>
      <c r="G168" s="13"/>
      <c r="H168" s="13"/>
      <c r="I168" s="10"/>
      <c r="L168" s="452"/>
      <c r="M168" s="452"/>
      <c r="N168" s="452"/>
      <c r="O168" s="452"/>
      <c r="P168" s="452"/>
    </row>
    <row r="169" spans="1:21" ht="15.75" x14ac:dyDescent="0.25">
      <c r="A169" s="261" t="s">
        <v>100</v>
      </c>
      <c r="B169" s="10"/>
      <c r="C169" s="10"/>
      <c r="D169" s="10"/>
      <c r="E169" s="14" t="str">
        <f>CAPA!$B$36</f>
        <v>Barley on bulk</v>
      </c>
      <c r="G169" s="13"/>
      <c r="H169" s="13"/>
      <c r="I169" s="10"/>
      <c r="L169" s="452"/>
      <c r="M169" s="453" t="s">
        <v>555</v>
      </c>
      <c r="N169" s="454" t="s">
        <v>314</v>
      </c>
      <c r="O169" s="455"/>
      <c r="P169" s="455"/>
      <c r="Q169" s="10"/>
      <c r="R169" s="10"/>
      <c r="S169" s="10"/>
      <c r="T169" s="10"/>
      <c r="U169" s="10"/>
    </row>
    <row r="170" spans="1:21" ht="15.75" x14ac:dyDescent="0.25">
      <c r="A170" s="261" t="s">
        <v>101</v>
      </c>
      <c r="B170" s="10"/>
      <c r="C170" s="10"/>
      <c r="D170" s="10"/>
      <c r="E170" s="14" t="str">
        <f>CAPA!$B$37</f>
        <v>Zhangzhou, China</v>
      </c>
      <c r="G170" s="13"/>
      <c r="H170" s="13"/>
      <c r="I170" s="10"/>
      <c r="L170" s="452"/>
      <c r="M170" s="453" t="s">
        <v>556</v>
      </c>
      <c r="N170" s="454" t="s">
        <v>316</v>
      </c>
      <c r="O170" s="455"/>
      <c r="P170" s="455"/>
      <c r="Q170" s="10"/>
      <c r="R170" s="10"/>
      <c r="S170" s="10"/>
      <c r="T170" s="10"/>
      <c r="U170" s="10"/>
    </row>
    <row r="171" spans="1:21" ht="15.75" x14ac:dyDescent="0.25">
      <c r="A171" s="261"/>
      <c r="B171" s="10"/>
      <c r="C171" s="10"/>
      <c r="D171" s="10"/>
      <c r="E171" s="10"/>
      <c r="F171" s="13"/>
      <c r="G171" s="13"/>
      <c r="H171" s="13"/>
      <c r="I171" s="10"/>
      <c r="L171" s="452"/>
      <c r="M171" s="453" t="s">
        <v>557</v>
      </c>
      <c r="N171" s="454" t="s">
        <v>317</v>
      </c>
      <c r="O171" s="455"/>
      <c r="P171" s="455"/>
      <c r="Q171" s="10"/>
      <c r="R171" s="10"/>
      <c r="S171" s="10"/>
      <c r="T171" s="10"/>
      <c r="U171" s="10"/>
    </row>
    <row r="172" spans="1:21" ht="15.75" x14ac:dyDescent="0.25">
      <c r="A172" s="261"/>
      <c r="B172" s="10"/>
      <c r="C172" s="10"/>
      <c r="D172" s="10"/>
      <c r="E172" s="10"/>
      <c r="F172" s="10"/>
      <c r="G172" s="10"/>
      <c r="H172" s="10"/>
      <c r="I172" s="10"/>
      <c r="L172" s="452"/>
      <c r="M172" s="453" t="s">
        <v>558</v>
      </c>
      <c r="N172" s="454" t="s">
        <v>319</v>
      </c>
      <c r="O172" s="455"/>
      <c r="P172" s="455"/>
      <c r="Q172" s="10"/>
      <c r="R172" s="10"/>
      <c r="S172" s="10"/>
      <c r="T172" s="10"/>
      <c r="U172" s="10"/>
    </row>
    <row r="173" spans="1:21" ht="15.75" x14ac:dyDescent="0.25">
      <c r="A173" s="278" t="s">
        <v>102</v>
      </c>
      <c r="B173" s="278"/>
      <c r="C173" s="10"/>
      <c r="D173" s="10"/>
      <c r="E173" s="10"/>
      <c r="F173" s="10"/>
      <c r="G173" s="17"/>
      <c r="H173" s="824">
        <f>$I$234</f>
        <v>70069.13</v>
      </c>
      <c r="I173" s="824"/>
      <c r="J173" s="10" t="s">
        <v>103</v>
      </c>
      <c r="L173" s="452"/>
      <c r="M173" s="453" t="s">
        <v>559</v>
      </c>
      <c r="N173" s="454" t="s">
        <v>320</v>
      </c>
      <c r="O173" s="455"/>
      <c r="P173" s="455"/>
      <c r="Q173" s="10"/>
      <c r="R173" s="10"/>
      <c r="S173" s="10"/>
      <c r="T173" s="10"/>
      <c r="U173" s="10"/>
    </row>
    <row r="174" spans="1:21" ht="15.75" x14ac:dyDescent="0.25">
      <c r="A174" s="261"/>
      <c r="B174" s="10"/>
      <c r="C174" s="10"/>
      <c r="D174" s="10"/>
      <c r="E174" s="10"/>
      <c r="F174" s="10"/>
      <c r="G174" s="12"/>
      <c r="H174" s="10"/>
      <c r="I174" s="10"/>
      <c r="J174" s="10"/>
      <c r="L174" s="452"/>
      <c r="M174" s="453" t="s">
        <v>557</v>
      </c>
      <c r="N174" s="454" t="s">
        <v>321</v>
      </c>
      <c r="O174" s="455"/>
      <c r="P174" s="455"/>
      <c r="Q174" s="10"/>
      <c r="R174" s="10"/>
      <c r="S174" s="10"/>
      <c r="T174" s="10"/>
      <c r="U174" s="10"/>
    </row>
    <row r="175" spans="1:21" ht="15.75" x14ac:dyDescent="0.25">
      <c r="A175" s="278" t="s">
        <v>698</v>
      </c>
      <c r="B175" s="278"/>
      <c r="C175" s="13"/>
      <c r="D175" s="13" t="s">
        <v>104</v>
      </c>
      <c r="E175" s="10"/>
      <c r="G175" s="17"/>
      <c r="H175" s="824">
        <f>$I$235</f>
        <v>69920.88864242495</v>
      </c>
      <c r="I175" s="824"/>
      <c r="J175" s="10" t="s">
        <v>103</v>
      </c>
      <c r="L175" s="452"/>
      <c r="M175" s="453" t="s">
        <v>560</v>
      </c>
      <c r="N175" s="454" t="s">
        <v>322</v>
      </c>
      <c r="O175" s="455"/>
      <c r="P175" s="455"/>
      <c r="Q175" s="10"/>
      <c r="R175" s="10"/>
      <c r="S175" s="10"/>
      <c r="T175" s="10"/>
      <c r="U175" s="10"/>
    </row>
    <row r="176" spans="1:21" ht="15.75" x14ac:dyDescent="0.25">
      <c r="A176" s="279"/>
      <c r="B176" s="279"/>
      <c r="C176" s="14"/>
      <c r="D176" s="14" t="s">
        <v>105</v>
      </c>
      <c r="E176" s="10"/>
      <c r="G176" s="17"/>
      <c r="H176" s="824">
        <f>$H$239</f>
        <v>70044.259999999995</v>
      </c>
      <c r="I176" s="824"/>
      <c r="J176" s="10" t="s">
        <v>103</v>
      </c>
      <c r="L176" s="452"/>
      <c r="M176" s="452"/>
      <c r="N176" s="452"/>
      <c r="O176" s="452"/>
      <c r="P176" s="452"/>
    </row>
    <row r="177" spans="1:16" ht="15.75" x14ac:dyDescent="0.25">
      <c r="A177" s="279"/>
      <c r="B177" s="279"/>
      <c r="C177" s="13"/>
      <c r="D177" s="13" t="s">
        <v>106</v>
      </c>
      <c r="E177" s="13"/>
      <c r="G177" s="17"/>
      <c r="H177" s="824">
        <f>$H$240</f>
        <v>70136.372000000003</v>
      </c>
      <c r="I177" s="824"/>
      <c r="J177" s="10" t="s">
        <v>103</v>
      </c>
      <c r="L177" s="452"/>
      <c r="M177" s="452"/>
      <c r="N177" s="452"/>
      <c r="O177" s="452"/>
      <c r="P177" s="452"/>
    </row>
    <row r="178" spans="1:16" ht="15.75" x14ac:dyDescent="0.25">
      <c r="A178" s="279"/>
      <c r="B178" s="279"/>
      <c r="C178" s="15"/>
      <c r="D178" s="15" t="str">
        <f>Relato!$D$160</f>
        <v>CONSIGNEES SURVEYOR:</v>
      </c>
      <c r="E178" s="15"/>
      <c r="G178" s="17"/>
      <c r="H178" s="824">
        <f>Draft!$X$84</f>
        <v>70106.301000000007</v>
      </c>
      <c r="I178" s="824"/>
      <c r="J178" s="10" t="s">
        <v>103</v>
      </c>
      <c r="L178" s="452"/>
      <c r="M178" s="452"/>
      <c r="N178" s="452"/>
      <c r="O178" s="452"/>
      <c r="P178" s="452"/>
    </row>
    <row r="179" spans="1:16" ht="15.75" x14ac:dyDescent="0.25">
      <c r="A179" s="279"/>
      <c r="B179" s="279"/>
      <c r="C179" s="15"/>
      <c r="D179" s="15" t="e">
        <f>Relato!#REF!</f>
        <v>#REF!</v>
      </c>
      <c r="E179" s="15"/>
      <c r="G179" s="17"/>
      <c r="H179" s="824">
        <f>Draft!$X$85</f>
        <v>0</v>
      </c>
      <c r="I179" s="824"/>
      <c r="J179" s="10" t="s">
        <v>103</v>
      </c>
      <c r="L179" s="452"/>
      <c r="M179" s="452"/>
      <c r="N179" s="452"/>
      <c r="O179" s="452"/>
      <c r="P179" s="452"/>
    </row>
    <row r="180" spans="1:16" ht="15.75" x14ac:dyDescent="0.25">
      <c r="A180" s="279"/>
      <c r="B180" s="279"/>
      <c r="C180" s="15"/>
      <c r="D180" s="15" t="e">
        <f>Relato!#REF!</f>
        <v>#REF!</v>
      </c>
      <c r="E180" s="15"/>
      <c r="G180" s="17"/>
      <c r="H180" s="824">
        <f>Draft!$X$86</f>
        <v>0</v>
      </c>
      <c r="I180" s="824"/>
      <c r="J180" s="10" t="s">
        <v>103</v>
      </c>
      <c r="L180" s="452"/>
      <c r="M180" s="452"/>
      <c r="N180" s="452"/>
      <c r="O180" s="452"/>
      <c r="P180" s="452"/>
    </row>
    <row r="181" spans="1:16" ht="15.75" x14ac:dyDescent="0.25">
      <c r="A181" s="279"/>
      <c r="B181" s="279"/>
      <c r="C181" s="15"/>
      <c r="D181" s="15" t="e">
        <f>Relato!#REF!</f>
        <v>#REF!</v>
      </c>
      <c r="E181" s="15"/>
      <c r="G181" s="17"/>
      <c r="H181" s="824">
        <f>Draft!$X$87</f>
        <v>0</v>
      </c>
      <c r="I181" s="824"/>
      <c r="J181" s="10" t="s">
        <v>103</v>
      </c>
      <c r="L181" s="452"/>
      <c r="M181" s="452"/>
      <c r="N181" s="452"/>
      <c r="O181" s="452"/>
      <c r="P181" s="452"/>
    </row>
    <row r="182" spans="1:16" ht="15.75" x14ac:dyDescent="0.25">
      <c r="A182" s="279"/>
      <c r="B182" s="279"/>
      <c r="C182" s="280"/>
      <c r="D182" s="15"/>
      <c r="E182" s="280"/>
      <c r="F182" s="280"/>
      <c r="G182" s="11"/>
      <c r="H182" s="10"/>
      <c r="I182" s="10"/>
      <c r="L182" s="452"/>
      <c r="M182" s="452"/>
      <c r="N182" s="452"/>
      <c r="O182" s="452"/>
      <c r="P182" s="452"/>
    </row>
    <row r="183" spans="1:16" ht="7.5" customHeight="1" thickBot="1" x14ac:dyDescent="0.3">
      <c r="A183" s="289"/>
      <c r="B183" s="289"/>
      <c r="C183" s="290"/>
      <c r="D183" s="290"/>
      <c r="E183" s="290"/>
      <c r="F183" s="290"/>
      <c r="G183" s="291"/>
      <c r="H183" s="292"/>
      <c r="I183" s="293"/>
      <c r="J183" s="294"/>
      <c r="L183" s="452"/>
      <c r="M183" s="452"/>
      <c r="N183" s="452"/>
      <c r="O183" s="452"/>
      <c r="P183" s="452"/>
    </row>
    <row r="184" spans="1:16" ht="21" customHeight="1" thickBot="1" x14ac:dyDescent="0.45">
      <c r="A184" s="295"/>
      <c r="B184" s="292"/>
      <c r="C184" s="292"/>
      <c r="D184" s="292"/>
      <c r="E184" s="292"/>
      <c r="F184" s="296"/>
      <c r="G184" s="833" t="s">
        <v>107</v>
      </c>
      <c r="H184" s="834"/>
      <c r="I184" s="835" t="s">
        <v>108</v>
      </c>
      <c r="J184" s="836"/>
      <c r="L184" s="452"/>
      <c r="M184" s="452"/>
      <c r="N184" s="452"/>
      <c r="O184" s="452"/>
      <c r="P184" s="452"/>
    </row>
    <row r="185" spans="1:16" ht="14.1" customHeight="1" x14ac:dyDescent="0.25">
      <c r="A185" s="791" t="str">
        <f>$A$1</f>
        <v xml:space="preserve">MV "Wen De" </v>
      </c>
      <c r="B185" s="792"/>
      <c r="C185" s="792"/>
      <c r="D185" s="792"/>
      <c r="E185" s="792"/>
      <c r="F185" s="793"/>
      <c r="G185" s="800" t="str">
        <f>Relato!$G$163</f>
        <v>Inner roads 8,3</v>
      </c>
      <c r="H185" s="800"/>
      <c r="I185" s="801" t="str">
        <f>Relato!$I$163</f>
        <v>Wharf 212</v>
      </c>
      <c r="J185" s="802"/>
      <c r="L185" s="452"/>
      <c r="M185" s="452"/>
      <c r="N185" s="452"/>
      <c r="O185" s="452"/>
      <c r="P185" s="452"/>
    </row>
    <row r="186" spans="1:16" ht="14.1" customHeight="1" x14ac:dyDescent="0.25">
      <c r="A186" s="794"/>
      <c r="B186" s="795"/>
      <c r="C186" s="795"/>
      <c r="D186" s="795"/>
      <c r="E186" s="795"/>
      <c r="F186" s="796"/>
      <c r="G186" s="815" t="str">
        <f>Relato!$G$164</f>
        <v>02.04.2026 - 09:05 h</v>
      </c>
      <c r="H186" s="816"/>
      <c r="I186" s="815" t="str">
        <f>Relato!$I$164</f>
        <v>05.04.2026 - 06:15 h</v>
      </c>
      <c r="J186" s="817"/>
      <c r="L186" s="452"/>
      <c r="M186" s="452"/>
      <c r="N186" s="452"/>
      <c r="O186" s="452"/>
      <c r="P186" s="452"/>
    </row>
    <row r="187" spans="1:16" ht="14.1" customHeight="1" x14ac:dyDescent="0.25">
      <c r="A187" s="797"/>
      <c r="B187" s="798"/>
      <c r="C187" s="798"/>
      <c r="D187" s="798"/>
      <c r="E187" s="798"/>
      <c r="F187" s="799"/>
      <c r="G187" s="803">
        <f>Relato!$G$165</f>
        <v>0.1</v>
      </c>
      <c r="H187" s="804"/>
      <c r="I187" s="803">
        <f>Relato!$I$165</f>
        <v>0.1</v>
      </c>
      <c r="J187" s="805"/>
      <c r="L187" s="452"/>
      <c r="M187" s="452"/>
      <c r="N187" s="452"/>
      <c r="O187" s="452"/>
      <c r="P187" s="452"/>
    </row>
    <row r="188" spans="1:16" ht="14.1" customHeight="1" x14ac:dyDescent="0.25">
      <c r="A188" s="811" t="str">
        <f>_xlfn.CONCAT("IMO NO.  ",CAPA!$B$10)</f>
        <v>IMO NO.  9642772</v>
      </c>
      <c r="B188" s="806"/>
      <c r="C188" s="806" t="str">
        <f>_xlfn.CONCAT("FLAG:  ",CAPA!$B$14)</f>
        <v>FLAG:  Hongkongese</v>
      </c>
      <c r="D188" s="806"/>
      <c r="E188" s="806" t="str">
        <f>_xlfn.CONCAT("BUILD:  ",CAPA!$B$9)</f>
        <v>BUILD:  2013</v>
      </c>
      <c r="F188" s="807"/>
      <c r="G188" s="808" t="str">
        <f>CONCATENATE("Wind force ",TEXT(Draft!$O$8,"00"))</f>
        <v>Wind force 01</v>
      </c>
      <c r="H188" s="809"/>
      <c r="I188" s="808" t="str">
        <f>Relato!$I$166</f>
        <v>Wind force 01</v>
      </c>
      <c r="J188" s="810"/>
      <c r="L188" s="452"/>
      <c r="M188" s="452"/>
      <c r="N188" s="452"/>
      <c r="O188" s="452"/>
      <c r="P188" s="452"/>
    </row>
    <row r="189" spans="1:16" ht="14.1" customHeight="1" x14ac:dyDescent="0.25">
      <c r="A189" s="439" t="str">
        <f>IF(Draft!H84="NÃO","DRAUGHT SURVEY CERTIFICATE","FULL DISPLACEMENT SURVEY CERTIFICATE")</f>
        <v>DRAUGHT SURVEY CERTIFICATE</v>
      </c>
      <c r="B189" s="297"/>
      <c r="C189" s="297"/>
      <c r="D189" s="297"/>
      <c r="E189" s="297"/>
      <c r="F189" s="298"/>
      <c r="G189" s="808" t="str">
        <f>Draft!$E$8</f>
        <v>Ebb tide, &lt; 1knot</v>
      </c>
      <c r="H189" s="809"/>
      <c r="I189" s="808" t="str">
        <f>Relato!$I$167</f>
        <v>Ebb tide, &gt;1knot</v>
      </c>
      <c r="J189" s="810"/>
      <c r="L189" s="452"/>
      <c r="M189" s="452"/>
      <c r="N189" s="452"/>
      <c r="O189" s="452"/>
      <c r="P189" s="452"/>
    </row>
    <row r="190" spans="1:16" ht="14.1" customHeight="1" thickBot="1" x14ac:dyDescent="0.3">
      <c r="A190" s="440" t="str">
        <f>$G$3</f>
        <v>PGUA/DS/106/26</v>
      </c>
      <c r="B190" s="299"/>
      <c r="C190" s="299"/>
      <c r="D190" s="299"/>
      <c r="E190" s="299"/>
      <c r="F190" s="300"/>
      <c r="G190" s="818" t="str">
        <f>Relato!$G$168</f>
        <v>Weather:   Fine</v>
      </c>
      <c r="H190" s="819"/>
      <c r="I190" s="1175" t="str">
        <f>Relato!$I$168</f>
        <v>Weather:   Fine</v>
      </c>
      <c r="J190" s="1176"/>
      <c r="L190" s="452"/>
      <c r="M190" s="452"/>
      <c r="N190" s="452"/>
      <c r="O190" s="452"/>
      <c r="P190" s="452"/>
    </row>
    <row r="191" spans="1:16" ht="3.75" customHeight="1" thickBot="1" x14ac:dyDescent="0.3">
      <c r="A191" s="301"/>
      <c r="B191" s="301"/>
      <c r="C191" s="301"/>
      <c r="D191" s="301"/>
      <c r="E191" s="301"/>
      <c r="F191" s="302"/>
      <c r="G191" s="301"/>
      <c r="H191" s="301"/>
      <c r="I191" s="303"/>
      <c r="J191" s="304"/>
      <c r="L191" s="452"/>
      <c r="M191" s="452"/>
      <c r="N191" s="452"/>
      <c r="O191" s="452"/>
      <c r="P191" s="452"/>
    </row>
    <row r="192" spans="1:16" ht="12.95" customHeight="1" x14ac:dyDescent="0.25">
      <c r="A192" s="321" t="s">
        <v>699</v>
      </c>
      <c r="B192" s="331"/>
      <c r="C192" s="331"/>
      <c r="D192" s="331"/>
      <c r="E192" s="331"/>
      <c r="F192" s="332"/>
      <c r="G192" s="779" t="s">
        <v>109</v>
      </c>
      <c r="H192" s="780"/>
      <c r="I192" s="813" t="s">
        <v>110</v>
      </c>
      <c r="J192" s="814"/>
      <c r="L192" s="452"/>
      <c r="M192" s="452"/>
      <c r="N192" s="452"/>
      <c r="O192" s="452"/>
      <c r="P192" s="452"/>
    </row>
    <row r="193" spans="1:16" ht="12.95" customHeight="1" x14ac:dyDescent="0.25">
      <c r="A193" s="333" t="s">
        <v>111</v>
      </c>
      <c r="B193" s="307"/>
      <c r="C193" s="307"/>
      <c r="D193" s="307"/>
      <c r="E193" s="307"/>
      <c r="F193" s="308"/>
      <c r="G193" s="741">
        <f>Draft!$C$25</f>
        <v>4.58</v>
      </c>
      <c r="H193" s="742"/>
      <c r="I193" s="747">
        <f>Draft!$U$25</f>
        <v>13.14</v>
      </c>
      <c r="J193" s="748"/>
      <c r="L193" s="452"/>
      <c r="M193" s="452"/>
      <c r="N193" s="452"/>
      <c r="O193" s="452"/>
      <c r="P193" s="452"/>
    </row>
    <row r="194" spans="1:16" ht="12.95" customHeight="1" x14ac:dyDescent="0.25">
      <c r="A194" s="444" t="s">
        <v>112</v>
      </c>
      <c r="B194" s="310"/>
      <c r="C194" s="310"/>
      <c r="D194" s="310"/>
      <c r="E194" s="310"/>
      <c r="F194" s="311"/>
      <c r="G194" s="732">
        <f>Draft!$G$25</f>
        <v>4.72</v>
      </c>
      <c r="H194" s="733"/>
      <c r="I194" s="749">
        <f>Draft!$Y$25</f>
        <v>13.15</v>
      </c>
      <c r="J194" s="750"/>
      <c r="L194" s="452"/>
      <c r="M194" s="452"/>
      <c r="N194" s="452"/>
      <c r="O194" s="452"/>
      <c r="P194" s="452"/>
    </row>
    <row r="195" spans="1:16" ht="12.95" customHeight="1" x14ac:dyDescent="0.25">
      <c r="A195" s="334" t="s">
        <v>113</v>
      </c>
      <c r="B195" s="310"/>
      <c r="C195" s="310"/>
      <c r="D195" s="310"/>
      <c r="E195" s="310"/>
      <c r="F195" s="311"/>
      <c r="G195" s="732">
        <f>($G$193+$G$194)/2</f>
        <v>4.6500000000000004</v>
      </c>
      <c r="H195" s="733"/>
      <c r="I195" s="732">
        <f>($I$193+$I$194)/2</f>
        <v>13.145</v>
      </c>
      <c r="J195" s="750"/>
      <c r="L195" s="452"/>
      <c r="M195" s="452"/>
      <c r="N195" s="452"/>
      <c r="O195" s="452"/>
      <c r="P195" s="452"/>
    </row>
    <row r="196" spans="1:16" ht="12.95" customHeight="1" x14ac:dyDescent="0.25">
      <c r="A196" s="444" t="s">
        <v>114</v>
      </c>
      <c r="B196" s="309"/>
      <c r="C196" s="309"/>
      <c r="D196" s="309"/>
      <c r="E196" s="309"/>
      <c r="F196" s="312"/>
      <c r="G196" s="734">
        <f>Draft!$M$25</f>
        <v>-0.17370000000000108</v>
      </c>
      <c r="H196" s="735"/>
      <c r="I196" s="743">
        <f>Draft!$AE$25</f>
        <v>-2.0399999999998641E-2</v>
      </c>
      <c r="J196" s="744"/>
      <c r="L196" s="452"/>
      <c r="M196" s="452"/>
      <c r="N196" s="452"/>
      <c r="O196" s="452"/>
      <c r="P196" s="452"/>
    </row>
    <row r="197" spans="1:16" ht="12.95" customHeight="1" x14ac:dyDescent="0.25">
      <c r="A197" s="325" t="s">
        <v>700</v>
      </c>
      <c r="B197" s="305"/>
      <c r="C197" s="305"/>
      <c r="D197" s="305"/>
      <c r="E197" s="305"/>
      <c r="F197" s="306"/>
      <c r="G197" s="739">
        <f>Draft!$P$25</f>
        <v>4.4762999999999993</v>
      </c>
      <c r="H197" s="740"/>
      <c r="I197" s="745">
        <f>Draft!$AH$25</f>
        <v>13.124600000000001</v>
      </c>
      <c r="J197" s="746"/>
      <c r="L197" s="452"/>
      <c r="M197" s="452"/>
      <c r="N197" s="452"/>
      <c r="O197" s="452"/>
      <c r="P197" s="452"/>
    </row>
    <row r="198" spans="1:16" ht="12.95" customHeight="1" x14ac:dyDescent="0.25">
      <c r="A198" s="333" t="s">
        <v>115</v>
      </c>
      <c r="B198" s="307"/>
      <c r="C198" s="307"/>
      <c r="D198" s="307"/>
      <c r="E198" s="307"/>
      <c r="F198" s="308"/>
      <c r="G198" s="741">
        <f>Draft!$C$26</f>
        <v>5.72</v>
      </c>
      <c r="H198" s="742"/>
      <c r="I198" s="747">
        <f>Draft!$U$26</f>
        <v>13.27</v>
      </c>
      <c r="J198" s="748"/>
      <c r="L198" s="452"/>
      <c r="M198" s="452"/>
      <c r="N198" s="452"/>
      <c r="O198" s="452"/>
      <c r="P198" s="452"/>
    </row>
    <row r="199" spans="1:16" ht="12.95" customHeight="1" x14ac:dyDescent="0.25">
      <c r="A199" s="444" t="s">
        <v>116</v>
      </c>
      <c r="B199" s="310"/>
      <c r="C199" s="310"/>
      <c r="D199" s="310"/>
      <c r="E199" s="310"/>
      <c r="F199" s="311"/>
      <c r="G199" s="732">
        <f>Draft!$G$26</f>
        <v>5.92</v>
      </c>
      <c r="H199" s="733"/>
      <c r="I199" s="749">
        <f>Draft!$Y$26</f>
        <v>13.28</v>
      </c>
      <c r="J199" s="750"/>
      <c r="L199" s="452"/>
      <c r="M199" s="452"/>
      <c r="N199" s="452"/>
      <c r="O199" s="452"/>
      <c r="P199" s="452"/>
    </row>
    <row r="200" spans="1:16" ht="12.95" customHeight="1" x14ac:dyDescent="0.25">
      <c r="A200" s="334" t="s">
        <v>117</v>
      </c>
      <c r="B200" s="310"/>
      <c r="C200" s="310"/>
      <c r="D200" s="310"/>
      <c r="E200" s="310"/>
      <c r="F200" s="311"/>
      <c r="G200" s="732">
        <f>($G$198+$G$199)/2</f>
        <v>5.82</v>
      </c>
      <c r="H200" s="733"/>
      <c r="I200" s="732">
        <f>($I$198+$I$199)/2</f>
        <v>13.274999999999999</v>
      </c>
      <c r="J200" s="750"/>
      <c r="L200" s="452"/>
      <c r="M200" s="452"/>
      <c r="N200" s="452"/>
      <c r="O200" s="452"/>
      <c r="P200" s="452"/>
    </row>
    <row r="201" spans="1:16" ht="12.95" customHeight="1" x14ac:dyDescent="0.25">
      <c r="A201" s="444" t="s">
        <v>118</v>
      </c>
      <c r="B201" s="309"/>
      <c r="C201" s="309"/>
      <c r="D201" s="309"/>
      <c r="E201" s="309"/>
      <c r="F201" s="312"/>
      <c r="G201" s="734">
        <f>Draft!$M$26</f>
        <v>-4.2700000000000848E-2</v>
      </c>
      <c r="H201" s="735"/>
      <c r="I201" s="743">
        <f>Draft!$AE$26</f>
        <v>-1.8799999999998818E-2</v>
      </c>
      <c r="J201" s="744"/>
      <c r="L201" s="452"/>
      <c r="M201" s="452"/>
      <c r="N201" s="452"/>
      <c r="O201" s="452"/>
      <c r="P201" s="452"/>
    </row>
    <row r="202" spans="1:16" ht="12.95" customHeight="1" x14ac:dyDescent="0.25">
      <c r="A202" s="325" t="s">
        <v>701</v>
      </c>
      <c r="B202" s="305"/>
      <c r="C202" s="305"/>
      <c r="D202" s="305"/>
      <c r="E202" s="305"/>
      <c r="F202" s="306"/>
      <c r="G202" s="739">
        <f>Draft!$P$26</f>
        <v>5.7772999999999994</v>
      </c>
      <c r="H202" s="740"/>
      <c r="I202" s="745">
        <f>Draft!$AH$26</f>
        <v>13.2562</v>
      </c>
      <c r="J202" s="746"/>
      <c r="L202" s="452"/>
      <c r="M202" s="452"/>
      <c r="N202" s="452"/>
      <c r="O202" s="452"/>
      <c r="P202" s="452"/>
    </row>
    <row r="203" spans="1:16" ht="12.95" customHeight="1" x14ac:dyDescent="0.25">
      <c r="A203" s="333" t="s">
        <v>119</v>
      </c>
      <c r="B203" s="307"/>
      <c r="C203" s="307"/>
      <c r="D203" s="307"/>
      <c r="E203" s="307"/>
      <c r="F203" s="308"/>
      <c r="G203" s="741">
        <f>Draft!$C$27</f>
        <v>7.13</v>
      </c>
      <c r="H203" s="742"/>
      <c r="I203" s="747">
        <f>Draft!$U$27</f>
        <v>13.17</v>
      </c>
      <c r="J203" s="748"/>
      <c r="L203" s="452"/>
      <c r="M203" s="452"/>
      <c r="N203" s="452"/>
      <c r="O203" s="452"/>
      <c r="P203" s="452"/>
    </row>
    <row r="204" spans="1:16" ht="12.95" customHeight="1" x14ac:dyDescent="0.25">
      <c r="A204" s="334" t="s">
        <v>120</v>
      </c>
      <c r="B204" s="310"/>
      <c r="C204" s="310"/>
      <c r="D204" s="310"/>
      <c r="E204" s="310"/>
      <c r="F204" s="311"/>
      <c r="G204" s="732">
        <f>Draft!$G$27</f>
        <v>7.12</v>
      </c>
      <c r="H204" s="733"/>
      <c r="I204" s="749">
        <f>Draft!$Y$27</f>
        <v>13.18</v>
      </c>
      <c r="J204" s="750"/>
      <c r="L204" s="452"/>
      <c r="M204" s="452"/>
      <c r="N204" s="452"/>
      <c r="O204" s="452"/>
      <c r="P204" s="452"/>
    </row>
    <row r="205" spans="1:16" ht="12.95" customHeight="1" x14ac:dyDescent="0.25">
      <c r="A205" s="334" t="s">
        <v>121</v>
      </c>
      <c r="B205" s="310"/>
      <c r="C205" s="310"/>
      <c r="D205" s="310"/>
      <c r="E205" s="310"/>
      <c r="F205" s="311"/>
      <c r="G205" s="732">
        <f>($G$203+$G$204)/2</f>
        <v>7.125</v>
      </c>
      <c r="H205" s="733"/>
      <c r="I205" s="732">
        <f>($I$203+$I$204)/2</f>
        <v>13.175000000000001</v>
      </c>
      <c r="J205" s="750"/>
      <c r="L205" s="452"/>
      <c r="M205" s="452"/>
      <c r="N205" s="452"/>
      <c r="O205" s="452"/>
      <c r="P205" s="452"/>
    </row>
    <row r="206" spans="1:16" ht="12.95" customHeight="1" x14ac:dyDescent="0.25">
      <c r="A206" s="444" t="s">
        <v>122</v>
      </c>
      <c r="B206" s="309"/>
      <c r="C206" s="309"/>
      <c r="D206" s="309"/>
      <c r="E206" s="309"/>
      <c r="F206" s="312"/>
      <c r="G206" s="734">
        <f>Draft!$M$27</f>
        <v>8.8899999999999757E-2</v>
      </c>
      <c r="H206" s="735"/>
      <c r="I206" s="743">
        <f>Draft!$AE$27</f>
        <v>-1.699999999999946E-2</v>
      </c>
      <c r="J206" s="744"/>
      <c r="L206" s="452"/>
      <c r="M206" s="452"/>
      <c r="N206" s="452"/>
      <c r="O206" s="452"/>
      <c r="P206" s="452"/>
    </row>
    <row r="207" spans="1:16" ht="12.95" customHeight="1" x14ac:dyDescent="0.25">
      <c r="A207" s="325" t="s">
        <v>702</v>
      </c>
      <c r="B207" s="305"/>
      <c r="C207" s="305"/>
      <c r="D207" s="305"/>
      <c r="E207" s="305"/>
      <c r="F207" s="306"/>
      <c r="G207" s="739">
        <f>Draft!$P$27</f>
        <v>7.2138999999999998</v>
      </c>
      <c r="H207" s="740"/>
      <c r="I207" s="745">
        <f>Draft!$AH$27</f>
        <v>13.158000000000001</v>
      </c>
      <c r="J207" s="746"/>
      <c r="L207" s="452"/>
      <c r="M207" s="452"/>
      <c r="N207" s="452"/>
      <c r="O207" s="452"/>
      <c r="P207" s="452"/>
    </row>
    <row r="208" spans="1:16" ht="12.95" customHeight="1" thickBot="1" x14ac:dyDescent="0.3">
      <c r="A208" s="445" t="s">
        <v>123</v>
      </c>
      <c r="B208" s="313"/>
      <c r="C208" s="313"/>
      <c r="D208" s="313"/>
      <c r="E208" s="313"/>
      <c r="F208" s="314"/>
      <c r="G208" s="783">
        <f>Draft!$O$20+Draft!$H$18</f>
        <v>1.8499999999999999E-2</v>
      </c>
      <c r="H208" s="784"/>
      <c r="I208" s="775">
        <f>$G$208</f>
        <v>1.8499999999999999E-2</v>
      </c>
      <c r="J208" s="776"/>
      <c r="L208" s="452"/>
      <c r="M208" s="452"/>
      <c r="N208" s="452"/>
      <c r="O208" s="452"/>
      <c r="P208" s="452"/>
    </row>
    <row r="209" spans="1:16" ht="12.95" customHeight="1" thickBot="1" x14ac:dyDescent="0.3">
      <c r="A209" s="335" t="s">
        <v>572</v>
      </c>
      <c r="B209" s="336"/>
      <c r="C209" s="336"/>
      <c r="D209" s="336"/>
      <c r="E209" s="336"/>
      <c r="F209" s="337"/>
      <c r="G209" s="1182">
        <f>Draft!$M$37</f>
        <v>7.2153048027177036E-3</v>
      </c>
      <c r="H209" s="1183"/>
      <c r="I209" s="1182">
        <f>Draft!$AE$37</f>
        <v>-1.7491460485516086E-2</v>
      </c>
      <c r="J209" s="1183"/>
      <c r="L209" s="452"/>
      <c r="M209" s="452"/>
      <c r="N209" s="452"/>
      <c r="O209" s="452"/>
      <c r="P209" s="452"/>
    </row>
    <row r="210" spans="1:16" ht="12.95" customHeight="1" thickBot="1" x14ac:dyDescent="0.3">
      <c r="A210" s="446" t="s">
        <v>573</v>
      </c>
      <c r="B210" s="315"/>
      <c r="C210" s="315"/>
      <c r="D210" s="315"/>
      <c r="E210" s="315"/>
      <c r="F210" s="316"/>
      <c r="G210" s="777">
        <f>Draft!$M$39</f>
        <v>5.8014653048027176</v>
      </c>
      <c r="H210" s="785"/>
      <c r="I210" s="777">
        <f>Draft!$AE$39</f>
        <v>13.209983539514484</v>
      </c>
      <c r="J210" s="778"/>
      <c r="L210" s="452"/>
      <c r="M210" s="452"/>
      <c r="N210" s="452"/>
      <c r="O210" s="452"/>
      <c r="P210" s="452"/>
    </row>
    <row r="211" spans="1:16" ht="3.75" customHeight="1" thickBot="1" x14ac:dyDescent="0.3">
      <c r="A211" s="451"/>
      <c r="B211" s="317"/>
      <c r="C211" s="317"/>
      <c r="D211" s="317"/>
      <c r="E211" s="317"/>
      <c r="F211" s="317"/>
      <c r="G211" s="318"/>
      <c r="H211" s="319"/>
      <c r="I211" s="320"/>
      <c r="J211" s="346"/>
      <c r="L211" s="452"/>
      <c r="M211" s="452"/>
      <c r="N211" s="452"/>
      <c r="O211" s="452"/>
      <c r="P211" s="452"/>
    </row>
    <row r="212" spans="1:16" ht="12.95" customHeight="1" x14ac:dyDescent="0.25">
      <c r="A212" s="321" t="s">
        <v>125</v>
      </c>
      <c r="B212" s="322"/>
      <c r="C212" s="322"/>
      <c r="D212" s="322"/>
      <c r="E212" s="322"/>
      <c r="F212" s="323"/>
      <c r="G212" s="324" t="str">
        <f>IF(G207=0,"",IF(G207&gt;G197,"BY STERN","BY HEAD"))</f>
        <v>BY STERN</v>
      </c>
      <c r="H212" s="392">
        <f>Draft!$P$29</f>
        <v>2.7376000000000005</v>
      </c>
      <c r="I212" s="324" t="str">
        <f>IF(I207=0,"",IF(I207&gt;I197,"BY STERN","BY HEAD"))</f>
        <v>BY STERN</v>
      </c>
      <c r="J212" s="441">
        <f>Draft!$AH$29</f>
        <v>3.3400000000000318E-2</v>
      </c>
      <c r="L212" s="452"/>
      <c r="M212" s="452"/>
      <c r="N212" s="452"/>
      <c r="O212" s="452"/>
      <c r="P212" s="452"/>
    </row>
    <row r="213" spans="1:16" ht="12.95" customHeight="1" x14ac:dyDescent="0.25">
      <c r="A213" s="325" t="s">
        <v>126</v>
      </c>
      <c r="B213" s="326"/>
      <c r="C213" s="326"/>
      <c r="D213" s="326"/>
      <c r="E213" s="326"/>
      <c r="F213" s="327"/>
      <c r="G213" s="328" t="str">
        <f>_xlfn.CONCAT(Draft!$P$35," ",TEXT(Draft!$M$35,"0.00")," º")</f>
        <v>S 000 º</v>
      </c>
      <c r="H213" s="393">
        <f>Draft!$G$35</f>
        <v>20</v>
      </c>
      <c r="I213" s="328" t="str">
        <f>_xlfn.CONCAT(Draft!$AH$35," ",TEXT(Draft!$AE$35,"0.00")," º")</f>
        <v>S 000 º</v>
      </c>
      <c r="J213" s="442">
        <f>Draft!$Y$35</f>
        <v>1</v>
      </c>
      <c r="L213" s="452"/>
      <c r="M213" s="452"/>
      <c r="N213" s="452"/>
      <c r="O213" s="452"/>
      <c r="P213" s="452"/>
    </row>
    <row r="214" spans="1:16" ht="12.95" customHeight="1" thickBot="1" x14ac:dyDescent="0.3">
      <c r="A214" s="329" t="s">
        <v>128</v>
      </c>
      <c r="B214" s="294"/>
      <c r="C214" s="294"/>
      <c r="D214" s="294"/>
      <c r="E214" s="294"/>
      <c r="F214" s="330"/>
      <c r="G214" s="395" t="str">
        <f>Draft!$M$33</f>
        <v>HOGGING</v>
      </c>
      <c r="H214" s="394">
        <f>Draft!$G$33</f>
        <v>6.7800000000000082</v>
      </c>
      <c r="I214" s="395" t="str">
        <f>Draft!$AE$33</f>
        <v>SAGGING</v>
      </c>
      <c r="J214" s="443">
        <f>Draft!$Y$33</f>
        <v>11.489999999999867</v>
      </c>
      <c r="L214" s="452"/>
      <c r="M214" s="452"/>
      <c r="N214" s="452"/>
      <c r="O214" s="452"/>
      <c r="P214" s="452"/>
    </row>
    <row r="215" spans="1:16" ht="3.75" customHeight="1" thickBot="1" x14ac:dyDescent="0.3">
      <c r="A215" s="309"/>
      <c r="B215" s="309"/>
      <c r="C215" s="309"/>
      <c r="D215" s="309"/>
      <c r="E215" s="309"/>
      <c r="F215" s="309"/>
      <c r="G215" s="309"/>
      <c r="H215" s="309"/>
      <c r="I215" s="320"/>
      <c r="J215" s="304"/>
      <c r="L215" s="452"/>
      <c r="M215" s="452"/>
      <c r="N215" s="452"/>
      <c r="O215" s="452"/>
      <c r="P215" s="452"/>
    </row>
    <row r="216" spans="1:16" ht="12.95" customHeight="1" x14ac:dyDescent="0.25">
      <c r="A216" s="321" t="s">
        <v>129</v>
      </c>
      <c r="B216" s="331"/>
      <c r="C216" s="331"/>
      <c r="D216" s="331"/>
      <c r="E216" s="331"/>
      <c r="F216" s="332"/>
      <c r="G216" s="779" t="s">
        <v>109</v>
      </c>
      <c r="H216" s="780"/>
      <c r="I216" s="781" t="s">
        <v>110</v>
      </c>
      <c r="J216" s="782"/>
      <c r="L216" s="452"/>
      <c r="M216" s="452"/>
      <c r="N216" s="452"/>
      <c r="O216" s="452"/>
      <c r="P216" s="452"/>
    </row>
    <row r="217" spans="1:16" ht="12.95" customHeight="1" x14ac:dyDescent="0.25">
      <c r="A217" s="333" t="s">
        <v>130</v>
      </c>
      <c r="B217" s="307"/>
      <c r="C217" s="307"/>
      <c r="D217" s="307"/>
      <c r="E217" s="307"/>
      <c r="F217" s="308"/>
      <c r="G217" s="839">
        <f>Draft!$M$43</f>
        <v>35719.539999999994</v>
      </c>
      <c r="H217" s="840"/>
      <c r="I217" s="839">
        <f>Draft!$AE$43</f>
        <v>86595.35</v>
      </c>
      <c r="J217" s="854"/>
      <c r="L217" s="452"/>
      <c r="M217" s="452"/>
      <c r="N217" s="452"/>
      <c r="O217" s="452"/>
      <c r="P217" s="452"/>
    </row>
    <row r="218" spans="1:16" ht="12.95" customHeight="1" x14ac:dyDescent="0.25">
      <c r="A218" s="334" t="s">
        <v>131</v>
      </c>
      <c r="B218" s="310"/>
      <c r="C218" s="310"/>
      <c r="D218" s="310"/>
      <c r="E218" s="310"/>
      <c r="F218" s="311"/>
      <c r="G218" s="841">
        <f>Draft!$N$57</f>
        <v>-433.00072736191606</v>
      </c>
      <c r="H218" s="842"/>
      <c r="I218" s="841">
        <f>Draft!$AF$57</f>
        <v>4.9782639272727822</v>
      </c>
      <c r="J218" s="855"/>
      <c r="L218" s="452"/>
      <c r="M218" s="452"/>
      <c r="N218" s="452"/>
      <c r="O218" s="452"/>
      <c r="P218" s="452"/>
    </row>
    <row r="219" spans="1:16" ht="12.95" customHeight="1" x14ac:dyDescent="0.25">
      <c r="A219" s="334" t="s">
        <v>132</v>
      </c>
      <c r="B219" s="310"/>
      <c r="C219" s="310"/>
      <c r="D219" s="310"/>
      <c r="E219" s="310"/>
      <c r="F219" s="311"/>
      <c r="G219" s="841">
        <f>Draft!$N$58</f>
        <v>52.012506139246256</v>
      </c>
      <c r="H219" s="842"/>
      <c r="I219" s="841">
        <f>Draft!$AF$58</f>
        <v>4.1033314501109286E-3</v>
      </c>
      <c r="J219" s="855"/>
      <c r="L219" s="452"/>
      <c r="M219" s="452"/>
      <c r="N219" s="452"/>
      <c r="O219" s="452"/>
      <c r="P219" s="452"/>
    </row>
    <row r="220" spans="1:16" ht="12.95" customHeight="1" x14ac:dyDescent="0.25">
      <c r="A220" s="334" t="s">
        <v>133</v>
      </c>
      <c r="B220" s="310"/>
      <c r="C220" s="310"/>
      <c r="D220" s="310"/>
      <c r="E220" s="310"/>
      <c r="F220" s="311"/>
      <c r="G220" s="773">
        <f>Draft!$N$61</f>
        <v>35338.551778777321</v>
      </c>
      <c r="H220" s="774"/>
      <c r="I220" s="773">
        <f>Draft!$AF$61</f>
        <v>86600.332367258728</v>
      </c>
      <c r="J220" s="856"/>
      <c r="L220" s="452"/>
      <c r="M220" s="452"/>
      <c r="N220" s="452"/>
      <c r="O220" s="452"/>
      <c r="P220" s="452"/>
    </row>
    <row r="221" spans="1:16" ht="12.95" customHeight="1" x14ac:dyDescent="0.25">
      <c r="A221" s="334" t="s">
        <v>134</v>
      </c>
      <c r="B221" s="310"/>
      <c r="C221" s="310"/>
      <c r="D221" s="310"/>
      <c r="E221" s="310"/>
      <c r="F221" s="311"/>
      <c r="G221" s="843">
        <f>Draft!$H$62</f>
        <v>1.0169999999999999</v>
      </c>
      <c r="H221" s="844"/>
      <c r="I221" s="843">
        <f>Draft!$Z$62</f>
        <v>1.0169999999999999</v>
      </c>
      <c r="J221" s="853"/>
      <c r="L221" s="452"/>
      <c r="M221" s="452"/>
      <c r="N221" s="452"/>
      <c r="O221" s="452"/>
      <c r="P221" s="452"/>
    </row>
    <row r="222" spans="1:16" ht="12.95" customHeight="1" x14ac:dyDescent="0.25">
      <c r="A222" s="334" t="s">
        <v>703</v>
      </c>
      <c r="B222" s="310"/>
      <c r="C222" s="310"/>
      <c r="D222" s="310"/>
      <c r="E222" s="310"/>
      <c r="F222" s="311"/>
      <c r="G222" s="773">
        <f>Draft!$N$63</f>
        <v>35062.738691723454</v>
      </c>
      <c r="H222" s="774"/>
      <c r="I222" s="773">
        <f>Draft!$AF$63</f>
        <v>85924.427334148408</v>
      </c>
      <c r="J222" s="856"/>
      <c r="L222" s="452"/>
      <c r="M222" s="452"/>
      <c r="N222" s="452"/>
      <c r="O222" s="452"/>
      <c r="P222" s="452"/>
    </row>
    <row r="223" spans="1:16" ht="12.95" customHeight="1" thickBot="1" x14ac:dyDescent="0.3">
      <c r="A223" s="335" t="s">
        <v>704</v>
      </c>
      <c r="B223" s="336"/>
      <c r="C223" s="336"/>
      <c r="D223" s="336"/>
      <c r="E223" s="336"/>
      <c r="F223" s="337"/>
      <c r="G223" s="851">
        <f>Draft!$H$72</f>
        <v>21288.2</v>
      </c>
      <c r="H223" s="852"/>
      <c r="I223" s="851">
        <f>Draft!$AF$72</f>
        <v>2201.2000000000003</v>
      </c>
      <c r="J223" s="857"/>
      <c r="L223" s="452"/>
      <c r="M223" s="452"/>
      <c r="N223" s="452"/>
      <c r="O223" s="452"/>
      <c r="P223" s="452"/>
    </row>
    <row r="224" spans="1:16" ht="12.95" customHeight="1" thickBot="1" x14ac:dyDescent="0.3">
      <c r="A224" s="612" t="s">
        <v>705</v>
      </c>
      <c r="B224" s="613"/>
      <c r="C224" s="613"/>
      <c r="D224" s="613"/>
      <c r="E224" s="613"/>
      <c r="F224" s="613"/>
      <c r="G224" s="729">
        <f>Draft!$N$74</f>
        <v>13774.538691723454</v>
      </c>
      <c r="H224" s="730"/>
      <c r="I224" s="729">
        <f>Draft!$AF$74</f>
        <v>83723.227334148411</v>
      </c>
      <c r="J224" s="731"/>
      <c r="K224" s="447"/>
      <c r="L224" s="452"/>
      <c r="M224" s="452"/>
      <c r="N224" s="452"/>
      <c r="O224" s="452"/>
      <c r="P224" s="452"/>
    </row>
    <row r="225" spans="1:16" ht="12.95" customHeight="1" x14ac:dyDescent="0.25">
      <c r="A225" s="338" t="s">
        <v>608</v>
      </c>
      <c r="B225" s="339"/>
      <c r="C225" s="339"/>
      <c r="D225" s="339"/>
      <c r="E225" s="339"/>
      <c r="F225" s="340"/>
      <c r="G225" s="861">
        <f>Draft!$H$75</f>
        <v>13447.27</v>
      </c>
      <c r="H225" s="862"/>
      <c r="I225" s="341"/>
      <c r="J225" s="342"/>
      <c r="L225" s="452"/>
      <c r="M225" s="452"/>
      <c r="N225" s="452"/>
      <c r="O225" s="452"/>
      <c r="P225" s="452"/>
    </row>
    <row r="226" spans="1:16" ht="12.95" customHeight="1" x14ac:dyDescent="0.25">
      <c r="A226" s="343" t="str">
        <f>IF(Draft!H84="NÃO","Calculated constant","Declared constant")</f>
        <v>Calculated constant</v>
      </c>
      <c r="B226" s="344"/>
      <c r="C226" s="344"/>
      <c r="D226" s="344"/>
      <c r="E226" s="344"/>
      <c r="F226" s="345"/>
      <c r="G226" s="863">
        <f>Draft!$N$77</f>
        <v>355.0686917234525</v>
      </c>
      <c r="H226" s="864"/>
      <c r="I226" s="320"/>
      <c r="J226" s="346"/>
      <c r="L226" s="452"/>
      <c r="M226" s="452"/>
      <c r="N226" s="452"/>
      <c r="O226" s="452"/>
      <c r="P226" s="452"/>
    </row>
    <row r="227" spans="1:16" ht="12.95" customHeight="1" x14ac:dyDescent="0.25">
      <c r="A227" s="347" t="s">
        <v>706</v>
      </c>
      <c r="B227" s="348"/>
      <c r="C227" s="348"/>
      <c r="D227" s="348"/>
      <c r="E227" s="348"/>
      <c r="F227" s="349"/>
      <c r="G227" s="858">
        <f>Draft!$H$76</f>
        <v>27.8</v>
      </c>
      <c r="H227" s="860"/>
      <c r="I227" s="858">
        <f>Draft!$Z$76</f>
        <v>0</v>
      </c>
      <c r="J227" s="859"/>
      <c r="L227" s="452"/>
      <c r="M227" s="452"/>
      <c r="N227" s="452"/>
      <c r="O227" s="452"/>
      <c r="P227" s="452"/>
    </row>
    <row r="228" spans="1:16" ht="12.95" customHeight="1" thickBot="1" x14ac:dyDescent="0.3">
      <c r="A228" s="350" t="str">
        <f>IF(I224=0,"",IF(I224&gt;G224,"Total cargo loaded on board as per draught survey","Total cargo discharged as per draught survey"))</f>
        <v>Total cargo loaded on board as per draught survey</v>
      </c>
      <c r="B228" s="351"/>
      <c r="C228" s="351"/>
      <c r="D228" s="351"/>
      <c r="E228" s="351"/>
      <c r="F228" s="351"/>
      <c r="G228" s="352"/>
      <c r="H228" s="353"/>
      <c r="I228" s="849">
        <f>Draft!$AF$77</f>
        <v>69920.88864242495</v>
      </c>
      <c r="J228" s="850"/>
      <c r="L228" s="465" t="str">
        <f>_xlfn.CONCAT(Draft!$AQ$32,Draft!$AQ$33," on initial draft survey")</f>
        <v xml:space="preserve"> on initial draft survey</v>
      </c>
      <c r="M228" s="465" t="str">
        <f>IF($L$228="sagging on initial draft survey",1,"")</f>
        <v/>
      </c>
      <c r="N228" s="452" t="str">
        <f>IF($L$228="hogging on initial draft survey",1,"")</f>
        <v/>
      </c>
      <c r="O228" s="456" t="str">
        <f>IF(SUM($M$228:$N$228)=1,$L$228,"")</f>
        <v/>
      </c>
      <c r="P228" s="466" t="str">
        <f>IF(O228=1,L228,"")</f>
        <v/>
      </c>
    </row>
    <row r="229" spans="1:16" ht="3.75" customHeight="1" thickBot="1" x14ac:dyDescent="0.3">
      <c r="A229" s="301"/>
      <c r="B229" s="301"/>
      <c r="C229" s="301"/>
      <c r="D229" s="301"/>
      <c r="E229" s="301"/>
      <c r="F229" s="301"/>
      <c r="G229" s="301"/>
      <c r="H229" s="301"/>
      <c r="I229" s="303"/>
      <c r="J229" s="304"/>
      <c r="L229" s="465" t="str">
        <f>IFERROR(IF(SUM(M228:N228,M230:N230)=2," and ",""),"")</f>
        <v/>
      </c>
      <c r="M229" s="452"/>
      <c r="N229" s="452"/>
      <c r="O229" s="456"/>
      <c r="P229" s="456"/>
    </row>
    <row r="230" spans="1:16" ht="12.95" customHeight="1" x14ac:dyDescent="0.25">
      <c r="A230" s="354" t="str">
        <f>_xlfn.CONCAT("Loading terminals: ",CAPA!E58,CAPA!E59,CAPA!E60,CAPA!E61,CAPA!E62,CAPA!E63,CAPA!E64,CAPA!E65,CAPA!E66,CAPA!E67,CAPA!E68,CAPA!E69,CAPA!E70,CAPA!E71,".")</f>
        <v>Loading terminals: AG, CG, CB, CT, ALTP, RO, BTG 2 V, .</v>
      </c>
      <c r="B230" s="355"/>
      <c r="C230" s="355"/>
      <c r="D230" s="355"/>
      <c r="E230" s="355"/>
      <c r="F230" s="625"/>
      <c r="G230" s="9" t="s">
        <v>135</v>
      </c>
      <c r="H230" s="399">
        <f>Draft!$M$47</f>
        <v>65.100999999999999</v>
      </c>
      <c r="I230" s="9" t="s">
        <v>135</v>
      </c>
      <c r="J230" s="448">
        <f>Draft!$AE$47</f>
        <v>71.910000000000011</v>
      </c>
      <c r="L230" s="452" t="str">
        <f>_xlfn.CONCAT(Draft!$AQ$35,Draft!$AQ$36," on final draft survey")</f>
        <v>sagging on final draft survey</v>
      </c>
      <c r="M230" s="465" t="str">
        <f>IF($L$230="hogging on final draft survey",1,"")</f>
        <v/>
      </c>
      <c r="N230" s="452">
        <f>IF($L$230="sagging on final draft survey",1,"")</f>
        <v>1</v>
      </c>
      <c r="O230" s="456" t="str">
        <f>IF(SUM($M$230:$N$230)=1,$L$230,"")</f>
        <v>sagging on final draft survey</v>
      </c>
      <c r="P230" s="456" t="str">
        <f>IF(O230=1,L230,"")</f>
        <v/>
      </c>
    </row>
    <row r="231" spans="1:16" ht="12.95" customHeight="1" thickBot="1" x14ac:dyDescent="0.3">
      <c r="A231" s="396" t="str">
        <f>_xlfn.CONCAT("Cargo: ",CAPA!B6)</f>
        <v>Cargo: Soybeans in bulk</v>
      </c>
      <c r="B231" s="398"/>
      <c r="C231" s="398"/>
      <c r="D231" s="398"/>
      <c r="E231" s="398"/>
      <c r="F231" s="397"/>
      <c r="G231" s="356" t="s">
        <v>141</v>
      </c>
      <c r="H231" s="400">
        <f>Draft!$J$53</f>
        <v>961.2</v>
      </c>
      <c r="I231" s="356" t="s">
        <v>141</v>
      </c>
      <c r="J231" s="449">
        <f>Draft!$AB$53</f>
        <v>1277.7429999999999</v>
      </c>
      <c r="L231" s="452" t="s">
        <v>687</v>
      </c>
      <c r="M231" s="452"/>
      <c r="N231" s="452"/>
      <c r="O231" s="456"/>
      <c r="P231" s="456"/>
    </row>
    <row r="232" spans="1:16" ht="12.95" customHeight="1" thickTop="1" thickBot="1" x14ac:dyDescent="0.3">
      <c r="A232" s="1177" t="str">
        <f>Relato!A209</f>
        <v>Paranaguá, Br - Brazil.  April 5th, 2026</v>
      </c>
      <c r="B232" s="1178"/>
      <c r="C232" s="1178"/>
      <c r="D232" s="1178"/>
      <c r="E232" s="1178"/>
      <c r="F232" s="1179"/>
      <c r="G232" s="357" t="s">
        <v>142</v>
      </c>
      <c r="H232" s="401">
        <f>Draft!$J$54</f>
        <v>929.9</v>
      </c>
      <c r="I232" s="357" t="s">
        <v>142</v>
      </c>
      <c r="J232" s="450">
        <f>Draft!$AB$54</f>
        <v>1261.154</v>
      </c>
      <c r="L232" s="452"/>
      <c r="M232" s="452"/>
      <c r="N232" s="452"/>
      <c r="O232" s="456"/>
      <c r="P232" s="456"/>
    </row>
    <row r="233" spans="1:16" ht="3.75" customHeight="1" thickBot="1" x14ac:dyDescent="0.3">
      <c r="A233" s="358"/>
      <c r="B233" s="359"/>
      <c r="C233" s="359"/>
      <c r="D233" s="359"/>
      <c r="E233" s="359"/>
      <c r="F233" s="360"/>
      <c r="G233" s="360"/>
      <c r="H233" s="360"/>
      <c r="I233" s="360"/>
      <c r="J233" s="304"/>
      <c r="L233" s="452"/>
      <c r="M233" s="452"/>
      <c r="N233" s="452"/>
      <c r="O233" s="452"/>
      <c r="P233" s="452"/>
    </row>
    <row r="234" spans="1:16" ht="12.95" customHeight="1" thickTop="1" x14ac:dyDescent="0.25">
      <c r="A234" s="361" t="str">
        <f>IF(I224=0,"",IF(I224&gt;G224,"Total cargo loaded on board as per shore scales","Total manifested cargo"))</f>
        <v>Total cargo loaded on board as per shore scales</v>
      </c>
      <c r="B234" s="362"/>
      <c r="C234" s="362"/>
      <c r="D234" s="362"/>
      <c r="E234" s="362"/>
      <c r="F234" s="362"/>
      <c r="G234" s="363"/>
      <c r="H234" s="364"/>
      <c r="I234" s="760">
        <f>Draft!$Z$78</f>
        <v>70069.13</v>
      </c>
      <c r="J234" s="761"/>
      <c r="L234" s="452"/>
      <c r="M234" s="452"/>
      <c r="N234" s="452"/>
      <c r="O234" s="452"/>
      <c r="P234" s="452"/>
    </row>
    <row r="235" spans="1:16" ht="12.95" customHeight="1" x14ac:dyDescent="0.25">
      <c r="A235" s="365" t="str">
        <f>A228</f>
        <v>Total cargo loaded on board as per draught survey</v>
      </c>
      <c r="B235" s="614"/>
      <c r="C235" s="614"/>
      <c r="D235" s="614"/>
      <c r="E235" s="614"/>
      <c r="F235" s="614"/>
      <c r="G235" s="615"/>
      <c r="H235" s="616"/>
      <c r="I235" s="762">
        <f>Draft!$AF$77</f>
        <v>69920.88864242495</v>
      </c>
      <c r="J235" s="763"/>
      <c r="L235" s="452"/>
      <c r="M235" s="452"/>
      <c r="N235" s="452"/>
      <c r="O235" s="452"/>
      <c r="P235" s="452"/>
    </row>
    <row r="236" spans="1:16" ht="12.95" customHeight="1" thickBot="1" x14ac:dyDescent="0.3">
      <c r="A236" s="617" t="str">
        <f>IF($G$236&gt;0,"Surplus","Shortage")</f>
        <v>Shortage</v>
      </c>
      <c r="B236" s="366"/>
      <c r="C236" s="366"/>
      <c r="D236" s="366"/>
      <c r="E236" s="366"/>
      <c r="F236" s="366"/>
      <c r="G236" s="766">
        <f>$I$235-$I$234</f>
        <v>-148.24135757505428</v>
      </c>
      <c r="H236" s="766"/>
      <c r="I236" s="764">
        <f>($G$236/$I$234)*100</f>
        <v>-0.21156443297505517</v>
      </c>
      <c r="J236" s="765"/>
      <c r="L236" s="452"/>
      <c r="M236" s="452"/>
      <c r="N236" s="452"/>
      <c r="O236" s="452"/>
      <c r="P236" s="452"/>
    </row>
    <row r="237" spans="1:16" ht="39" customHeight="1" thickTop="1" x14ac:dyDescent="0.25">
      <c r="A237" s="1181"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to410 t.</v>
      </c>
      <c r="B237" s="1181"/>
      <c r="C237" s="1181"/>
      <c r="D237" s="1181"/>
      <c r="E237" s="1181"/>
      <c r="F237" s="1181"/>
      <c r="G237" s="1181"/>
      <c r="H237" s="1181"/>
      <c r="I237" s="1181"/>
      <c r="J237" s="1181"/>
      <c r="L237" s="452"/>
      <c r="M237" s="452"/>
      <c r="N237" s="452"/>
      <c r="O237" s="452"/>
      <c r="P237" s="452"/>
    </row>
    <row r="238" spans="1:16" ht="12.95" customHeight="1" x14ac:dyDescent="0.25">
      <c r="A238" s="10"/>
      <c r="B238" s="10"/>
      <c r="C238" s="10"/>
      <c r="D238" s="10"/>
      <c r="E238" s="10"/>
      <c r="F238" s="10"/>
      <c r="G238" s="10"/>
      <c r="H238" s="10"/>
      <c r="I238" s="10"/>
      <c r="L238" s="452"/>
      <c r="M238" s="452"/>
      <c r="N238" s="452"/>
      <c r="O238" s="456"/>
      <c r="P238" s="456"/>
    </row>
    <row r="239" spans="1:16" ht="12.95" customHeight="1" x14ac:dyDescent="0.25">
      <c r="A239" s="409" t="s">
        <v>137</v>
      </c>
      <c r="B239" s="409"/>
      <c r="C239" s="409"/>
      <c r="D239" s="409"/>
      <c r="E239" s="409"/>
      <c r="F239" s="410"/>
      <c r="G239" s="411" t="s">
        <v>138</v>
      </c>
      <c r="H239" s="575">
        <f>Draft!$X$82</f>
        <v>70044.259999999995</v>
      </c>
      <c r="I239" s="576">
        <f>H239-I234</f>
        <v>-24.870000000009895</v>
      </c>
      <c r="J239" s="618">
        <f>IFERROR((I239/I234)*100,"")</f>
        <v>-3.5493519043278965E-2</v>
      </c>
      <c r="L239" s="452"/>
      <c r="M239" s="452"/>
      <c r="N239" s="452"/>
      <c r="O239" s="456"/>
      <c r="P239" s="456"/>
    </row>
    <row r="240" spans="1:16" ht="12.95" customHeight="1" x14ac:dyDescent="0.25">
      <c r="A240" s="412" t="str">
        <f>_xlfn.CONCAT("José Antonio Machado Gomes Pereira"," / ",CAPA!A97)</f>
        <v>José Antonio Machado Gomes Pereira / Haroldo Fernandes Alves Junior</v>
      </c>
      <c r="B240" s="412"/>
      <c r="C240" s="412"/>
      <c r="D240" s="412"/>
      <c r="E240" s="412"/>
      <c r="F240" s="410"/>
      <c r="G240" s="411" t="s">
        <v>139</v>
      </c>
      <c r="H240" s="575">
        <f>Draft!$X$83</f>
        <v>70136.372000000003</v>
      </c>
      <c r="I240" s="576">
        <f>H240-I234</f>
        <v>67.24199999999837</v>
      </c>
      <c r="J240" s="618">
        <f>IFERROR((I240/I234)*100,"")</f>
        <v>9.5965227483198912E-2</v>
      </c>
    </row>
    <row r="241" spans="1:16" ht="12.95" customHeight="1" x14ac:dyDescent="0.25">
      <c r="A241" s="412" t="s">
        <v>140</v>
      </c>
      <c r="B241" s="412"/>
      <c r="C241" s="412"/>
      <c r="D241" s="412"/>
      <c r="E241" s="412"/>
      <c r="F241" s="413"/>
      <c r="G241" s="414" t="str">
        <f>Draft!$U$84</f>
        <v>Consignees:</v>
      </c>
      <c r="H241" s="575">
        <f>Draft!$X$84</f>
        <v>70106.301000000007</v>
      </c>
      <c r="I241" s="576">
        <f>H241-I234</f>
        <v>37.171000000002095</v>
      </c>
      <c r="J241" s="618">
        <f>IFERROR((I241/I234)*100,"")</f>
        <v>5.3049038856343857E-2</v>
      </c>
    </row>
    <row r="242" spans="1:16" ht="12.95" customHeight="1" x14ac:dyDescent="0.25">
      <c r="A242" s="10"/>
      <c r="B242" s="412"/>
      <c r="C242" s="412"/>
      <c r="D242" s="412"/>
      <c r="E242" s="412"/>
      <c r="F242" s="413"/>
      <c r="G242" s="414">
        <f>Draft!$U$85</f>
        <v>0</v>
      </c>
      <c r="H242" s="575">
        <f>Draft!$X$85</f>
        <v>0</v>
      </c>
      <c r="I242" s="576">
        <f>H242-I234</f>
        <v>-70069.13</v>
      </c>
      <c r="J242" s="618">
        <f>IFERROR((I242/I234)*100,"")</f>
        <v>-100</v>
      </c>
    </row>
    <row r="243" spans="1:16" ht="12.95" customHeight="1" x14ac:dyDescent="0.25">
      <c r="A243" s="10"/>
      <c r="B243" s="10"/>
      <c r="C243" s="10"/>
      <c r="D243" s="1180" t="s">
        <v>138</v>
      </c>
      <c r="E243" s="1180"/>
      <c r="F243" s="1180"/>
      <c r="G243" s="1180"/>
      <c r="H243" s="575"/>
      <c r="I243" s="576"/>
      <c r="J243" s="618"/>
    </row>
    <row r="244" spans="1:16" ht="12.95" customHeight="1" x14ac:dyDescent="0.25">
      <c r="A244" s="303"/>
      <c r="B244" s="368"/>
      <c r="C244" s="368"/>
      <c r="D244" s="368"/>
      <c r="E244" s="368"/>
      <c r="F244" s="368"/>
      <c r="G244" s="303"/>
      <c r="H244" s="303"/>
      <c r="I244" s="303"/>
      <c r="J244" s="304"/>
      <c r="L244" s="452"/>
      <c r="M244" s="452"/>
      <c r="N244" s="452"/>
      <c r="O244" s="456"/>
      <c r="P244" s="456"/>
    </row>
    <row r="245" spans="1:16" ht="12.95" customHeight="1" x14ac:dyDescent="0.25">
      <c r="A245" s="303"/>
      <c r="B245" s="368"/>
      <c r="C245" s="368"/>
      <c r="D245" s="368"/>
      <c r="E245" s="368"/>
      <c r="F245" s="368"/>
      <c r="G245" s="303"/>
      <c r="H245" s="303"/>
      <c r="I245" s="303"/>
      <c r="J245" s="304"/>
      <c r="L245" s="452"/>
      <c r="M245" s="452"/>
      <c r="N245" s="452"/>
      <c r="O245" s="456"/>
      <c r="P245" s="456"/>
    </row>
    <row r="246" spans="1:16" ht="15.75" x14ac:dyDescent="0.25">
      <c r="A246" s="3" t="s">
        <v>536</v>
      </c>
      <c r="B246" s="16"/>
      <c r="C246" s="16"/>
      <c r="D246" s="16"/>
      <c r="E246" s="16"/>
      <c r="F246" s="287" t="s">
        <v>537</v>
      </c>
      <c r="G246" s="406">
        <f>Draft!$E$4</f>
        <v>46114</v>
      </c>
      <c r="H246" s="373"/>
      <c r="I246" s="374" t="s">
        <v>538</v>
      </c>
      <c r="J246" s="375">
        <f>IFERROR(ROUND(Draft!$P$29,2),"")</f>
        <v>2.74</v>
      </c>
      <c r="L246" s="452"/>
      <c r="M246" s="452"/>
      <c r="N246" s="452"/>
      <c r="O246" s="456"/>
      <c r="P246" s="456"/>
    </row>
    <row r="247" spans="1:16" x14ac:dyDescent="0.25">
      <c r="A247" s="281" t="s">
        <v>0</v>
      </c>
      <c r="B247" s="281" t="s">
        <v>1</v>
      </c>
      <c r="C247" s="281" t="s">
        <v>2</v>
      </c>
      <c r="D247" s="281" t="s">
        <v>1</v>
      </c>
      <c r="E247" s="751" t="s">
        <v>564</v>
      </c>
      <c r="F247" s="751"/>
      <c r="G247" s="281" t="s">
        <v>3</v>
      </c>
      <c r="H247" s="281" t="s">
        <v>1</v>
      </c>
      <c r="I247" s="281" t="s">
        <v>1</v>
      </c>
      <c r="J247" s="281" t="s">
        <v>4</v>
      </c>
      <c r="L247" s="452"/>
      <c r="M247" s="452"/>
      <c r="N247" s="452"/>
      <c r="O247" s="456"/>
      <c r="P247" s="456"/>
    </row>
    <row r="248" spans="1:16" x14ac:dyDescent="0.25">
      <c r="A248" s="282" t="s">
        <v>707</v>
      </c>
      <c r="B248" s="282" t="s">
        <v>5</v>
      </c>
      <c r="C248" s="282" t="s">
        <v>6</v>
      </c>
      <c r="D248" s="282" t="s">
        <v>7</v>
      </c>
      <c r="E248" s="283" t="s">
        <v>8</v>
      </c>
      <c r="F248" s="283" t="s">
        <v>9</v>
      </c>
      <c r="G248" s="282" t="s">
        <v>7</v>
      </c>
      <c r="H248" s="282" t="s">
        <v>535</v>
      </c>
      <c r="I248" s="282" t="s">
        <v>10</v>
      </c>
      <c r="J248" s="282" t="s">
        <v>11</v>
      </c>
      <c r="L248" s="452"/>
      <c r="M248" s="452"/>
      <c r="N248" s="452"/>
      <c r="O248" s="452"/>
      <c r="P248" s="452"/>
    </row>
    <row r="249" spans="1:16" x14ac:dyDescent="0.25">
      <c r="A249" s="372" t="str">
        <f>Relato!$A$224</f>
        <v>F.PK</v>
      </c>
      <c r="B249" s="521">
        <f>Relato!$B$224</f>
        <v>21.62</v>
      </c>
      <c r="C249" s="521">
        <f>Relato!$C$224</f>
        <v>0.51</v>
      </c>
      <c r="D249" s="521">
        <f>Relato!$D$224</f>
        <v>4.59</v>
      </c>
      <c r="E249" s="521" t="str">
        <f>Relato!$E$224</f>
        <v>Directly applied on volumes.</v>
      </c>
      <c r="F249" s="521">
        <f>Relato!$F$224</f>
        <v>0</v>
      </c>
      <c r="G249" s="571">
        <f>IFERROR(D249+(E249+F249),D249)</f>
        <v>4.59</v>
      </c>
      <c r="H249" s="521">
        <f>Relato!$H$224</f>
        <v>533.64</v>
      </c>
      <c r="I249" s="522">
        <f>Relato!$I$224</f>
        <v>1.0229999999999999</v>
      </c>
      <c r="J249" s="523">
        <f>ROUND(H249*I249,1)</f>
        <v>545.9</v>
      </c>
      <c r="L249" s="452"/>
      <c r="M249" s="452"/>
      <c r="N249" s="452"/>
      <c r="O249" s="452"/>
      <c r="P249" s="452"/>
    </row>
    <row r="250" spans="1:16" x14ac:dyDescent="0.25">
      <c r="A250" s="369" t="str">
        <f>Relato!$A$225</f>
        <v>1 WBT (P)</v>
      </c>
      <c r="B250" s="1">
        <f>Relato!$B$225</f>
        <v>21.26</v>
      </c>
      <c r="C250" s="1">
        <f>Relato!$C$225</f>
        <v>0.59</v>
      </c>
      <c r="D250" s="1">
        <f>Relato!$D$225</f>
        <v>19.850000000000001</v>
      </c>
      <c r="E250" s="1">
        <f>Relato!$E$225</f>
        <v>0</v>
      </c>
      <c r="F250" s="1">
        <f>Relato!$F$225</f>
        <v>0</v>
      </c>
      <c r="G250" s="667">
        <f>IFERROR(D250+(E250+F250),D250)</f>
        <v>19.850000000000001</v>
      </c>
      <c r="H250" s="1">
        <f>Relato!$H$225</f>
        <v>1343.52</v>
      </c>
      <c r="I250" s="269">
        <f>Relato!$I$225</f>
        <v>1.0229999999999999</v>
      </c>
      <c r="J250" s="524">
        <f>IFERROR(ROUND(H250*I250,1),"")</f>
        <v>1374.4</v>
      </c>
      <c r="L250" s="452"/>
      <c r="M250" s="452"/>
      <c r="N250" s="452"/>
      <c r="O250" s="452"/>
      <c r="P250" s="452"/>
    </row>
    <row r="251" spans="1:16" x14ac:dyDescent="0.25">
      <c r="A251" s="369" t="str">
        <f>Relato!$A$226</f>
        <v>1 WBT (S)</v>
      </c>
      <c r="B251" s="1">
        <f>Relato!$B$226</f>
        <v>21.25</v>
      </c>
      <c r="C251" s="1">
        <f>Relato!$C$226</f>
        <v>0.59</v>
      </c>
      <c r="D251" s="1">
        <f>Relato!$D$226</f>
        <v>19.7</v>
      </c>
      <c r="E251" s="1">
        <f>Relato!$E$226</f>
        <v>0</v>
      </c>
      <c r="F251" s="1">
        <f>Relato!$F$226</f>
        <v>0</v>
      </c>
      <c r="G251" s="667">
        <f t="shared" ref="G251:G260" si="0">IFERROR(D251+(E251+F251),D251)</f>
        <v>19.7</v>
      </c>
      <c r="H251" s="1">
        <f>Relato!$H$226</f>
        <v>1315.97</v>
      </c>
      <c r="I251" s="269">
        <f>Relato!$I$226</f>
        <v>1.0229999999999999</v>
      </c>
      <c r="J251" s="524">
        <f t="shared" ref="J251:J261" si="1">IFERROR(ROUND(H251*I251,1),"")</f>
        <v>1346.2</v>
      </c>
      <c r="L251" s="452"/>
      <c r="M251" s="452"/>
      <c r="N251" s="452"/>
      <c r="O251" s="452"/>
      <c r="P251" s="452"/>
    </row>
    <row r="252" spans="1:16" x14ac:dyDescent="0.25">
      <c r="A252" s="369" t="str">
        <f>Relato!$A$227</f>
        <v>2 WBT (P)</v>
      </c>
      <c r="B252" s="1">
        <f>Relato!$B$227</f>
        <v>21.25</v>
      </c>
      <c r="C252" s="1">
        <f>Relato!$C$227</f>
        <v>0.61</v>
      </c>
      <c r="D252" s="1">
        <f>Relato!$D$227</f>
        <v>20.260000000000002</v>
      </c>
      <c r="E252" s="1">
        <f>Relato!$E$227</f>
        <v>0</v>
      </c>
      <c r="F252" s="1">
        <f>Relato!$F$227</f>
        <v>0</v>
      </c>
      <c r="G252" s="667">
        <f t="shared" si="0"/>
        <v>20.260000000000002</v>
      </c>
      <c r="H252" s="1">
        <f>Relato!$H$227</f>
        <v>1539.47</v>
      </c>
      <c r="I252" s="269">
        <f>Relato!$I$227</f>
        <v>1.018</v>
      </c>
      <c r="J252" s="524">
        <f t="shared" si="1"/>
        <v>1567.2</v>
      </c>
      <c r="L252" s="452"/>
      <c r="M252" s="452"/>
      <c r="N252" s="452"/>
      <c r="O252" s="452"/>
      <c r="P252" s="452"/>
    </row>
    <row r="253" spans="1:16" x14ac:dyDescent="0.25">
      <c r="A253" s="369" t="str">
        <f>Relato!$A$228</f>
        <v>2 WBT (S)</v>
      </c>
      <c r="B253" s="1">
        <f>Relato!$B$228</f>
        <v>21.23</v>
      </c>
      <c r="C253" s="1">
        <f>Relato!$C$228</f>
        <v>0.6</v>
      </c>
      <c r="D253" s="1">
        <f>Relato!$D$228</f>
        <v>20.190000000000001</v>
      </c>
      <c r="E253" s="1">
        <f>Relato!$E$228</f>
        <v>0</v>
      </c>
      <c r="F253" s="1">
        <f>Relato!$F$228</f>
        <v>0</v>
      </c>
      <c r="G253" s="667">
        <f t="shared" si="0"/>
        <v>20.190000000000001</v>
      </c>
      <c r="H253" s="1">
        <f>Relato!$H$228</f>
        <v>1524.9194</v>
      </c>
      <c r="I253" s="269">
        <f>Relato!$I$228</f>
        <v>1.018</v>
      </c>
      <c r="J253" s="524">
        <f t="shared" si="1"/>
        <v>1552.4</v>
      </c>
      <c r="L253" s="452"/>
      <c r="M253" s="452"/>
      <c r="N253" s="452"/>
      <c r="O253" s="452"/>
      <c r="P253" s="452"/>
    </row>
    <row r="254" spans="1:16" x14ac:dyDescent="0.25">
      <c r="A254" s="369" t="str">
        <f>Relato!$A$229</f>
        <v>3 WBT (P)</v>
      </c>
      <c r="B254" s="1">
        <f>Relato!$B$229</f>
        <v>21.22</v>
      </c>
      <c r="C254" s="1">
        <f>Relato!C229</f>
        <v>0.48</v>
      </c>
      <c r="D254" s="1">
        <f>Relato!$D$229</f>
        <v>19.97</v>
      </c>
      <c r="E254" s="1">
        <f>Relato!$E$229</f>
        <v>0</v>
      </c>
      <c r="F254" s="1">
        <f>Relato!$F$229</f>
        <v>0</v>
      </c>
      <c r="G254" s="667">
        <f t="shared" si="0"/>
        <v>19.97</v>
      </c>
      <c r="H254" s="1">
        <f>Relato!$H$229</f>
        <v>2896.73</v>
      </c>
      <c r="I254" s="269">
        <f>Relato!$I$229</f>
        <v>1.0229999999999999</v>
      </c>
      <c r="J254" s="524">
        <f t="shared" si="1"/>
        <v>2963.4</v>
      </c>
      <c r="L254" s="452"/>
      <c r="M254" s="452"/>
      <c r="N254" s="452"/>
      <c r="O254" s="452"/>
      <c r="P254" s="452"/>
    </row>
    <row r="255" spans="1:16" x14ac:dyDescent="0.25">
      <c r="A255" s="369" t="str">
        <f>Relato!$A$230</f>
        <v>3 WBT (S)</v>
      </c>
      <c r="B255" s="1">
        <f>Relato!$B$230</f>
        <v>21.23</v>
      </c>
      <c r="C255" s="1">
        <f>Relato!$C$230</f>
        <v>0.5</v>
      </c>
      <c r="D255" s="1">
        <f>Relato!$D$230</f>
        <v>20.350000000000001</v>
      </c>
      <c r="E255" s="1">
        <f>Relato!$E$230</f>
        <v>0</v>
      </c>
      <c r="F255" s="1">
        <f>Relato!$F$230</f>
        <v>0</v>
      </c>
      <c r="G255" s="667">
        <f t="shared" si="0"/>
        <v>20.350000000000001</v>
      </c>
      <c r="H255" s="1">
        <f>Relato!$H$230</f>
        <v>3056.4810000000002</v>
      </c>
      <c r="I255" s="269">
        <f>Relato!$I$230</f>
        <v>1.0229999999999999</v>
      </c>
      <c r="J255" s="524">
        <f t="shared" si="1"/>
        <v>3126.8</v>
      </c>
      <c r="L255" s="452"/>
      <c r="M255" s="452"/>
      <c r="N255" s="452"/>
      <c r="O255" s="452"/>
      <c r="P255" s="452"/>
    </row>
    <row r="256" spans="1:16" x14ac:dyDescent="0.25">
      <c r="A256" s="369" t="str">
        <f>Relato!$A$231</f>
        <v>4 WBT (P)</v>
      </c>
      <c r="B256" s="1">
        <f>Relato!$B$231</f>
        <v>21.25</v>
      </c>
      <c r="C256" s="1">
        <f>Relato!$C$231</f>
        <v>0.6</v>
      </c>
      <c r="D256" s="1">
        <f>Relato!$D$231</f>
        <v>20.65</v>
      </c>
      <c r="E256" s="1">
        <f>Relato!$E$231</f>
        <v>0</v>
      </c>
      <c r="F256" s="1">
        <f>Relato!$F$231</f>
        <v>0</v>
      </c>
      <c r="G256" s="667">
        <f t="shared" si="0"/>
        <v>20.65</v>
      </c>
      <c r="H256" s="1">
        <f>Relato!$H$231</f>
        <v>2658.5529999999999</v>
      </c>
      <c r="I256" s="269">
        <f>Relato!$I$231</f>
        <v>1.022</v>
      </c>
      <c r="J256" s="524">
        <f t="shared" si="1"/>
        <v>2717</v>
      </c>
      <c r="L256" s="452"/>
      <c r="M256" s="452"/>
      <c r="N256" s="452"/>
      <c r="O256" s="452"/>
      <c r="P256" s="452"/>
    </row>
    <row r="257" spans="1:16" x14ac:dyDescent="0.25">
      <c r="A257" s="369" t="str">
        <f>Relato!$A$232</f>
        <v>4 WBT (S)</v>
      </c>
      <c r="B257" s="1">
        <f>Relato!$B$232</f>
        <v>21.23</v>
      </c>
      <c r="C257" s="1">
        <f>Relato!$C$232</f>
        <v>0.6</v>
      </c>
      <c r="D257" s="1">
        <f>Relato!$D$232</f>
        <v>20.04</v>
      </c>
      <c r="E257" s="1">
        <f>Relato!$E$232</f>
        <v>0</v>
      </c>
      <c r="F257" s="1">
        <f>Relato!$F$232</f>
        <v>0</v>
      </c>
      <c r="G257" s="667">
        <f t="shared" si="0"/>
        <v>20.04</v>
      </c>
      <c r="H257" s="1">
        <f>Relato!$H$232</f>
        <v>2522.8072000000002</v>
      </c>
      <c r="I257" s="269">
        <f>Relato!$I$232</f>
        <v>1.022</v>
      </c>
      <c r="J257" s="524">
        <f t="shared" si="1"/>
        <v>2578.3000000000002</v>
      </c>
      <c r="L257" s="452"/>
      <c r="M257" s="452"/>
      <c r="N257" s="452"/>
      <c r="O257" s="452"/>
      <c r="P257" s="452"/>
    </row>
    <row r="258" spans="1:16" x14ac:dyDescent="0.25">
      <c r="A258" s="369" t="str">
        <f>Relato!$A$233</f>
        <v>5 WBT (P)</v>
      </c>
      <c r="B258" s="1">
        <f>Relato!$B$233</f>
        <v>21.54</v>
      </c>
      <c r="C258" s="1">
        <f>Relato!$C$233</f>
        <v>0.52</v>
      </c>
      <c r="D258" s="1">
        <f>Relato!$D$233</f>
        <v>19.38</v>
      </c>
      <c r="E258" s="1">
        <f>Relato!$E$233</f>
        <v>0</v>
      </c>
      <c r="F258" s="1">
        <f>Relato!$F$233</f>
        <v>0</v>
      </c>
      <c r="G258" s="667">
        <f t="shared" si="0"/>
        <v>19.38</v>
      </c>
      <c r="H258" s="1">
        <f>Relato!$H$233</f>
        <v>881.6</v>
      </c>
      <c r="I258" s="269">
        <f>Relato!$I$233</f>
        <v>1.0229999999999999</v>
      </c>
      <c r="J258" s="524">
        <f t="shared" si="1"/>
        <v>901.9</v>
      </c>
      <c r="L258" s="452"/>
      <c r="M258" s="452"/>
      <c r="N258" s="452"/>
      <c r="O258" s="452"/>
      <c r="P258" s="452"/>
    </row>
    <row r="259" spans="1:16" x14ac:dyDescent="0.25">
      <c r="A259" s="369" t="str">
        <f>Relato!$A$234</f>
        <v>5 WBT (S)</v>
      </c>
      <c r="B259" s="1">
        <f>Relato!$B$234</f>
        <v>21.54</v>
      </c>
      <c r="C259" s="1">
        <f>Relato!$C$234</f>
        <v>0.51</v>
      </c>
      <c r="D259" s="1">
        <f>Relato!$D$234</f>
        <v>5.93</v>
      </c>
      <c r="E259" s="1">
        <f>Relato!$E$234</f>
        <v>0</v>
      </c>
      <c r="F259" s="1">
        <f>Relato!$F$234</f>
        <v>0</v>
      </c>
      <c r="G259" s="667">
        <f t="shared" si="0"/>
        <v>5.93</v>
      </c>
      <c r="H259" s="1">
        <f>Relato!$H$234</f>
        <v>832.46640000000002</v>
      </c>
      <c r="I259" s="269">
        <f>Relato!$I$234</f>
        <v>1.0229999999999999</v>
      </c>
      <c r="J259" s="524">
        <f t="shared" si="1"/>
        <v>851.6</v>
      </c>
      <c r="L259" s="452"/>
      <c r="M259" s="452"/>
      <c r="N259" s="452"/>
      <c r="O259" s="452"/>
      <c r="P259" s="452"/>
    </row>
    <row r="260" spans="1:16" x14ac:dyDescent="0.25">
      <c r="A260" s="370" t="str">
        <f>Relato!$A$235</f>
        <v>5 TS (P)</v>
      </c>
      <c r="B260" s="1">
        <f>Relato!$B$235</f>
        <v>5.42</v>
      </c>
      <c r="C260" s="1">
        <f>Relato!$C$235</f>
        <v>0.5</v>
      </c>
      <c r="D260" s="1">
        <f>Relato!$D$235</f>
        <v>4.32</v>
      </c>
      <c r="E260" s="1">
        <f>Relato!$E$235</f>
        <v>0</v>
      </c>
      <c r="F260" s="1">
        <f>Relato!$F$235</f>
        <v>0</v>
      </c>
      <c r="G260" s="667">
        <f t="shared" si="0"/>
        <v>4.32</v>
      </c>
      <c r="H260" s="1">
        <f>Relato!$H$235</f>
        <v>140.202</v>
      </c>
      <c r="I260" s="525">
        <f>Relato!$I$235</f>
        <v>1.016</v>
      </c>
      <c r="J260" s="524">
        <f t="shared" si="1"/>
        <v>142.4</v>
      </c>
      <c r="L260" s="452"/>
      <c r="M260" s="452"/>
      <c r="N260" s="452"/>
      <c r="O260" s="452"/>
      <c r="P260" s="452"/>
    </row>
    <row r="261" spans="1:16" x14ac:dyDescent="0.25">
      <c r="A261" s="371" t="str">
        <f>Relato!$A$236</f>
        <v>A.PK</v>
      </c>
      <c r="B261" s="1">
        <f>Relato!$B$236</f>
        <v>9.02</v>
      </c>
      <c r="C261" s="2">
        <f>Relato!$C$236</f>
        <v>0.56000000000000005</v>
      </c>
      <c r="D261" s="2">
        <f>Relato!$D$236</f>
        <v>5.7</v>
      </c>
      <c r="E261" s="2">
        <f>Relato!$E$236</f>
        <v>0</v>
      </c>
      <c r="F261" s="2">
        <f>Relato!$F$236</f>
        <v>0</v>
      </c>
      <c r="G261" s="572">
        <f>IFERROR(D261+(E261+F261),D261)</f>
        <v>5.7</v>
      </c>
      <c r="H261" s="2">
        <f>Relato!$H$236</f>
        <v>562.47199999999998</v>
      </c>
      <c r="I261" s="526">
        <f>Relato!$I$236</f>
        <v>1.0229999999999999</v>
      </c>
      <c r="J261" s="527">
        <f t="shared" si="1"/>
        <v>575.4</v>
      </c>
      <c r="L261" s="452"/>
      <c r="M261" s="452"/>
      <c r="N261" s="452"/>
      <c r="O261" s="452"/>
      <c r="P261" s="452"/>
    </row>
    <row r="262" spans="1:16" x14ac:dyDescent="0.25">
      <c r="A262" s="284" t="s">
        <v>14</v>
      </c>
      <c r="B262" s="285"/>
      <c r="C262" s="285"/>
      <c r="D262" s="285"/>
      <c r="E262" s="285"/>
      <c r="F262" s="285"/>
      <c r="G262" s="286"/>
      <c r="H262" s="528">
        <f>SUM($H$249:$H$261)</f>
        <v>19808.831000000002</v>
      </c>
      <c r="I262" s="529"/>
      <c r="J262" s="528">
        <f>SUM($J$249:$J$261)</f>
        <v>20242.900000000001</v>
      </c>
      <c r="L262" s="452"/>
      <c r="M262" s="452"/>
      <c r="N262" s="452"/>
      <c r="O262" s="452"/>
      <c r="P262" s="452"/>
    </row>
    <row r="263" spans="1:16" x14ac:dyDescent="0.25">
      <c r="L263" s="452"/>
      <c r="M263" s="452"/>
      <c r="N263" s="452"/>
      <c r="O263" s="452"/>
      <c r="P263" s="452"/>
    </row>
    <row r="264" spans="1:16" x14ac:dyDescent="0.25">
      <c r="L264" s="452"/>
      <c r="M264" s="452"/>
      <c r="N264" s="452"/>
      <c r="O264" s="452"/>
      <c r="P264" s="452"/>
    </row>
    <row r="265" spans="1:16" x14ac:dyDescent="0.25">
      <c r="L265" s="452"/>
      <c r="M265" s="452"/>
      <c r="N265" s="452"/>
      <c r="O265" s="452"/>
      <c r="P265" s="452"/>
    </row>
    <row r="266" spans="1:16" x14ac:dyDescent="0.25">
      <c r="L266" s="452"/>
      <c r="M266" s="452"/>
      <c r="N266" s="452"/>
      <c r="O266" s="452"/>
      <c r="P266" s="452"/>
    </row>
    <row r="267" spans="1:16" ht="15.75" x14ac:dyDescent="0.25">
      <c r="A267" s="3" t="str">
        <f>Relato!A240</f>
        <v>11) FINAL BALLAST CONDITION:</v>
      </c>
      <c r="F267" s="287" t="s">
        <v>537</v>
      </c>
      <c r="G267" s="406">
        <f>Draft!$X$4</f>
        <v>46117</v>
      </c>
      <c r="H267" s="373"/>
      <c r="I267" s="374" t="s">
        <v>538</v>
      </c>
      <c r="J267" s="375">
        <f>IFERROR(ROUND(Draft!$AH$29,2),"")</f>
        <v>0.03</v>
      </c>
      <c r="L267" s="452"/>
      <c r="M267" s="452"/>
      <c r="N267" s="452"/>
      <c r="O267" s="452"/>
      <c r="P267" s="452"/>
    </row>
    <row r="268" spans="1:16" x14ac:dyDescent="0.25">
      <c r="A268" s="281" t="str">
        <f>Relato!A241</f>
        <v>Vessel's</v>
      </c>
      <c r="B268" s="281" t="s">
        <v>1</v>
      </c>
      <c r="C268" s="281" t="s">
        <v>2</v>
      </c>
      <c r="D268" s="281" t="s">
        <v>1</v>
      </c>
      <c r="E268" s="751" t="s">
        <v>564</v>
      </c>
      <c r="F268" s="751"/>
      <c r="G268" s="281" t="s">
        <v>3</v>
      </c>
      <c r="H268" s="281" t="s">
        <v>1</v>
      </c>
      <c r="I268" s="281" t="s">
        <v>1</v>
      </c>
      <c r="J268" s="281" t="s">
        <v>4</v>
      </c>
      <c r="L268" s="452"/>
      <c r="M268" s="452"/>
      <c r="N268" s="452"/>
      <c r="O268" s="452"/>
      <c r="P268" s="452"/>
    </row>
    <row r="269" spans="1:16" x14ac:dyDescent="0.25">
      <c r="A269" s="282" t="str">
        <f>Relato!A242</f>
        <v>Tank No.</v>
      </c>
      <c r="B269" s="282" t="s">
        <v>5</v>
      </c>
      <c r="C269" s="282" t="s">
        <v>6</v>
      </c>
      <c r="D269" s="282" t="s">
        <v>7</v>
      </c>
      <c r="E269" s="283" t="s">
        <v>8</v>
      </c>
      <c r="F269" s="283" t="s">
        <v>9</v>
      </c>
      <c r="G269" s="282" t="s">
        <v>7</v>
      </c>
      <c r="H269" s="282" t="s">
        <v>535</v>
      </c>
      <c r="I269" s="282" t="s">
        <v>10</v>
      </c>
      <c r="J269" s="282" t="s">
        <v>11</v>
      </c>
      <c r="L269" s="452"/>
      <c r="M269" s="452"/>
      <c r="N269" s="452"/>
      <c r="O269" s="452"/>
      <c r="P269" s="452"/>
    </row>
    <row r="270" spans="1:16" x14ac:dyDescent="0.25">
      <c r="A270" s="372" t="str">
        <f>Relato!A243</f>
        <v>F.PK</v>
      </c>
      <c r="B270" s="521">
        <f t="shared" ref="B270:C282" si="2">B249</f>
        <v>21.62</v>
      </c>
      <c r="C270" s="521">
        <f t="shared" si="2"/>
        <v>0.51</v>
      </c>
      <c r="D270" s="521">
        <f>Relato!$D$243</f>
        <v>3.14</v>
      </c>
      <c r="E270" s="521" t="str">
        <f>Relato!$E$243</f>
        <v>Directly applied on volumes.</v>
      </c>
      <c r="F270" s="521">
        <f>Relato!$F$243</f>
        <v>0</v>
      </c>
      <c r="G270" s="571">
        <f>IFERROR(D270+(E270+F270),D270)</f>
        <v>3.14</v>
      </c>
      <c r="H270" s="521">
        <f>Relato!$H$243</f>
        <v>310.36</v>
      </c>
      <c r="I270" s="522">
        <f>Relato!I243</f>
        <v>1.0229999999999999</v>
      </c>
      <c r="J270" s="523">
        <f>ROUND(H270*I270,1)</f>
        <v>317.5</v>
      </c>
      <c r="L270" s="452"/>
      <c r="M270" s="452"/>
      <c r="N270" s="452"/>
      <c r="O270" s="452"/>
      <c r="P270" s="452"/>
    </row>
    <row r="271" spans="1:16" x14ac:dyDescent="0.25">
      <c r="A271" s="369" t="str">
        <f>Relato!A244</f>
        <v>1 WBT (P)</v>
      </c>
      <c r="B271" s="1">
        <f t="shared" si="2"/>
        <v>21.26</v>
      </c>
      <c r="C271" s="1">
        <f t="shared" si="2"/>
        <v>0.59</v>
      </c>
      <c r="D271" s="1">
        <f>Relato!$D$244</f>
        <v>0.01</v>
      </c>
      <c r="E271" s="1">
        <f>Relato!$E$244</f>
        <v>0</v>
      </c>
      <c r="F271" s="1">
        <f>Relato!$F$244</f>
        <v>0</v>
      </c>
      <c r="G271" s="667">
        <f>IFERROR(D271+(E271+F271),D271)</f>
        <v>0.01</v>
      </c>
      <c r="H271" s="1">
        <f>Relato!$H$244</f>
        <v>12.88</v>
      </c>
      <c r="I271" s="269">
        <f>Relato!I244</f>
        <v>1.0229999999999999</v>
      </c>
      <c r="J271" s="524">
        <f>IFERROR(ROUND(H271*I271,1),"")</f>
        <v>13.2</v>
      </c>
      <c r="L271" s="452"/>
      <c r="M271" s="452"/>
      <c r="N271" s="452"/>
      <c r="O271" s="452"/>
      <c r="P271" s="452"/>
    </row>
    <row r="272" spans="1:16" x14ac:dyDescent="0.25">
      <c r="A272" s="369" t="str">
        <f>Relato!A245</f>
        <v>1 WBT (S)</v>
      </c>
      <c r="B272" s="1">
        <f t="shared" si="2"/>
        <v>21.25</v>
      </c>
      <c r="C272" s="1">
        <f t="shared" si="2"/>
        <v>0.59</v>
      </c>
      <c r="D272" s="1">
        <f>Relato!$D$245</f>
        <v>0.03</v>
      </c>
      <c r="E272" s="1">
        <f>Relato!$E$245</f>
        <v>0</v>
      </c>
      <c r="F272" s="1">
        <f>Relato!$F$245</f>
        <v>0</v>
      </c>
      <c r="G272" s="667">
        <f t="shared" ref="G272:G281" si="3">IFERROR(D272+(E272+F272),D272)</f>
        <v>0.03</v>
      </c>
      <c r="H272" s="1">
        <f>Relato!$H$245</f>
        <v>17.84</v>
      </c>
      <c r="I272" s="269">
        <f>Relato!I245</f>
        <v>1.0229999999999999</v>
      </c>
      <c r="J272" s="524">
        <f t="shared" ref="J272:J282" si="4">IFERROR(ROUND(H272*I272,1),"")</f>
        <v>18.3</v>
      </c>
      <c r="L272" s="452"/>
      <c r="M272" s="452"/>
      <c r="N272" s="452"/>
      <c r="O272" s="452"/>
      <c r="P272" s="452"/>
    </row>
    <row r="273" spans="1:16" x14ac:dyDescent="0.25">
      <c r="A273" s="369" t="str">
        <f>Relato!A246</f>
        <v>2 WBT (P)</v>
      </c>
      <c r="B273" s="1">
        <f t="shared" si="2"/>
        <v>21.25</v>
      </c>
      <c r="C273" s="1">
        <f t="shared" si="2"/>
        <v>0.61</v>
      </c>
      <c r="D273" s="1">
        <f>Relato!$D$246</f>
        <v>0</v>
      </c>
      <c r="E273" s="1">
        <f>Relato!$E$246</f>
        <v>0</v>
      </c>
      <c r="F273" s="1">
        <f>Relato!$F$246</f>
        <v>0</v>
      </c>
      <c r="G273" s="667">
        <f t="shared" si="3"/>
        <v>0</v>
      </c>
      <c r="H273" s="1">
        <f>Relato!$H$246</f>
        <v>16.7</v>
      </c>
      <c r="I273" s="269">
        <f>Relato!I246</f>
        <v>1.018</v>
      </c>
      <c r="J273" s="524">
        <f t="shared" si="4"/>
        <v>17</v>
      </c>
      <c r="L273" s="452"/>
      <c r="M273" s="452"/>
      <c r="N273" s="452"/>
      <c r="O273" s="452"/>
      <c r="P273" s="452"/>
    </row>
    <row r="274" spans="1:16" x14ac:dyDescent="0.25">
      <c r="A274" s="369" t="str">
        <f t="shared" ref="A274:A282" si="5">A253</f>
        <v>2 WBT (S)</v>
      </c>
      <c r="B274" s="1">
        <f t="shared" si="2"/>
        <v>21.23</v>
      </c>
      <c r="C274" s="1">
        <f t="shared" si="2"/>
        <v>0.6</v>
      </c>
      <c r="D274" s="1">
        <f>Relato!$D$247</f>
        <v>0.01</v>
      </c>
      <c r="E274" s="1">
        <f>Relato!$E$247</f>
        <v>0</v>
      </c>
      <c r="F274" s="1">
        <f>Relato!$F$247</f>
        <v>0</v>
      </c>
      <c r="G274" s="667">
        <f t="shared" si="3"/>
        <v>0.01</v>
      </c>
      <c r="H274" s="1">
        <f>Relato!$H$247</f>
        <v>20.5</v>
      </c>
      <c r="I274" s="269">
        <f>Relato!I247</f>
        <v>1.018</v>
      </c>
      <c r="J274" s="524">
        <f t="shared" si="4"/>
        <v>20.9</v>
      </c>
      <c r="L274" s="452"/>
      <c r="M274" s="452"/>
      <c r="N274" s="452"/>
      <c r="O274" s="452"/>
      <c r="P274" s="452"/>
    </row>
    <row r="275" spans="1:16" x14ac:dyDescent="0.25">
      <c r="A275" s="369" t="str">
        <f t="shared" si="5"/>
        <v>3 WBT (P)</v>
      </c>
      <c r="B275" s="1">
        <f t="shared" si="2"/>
        <v>21.22</v>
      </c>
      <c r="C275" s="1">
        <f t="shared" si="2"/>
        <v>0.48</v>
      </c>
      <c r="D275" s="1">
        <f>Relato!$D$248</f>
        <v>0.01</v>
      </c>
      <c r="E275" s="1">
        <f>Relato!$E$248</f>
        <v>0</v>
      </c>
      <c r="F275" s="1">
        <f>Relato!$F$248</f>
        <v>0</v>
      </c>
      <c r="G275" s="667">
        <f t="shared" si="3"/>
        <v>0.01</v>
      </c>
      <c r="H275" s="1">
        <f>Relato!$H$248</f>
        <v>41.46</v>
      </c>
      <c r="I275" s="269">
        <f>Relato!I248</f>
        <v>1.0229999999999999</v>
      </c>
      <c r="J275" s="524">
        <f t="shared" si="4"/>
        <v>42.4</v>
      </c>
      <c r="L275" s="452"/>
      <c r="M275" s="452"/>
      <c r="N275" s="452"/>
      <c r="O275" s="452"/>
      <c r="P275" s="452"/>
    </row>
    <row r="276" spans="1:16" x14ac:dyDescent="0.25">
      <c r="A276" s="369" t="str">
        <f t="shared" si="5"/>
        <v>3 WBT (S)</v>
      </c>
      <c r="B276" s="1">
        <f t="shared" si="2"/>
        <v>21.23</v>
      </c>
      <c r="C276" s="1">
        <f t="shared" si="2"/>
        <v>0.5</v>
      </c>
      <c r="D276" s="1">
        <f>Relato!$D$249</f>
        <v>0.03</v>
      </c>
      <c r="E276" s="1">
        <f>Relato!$E$249</f>
        <v>0</v>
      </c>
      <c r="F276" s="1">
        <f>Relato!$F$249</f>
        <v>0</v>
      </c>
      <c r="G276" s="667">
        <f t="shared" si="3"/>
        <v>0.03</v>
      </c>
      <c r="H276" s="1">
        <f>Relato!$H$249</f>
        <v>56.78</v>
      </c>
      <c r="I276" s="269">
        <f>Relato!I249</f>
        <v>1.0229999999999999</v>
      </c>
      <c r="J276" s="524">
        <f t="shared" si="4"/>
        <v>58.1</v>
      </c>
      <c r="L276" s="452"/>
      <c r="M276" s="452"/>
      <c r="N276" s="452"/>
      <c r="O276" s="452"/>
      <c r="P276" s="452"/>
    </row>
    <row r="277" spans="1:16" x14ac:dyDescent="0.25">
      <c r="A277" s="369" t="str">
        <f t="shared" si="5"/>
        <v>4 WBT (P)</v>
      </c>
      <c r="B277" s="1">
        <f t="shared" si="2"/>
        <v>21.25</v>
      </c>
      <c r="C277" s="1">
        <f t="shared" si="2"/>
        <v>0.6</v>
      </c>
      <c r="D277" s="1">
        <f>Relato!$D$250</f>
        <v>0.01</v>
      </c>
      <c r="E277" s="1">
        <f>Relato!$E$250</f>
        <v>0</v>
      </c>
      <c r="F277" s="1">
        <f>Relato!$F$250</f>
        <v>0</v>
      </c>
      <c r="G277" s="667">
        <f t="shared" si="3"/>
        <v>0.01</v>
      </c>
      <c r="H277" s="1">
        <f>Relato!$H$250</f>
        <v>41.23</v>
      </c>
      <c r="I277" s="269">
        <f>Relato!I250</f>
        <v>1.022</v>
      </c>
      <c r="J277" s="524">
        <f t="shared" si="4"/>
        <v>42.1</v>
      </c>
      <c r="L277" s="452"/>
      <c r="M277" s="452"/>
      <c r="N277" s="452"/>
      <c r="O277" s="452"/>
      <c r="P277" s="452"/>
    </row>
    <row r="278" spans="1:16" x14ac:dyDescent="0.25">
      <c r="A278" s="369" t="str">
        <f t="shared" si="5"/>
        <v>4 WBT (S)</v>
      </c>
      <c r="B278" s="1">
        <f t="shared" si="2"/>
        <v>21.23</v>
      </c>
      <c r="C278" s="1">
        <f t="shared" si="2"/>
        <v>0.6</v>
      </c>
      <c r="D278" s="1">
        <f>Relato!$D$251</f>
        <v>0.01</v>
      </c>
      <c r="E278" s="1">
        <f>Relato!$E$251</f>
        <v>0</v>
      </c>
      <c r="F278" s="1">
        <f>Relato!$F$251</f>
        <v>0</v>
      </c>
      <c r="G278" s="667">
        <f t="shared" si="3"/>
        <v>0.01</v>
      </c>
      <c r="H278" s="1">
        <f>Relato!$H$251</f>
        <v>41.23</v>
      </c>
      <c r="I278" s="269">
        <f>Relato!I251</f>
        <v>1.022</v>
      </c>
      <c r="J278" s="524">
        <f t="shared" si="4"/>
        <v>42.1</v>
      </c>
      <c r="L278" s="452"/>
      <c r="M278" s="452"/>
      <c r="N278" s="452"/>
      <c r="O278" s="452"/>
      <c r="P278" s="452"/>
    </row>
    <row r="279" spans="1:16" x14ac:dyDescent="0.25">
      <c r="A279" s="369" t="str">
        <f t="shared" si="5"/>
        <v>5 WBT (P)</v>
      </c>
      <c r="B279" s="1">
        <f t="shared" si="2"/>
        <v>21.54</v>
      </c>
      <c r="C279" s="1">
        <f t="shared" si="2"/>
        <v>0.52</v>
      </c>
      <c r="D279" s="1">
        <f>Relato!$D$252</f>
        <v>0.01</v>
      </c>
      <c r="E279" s="1">
        <f>Relato!$E$252</f>
        <v>0</v>
      </c>
      <c r="F279" s="1">
        <f>Relato!$F$252</f>
        <v>0</v>
      </c>
      <c r="G279" s="667">
        <f t="shared" si="3"/>
        <v>0.01</v>
      </c>
      <c r="H279" s="1">
        <f>Relato!$H$252</f>
        <v>13.75</v>
      </c>
      <c r="I279" s="269">
        <f>Relato!I252</f>
        <v>1.0229999999999999</v>
      </c>
      <c r="J279" s="524">
        <f t="shared" si="4"/>
        <v>14.1</v>
      </c>
      <c r="L279" s="452"/>
      <c r="M279" s="452"/>
      <c r="N279" s="452"/>
      <c r="O279" s="452"/>
      <c r="P279" s="452"/>
    </row>
    <row r="280" spans="1:16" x14ac:dyDescent="0.25">
      <c r="A280" s="369" t="str">
        <f t="shared" si="5"/>
        <v>5 WBT (S)</v>
      </c>
      <c r="B280" s="1">
        <f t="shared" si="2"/>
        <v>21.54</v>
      </c>
      <c r="C280" s="1">
        <f t="shared" si="2"/>
        <v>0.51</v>
      </c>
      <c r="D280" s="1">
        <f>Relato!$D$253</f>
        <v>0.01</v>
      </c>
      <c r="E280" s="1">
        <f>Relato!$E$253</f>
        <v>0</v>
      </c>
      <c r="F280" s="1">
        <f>Relato!$F$253</f>
        <v>0</v>
      </c>
      <c r="G280" s="667">
        <f t="shared" si="3"/>
        <v>0.01</v>
      </c>
      <c r="H280" s="1">
        <f>Relato!$H$253</f>
        <v>13.75</v>
      </c>
      <c r="I280" s="269">
        <f>Relato!I253</f>
        <v>1.0229999999999999</v>
      </c>
      <c r="J280" s="524">
        <f t="shared" si="4"/>
        <v>14.1</v>
      </c>
      <c r="L280" s="452"/>
      <c r="M280" s="452"/>
      <c r="N280" s="452"/>
      <c r="O280" s="452"/>
      <c r="P280" s="452"/>
    </row>
    <row r="281" spans="1:16" x14ac:dyDescent="0.25">
      <c r="A281" s="370" t="str">
        <f t="shared" si="5"/>
        <v>5 TS (P)</v>
      </c>
      <c r="B281" s="1">
        <f t="shared" si="2"/>
        <v>5.42</v>
      </c>
      <c r="C281" s="1">
        <f t="shared" si="2"/>
        <v>0.5</v>
      </c>
      <c r="D281" s="1">
        <f>Relato!$D$254</f>
        <v>0.05</v>
      </c>
      <c r="E281" s="1">
        <f>Relato!$E$254</f>
        <v>0</v>
      </c>
      <c r="F281" s="1">
        <f>Relato!$F$254</f>
        <v>0</v>
      </c>
      <c r="G281" s="667">
        <f t="shared" si="3"/>
        <v>0.05</v>
      </c>
      <c r="H281" s="1">
        <f>Relato!$H$254</f>
        <v>5.85</v>
      </c>
      <c r="I281" s="269">
        <f>Relato!I254</f>
        <v>1.016</v>
      </c>
      <c r="J281" s="524">
        <f t="shared" si="4"/>
        <v>5.9</v>
      </c>
      <c r="L281" s="452"/>
      <c r="M281" s="452"/>
      <c r="N281" s="452"/>
      <c r="O281" s="452"/>
      <c r="P281" s="452"/>
    </row>
    <row r="282" spans="1:16" x14ac:dyDescent="0.25">
      <c r="A282" s="371" t="str">
        <f t="shared" si="5"/>
        <v>A.PK</v>
      </c>
      <c r="B282" s="2">
        <f t="shared" si="2"/>
        <v>9.02</v>
      </c>
      <c r="C282" s="2">
        <f t="shared" si="2"/>
        <v>0.56000000000000005</v>
      </c>
      <c r="D282" s="2">
        <f>Relato!$D$255</f>
        <v>0.6</v>
      </c>
      <c r="E282" s="2">
        <f>Relato!$E$255</f>
        <v>0</v>
      </c>
      <c r="F282" s="2">
        <f>Relato!$F$255</f>
        <v>0</v>
      </c>
      <c r="G282" s="572">
        <f>IFERROR(D282+(E282+F282),D282)</f>
        <v>0.6</v>
      </c>
      <c r="H282" s="2">
        <f>Relato!$H$255</f>
        <v>3</v>
      </c>
      <c r="I282" s="526">
        <f>Relato!I255</f>
        <v>1.0229999999999999</v>
      </c>
      <c r="J282" s="527">
        <f t="shared" si="4"/>
        <v>3.1</v>
      </c>
      <c r="L282" s="452"/>
      <c r="M282" s="452"/>
      <c r="N282" s="452"/>
      <c r="O282" s="452"/>
      <c r="P282" s="452"/>
    </row>
    <row r="283" spans="1:16" x14ac:dyDescent="0.25">
      <c r="A283" s="284" t="s">
        <v>14</v>
      </c>
      <c r="B283" s="285"/>
      <c r="C283" s="285"/>
      <c r="D283" s="285"/>
      <c r="E283" s="285"/>
      <c r="F283" s="285"/>
      <c r="G283" s="286"/>
      <c r="H283" s="528">
        <f>SUM($H$270:$H$282)</f>
        <v>595.33000000000004</v>
      </c>
      <c r="I283" s="529"/>
      <c r="J283" s="528">
        <f>SUM($J$270:$J$282)</f>
        <v>608.80000000000007</v>
      </c>
      <c r="L283" s="452"/>
      <c r="M283" s="452"/>
      <c r="N283" s="452"/>
      <c r="O283" s="452"/>
      <c r="P283" s="452"/>
    </row>
    <row r="284" spans="1:16" x14ac:dyDescent="0.25">
      <c r="L284" s="452"/>
      <c r="M284" s="452"/>
      <c r="N284" s="452"/>
      <c r="O284" s="452"/>
      <c r="P284" s="452"/>
    </row>
    <row r="285" spans="1:16" x14ac:dyDescent="0.25">
      <c r="L285" s="452"/>
      <c r="M285" s="452"/>
      <c r="N285" s="452"/>
      <c r="O285" s="452"/>
      <c r="P285" s="452"/>
    </row>
    <row r="286" spans="1:16" x14ac:dyDescent="0.25">
      <c r="L286" s="452"/>
      <c r="M286" s="452"/>
      <c r="N286" s="452"/>
      <c r="O286" s="452"/>
      <c r="P286" s="452"/>
    </row>
    <row r="287" spans="1:16" ht="15.75" x14ac:dyDescent="0.25">
      <c r="A287" s="376" t="s">
        <v>540</v>
      </c>
      <c r="L287" s="452"/>
      <c r="M287" s="452"/>
      <c r="N287" s="452"/>
      <c r="O287" s="452"/>
      <c r="P287" s="452"/>
    </row>
    <row r="288" spans="1:16" x14ac:dyDescent="0.25">
      <c r="A288" s="281" t="s">
        <v>0</v>
      </c>
      <c r="B288" s="281" t="s">
        <v>1</v>
      </c>
      <c r="C288" s="281" t="s">
        <v>2</v>
      </c>
      <c r="D288" s="281" t="s">
        <v>1</v>
      </c>
      <c r="E288" s="751" t="s">
        <v>564</v>
      </c>
      <c r="F288" s="751"/>
      <c r="G288" s="281" t="s">
        <v>3</v>
      </c>
      <c r="H288" s="281" t="s">
        <v>1</v>
      </c>
      <c r="I288" s="281" t="s">
        <v>1</v>
      </c>
      <c r="J288" s="281" t="s">
        <v>4</v>
      </c>
      <c r="L288" s="452"/>
      <c r="M288" s="452"/>
      <c r="N288" s="452"/>
      <c r="O288" s="452"/>
      <c r="P288" s="452"/>
    </row>
    <row r="289" spans="1:16" x14ac:dyDescent="0.25">
      <c r="A289" s="282" t="s">
        <v>707</v>
      </c>
      <c r="B289" s="408" t="s">
        <v>5</v>
      </c>
      <c r="C289" s="408" t="s">
        <v>6</v>
      </c>
      <c r="D289" s="282" t="s">
        <v>7</v>
      </c>
      <c r="E289" s="283" t="s">
        <v>8</v>
      </c>
      <c r="F289" s="283" t="s">
        <v>9</v>
      </c>
      <c r="G289" s="408" t="s">
        <v>7</v>
      </c>
      <c r="H289" s="282" t="s">
        <v>535</v>
      </c>
      <c r="I289" s="282" t="s">
        <v>10</v>
      </c>
      <c r="J289" s="408" t="s">
        <v>11</v>
      </c>
      <c r="L289" s="452"/>
      <c r="M289" s="452"/>
      <c r="N289" s="452"/>
      <c r="O289" s="452"/>
      <c r="P289" s="452"/>
    </row>
    <row r="290" spans="1:16" x14ac:dyDescent="0.25">
      <c r="A290" s="372" t="s">
        <v>542</v>
      </c>
      <c r="B290" s="1" t="e">
        <f>Relato!#REF!</f>
        <v>#REF!</v>
      </c>
      <c r="C290" s="1">
        <f>Relato!$C$263</f>
        <v>0</v>
      </c>
      <c r="D290" s="521">
        <f>Relato!$D$263</f>
        <v>0</v>
      </c>
      <c r="E290" s="521">
        <f>Relato!$E$263</f>
        <v>0</v>
      </c>
      <c r="F290" s="521">
        <f>Relato!$F$263</f>
        <v>0</v>
      </c>
      <c r="G290" s="1">
        <f>IFERROR(D290+(E290+F290),"GAUGE")</f>
        <v>0</v>
      </c>
      <c r="H290" s="521">
        <f>Relato!$H$263</f>
        <v>213</v>
      </c>
      <c r="I290" s="522">
        <f>Relato!$I$263</f>
        <v>1</v>
      </c>
      <c r="J290" s="524">
        <f t="shared" ref="J290:J292" si="6">IFERROR(ROUND(H290*I290,1),"")</f>
        <v>213</v>
      </c>
      <c r="L290" s="452"/>
      <c r="M290" s="452"/>
      <c r="N290" s="452"/>
      <c r="O290" s="452"/>
      <c r="P290" s="452"/>
    </row>
    <row r="291" spans="1:16" x14ac:dyDescent="0.25">
      <c r="A291" s="369" t="s">
        <v>543</v>
      </c>
      <c r="B291" s="1">
        <f>Relato!$B$264</f>
        <v>0</v>
      </c>
      <c r="C291" s="1">
        <f>Relato!$C$264</f>
        <v>0</v>
      </c>
      <c r="D291" s="1">
        <f>Relato!$D$264</f>
        <v>0</v>
      </c>
      <c r="E291" s="1">
        <f>Relato!$E$264</f>
        <v>0</v>
      </c>
      <c r="F291" s="1">
        <f>Relato!$F$264</f>
        <v>0</v>
      </c>
      <c r="G291" s="1">
        <f t="shared" ref="G291:G292" si="7">IFERROR(D291+(E291+F291),"GAUGE")</f>
        <v>0</v>
      </c>
      <c r="H291" s="1">
        <f>Relato!$H$264</f>
        <v>39</v>
      </c>
      <c r="I291" s="525">
        <f>Relato!$I$264</f>
        <v>1</v>
      </c>
      <c r="J291" s="524">
        <f t="shared" si="6"/>
        <v>39</v>
      </c>
      <c r="L291" s="452"/>
      <c r="M291" s="452"/>
      <c r="N291" s="452"/>
      <c r="O291" s="452"/>
      <c r="P291" s="452"/>
    </row>
    <row r="292" spans="1:16" x14ac:dyDescent="0.25">
      <c r="A292" s="378" t="s">
        <v>764</v>
      </c>
      <c r="B292" s="2">
        <f>Relato!$B$265</f>
        <v>0</v>
      </c>
      <c r="C292" s="2">
        <f>Relato!$C$265</f>
        <v>0</v>
      </c>
      <c r="D292" s="2">
        <f>Relato!$D$265</f>
        <v>0</v>
      </c>
      <c r="E292" s="2">
        <f>Relato!$E$265</f>
        <v>0</v>
      </c>
      <c r="F292" s="2">
        <f>Relato!$F$265</f>
        <v>0</v>
      </c>
      <c r="G292" s="2">
        <f t="shared" si="7"/>
        <v>0</v>
      </c>
      <c r="H292" s="2">
        <f>Relato!$H$265</f>
        <v>35</v>
      </c>
      <c r="I292" s="526">
        <f>Relato!$I$265</f>
        <v>1</v>
      </c>
      <c r="J292" s="527">
        <f t="shared" si="6"/>
        <v>35</v>
      </c>
      <c r="L292" s="452"/>
      <c r="M292" s="452"/>
      <c r="N292" s="452"/>
      <c r="O292" s="452"/>
      <c r="P292" s="452"/>
    </row>
    <row r="293" spans="1:16" x14ac:dyDescent="0.25">
      <c r="A293" s="377" t="s">
        <v>14</v>
      </c>
      <c r="B293" s="286"/>
      <c r="C293" s="286"/>
      <c r="D293" s="286"/>
      <c r="E293" s="286"/>
      <c r="F293" s="286"/>
      <c r="G293" s="286"/>
      <c r="H293" s="530">
        <f>SUM($H$290:$H$292)</f>
        <v>287</v>
      </c>
      <c r="I293" s="531"/>
      <c r="J293" s="530">
        <f>SUM($J$290:$J$292)</f>
        <v>287</v>
      </c>
      <c r="L293" s="452"/>
      <c r="M293" s="452"/>
      <c r="N293" s="452"/>
      <c r="O293" s="452"/>
      <c r="P293" s="452"/>
    </row>
    <row r="294" spans="1:16" x14ac:dyDescent="0.25">
      <c r="D294" s="532"/>
      <c r="E294" s="532"/>
      <c r="F294" s="532"/>
      <c r="L294" s="452"/>
      <c r="M294" s="452"/>
      <c r="N294" s="452"/>
      <c r="O294" s="452"/>
      <c r="P294" s="452"/>
    </row>
    <row r="295" spans="1:16" x14ac:dyDescent="0.25">
      <c r="D295" s="532"/>
      <c r="E295" s="532"/>
      <c r="F295" s="532"/>
      <c r="L295" s="452"/>
      <c r="M295" s="452"/>
      <c r="N295" s="452"/>
      <c r="O295" s="452"/>
      <c r="P295" s="452"/>
    </row>
    <row r="296" spans="1:16" ht="15.75" x14ac:dyDescent="0.25">
      <c r="A296" s="3" t="s">
        <v>541</v>
      </c>
      <c r="D296" s="532"/>
      <c r="E296" s="532"/>
      <c r="F296" s="532"/>
      <c r="L296" s="452"/>
      <c r="M296" s="452"/>
      <c r="N296" s="452"/>
      <c r="O296" s="452"/>
      <c r="P296" s="452"/>
    </row>
    <row r="297" spans="1:16" x14ac:dyDescent="0.25">
      <c r="A297" s="281" t="s">
        <v>0</v>
      </c>
      <c r="B297" s="281" t="s">
        <v>1</v>
      </c>
      <c r="C297" s="281" t="s">
        <v>2</v>
      </c>
      <c r="D297" s="281" t="s">
        <v>1</v>
      </c>
      <c r="E297" s="751" t="s">
        <v>564</v>
      </c>
      <c r="F297" s="751"/>
      <c r="G297" s="281" t="s">
        <v>3</v>
      </c>
      <c r="H297" s="281" t="s">
        <v>1</v>
      </c>
      <c r="I297" s="281" t="s">
        <v>1</v>
      </c>
      <c r="J297" s="281" t="s">
        <v>4</v>
      </c>
      <c r="L297" s="452"/>
      <c r="M297" s="452"/>
      <c r="N297" s="452"/>
      <c r="O297" s="452"/>
      <c r="P297" s="452"/>
    </row>
    <row r="298" spans="1:16" x14ac:dyDescent="0.25">
      <c r="A298" s="282" t="s">
        <v>707</v>
      </c>
      <c r="B298" s="282" t="s">
        <v>5</v>
      </c>
      <c r="C298" s="282" t="s">
        <v>6</v>
      </c>
      <c r="D298" s="282" t="s">
        <v>7</v>
      </c>
      <c r="E298" s="283" t="s">
        <v>8</v>
      </c>
      <c r="F298" s="283" t="s">
        <v>9</v>
      </c>
      <c r="G298" s="408" t="s">
        <v>7</v>
      </c>
      <c r="H298" s="282" t="s">
        <v>535</v>
      </c>
      <c r="I298" s="282" t="s">
        <v>10</v>
      </c>
      <c r="J298" s="408" t="s">
        <v>11</v>
      </c>
      <c r="L298" s="452"/>
      <c r="M298" s="452"/>
      <c r="N298" s="452"/>
      <c r="O298" s="452"/>
      <c r="P298" s="452"/>
    </row>
    <row r="299" spans="1:16" x14ac:dyDescent="0.25">
      <c r="A299" s="372" t="s">
        <v>542</v>
      </c>
      <c r="B299" s="521" t="e">
        <f>$B$290</f>
        <v>#REF!</v>
      </c>
      <c r="C299" s="521">
        <f>$C$290</f>
        <v>0</v>
      </c>
      <c r="D299" s="521">
        <f>Relato!$D$272</f>
        <v>0</v>
      </c>
      <c r="E299" s="521">
        <f>Relato!$E$272</f>
        <v>0</v>
      </c>
      <c r="F299" s="521">
        <f>Relato!$F$272</f>
        <v>0</v>
      </c>
      <c r="G299" s="1">
        <f>IFERROR(D299+(E299+F299),"GAUGE")</f>
        <v>0</v>
      </c>
      <c r="H299" s="521">
        <f>Relato!$H$272</f>
        <v>204</v>
      </c>
      <c r="I299" s="522">
        <f>I290</f>
        <v>1</v>
      </c>
      <c r="J299" s="524">
        <f t="shared" ref="J299:J301" si="8">IFERROR(ROUND(H299*I299,1),"")</f>
        <v>204</v>
      </c>
      <c r="L299" s="452"/>
      <c r="M299" s="452"/>
      <c r="N299" s="452"/>
      <c r="O299" s="452"/>
      <c r="P299" s="452"/>
    </row>
    <row r="300" spans="1:16" x14ac:dyDescent="0.25">
      <c r="A300" s="369" t="s">
        <v>543</v>
      </c>
      <c r="B300" s="1">
        <f>$B$291</f>
        <v>0</v>
      </c>
      <c r="C300" s="1">
        <f>$C$291</f>
        <v>0</v>
      </c>
      <c r="D300" s="1">
        <f>Relato!$D$273</f>
        <v>0</v>
      </c>
      <c r="E300" s="1">
        <f>Relato!$E$273</f>
        <v>0</v>
      </c>
      <c r="F300" s="1">
        <f>Relato!$F$273</f>
        <v>0</v>
      </c>
      <c r="G300" s="1">
        <f t="shared" ref="G300:G301" si="9">IFERROR(D300+(E300+F300),"GAUGE")</f>
        <v>0</v>
      </c>
      <c r="H300" s="1">
        <f>Relato!$H$273</f>
        <v>39</v>
      </c>
      <c r="I300" s="525">
        <f>I291</f>
        <v>1</v>
      </c>
      <c r="J300" s="524">
        <f t="shared" si="8"/>
        <v>39</v>
      </c>
      <c r="L300" s="452"/>
      <c r="M300" s="452"/>
      <c r="N300" s="452"/>
      <c r="O300" s="452"/>
      <c r="P300" s="452"/>
    </row>
    <row r="301" spans="1:16" x14ac:dyDescent="0.25">
      <c r="A301" s="378" t="s">
        <v>764</v>
      </c>
      <c r="B301" s="2">
        <f>$B$292</f>
        <v>0</v>
      </c>
      <c r="C301" s="2">
        <f>$C$292</f>
        <v>0</v>
      </c>
      <c r="D301" s="2">
        <f>Relato!$D$274</f>
        <v>0</v>
      </c>
      <c r="E301" s="2">
        <f>Relato!$E$274</f>
        <v>0</v>
      </c>
      <c r="F301" s="2">
        <f>Relato!$F$274</f>
        <v>0</v>
      </c>
      <c r="G301" s="2">
        <f t="shared" si="9"/>
        <v>0</v>
      </c>
      <c r="H301" s="2">
        <f>Relato!$H$274</f>
        <v>35</v>
      </c>
      <c r="I301" s="526">
        <f t="shared" ref="I301" si="10">I292</f>
        <v>1</v>
      </c>
      <c r="J301" s="527">
        <f t="shared" si="8"/>
        <v>35</v>
      </c>
      <c r="L301" s="452"/>
      <c r="M301" s="452"/>
      <c r="N301" s="452"/>
      <c r="O301" s="452"/>
      <c r="P301" s="452"/>
    </row>
    <row r="302" spans="1:16" x14ac:dyDescent="0.25">
      <c r="A302" s="377" t="s">
        <v>14</v>
      </c>
      <c r="B302" s="286"/>
      <c r="C302" s="286"/>
      <c r="D302" s="286"/>
      <c r="E302" s="286"/>
      <c r="F302" s="286"/>
      <c r="G302" s="286"/>
      <c r="H302" s="530">
        <f>SUM($H$299:$H$301)</f>
        <v>278</v>
      </c>
      <c r="I302" s="531"/>
      <c r="J302" s="530">
        <f>SUM($J$299:$J$301)</f>
        <v>278</v>
      </c>
      <c r="L302" s="452"/>
      <c r="M302" s="452"/>
      <c r="N302" s="452"/>
      <c r="O302" s="452"/>
      <c r="P302" s="452"/>
    </row>
    <row r="303" spans="1:16" x14ac:dyDescent="0.25">
      <c r="L303" s="452"/>
      <c r="M303" s="452"/>
      <c r="N303" s="452"/>
      <c r="O303" s="452"/>
      <c r="P303" s="452"/>
    </row>
    <row r="304" spans="1:16" x14ac:dyDescent="0.25">
      <c r="L304" s="452"/>
      <c r="M304" s="452"/>
      <c r="N304" s="452"/>
      <c r="O304" s="452"/>
      <c r="P304" s="452"/>
    </row>
    <row r="305" spans="1:16" ht="15.75" x14ac:dyDescent="0.25">
      <c r="A305" s="376" t="s">
        <v>689</v>
      </c>
      <c r="B305" s="7"/>
      <c r="C305" s="7"/>
      <c r="D305" s="7"/>
      <c r="E305" s="7"/>
      <c r="F305" s="7"/>
      <c r="G305" s="7"/>
      <c r="H305" s="7"/>
      <c r="I305" s="7"/>
      <c r="J305" s="7"/>
      <c r="L305" s="452"/>
      <c r="M305" s="452"/>
      <c r="N305" s="452"/>
      <c r="O305" s="452"/>
      <c r="P305" s="452"/>
    </row>
    <row r="306" spans="1:16" x14ac:dyDescent="0.25">
      <c r="A306" s="379"/>
      <c r="B306" s="8"/>
      <c r="C306" s="8"/>
      <c r="D306" s="384"/>
      <c r="E306" s="8"/>
      <c r="F306" s="754" t="s">
        <v>544</v>
      </c>
      <c r="G306" s="754"/>
      <c r="H306" s="380"/>
      <c r="I306" s="755" t="s">
        <v>545</v>
      </c>
      <c r="J306" s="756"/>
      <c r="L306" s="452"/>
      <c r="M306" s="452"/>
      <c r="N306" s="452"/>
      <c r="O306" s="452"/>
      <c r="P306" s="452"/>
    </row>
    <row r="307" spans="1:16" ht="15.75" x14ac:dyDescent="0.25">
      <c r="A307" s="385" t="s">
        <v>546</v>
      </c>
      <c r="B307" s="386"/>
      <c r="C307" s="386"/>
      <c r="D307" s="415"/>
      <c r="E307" s="386"/>
      <c r="F307" s="752">
        <f>Draft!$H$65</f>
        <v>532.9</v>
      </c>
      <c r="G307" s="752"/>
      <c r="H307" s="402"/>
      <c r="I307" s="752">
        <f>Draft!$Z$65</f>
        <v>1080</v>
      </c>
      <c r="J307" s="753"/>
      <c r="L307" s="452"/>
      <c r="M307" s="452"/>
      <c r="N307" s="452"/>
      <c r="O307" s="452"/>
      <c r="P307" s="452"/>
    </row>
    <row r="308" spans="1:16" ht="15.75" x14ac:dyDescent="0.25">
      <c r="A308" s="381" t="s">
        <v>547</v>
      </c>
      <c r="D308" s="416"/>
      <c r="F308" s="787">
        <f>Draft!$H$66</f>
        <v>225.4</v>
      </c>
      <c r="G308" s="787"/>
      <c r="H308" s="403"/>
      <c r="I308" s="787">
        <f>Draft!$Z$66</f>
        <v>225.4</v>
      </c>
      <c r="J308" s="788"/>
      <c r="L308" s="452"/>
      <c r="M308" s="452"/>
      <c r="N308" s="452"/>
      <c r="O308" s="452"/>
      <c r="P308" s="452"/>
    </row>
    <row r="309" spans="1:16" ht="15.75" x14ac:dyDescent="0.25">
      <c r="A309" s="381" t="s">
        <v>548</v>
      </c>
      <c r="D309" s="416"/>
      <c r="F309" s="787" t="str">
        <f>Draft!$H$67</f>
        <v>K</v>
      </c>
      <c r="G309" s="787"/>
      <c r="H309" s="403"/>
      <c r="I309" s="787" t="str">
        <f>Draft!$Z$67</f>
        <v>K</v>
      </c>
      <c r="J309" s="788"/>
      <c r="L309" s="452"/>
      <c r="M309" s="452"/>
      <c r="N309" s="452"/>
      <c r="O309" s="452"/>
      <c r="P309" s="452"/>
    </row>
    <row r="310" spans="1:16" ht="15.75" x14ac:dyDescent="0.25">
      <c r="A310" s="381" t="s">
        <v>549</v>
      </c>
      <c r="D310" s="416"/>
      <c r="F310" s="787">
        <f>$J$293</f>
        <v>287</v>
      </c>
      <c r="G310" s="787"/>
      <c r="H310" s="403"/>
      <c r="I310" s="787">
        <f>$J$302</f>
        <v>278</v>
      </c>
      <c r="J310" s="788"/>
      <c r="L310" s="452"/>
      <c r="M310" s="452"/>
      <c r="N310" s="452"/>
      <c r="O310" s="452"/>
      <c r="P310" s="452"/>
    </row>
    <row r="311" spans="1:16" ht="15.75" x14ac:dyDescent="0.25">
      <c r="A311" s="381" t="s">
        <v>550</v>
      </c>
      <c r="D311" s="416"/>
      <c r="F311" s="787">
        <f>$J$262</f>
        <v>20242.900000000001</v>
      </c>
      <c r="G311" s="787"/>
      <c r="H311" s="403"/>
      <c r="I311" s="787">
        <f>$J$283</f>
        <v>608.80000000000007</v>
      </c>
      <c r="J311" s="788"/>
      <c r="L311" s="452"/>
      <c r="M311" s="452"/>
      <c r="N311" s="452"/>
      <c r="O311" s="452"/>
      <c r="P311" s="452"/>
    </row>
    <row r="312" spans="1:16" ht="15.75" x14ac:dyDescent="0.25">
      <c r="A312" s="387" t="s">
        <v>551</v>
      </c>
      <c r="B312" s="388"/>
      <c r="C312" s="388"/>
      <c r="D312" s="417"/>
      <c r="E312" s="388"/>
      <c r="F312" s="789">
        <f>Draft!$H$71</f>
        <v>0</v>
      </c>
      <c r="G312" s="789"/>
      <c r="H312" s="404"/>
      <c r="I312" s="789">
        <f>Draft!$Z$71</f>
        <v>9</v>
      </c>
      <c r="J312" s="790"/>
      <c r="L312" s="452"/>
      <c r="M312" s="452"/>
      <c r="N312" s="452"/>
      <c r="O312" s="452"/>
      <c r="P312" s="452"/>
    </row>
    <row r="313" spans="1:16" ht="15.75" x14ac:dyDescent="0.25">
      <c r="A313" s="382" t="s">
        <v>14</v>
      </c>
      <c r="B313" s="8"/>
      <c r="C313" s="8"/>
      <c r="D313" s="383"/>
      <c r="E313" s="8"/>
      <c r="F313" s="786">
        <f>SUM($F$307:$G$312)</f>
        <v>21288.2</v>
      </c>
      <c r="G313" s="786"/>
      <c r="H313" s="405"/>
      <c r="I313" s="789">
        <f>SUM($I$307:$J$312)</f>
        <v>2201.2000000000003</v>
      </c>
      <c r="J313" s="789"/>
      <c r="L313" s="452"/>
      <c r="M313" s="452"/>
      <c r="N313" s="452"/>
      <c r="O313" s="452"/>
      <c r="P313" s="452"/>
    </row>
    <row r="314" spans="1:16" x14ac:dyDescent="0.25">
      <c r="L314" s="452"/>
      <c r="M314" s="452"/>
      <c r="N314" s="452"/>
      <c r="O314" s="452"/>
      <c r="P314" s="452"/>
    </row>
  </sheetData>
  <mergeCells count="175">
    <mergeCell ref="F312:G312"/>
    <mergeCell ref="I312:J312"/>
    <mergeCell ref="F313:G313"/>
    <mergeCell ref="I313:J313"/>
    <mergeCell ref="A237:J237"/>
    <mergeCell ref="G209:H209"/>
    <mergeCell ref="I209:J209"/>
    <mergeCell ref="F309:G309"/>
    <mergeCell ref="I309:J309"/>
    <mergeCell ref="F310:G310"/>
    <mergeCell ref="I310:J310"/>
    <mergeCell ref="F311:G311"/>
    <mergeCell ref="I311:J311"/>
    <mergeCell ref="E297:F297"/>
    <mergeCell ref="F306:G306"/>
    <mergeCell ref="I306:J306"/>
    <mergeCell ref="F307:G307"/>
    <mergeCell ref="I307:J307"/>
    <mergeCell ref="F308:G308"/>
    <mergeCell ref="I308:J308"/>
    <mergeCell ref="I235:J235"/>
    <mergeCell ref="G236:H236"/>
    <mergeCell ref="I236:J236"/>
    <mergeCell ref="E247:F247"/>
    <mergeCell ref="E268:F268"/>
    <mergeCell ref="E288:F288"/>
    <mergeCell ref="G227:H227"/>
    <mergeCell ref="I227:J227"/>
    <mergeCell ref="I228:J228"/>
    <mergeCell ref="A232:F232"/>
    <mergeCell ref="I234:J234"/>
    <mergeCell ref="G223:H223"/>
    <mergeCell ref="I223:J223"/>
    <mergeCell ref="G224:H224"/>
    <mergeCell ref="I224:J224"/>
    <mergeCell ref="G225:H225"/>
    <mergeCell ref="G226:H226"/>
    <mergeCell ref="D243:G243"/>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2" priority="24" operator="equal">
      <formula>0</formula>
    </cfRule>
  </conditionalFormatting>
  <conditionalFormatting sqref="F116">
    <cfRule type="cellIs" dxfId="31" priority="23" operator="equal">
      <formula>0</formula>
    </cfRule>
  </conditionalFormatting>
  <conditionalFormatting sqref="F117:F122">
    <cfRule type="cellIs" dxfId="30" priority="22" operator="equal">
      <formula>0</formula>
    </cfRule>
  </conditionalFormatting>
  <conditionalFormatting sqref="B117:B122">
    <cfRule type="cellIs" dxfId="29" priority="19" operator="equal">
      <formula>0</formula>
    </cfRule>
  </conditionalFormatting>
  <conditionalFormatting sqref="D116">
    <cfRule type="cellIs" dxfId="28" priority="21" operator="equal">
      <formula>0</formula>
    </cfRule>
  </conditionalFormatting>
  <conditionalFormatting sqref="D117:D122">
    <cfRule type="cellIs" dxfId="27" priority="20" operator="equal">
      <formula>0</formula>
    </cfRule>
  </conditionalFormatting>
  <conditionalFormatting sqref="G242:I242">
    <cfRule type="expression" dxfId="26" priority="25">
      <formula>$G$242=0</formula>
    </cfRule>
  </conditionalFormatting>
  <conditionalFormatting sqref="F242">
    <cfRule type="expression" dxfId="25" priority="26">
      <formula>#REF!=0</formula>
    </cfRule>
  </conditionalFormatting>
  <conditionalFormatting sqref="G241:I241">
    <cfRule type="expression" dxfId="24" priority="18">
      <formula>$G$241=0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46">
    <cfRule type="cellIs" dxfId="17" priority="9" operator="equal">
      <formula>0</formula>
    </cfRule>
  </conditionalFormatting>
  <conditionalFormatting sqref="H267">
    <cfRule type="cellIs" dxfId="16" priority="8" operator="equal">
      <formula>0</formula>
    </cfRule>
  </conditionalFormatting>
  <conditionalFormatting sqref="G61:J65">
    <cfRule type="expression" dxfId="15" priority="4">
      <formula>$A$61=$A$53</formula>
    </cfRule>
  </conditionalFormatting>
  <conditionalFormatting sqref="H243:I243">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&amp;RPGUA/DS/106/26</oddHeader>
    <oddFooter>&amp;C&amp;P</oddFooter>
  </headerFooter>
  <rowBreaks count="7" manualBreakCount="7">
    <brk id="33" max="17" man="1"/>
    <brk id="89" max="17" man="1"/>
    <brk id="133" max="17" man="1"/>
    <brk id="182" max="17" man="1"/>
    <brk id="243" max="17" man="1"/>
    <brk id="264" max="17" man="1"/>
    <brk id="28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J54" sqref="J54"/>
    </sheetView>
  </sheetViews>
  <sheetFormatPr defaultColWidth="9.140625" defaultRowHeight="12.75" customHeight="1" x14ac:dyDescent="0.2"/>
  <cols>
    <col min="1" max="1" width="11.140625" style="241" customWidth="1"/>
    <col min="2" max="2" width="3.28515625" style="241" hidden="1" customWidth="1"/>
    <col min="3" max="3" width="31.5703125" style="241" customWidth="1"/>
    <col min="4" max="4" width="5.7109375" style="241" customWidth="1"/>
    <col min="5" max="5" width="15.85546875" style="241" customWidth="1"/>
    <col min="6" max="6" width="1.5703125" style="241" bestFit="1" customWidth="1"/>
    <col min="7" max="7" width="15" style="241" customWidth="1"/>
    <col min="8" max="8" width="3.42578125" style="241" bestFit="1" customWidth="1"/>
    <col min="9" max="9" width="10.85546875" style="241" customWidth="1"/>
    <col min="10" max="10" width="3.85546875" style="241" customWidth="1"/>
    <col min="11" max="11" width="33.140625" style="241" customWidth="1"/>
    <col min="12" max="12" width="13.5703125" style="241" customWidth="1"/>
    <col min="13" max="13" width="8.5703125" style="241" customWidth="1"/>
    <col min="14" max="14" width="9.140625" style="241" customWidth="1"/>
    <col min="15" max="15" width="15.5703125" style="241" hidden="1" customWidth="1"/>
    <col min="16" max="16" width="19.5703125" style="241" hidden="1" customWidth="1"/>
    <col min="17" max="17" width="26" style="241" hidden="1" customWidth="1"/>
    <col min="18" max="18" width="115.42578125" style="241" customWidth="1"/>
    <col min="19" max="19" width="9.140625" style="241"/>
    <col min="20" max="20" width="97.85546875" style="241" customWidth="1"/>
    <col min="21" max="16384" width="9.140625" style="241"/>
  </cols>
  <sheetData>
    <row r="1" spans="1:14" ht="64.5" customHeight="1" x14ac:dyDescent="0.2"/>
    <row r="2" spans="1:14" ht="12.75" hidden="1" customHeight="1" x14ac:dyDescent="0.2">
      <c r="C2" s="241" t="str">
        <f>CAPA!$B$8</f>
        <v>Wen De</v>
      </c>
    </row>
    <row r="3" spans="1:14" ht="24" customHeight="1" x14ac:dyDescent="0.3">
      <c r="C3" s="419" t="str">
        <f>_xlfn.CONCAT(N5,N6,"MV ""","",_xlfn.CONCAT(C5),"",""" - Resumo dos números apurados - ","(",TEXT(G36,"#,##0.000")," t"," ou ",TEXT(I36,"#,##0.00"),"%",")")</f>
        <v>MV "Wen De" - Resumo dos números apurados - (23,731594 t ou ,03387%)</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Wen De</v>
      </c>
      <c r="D5" s="420"/>
      <c r="E5" s="420"/>
      <c r="F5" s="420"/>
      <c r="G5" s="420"/>
      <c r="H5" s="420"/>
      <c r="I5" s="420"/>
      <c r="J5" s="420"/>
      <c r="K5" s="420"/>
      <c r="N5" s="423" t="str">
        <f>IF(I36&gt;0.2,"ATENÇÃO:","")</f>
        <v/>
      </c>
    </row>
    <row r="6" spans="1:14" ht="12.75" hidden="1" customHeight="1" x14ac:dyDescent="0.3">
      <c r="B6" s="242"/>
      <c r="C6" s="419"/>
      <c r="D6" s="421"/>
      <c r="E6" s="421"/>
      <c r="F6" s="421"/>
      <c r="G6" s="421"/>
      <c r="H6" s="421"/>
      <c r="I6" s="421"/>
      <c r="J6" s="421"/>
      <c r="K6" s="420"/>
      <c r="N6" s="423" t="str">
        <f>IF(I36&lt;-0.2,"ATENÇÃO:","")</f>
        <v/>
      </c>
    </row>
    <row r="7" spans="1:14" ht="12.75" hidden="1" customHeight="1" x14ac:dyDescent="0.25">
      <c r="B7" s="242"/>
      <c r="C7" s="422"/>
      <c r="D7" s="421"/>
      <c r="E7" s="421"/>
      <c r="F7" s="421"/>
      <c r="G7" s="421"/>
      <c r="H7" s="421"/>
      <c r="I7" s="421"/>
      <c r="J7" s="421"/>
      <c r="K7" s="420"/>
      <c r="N7" s="423"/>
    </row>
    <row r="8" spans="1:14" ht="12.75" customHeight="1" x14ac:dyDescent="0.25">
      <c r="B8" s="242"/>
      <c r="C8" s="422"/>
      <c r="D8" s="421"/>
      <c r="E8" s="421"/>
      <c r="F8" s="421"/>
      <c r="G8" s="421"/>
      <c r="H8" s="421"/>
      <c r="I8" s="421"/>
      <c r="J8" s="421"/>
      <c r="K8" s="420"/>
    </row>
    <row r="9" spans="1:14" ht="12.75" customHeight="1" x14ac:dyDescent="0.25">
      <c r="B9" s="242"/>
      <c r="C9" s="422"/>
      <c r="D9" s="421"/>
      <c r="E9" s="421"/>
      <c r="F9" s="421"/>
      <c r="G9" s="421"/>
      <c r="H9" s="421"/>
      <c r="I9" s="421"/>
      <c r="J9" s="421"/>
      <c r="K9" s="420"/>
    </row>
    <row r="10" spans="1:14" ht="20.25" hidden="1" customHeight="1" x14ac:dyDescent="0.25">
      <c r="B10" s="242"/>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86"/>
      <c r="D16" s="1186"/>
      <c r="E16" s="1186"/>
      <c r="F16" s="1186"/>
      <c r="G16" s="1186"/>
      <c r="H16" s="1186"/>
      <c r="I16" s="1186"/>
      <c r="J16" s="1186"/>
      <c r="K16" s="1186"/>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567</v>
      </c>
      <c r="D19" s="550" t="s">
        <v>515</v>
      </c>
      <c r="E19" s="551">
        <f>Draft!$E$4</f>
        <v>46114</v>
      </c>
      <c r="F19" s="552"/>
      <c r="G19" s="1187" t="str">
        <f>_xlfn.CONCAT(TEXT(Draft!$O$5,"hh:mm")," - ",Draft!$AN$7,Draft!$H$6)</f>
        <v>09:05 - Fundeado - área 8.3</v>
      </c>
      <c r="H19" s="1187"/>
      <c r="I19" s="1187"/>
      <c r="J19" s="1187"/>
      <c r="K19" s="1188"/>
      <c r="L19" s="245"/>
      <c r="M19" s="245"/>
      <c r="N19" s="245"/>
      <c r="O19" s="245" t="e">
        <f>IF(Draft!H6="berthed",Atracado,Fundeado)</f>
        <v>#NAME?</v>
      </c>
      <c r="P19" s="245"/>
      <c r="Q19" s="245"/>
    </row>
    <row r="20" spans="1:17" ht="17.25" x14ac:dyDescent="0.3">
      <c r="A20" s="534"/>
      <c r="B20" s="534"/>
      <c r="C20" s="553" t="s">
        <v>566</v>
      </c>
      <c r="D20" s="539" t="s">
        <v>515</v>
      </c>
      <c r="E20" s="540">
        <f>Draft!$X$4</f>
        <v>46117</v>
      </c>
      <c r="F20" s="541"/>
      <c r="G20" s="1189" t="str">
        <f>_xlfn.CONCAT(TEXT(Draft!$AH$5,"hh:mm")," - ",Draft!$AN$8,Draft!$AA$6)</f>
        <v>06:15 - Atracado - berço 212</v>
      </c>
      <c r="H20" s="1189"/>
      <c r="I20" s="1189"/>
      <c r="J20" s="1189"/>
      <c r="K20" s="1190"/>
      <c r="L20" s="245"/>
      <c r="M20" s="245"/>
      <c r="N20" s="245"/>
      <c r="O20" s="245"/>
      <c r="P20" s="245"/>
      <c r="Q20" s="245"/>
    </row>
    <row r="21" spans="1:17" ht="12.75" customHeight="1" x14ac:dyDescent="0.3">
      <c r="A21" s="534"/>
      <c r="B21" s="534"/>
      <c r="C21" s="554"/>
      <c r="D21" s="545"/>
      <c r="E21" s="546"/>
      <c r="F21" s="546"/>
      <c r="G21" s="546"/>
      <c r="H21" s="546"/>
      <c r="I21" s="546"/>
      <c r="J21" s="546"/>
      <c r="K21" s="555"/>
      <c r="L21" s="245"/>
      <c r="M21" s="245"/>
      <c r="N21" s="245"/>
      <c r="O21" s="245"/>
      <c r="P21" s="245"/>
      <c r="Q21" s="245"/>
    </row>
    <row r="22" spans="1:17" ht="15" customHeight="1" x14ac:dyDescent="0.3">
      <c r="A22" s="534"/>
      <c r="B22" s="534"/>
      <c r="C22" s="650" t="s">
        <v>610</v>
      </c>
      <c r="D22" s="651" t="s">
        <v>515</v>
      </c>
      <c r="E22" s="652" t="s">
        <v>611</v>
      </c>
      <c r="F22" s="653"/>
      <c r="G22" s="653" t="s">
        <v>612</v>
      </c>
      <c r="H22" s="653"/>
      <c r="I22" s="654"/>
      <c r="J22" s="654"/>
      <c r="K22" s="655"/>
      <c r="L22" s="538"/>
      <c r="M22" s="245"/>
      <c r="N22" s="245"/>
      <c r="O22" s="418">
        <v>3000</v>
      </c>
      <c r="P22" s="245"/>
      <c r="Q22" s="245"/>
    </row>
    <row r="23" spans="1:17" ht="15" customHeight="1" x14ac:dyDescent="0.3">
      <c r="A23" s="534"/>
      <c r="B23" s="534"/>
      <c r="C23" s="656" t="s">
        <v>339</v>
      </c>
      <c r="D23" s="657" t="s">
        <v>515</v>
      </c>
      <c r="E23" s="658">
        <v>10000</v>
      </c>
      <c r="F23" s="654"/>
      <c r="G23" s="659">
        <f>IFERROR(E23/E34*100,"")</f>
        <v>14.271620041521851</v>
      </c>
      <c r="H23" s="654"/>
      <c r="I23" s="654"/>
      <c r="J23" s="654"/>
      <c r="K23" s="655"/>
      <c r="L23" s="538"/>
      <c r="M23" s="245"/>
      <c r="N23" s="245"/>
      <c r="O23" s="418"/>
      <c r="P23" s="245"/>
      <c r="Q23" s="245"/>
    </row>
    <row r="24" spans="1:17" ht="15" customHeight="1" x14ac:dyDescent="0.3">
      <c r="A24" s="534"/>
      <c r="B24" s="534"/>
      <c r="C24" s="656" t="s">
        <v>731</v>
      </c>
      <c r="D24" s="657" t="s">
        <v>515</v>
      </c>
      <c r="E24" s="658">
        <v>10000</v>
      </c>
      <c r="F24" s="654"/>
      <c r="G24" s="659">
        <f>IFERROR(E24/E34*100,"")</f>
        <v>14.271620041521851</v>
      </c>
      <c r="H24" s="654"/>
      <c r="I24" s="654"/>
      <c r="J24" s="654"/>
      <c r="K24" s="655"/>
      <c r="L24" s="538"/>
      <c r="M24" s="245"/>
      <c r="N24" s="245"/>
      <c r="O24" s="418"/>
      <c r="P24" s="245"/>
      <c r="Q24" s="245"/>
    </row>
    <row r="25" spans="1:17" ht="15" customHeight="1" x14ac:dyDescent="0.3">
      <c r="A25" s="534"/>
      <c r="B25" s="534"/>
      <c r="C25" s="656" t="s">
        <v>732</v>
      </c>
      <c r="D25" s="657" t="s">
        <v>515</v>
      </c>
      <c r="E25" s="658">
        <v>0</v>
      </c>
      <c r="F25" s="654"/>
      <c r="G25" s="659">
        <f>IFERROR(E25/E34*100,"")</f>
        <v>0</v>
      </c>
      <c r="H25" s="654"/>
      <c r="I25" s="654"/>
      <c r="J25" s="654"/>
      <c r="K25" s="655"/>
      <c r="L25" s="538"/>
      <c r="M25" s="245"/>
      <c r="N25" s="245"/>
      <c r="O25" s="418"/>
      <c r="P25" s="245"/>
      <c r="Q25" s="245"/>
    </row>
    <row r="26" spans="1:17" ht="15" customHeight="1" x14ac:dyDescent="0.3">
      <c r="A26" s="534"/>
      <c r="B26" s="534"/>
      <c r="C26" s="656" t="s">
        <v>733</v>
      </c>
      <c r="D26" s="657" t="s">
        <v>515</v>
      </c>
      <c r="E26" s="658">
        <v>0</v>
      </c>
      <c r="F26" s="654"/>
      <c r="G26" s="659">
        <f>IFERROR(E26/E34*100,"")</f>
        <v>0</v>
      </c>
      <c r="H26" s="654"/>
      <c r="I26" s="654"/>
      <c r="J26" s="654"/>
      <c r="K26" s="655"/>
      <c r="L26" s="538"/>
      <c r="M26" s="245"/>
      <c r="N26" s="245"/>
      <c r="O26" s="418"/>
      <c r="P26" s="245"/>
      <c r="Q26" s="245"/>
    </row>
    <row r="27" spans="1:17" ht="15" customHeight="1" x14ac:dyDescent="0.3">
      <c r="A27" s="534"/>
      <c r="B27" s="534"/>
      <c r="C27" s="656" t="s">
        <v>734</v>
      </c>
      <c r="D27" s="657" t="s">
        <v>515</v>
      </c>
      <c r="E27" s="658">
        <v>13569.13</v>
      </c>
      <c r="F27" s="654"/>
      <c r="G27" s="659">
        <f>IFERROR(E27/E34*100,"")</f>
        <v>19.365346765401537</v>
      </c>
      <c r="H27" s="654"/>
      <c r="I27" s="654"/>
      <c r="J27" s="654"/>
      <c r="K27" s="655"/>
      <c r="L27" s="538"/>
      <c r="M27" s="245"/>
      <c r="N27" s="245"/>
      <c r="O27" s="418"/>
      <c r="P27" s="245"/>
      <c r="Q27" s="245"/>
    </row>
    <row r="28" spans="1:17" ht="15" customHeight="1" x14ac:dyDescent="0.3">
      <c r="A28" s="534"/>
      <c r="B28" s="534"/>
      <c r="C28" s="656" t="s">
        <v>340</v>
      </c>
      <c r="D28" s="657" t="s">
        <v>515</v>
      </c>
      <c r="E28" s="658">
        <v>9000</v>
      </c>
      <c r="F28" s="654"/>
      <c r="G28" s="659">
        <f>IFERROR(E28/E34*100,"")</f>
        <v>12.844458037369666</v>
      </c>
      <c r="H28" s="654"/>
      <c r="I28" s="654"/>
      <c r="J28" s="654"/>
      <c r="K28" s="655"/>
      <c r="L28" s="538"/>
      <c r="M28" s="245"/>
      <c r="N28" s="245"/>
      <c r="O28" s="418"/>
      <c r="P28" s="245"/>
      <c r="Q28" s="245"/>
    </row>
    <row r="29" spans="1:17" ht="15" customHeight="1" x14ac:dyDescent="0.3">
      <c r="A29" s="534"/>
      <c r="B29" s="534"/>
      <c r="C29" s="656" t="s">
        <v>342</v>
      </c>
      <c r="D29" s="657" t="s">
        <v>515</v>
      </c>
      <c r="E29" s="658">
        <v>5000</v>
      </c>
      <c r="F29" s="654"/>
      <c r="G29" s="659">
        <f>IFERROR(E29/E34*100,"")</f>
        <v>7.1358100207609256</v>
      </c>
      <c r="H29" s="654"/>
      <c r="I29" s="654"/>
      <c r="J29" s="654"/>
      <c r="K29" s="655"/>
      <c r="L29" s="538"/>
      <c r="M29" s="245"/>
      <c r="N29" s="245"/>
      <c r="O29" s="418"/>
      <c r="P29" s="245"/>
      <c r="Q29" s="245"/>
    </row>
    <row r="30" spans="1:17" ht="15" customHeight="1" x14ac:dyDescent="0.3">
      <c r="A30" s="534"/>
      <c r="B30" s="534"/>
      <c r="C30" s="656" t="s">
        <v>343</v>
      </c>
      <c r="D30" s="657" t="s">
        <v>515</v>
      </c>
      <c r="E30" s="658">
        <v>0</v>
      </c>
      <c r="F30" s="654"/>
      <c r="G30" s="659">
        <f>IFERROR(E30/E34*100,"")</f>
        <v>0</v>
      </c>
      <c r="H30" s="654"/>
      <c r="I30" s="654"/>
      <c r="J30" s="654"/>
      <c r="K30" s="655"/>
      <c r="L30" s="538"/>
      <c r="M30" s="245"/>
      <c r="N30" s="245"/>
      <c r="O30" s="418"/>
      <c r="P30" s="245"/>
      <c r="Q30" s="245"/>
    </row>
    <row r="31" spans="1:17" ht="15" customHeight="1" x14ac:dyDescent="0.3">
      <c r="A31" s="534"/>
      <c r="B31" s="534"/>
      <c r="C31" s="656" t="s">
        <v>346</v>
      </c>
      <c r="D31" s="657" t="s">
        <v>515</v>
      </c>
      <c r="E31" s="658">
        <v>14500</v>
      </c>
      <c r="F31" s="654"/>
      <c r="G31" s="659">
        <f>IFERROR(E31/E34*100,"")</f>
        <v>20.693849060206684</v>
      </c>
      <c r="H31" s="654"/>
      <c r="I31" s="654"/>
      <c r="J31" s="654"/>
      <c r="K31" s="655"/>
      <c r="L31" s="538"/>
      <c r="M31" s="245"/>
      <c r="N31" s="245"/>
      <c r="O31" s="418"/>
      <c r="P31" s="245"/>
      <c r="Q31" s="245"/>
    </row>
    <row r="32" spans="1:17" ht="15" customHeight="1" x14ac:dyDescent="0.3">
      <c r="A32" s="534"/>
      <c r="B32" s="534"/>
      <c r="C32" s="656" t="s">
        <v>347</v>
      </c>
      <c r="D32" s="657" t="s">
        <v>515</v>
      </c>
      <c r="E32" s="658">
        <v>0</v>
      </c>
      <c r="F32" s="660"/>
      <c r="G32" s="659">
        <f>IFERROR(E32/E34*100,"")</f>
        <v>0</v>
      </c>
      <c r="H32" s="660"/>
      <c r="I32" s="660"/>
      <c r="J32" s="660"/>
      <c r="K32" s="661"/>
    </row>
    <row r="33" spans="1:17" ht="15" customHeight="1" x14ac:dyDescent="0.3">
      <c r="A33" s="534"/>
      <c r="B33" s="534"/>
      <c r="C33" s="656" t="s">
        <v>349</v>
      </c>
      <c r="D33" s="657" t="s">
        <v>515</v>
      </c>
      <c r="E33" s="658">
        <v>8000</v>
      </c>
      <c r="F33" s="660"/>
      <c r="G33" s="659">
        <f>IFERROR(E33/E34*100,"")</f>
        <v>11.417296033217481</v>
      </c>
      <c r="H33" s="660"/>
      <c r="I33" s="660"/>
      <c r="J33" s="660"/>
      <c r="K33" s="661"/>
    </row>
    <row r="34" spans="1:17" ht="15" customHeight="1" x14ac:dyDescent="0.3">
      <c r="A34" s="534"/>
      <c r="B34" s="534"/>
      <c r="C34" s="650" t="s">
        <v>609</v>
      </c>
      <c r="D34" s="651" t="s">
        <v>515</v>
      </c>
      <c r="E34" s="662">
        <f>Draft!$Z$78</f>
        <v>70069.13</v>
      </c>
      <c r="F34" s="662"/>
      <c r="G34" s="663">
        <f>SUM(G23:G33)</f>
        <v>100</v>
      </c>
      <c r="H34" s="664"/>
      <c r="I34" s="664"/>
      <c r="J34" s="664"/>
      <c r="K34" s="665"/>
      <c r="O34" s="243" t="s">
        <v>314</v>
      </c>
      <c r="P34" s="244" t="s">
        <v>516</v>
      </c>
    </row>
    <row r="35" spans="1:17" ht="17.100000000000001" customHeight="1" x14ac:dyDescent="0.3">
      <c r="A35" s="534"/>
      <c r="B35" s="534"/>
      <c r="C35" s="556"/>
      <c r="D35" s="541"/>
      <c r="E35" s="541"/>
      <c r="F35" s="541"/>
      <c r="G35" s="541"/>
      <c r="H35" s="541"/>
      <c r="I35" s="541"/>
      <c r="J35" s="541"/>
      <c r="K35" s="687" t="s">
        <v>675</v>
      </c>
      <c r="O35" s="243" t="s">
        <v>316</v>
      </c>
      <c r="P35" s="244" t="s">
        <v>517</v>
      </c>
    </row>
    <row r="36" spans="1:17" ht="17.100000000000001" customHeight="1" x14ac:dyDescent="0.3">
      <c r="A36" s="542"/>
      <c r="B36" s="542"/>
      <c r="C36" s="557" t="s">
        <v>518</v>
      </c>
      <c r="D36" s="535" t="s">
        <v>515</v>
      </c>
      <c r="E36" s="569">
        <f>IF(K36="SIM",Draft!AF77,Draft!Z77)</f>
        <v>70092.861594392569</v>
      </c>
      <c r="F36" s="536" t="s">
        <v>519</v>
      </c>
      <c r="G36" s="569">
        <f>IF(K36="SIM",Draft!AF79,Draft!Z79)</f>
        <v>23.731594392564148</v>
      </c>
      <c r="H36" s="537" t="s">
        <v>520</v>
      </c>
      <c r="I36" s="570">
        <f>$G$36/$E$34*100</f>
        <v>3.3868829815018604E-2</v>
      </c>
      <c r="J36" s="536" t="s">
        <v>521</v>
      </c>
      <c r="K36" s="686" t="s">
        <v>318</v>
      </c>
      <c r="L36" s="244"/>
      <c r="M36" s="245"/>
      <c r="N36" s="245"/>
      <c r="O36" s="243" t="s">
        <v>317</v>
      </c>
      <c r="P36" s="244" t="s">
        <v>522</v>
      </c>
      <c r="Q36" s="245"/>
    </row>
    <row r="37" spans="1:17" ht="17.100000000000001" customHeight="1" x14ac:dyDescent="0.3">
      <c r="A37" s="542"/>
      <c r="B37" s="542"/>
      <c r="C37" s="557" t="s">
        <v>523</v>
      </c>
      <c r="D37" s="535" t="s">
        <v>515</v>
      </c>
      <c r="E37" s="569">
        <f>Draft!$X$82</f>
        <v>70044.259999999995</v>
      </c>
      <c r="F37" s="536" t="s">
        <v>519</v>
      </c>
      <c r="G37" s="569">
        <f>Draft!$AA$82</f>
        <v>-24.870000000009895</v>
      </c>
      <c r="H37" s="537" t="s">
        <v>520</v>
      </c>
      <c r="I37" s="570">
        <f>$G$37/$E$34*100</f>
        <v>-3.5493519043278965E-2</v>
      </c>
      <c r="J37" s="536" t="s">
        <v>521</v>
      </c>
      <c r="K37" s="558"/>
      <c r="L37" s="244"/>
      <c r="M37" s="245"/>
      <c r="N37" s="245"/>
      <c r="O37" s="243" t="s">
        <v>319</v>
      </c>
      <c r="P37" s="244" t="s">
        <v>524</v>
      </c>
      <c r="Q37" s="245"/>
    </row>
    <row r="38" spans="1:17" ht="17.100000000000001" customHeight="1" x14ac:dyDescent="0.3">
      <c r="A38" s="542"/>
      <c r="B38" s="542"/>
      <c r="C38" s="557" t="s">
        <v>525</v>
      </c>
      <c r="D38" s="535" t="s">
        <v>515</v>
      </c>
      <c r="E38" s="569">
        <f>Draft!$X$83</f>
        <v>70136.372000000003</v>
      </c>
      <c r="F38" s="536" t="s">
        <v>519</v>
      </c>
      <c r="G38" s="569">
        <f>Draft!$AA$83</f>
        <v>67.24199999999837</v>
      </c>
      <c r="H38" s="537" t="s">
        <v>520</v>
      </c>
      <c r="I38" s="570">
        <f>$G$38/$E$34*100</f>
        <v>9.5965227483198912E-2</v>
      </c>
      <c r="J38" s="536" t="s">
        <v>521</v>
      </c>
      <c r="K38" s="558"/>
      <c r="L38" s="244"/>
      <c r="M38" s="245"/>
      <c r="N38" s="245"/>
      <c r="O38" s="243" t="s">
        <v>320</v>
      </c>
      <c r="P38" s="244" t="s">
        <v>526</v>
      </c>
      <c r="Q38" s="245"/>
    </row>
    <row r="39" spans="1:17" ht="17.100000000000001" customHeight="1" x14ac:dyDescent="0.3">
      <c r="A39" s="543"/>
      <c r="B39" s="544" t="str">
        <f>Draft!$U$84</f>
        <v>Consignees:</v>
      </c>
      <c r="C39" s="557" t="str">
        <f>IFERROR(_xlfn.IFS(B39=O34,P34,B39=O35,P35,B39=O36,P36,B39=O37,P37,B39=O38,P38,B39=O39,P39,B39=O40,P40,B39=O41,P41,B39=O42,P42),"")</f>
        <v>Comprador:</v>
      </c>
      <c r="D39" s="535" t="s">
        <v>515</v>
      </c>
      <c r="E39" s="569">
        <f>Draft!$X$84</f>
        <v>70106.301000000007</v>
      </c>
      <c r="F39" s="536" t="s">
        <v>519</v>
      </c>
      <c r="G39" s="569">
        <f>Draft!$AA$84</f>
        <v>37.171000000002095</v>
      </c>
      <c r="H39" s="537" t="s">
        <v>520</v>
      </c>
      <c r="I39" s="570">
        <f>Draft!$AC$84</f>
        <v>5.3049038856343857E-2</v>
      </c>
      <c r="J39" s="536" t="s">
        <v>521</v>
      </c>
      <c r="K39" s="558"/>
      <c r="L39" s="244"/>
      <c r="M39" s="245"/>
      <c r="N39" s="245"/>
      <c r="O39" s="243" t="s">
        <v>321</v>
      </c>
      <c r="P39" s="244" t="s">
        <v>527</v>
      </c>
      <c r="Q39" s="245"/>
    </row>
    <row r="40" spans="1:17" ht="17.100000000000001" customHeight="1" x14ac:dyDescent="0.3">
      <c r="A40" s="543"/>
      <c r="B40" s="544">
        <f>Draft!$U$85</f>
        <v>0</v>
      </c>
      <c r="C40" s="557" t="str">
        <f>IFERROR(_xlfn.IFS(B40=O34,P34,B40=O35,P35,B40=O36,P36,B40=O37,P37,B40=O38,P38,B40=O39,P39,B40=O40,P40,B40=O41,P41,B40=O42,P42),"")</f>
        <v/>
      </c>
      <c r="D40" s="535" t="s">
        <v>515</v>
      </c>
      <c r="E40" s="569">
        <f>Draft!$X$85</f>
        <v>0</v>
      </c>
      <c r="F40" s="536" t="s">
        <v>519</v>
      </c>
      <c r="G40" s="569">
        <f>Draft!$AA$85</f>
        <v>-70069.13</v>
      </c>
      <c r="H40" s="537" t="s">
        <v>520</v>
      </c>
      <c r="I40" s="570">
        <f>Draft!$AC$85</f>
        <v>-100</v>
      </c>
      <c r="J40" s="536" t="s">
        <v>521</v>
      </c>
      <c r="K40" s="558"/>
      <c r="L40" s="244"/>
      <c r="M40" s="245"/>
      <c r="N40" s="245"/>
      <c r="O40" s="243" t="s">
        <v>322</v>
      </c>
      <c r="P40" s="244" t="s">
        <v>528</v>
      </c>
      <c r="Q40" s="245"/>
    </row>
    <row r="41" spans="1:17" ht="17.100000000000001" customHeight="1" x14ac:dyDescent="0.3">
      <c r="A41" s="543"/>
      <c r="B41" s="544">
        <f>Draft!$U$86</f>
        <v>0</v>
      </c>
      <c r="C41" s="557" t="str">
        <f>IFERROR(_xlfn.IFS(B41=O34,P34,B41=O35,P35,B41=O36,P36,B41=O37,P37,B41=O38,P38,B41=O39,P39,B41=O40,P40,B41=O41,P41,B41=O42,P42),"")</f>
        <v/>
      </c>
      <c r="D41" s="535" t="s">
        <v>515</v>
      </c>
      <c r="E41" s="569">
        <f>Draft!$X$86</f>
        <v>0</v>
      </c>
      <c r="F41" s="536" t="s">
        <v>519</v>
      </c>
      <c r="G41" s="569">
        <f>Draft!$AA$86</f>
        <v>-70069.13</v>
      </c>
      <c r="H41" s="537" t="s">
        <v>520</v>
      </c>
      <c r="I41" s="570">
        <f>Draft!$AC$86</f>
        <v>-100</v>
      </c>
      <c r="J41" s="536" t="s">
        <v>521</v>
      </c>
      <c r="K41" s="558"/>
      <c r="L41" s="244"/>
      <c r="M41" s="245"/>
      <c r="N41" s="245"/>
      <c r="O41" s="70" t="s">
        <v>63</v>
      </c>
      <c r="P41" s="244" t="s">
        <v>524</v>
      </c>
      <c r="Q41" s="245"/>
    </row>
    <row r="42" spans="1:17" ht="17.100000000000001" customHeight="1" x14ac:dyDescent="0.3">
      <c r="A42" s="543"/>
      <c r="B42" s="544">
        <f>Draft!$U$87</f>
        <v>0</v>
      </c>
      <c r="C42" s="557" t="str">
        <f>IFERROR(_xlfn.IFS(B42=O34,P34,B42=O35,P35,B42=O36,P36,B42=O37,P37,B42=O38,P38,B42=O39,P39,B42=O40,P40,B42=O41,P41,B42=O42,P42),"")</f>
        <v/>
      </c>
      <c r="D42" s="535" t="s">
        <v>515</v>
      </c>
      <c r="E42" s="569">
        <f>Draft!$X$87</f>
        <v>0</v>
      </c>
      <c r="F42" s="536" t="s">
        <v>519</v>
      </c>
      <c r="G42" s="569">
        <f>Draft!$AA$87</f>
        <v>-70069.13</v>
      </c>
      <c r="H42" s="537" t="s">
        <v>520</v>
      </c>
      <c r="I42" s="570">
        <f>Draft!$AC$87</f>
        <v>-100</v>
      </c>
      <c r="J42" s="536" t="s">
        <v>521</v>
      </c>
      <c r="K42" s="558"/>
      <c r="L42" s="244"/>
      <c r="M42" s="245"/>
      <c r="N42" s="245"/>
      <c r="O42" s="70" t="s">
        <v>604</v>
      </c>
      <c r="P42" s="244" t="s">
        <v>607</v>
      </c>
      <c r="Q42" s="245"/>
    </row>
    <row r="43" spans="1:17" ht="17.100000000000001" customHeight="1" x14ac:dyDescent="0.3">
      <c r="A43" s="543"/>
      <c r="B43" s="544">
        <f>Draft!$U$88</f>
        <v>0</v>
      </c>
      <c r="C43" s="557"/>
      <c r="D43" s="536"/>
      <c r="E43" s="569">
        <f>Draft!$X$88</f>
        <v>0</v>
      </c>
      <c r="F43" s="536" t="s">
        <v>519</v>
      </c>
      <c r="G43" s="569">
        <f>Draft!$Z$88</f>
        <v>0</v>
      </c>
      <c r="H43" s="537" t="s">
        <v>520</v>
      </c>
      <c r="I43" s="570">
        <f>Draft!$AC$88</f>
        <v>0</v>
      </c>
      <c r="J43" s="536" t="s">
        <v>521</v>
      </c>
      <c r="K43" s="558"/>
      <c r="L43" s="245"/>
      <c r="M43" s="245"/>
      <c r="N43" s="245"/>
      <c r="O43" s="245"/>
      <c r="P43" s="245"/>
      <c r="Q43" s="245"/>
    </row>
    <row r="44" spans="1:17" ht="24" customHeight="1" x14ac:dyDescent="0.2">
      <c r="A44" s="543"/>
      <c r="B44" s="543"/>
      <c r="C44" s="567"/>
      <c r="D44" s="566"/>
      <c r="E44" s="566"/>
      <c r="F44" s="566"/>
      <c r="G44" s="566"/>
      <c r="H44" s="566"/>
      <c r="I44" s="566"/>
      <c r="J44" s="566"/>
      <c r="K44" s="568"/>
      <c r="L44" s="245"/>
      <c r="M44" s="245"/>
      <c r="N44" s="245"/>
      <c r="O44" s="245"/>
      <c r="P44" s="245"/>
      <c r="Q44" s="245"/>
    </row>
    <row r="45" spans="1:17" ht="12.75" customHeight="1" x14ac:dyDescent="0.2">
      <c r="C45" s="1191" t="s">
        <v>672</v>
      </c>
      <c r="D45" s="1192"/>
      <c r="E45" s="1192"/>
      <c r="F45" s="1192"/>
      <c r="G45" s="1192"/>
      <c r="H45" s="1192"/>
      <c r="I45" s="1192"/>
      <c r="J45" s="1192"/>
      <c r="K45" s="1193"/>
    </row>
    <row r="46" spans="1:17" s="684" customFormat="1" ht="18" customHeight="1" x14ac:dyDescent="0.25">
      <c r="C46" s="685" t="s">
        <v>337</v>
      </c>
      <c r="D46" s="1185" t="s">
        <v>668</v>
      </c>
      <c r="E46" s="1185"/>
      <c r="F46" s="1185" t="s">
        <v>673</v>
      </c>
      <c r="G46" s="1185"/>
      <c r="H46" s="1185" t="s">
        <v>674</v>
      </c>
      <c r="I46" s="1185"/>
      <c r="J46" s="1185" t="s">
        <v>338</v>
      </c>
      <c r="K46" s="1185"/>
    </row>
    <row r="47" spans="1:17" ht="12.75" customHeight="1" x14ac:dyDescent="0.2">
      <c r="C47" s="683">
        <v>1</v>
      </c>
      <c r="D47" s="1184">
        <v>8909.14</v>
      </c>
      <c r="E47" s="1184"/>
      <c r="F47" s="1184">
        <v>438817</v>
      </c>
      <c r="G47" s="1184"/>
      <c r="H47" s="1184" t="s">
        <v>767</v>
      </c>
      <c r="I47" s="1184"/>
      <c r="J47" s="1184" t="s">
        <v>768</v>
      </c>
      <c r="K47" s="1184"/>
    </row>
    <row r="48" spans="1:17" ht="12.75" customHeight="1" x14ac:dyDescent="0.2">
      <c r="C48" s="683">
        <v>2</v>
      </c>
      <c r="D48" s="1184">
        <v>10341.594999999999</v>
      </c>
      <c r="E48" s="1184"/>
      <c r="F48" s="1184">
        <v>497814</v>
      </c>
      <c r="G48" s="1184"/>
      <c r="H48" s="1184" t="s">
        <v>767</v>
      </c>
      <c r="I48" s="1184"/>
      <c r="J48" s="1184" t="s">
        <v>768</v>
      </c>
      <c r="K48" s="1184"/>
    </row>
    <row r="49" spans="3:11" ht="12.75" customHeight="1" x14ac:dyDescent="0.2">
      <c r="C49" s="683">
        <v>3</v>
      </c>
      <c r="D49" s="1184">
        <v>10755.76</v>
      </c>
      <c r="E49" s="1184"/>
      <c r="F49" s="1184">
        <v>519772</v>
      </c>
      <c r="G49" s="1184"/>
      <c r="H49" s="1184" t="s">
        <v>767</v>
      </c>
      <c r="I49" s="1184"/>
      <c r="J49" s="1184" t="s">
        <v>768</v>
      </c>
      <c r="K49" s="1184"/>
    </row>
    <row r="50" spans="3:11" ht="12.75" customHeight="1" x14ac:dyDescent="0.2">
      <c r="C50" s="683">
        <v>4</v>
      </c>
      <c r="D50" s="1184">
        <v>9665.6049999999996</v>
      </c>
      <c r="E50" s="1184"/>
      <c r="F50" s="1184">
        <v>474905</v>
      </c>
      <c r="G50" s="1184"/>
      <c r="H50" s="1184" t="s">
        <v>767</v>
      </c>
      <c r="I50" s="1184"/>
      <c r="J50" s="1184" t="s">
        <v>768</v>
      </c>
      <c r="K50" s="1184"/>
    </row>
    <row r="51" spans="3:11" ht="12.75" customHeight="1" x14ac:dyDescent="0.2">
      <c r="C51" s="683">
        <v>5</v>
      </c>
      <c r="D51" s="1184">
        <v>10317.275</v>
      </c>
      <c r="E51" s="1184"/>
      <c r="F51" s="1184">
        <v>499014</v>
      </c>
      <c r="G51" s="1184"/>
      <c r="H51" s="1184" t="s">
        <v>767</v>
      </c>
      <c r="I51" s="1184"/>
      <c r="J51" s="1184" t="s">
        <v>768</v>
      </c>
      <c r="K51" s="1184"/>
    </row>
    <row r="52" spans="3:11" ht="12.75" customHeight="1" x14ac:dyDescent="0.2">
      <c r="C52" s="683">
        <v>6</v>
      </c>
      <c r="D52" s="1184">
        <v>10299.11</v>
      </c>
      <c r="E52" s="1184"/>
      <c r="F52" s="1184">
        <v>497867</v>
      </c>
      <c r="G52" s="1184"/>
      <c r="H52" s="1184" t="s">
        <v>767</v>
      </c>
      <c r="I52" s="1184"/>
      <c r="J52" s="1184" t="s">
        <v>768</v>
      </c>
      <c r="K52" s="1184"/>
    </row>
    <row r="53" spans="3:11" ht="12.75" customHeight="1" x14ac:dyDescent="0.2">
      <c r="C53" s="683">
        <v>7</v>
      </c>
      <c r="D53" s="1184">
        <v>9780.6450000000004</v>
      </c>
      <c r="E53" s="1184"/>
      <c r="F53" s="1184">
        <v>501712</v>
      </c>
      <c r="G53" s="1184"/>
      <c r="H53" s="1184" t="s">
        <v>767</v>
      </c>
      <c r="I53" s="1184"/>
      <c r="J53" s="1184" t="s">
        <v>768</v>
      </c>
      <c r="K53" s="1184"/>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1"/>
    <col min="2" max="2" width="19.5703125" style="241" bestFit="1" customWidth="1"/>
    <col min="3" max="3" width="23.85546875" style="241" bestFit="1" customWidth="1"/>
    <col min="4" max="4" width="32.5703125" style="241" bestFit="1" customWidth="1"/>
    <col min="5" max="5" width="29.28515625" style="241" bestFit="1" customWidth="1"/>
    <col min="6" max="16384" width="9.140625" style="241"/>
  </cols>
  <sheetData>
    <row r="8" spans="2:7" x14ac:dyDescent="0.2">
      <c r="B8" s="1194" t="s">
        <v>529</v>
      </c>
      <c r="C8" s="1194"/>
      <c r="D8" s="1194"/>
      <c r="E8" s="1194"/>
    </row>
    <row r="9" spans="2:7" ht="15" x14ac:dyDescent="0.25">
      <c r="B9" s="246" t="s">
        <v>530</v>
      </c>
      <c r="C9" s="246" t="s">
        <v>531</v>
      </c>
      <c r="D9" s="246" t="s">
        <v>532</v>
      </c>
      <c r="E9" s="246" t="s">
        <v>533</v>
      </c>
    </row>
    <row r="10" spans="2:7" x14ac:dyDescent="0.2">
      <c r="B10" s="247" t="str">
        <f>'DADOS E-MAIL '!$C$36</f>
        <v>Standard Brazil</v>
      </c>
      <c r="C10" s="248">
        <f>'DADOS E-MAIL '!$E$36</f>
        <v>70092.861594392569</v>
      </c>
      <c r="D10" s="249">
        <f>C10-$G$10</f>
        <v>23.731594392564148</v>
      </c>
      <c r="E10" s="250">
        <f>$D$10/$G$10*100</f>
        <v>3.3868829815018604E-2</v>
      </c>
      <c r="G10" s="241">
        <f>'DADOS E-MAIL '!$E$34</f>
        <v>70069.13</v>
      </c>
    </row>
    <row r="11" spans="2:7" x14ac:dyDescent="0.2">
      <c r="B11" s="247" t="str">
        <f>'DADOS E-MAIL '!$C$37</f>
        <v>Comando do navio:</v>
      </c>
      <c r="C11" s="248">
        <f>'DADOS E-MAIL '!$E$37</f>
        <v>70044.259999999995</v>
      </c>
      <c r="D11" s="249">
        <f>C11-$G$11</f>
        <v>-24.870000000009895</v>
      </c>
      <c r="E11" s="250">
        <f>$D$11/$G$11*100</f>
        <v>-3.5493519043278965E-2</v>
      </c>
      <c r="G11" s="241">
        <f>'DADOS E-MAIL '!$E$34</f>
        <v>70069.13</v>
      </c>
    </row>
    <row r="12" spans="2:7" x14ac:dyDescent="0.2">
      <c r="B12" s="247" t="str">
        <f>'DADOS E-MAIL '!$C$38</f>
        <v>Receita Federal:</v>
      </c>
      <c r="C12" s="248">
        <f>'DADOS E-MAIL '!$E$38</f>
        <v>70136.372000000003</v>
      </c>
      <c r="D12" s="249">
        <f>C12-$G$12</f>
        <v>67.24199999999837</v>
      </c>
      <c r="E12" s="250">
        <f>$D$12/$G$12*100</f>
        <v>9.5965227483198912E-2</v>
      </c>
      <c r="G12" s="241">
        <f>'DADOS E-MAIL '!$E$34</f>
        <v>70069.13</v>
      </c>
    </row>
    <row r="14" spans="2:7" x14ac:dyDescent="0.2">
      <c r="B14" s="1194" t="s">
        <v>282</v>
      </c>
      <c r="C14" s="1194"/>
      <c r="D14" s="1194"/>
      <c r="E14" s="1194"/>
    </row>
    <row r="15" spans="2:7" ht="15" x14ac:dyDescent="0.25">
      <c r="B15" s="246" t="s">
        <v>530</v>
      </c>
      <c r="C15" s="246" t="s">
        <v>531</v>
      </c>
      <c r="D15" s="246" t="s">
        <v>532</v>
      </c>
      <c r="E15" s="246" t="s">
        <v>533</v>
      </c>
    </row>
    <row r="16" spans="2:7" x14ac:dyDescent="0.2">
      <c r="B16" s="247" t="str">
        <f>'DADOS E-MAIL '!$C$36</f>
        <v>Standard Brazil</v>
      </c>
      <c r="C16" s="248">
        <f>Draft!$AF$77</f>
        <v>69920.88864242495</v>
      </c>
      <c r="D16" s="249">
        <f>$C$16-$G$16</f>
        <v>-148.24135757505428</v>
      </c>
      <c r="E16" s="250">
        <f>$D$16/$G$16*100</f>
        <v>-0.21156443297505517</v>
      </c>
      <c r="G16" s="241">
        <f>'DADOS E-MAIL '!$E$34</f>
        <v>70069.13</v>
      </c>
    </row>
    <row r="17" spans="2:7" x14ac:dyDescent="0.2">
      <c r="B17" s="247" t="str">
        <f>'DADOS E-MAIL '!$C$37</f>
        <v>Comando do navio:</v>
      </c>
      <c r="C17" s="248">
        <f>'DADOS E-MAIL '!$E$37</f>
        <v>70044.259999999995</v>
      </c>
      <c r="D17" s="249">
        <f>C17-$G$11</f>
        <v>-24.870000000009895</v>
      </c>
      <c r="E17" s="250">
        <f>$D$11/$G$11*100</f>
        <v>-3.5493519043278965E-2</v>
      </c>
      <c r="G17" s="241">
        <f>'DADOS E-MAIL '!$E$34</f>
        <v>70069.13</v>
      </c>
    </row>
    <row r="18" spans="2:7" x14ac:dyDescent="0.2">
      <c r="B18" s="247" t="str">
        <f>'DADOS E-MAIL '!$C$38</f>
        <v>Receita Federal:</v>
      </c>
      <c r="C18" s="248">
        <f>'DADOS E-MAIL '!$E$38</f>
        <v>70136.372000000003</v>
      </c>
      <c r="D18" s="249">
        <f>C18-$G$12</f>
        <v>67.24199999999837</v>
      </c>
      <c r="E18" s="250">
        <f>$D$12/$G$12*100</f>
        <v>9.5965227483198912E-2</v>
      </c>
      <c r="G18" s="241">
        <f>'DADOS E-MAIL '!$E$34</f>
        <v>70069.13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90" zoomScaleNormal="100" zoomScaleSheetLayoutView="100" workbookViewId="0">
      <selection activeCell="C104" sqref="C104:T105"/>
    </sheetView>
  </sheetViews>
  <sheetFormatPr defaultRowHeight="15" x14ac:dyDescent="0.25"/>
  <cols>
    <col min="4" max="4" width="9.7109375" customWidth="1"/>
    <col min="7" max="7" width="9.140625" customWidth="1"/>
  </cols>
  <sheetData>
    <row r="1" spans="1:22" x14ac:dyDescent="0.25">
      <c r="A1" s="304"/>
      <c r="B1" s="304"/>
      <c r="C1" s="304"/>
      <c r="D1" s="304"/>
      <c r="E1" s="304"/>
      <c r="F1" s="304"/>
      <c r="G1" s="304"/>
      <c r="H1" s="304"/>
      <c r="I1" s="304"/>
      <c r="J1" s="304"/>
      <c r="K1" s="304"/>
      <c r="L1" s="304"/>
      <c r="M1" s="304"/>
      <c r="N1" s="304"/>
      <c r="O1" s="304"/>
      <c r="P1" s="304"/>
      <c r="Q1" s="304"/>
      <c r="R1" s="304"/>
      <c r="S1" s="304"/>
      <c r="T1" s="304"/>
      <c r="U1" s="304"/>
      <c r="V1" s="304"/>
    </row>
    <row r="2" spans="1:22" x14ac:dyDescent="0.25">
      <c r="A2" s="304"/>
      <c r="B2" s="304"/>
      <c r="C2" s="304"/>
      <c r="D2" s="304"/>
      <c r="E2" s="304"/>
      <c r="F2" s="304"/>
      <c r="G2" s="304"/>
      <c r="H2" s="1198" t="str">
        <f>(_xlfn.CONCAT("MV ",CAPA!B8))</f>
        <v>MV Wen De</v>
      </c>
      <c r="I2" s="1198"/>
      <c r="J2" s="1198"/>
      <c r="K2" s="1198"/>
      <c r="L2" s="1198"/>
      <c r="M2" s="1198"/>
      <c r="N2" s="1198"/>
      <c r="O2" s="1198"/>
      <c r="P2" s="304"/>
      <c r="Q2" s="304"/>
      <c r="R2" s="1199" t="s">
        <v>664</v>
      </c>
      <c r="S2" s="1199"/>
      <c r="T2" s="1199"/>
      <c r="U2" s="1199"/>
      <c r="V2" s="304"/>
    </row>
    <row r="3" spans="1:22" x14ac:dyDescent="0.25">
      <c r="A3" s="304"/>
      <c r="B3" s="304"/>
      <c r="C3" s="304"/>
      <c r="D3" s="304"/>
      <c r="E3" s="304"/>
      <c r="F3" s="304"/>
      <c r="G3" s="304"/>
      <c r="H3" s="1198"/>
      <c r="I3" s="1198"/>
      <c r="J3" s="1198"/>
      <c r="K3" s="1198"/>
      <c r="L3" s="1198"/>
      <c r="M3" s="1198"/>
      <c r="N3" s="1198"/>
      <c r="O3" s="1198"/>
      <c r="P3" s="304"/>
      <c r="Q3" s="304"/>
      <c r="R3" s="1200">
        <f>Draft!Z78</f>
        <v>70069.13</v>
      </c>
      <c r="S3" s="1200"/>
      <c r="T3" s="1200"/>
      <c r="U3" s="1200"/>
      <c r="V3" s="304"/>
    </row>
    <row r="4" spans="1:22" x14ac:dyDescent="0.25">
      <c r="A4" s="304"/>
      <c r="B4" s="304"/>
      <c r="C4" s="304"/>
      <c r="D4" s="304"/>
      <c r="E4" s="304"/>
      <c r="F4" s="304"/>
      <c r="G4" s="304"/>
      <c r="H4" s="304"/>
      <c r="I4" s="304"/>
      <c r="J4" s="304"/>
      <c r="K4" s="304"/>
      <c r="L4" s="304"/>
      <c r="M4" s="304"/>
      <c r="N4" s="304"/>
      <c r="O4" s="304"/>
      <c r="P4" s="304"/>
      <c r="Q4" s="304"/>
      <c r="R4" s="1199"/>
      <c r="S4" s="1199"/>
      <c r="T4" s="1199"/>
      <c r="U4" s="1199"/>
      <c r="V4" s="304"/>
    </row>
    <row r="5" spans="1:22" ht="15.75" thickBot="1" x14ac:dyDescent="0.3">
      <c r="A5" s="304"/>
      <c r="B5" s="304"/>
      <c r="C5" s="304"/>
      <c r="D5" s="304"/>
      <c r="E5" s="304"/>
      <c r="F5" s="304"/>
      <c r="G5" s="304"/>
      <c r="H5" s="688"/>
      <c r="I5" s="688"/>
      <c r="J5" s="688"/>
      <c r="K5" s="688"/>
      <c r="L5" s="688"/>
      <c r="M5" s="688"/>
      <c r="N5" s="688"/>
      <c r="O5" s="688"/>
      <c r="P5" s="304"/>
      <c r="Q5" s="304"/>
      <c r="R5" s="304"/>
      <c r="S5" s="304"/>
      <c r="T5" s="304"/>
      <c r="U5" s="304"/>
      <c r="V5" s="304"/>
    </row>
    <row r="6" spans="1:22" ht="20.25" thickTop="1" thickBot="1" x14ac:dyDescent="0.35">
      <c r="A6" s="304"/>
      <c r="B6" s="304"/>
      <c r="C6" s="304"/>
      <c r="D6" s="304"/>
      <c r="E6" s="304"/>
      <c r="F6" s="304"/>
      <c r="G6" s="304"/>
      <c r="H6" s="1201" t="s">
        <v>663</v>
      </c>
      <c r="I6" s="1201"/>
      <c r="J6" s="1201"/>
      <c r="K6" s="1202"/>
      <c r="L6" s="1203" t="s">
        <v>662</v>
      </c>
      <c r="M6" s="1201"/>
      <c r="N6" s="1201"/>
      <c r="O6" s="1201"/>
      <c r="P6" s="304"/>
      <c r="Q6" s="304"/>
      <c r="R6" s="304"/>
      <c r="S6" s="304"/>
      <c r="T6" s="304"/>
      <c r="U6" s="304"/>
      <c r="V6" s="304"/>
    </row>
    <row r="7" spans="1:22" ht="15.75" thickTop="1" x14ac:dyDescent="0.25">
      <c r="A7" s="304"/>
      <c r="B7" s="304"/>
      <c r="C7" s="304"/>
      <c r="D7" s="304"/>
      <c r="E7" s="304"/>
      <c r="F7" s="304"/>
      <c r="G7" s="304"/>
      <c r="H7" s="304"/>
      <c r="I7" s="304"/>
      <c r="J7" s="304"/>
      <c r="K7" s="304"/>
      <c r="L7" s="304"/>
      <c r="M7" s="304"/>
      <c r="N7" s="304"/>
      <c r="O7" s="304"/>
      <c r="P7" s="304"/>
      <c r="Q7" s="304"/>
      <c r="R7" s="304"/>
      <c r="S7" s="304"/>
      <c r="T7" s="304"/>
      <c r="U7" s="304"/>
      <c r="V7" s="304"/>
    </row>
    <row r="8" spans="1:22" x14ac:dyDescent="0.25">
      <c r="A8" s="304"/>
      <c r="B8" s="304"/>
      <c r="C8" s="304"/>
      <c r="D8" s="304"/>
      <c r="E8" s="304"/>
      <c r="F8" s="304"/>
      <c r="G8" s="304"/>
      <c r="H8" s="304"/>
      <c r="I8" s="304"/>
      <c r="J8" s="304"/>
      <c r="K8" s="304"/>
      <c r="L8" s="304"/>
      <c r="M8" s="304"/>
      <c r="N8" s="304"/>
      <c r="O8" s="304"/>
      <c r="P8" s="304"/>
      <c r="Q8" s="304"/>
      <c r="R8" s="304"/>
      <c r="S8" s="304"/>
      <c r="T8" s="304"/>
      <c r="U8" s="304"/>
      <c r="V8" s="304"/>
    </row>
    <row r="9" spans="1:22" x14ac:dyDescent="0.25">
      <c r="A9" s="304"/>
      <c r="B9" s="304"/>
      <c r="C9" s="304"/>
      <c r="D9" s="304"/>
      <c r="E9" s="304"/>
      <c r="F9" s="304"/>
      <c r="G9" s="304"/>
      <c r="H9" s="304"/>
      <c r="I9" s="304"/>
      <c r="J9" s="304"/>
      <c r="K9" s="304"/>
      <c r="L9" s="304"/>
      <c r="M9" s="304"/>
      <c r="N9" s="304"/>
      <c r="O9" s="304"/>
      <c r="P9" s="304"/>
      <c r="Q9" s="304"/>
      <c r="R9" s="304"/>
      <c r="S9" s="304"/>
      <c r="T9" s="304"/>
      <c r="U9" s="304"/>
      <c r="V9" s="304"/>
    </row>
    <row r="10" spans="1:22" ht="15" customHeight="1" x14ac:dyDescent="0.25">
      <c r="A10" s="304"/>
      <c r="B10" s="304"/>
      <c r="C10" s="1204" t="s">
        <v>661</v>
      </c>
      <c r="D10" s="1204"/>
      <c r="E10" s="1204"/>
      <c r="F10" s="1204"/>
      <c r="G10" s="1204"/>
      <c r="H10" s="1204"/>
      <c r="I10" s="1204"/>
      <c r="J10" s="1204"/>
      <c r="K10" s="1204"/>
      <c r="L10" s="1204"/>
      <c r="M10" s="1204"/>
      <c r="N10" s="1204"/>
      <c r="O10" s="1204"/>
      <c r="P10" s="1204"/>
      <c r="Q10" s="1204"/>
      <c r="R10" s="1204"/>
      <c r="S10" s="1204"/>
      <c r="T10" s="1204"/>
      <c r="U10" s="304"/>
      <c r="V10" s="304"/>
    </row>
    <row r="11" spans="1:22" ht="15" customHeight="1" x14ac:dyDescent="0.25">
      <c r="A11" s="304"/>
      <c r="B11" s="304"/>
      <c r="C11" s="1204"/>
      <c r="D11" s="1204"/>
      <c r="E11" s="1204"/>
      <c r="F11" s="1204"/>
      <c r="G11" s="1204"/>
      <c r="H11" s="1204"/>
      <c r="I11" s="1204"/>
      <c r="J11" s="1204"/>
      <c r="K11" s="1204"/>
      <c r="L11" s="1204"/>
      <c r="M11" s="1204"/>
      <c r="N11" s="1204"/>
      <c r="O11" s="1204"/>
      <c r="P11" s="1204"/>
      <c r="Q11" s="1204"/>
      <c r="R11" s="1204"/>
      <c r="S11" s="1204"/>
      <c r="T11" s="1204"/>
      <c r="U11" s="304"/>
      <c r="V11" s="304"/>
    </row>
    <row r="12" spans="1:22" ht="15" customHeight="1" x14ac:dyDescent="0.25">
      <c r="A12" s="304"/>
      <c r="B12" s="304"/>
      <c r="C12" s="1204"/>
      <c r="D12" s="1204"/>
      <c r="E12" s="1204"/>
      <c r="F12" s="1204"/>
      <c r="G12" s="1204"/>
      <c r="H12" s="1204"/>
      <c r="I12" s="1204"/>
      <c r="J12" s="1204"/>
      <c r="K12" s="1204"/>
      <c r="L12" s="1204"/>
      <c r="M12" s="1204"/>
      <c r="N12" s="1204"/>
      <c r="O12" s="1204"/>
      <c r="P12" s="1204"/>
      <c r="Q12" s="1204"/>
      <c r="R12" s="1204"/>
      <c r="S12" s="1204"/>
      <c r="T12" s="1204"/>
      <c r="U12" s="304"/>
      <c r="V12" s="304"/>
    </row>
    <row r="13" spans="1:22" ht="18" customHeight="1" x14ac:dyDescent="0.25">
      <c r="A13" s="304"/>
      <c r="B13" s="304"/>
      <c r="C13" s="1204"/>
      <c r="D13" s="1204"/>
      <c r="E13" s="1204"/>
      <c r="F13" s="1204"/>
      <c r="G13" s="1204"/>
      <c r="H13" s="1204"/>
      <c r="I13" s="1204"/>
      <c r="J13" s="1204"/>
      <c r="K13" s="1204"/>
      <c r="L13" s="1204"/>
      <c r="M13" s="1204"/>
      <c r="N13" s="1204"/>
      <c r="O13" s="1204"/>
      <c r="P13" s="1204"/>
      <c r="Q13" s="1204"/>
      <c r="R13" s="1204"/>
      <c r="S13" s="1204"/>
      <c r="T13" s="1204"/>
      <c r="U13" s="304"/>
      <c r="V13" s="304"/>
    </row>
    <row r="14" spans="1:22" ht="18" customHeight="1" x14ac:dyDescent="0.25">
      <c r="A14" s="304"/>
      <c r="B14" s="304"/>
      <c r="C14" s="689"/>
      <c r="D14" s="689"/>
      <c r="E14" s="689"/>
      <c r="F14" s="689"/>
      <c r="G14" s="689"/>
      <c r="H14" s="689"/>
      <c r="I14" s="689"/>
      <c r="J14" s="689"/>
      <c r="K14" s="689"/>
      <c r="L14" s="689"/>
      <c r="M14" s="689"/>
      <c r="N14" s="689"/>
      <c r="O14" s="689"/>
      <c r="P14" s="689"/>
      <c r="Q14" s="689"/>
      <c r="R14" s="689"/>
      <c r="S14" s="689"/>
      <c r="T14" s="689"/>
      <c r="U14" s="304"/>
      <c r="V14" s="304"/>
    </row>
    <row r="15" spans="1:22" ht="18" customHeight="1" x14ac:dyDescent="0.25">
      <c r="A15" s="304"/>
      <c r="B15" s="304"/>
      <c r="C15" s="689"/>
      <c r="D15" s="689"/>
      <c r="E15" s="689"/>
      <c r="F15" s="689"/>
      <c r="G15" s="689"/>
      <c r="H15" s="689"/>
      <c r="I15" s="689"/>
      <c r="J15" s="689"/>
      <c r="K15" s="689"/>
      <c r="L15" s="689"/>
      <c r="M15" s="689"/>
      <c r="N15" s="689"/>
      <c r="O15" s="689"/>
      <c r="P15" s="689"/>
      <c r="Q15" s="689"/>
      <c r="R15" s="689"/>
      <c r="S15" s="689"/>
      <c r="T15" s="689"/>
      <c r="U15" s="304"/>
      <c r="V15" s="304"/>
    </row>
    <row r="16" spans="1:22" x14ac:dyDescent="0.25">
      <c r="A16" s="304"/>
      <c r="B16" s="304"/>
      <c r="C16" s="304"/>
      <c r="D16" s="304"/>
      <c r="E16" s="304"/>
      <c r="F16" s="304"/>
      <c r="G16" s="304"/>
      <c r="H16" s="304"/>
      <c r="I16" s="304"/>
      <c r="J16" s="304"/>
      <c r="K16" s="304"/>
      <c r="L16" s="304"/>
      <c r="M16" s="304"/>
      <c r="N16" s="304"/>
      <c r="O16" s="304"/>
      <c r="P16" s="304"/>
      <c r="Q16" s="304"/>
      <c r="R16" s="304"/>
      <c r="S16" s="304"/>
      <c r="T16" s="304"/>
      <c r="U16" s="304"/>
      <c r="V16" s="304"/>
    </row>
    <row r="17" spans="1:22" x14ac:dyDescent="0.25">
      <c r="A17" s="304"/>
      <c r="B17" s="304"/>
      <c r="C17" s="304"/>
      <c r="D17" s="304"/>
      <c r="E17" s="304"/>
      <c r="F17" s="304"/>
      <c r="G17" s="304"/>
      <c r="H17" s="304"/>
      <c r="I17" s="304"/>
      <c r="J17" s="304"/>
      <c r="K17" s="304"/>
      <c r="L17" s="304"/>
      <c r="M17" s="304"/>
      <c r="N17" s="304"/>
      <c r="O17" s="304"/>
      <c r="P17" s="304"/>
      <c r="Q17" s="304"/>
      <c r="R17" s="304"/>
      <c r="S17" s="304"/>
      <c r="T17" s="304"/>
      <c r="U17" s="304"/>
      <c r="V17" s="304"/>
    </row>
    <row r="18" spans="1:22" x14ac:dyDescent="0.25">
      <c r="A18" s="304"/>
      <c r="B18" s="1205" t="s">
        <v>660</v>
      </c>
      <c r="C18" s="1205"/>
      <c r="D18" s="1205"/>
      <c r="E18" s="1205"/>
      <c r="F18" s="1205"/>
      <c r="G18" s="1205"/>
      <c r="H18" s="1205"/>
      <c r="I18" s="1205"/>
      <c r="J18" s="1205"/>
      <c r="K18" s="304"/>
      <c r="L18" s="676"/>
      <c r="M18" s="1205" t="s">
        <v>659</v>
      </c>
      <c r="N18" s="1205"/>
      <c r="O18" s="1205"/>
      <c r="P18" s="1205"/>
      <c r="Q18" s="1205"/>
      <c r="R18" s="1205"/>
      <c r="S18" s="1205"/>
      <c r="T18" s="1205"/>
      <c r="U18" s="1205"/>
      <c r="V18" s="304"/>
    </row>
    <row r="19" spans="1:22" ht="7.5" customHeight="1" x14ac:dyDescent="0.25">
      <c r="A19" s="304"/>
      <c r="B19" s="304"/>
      <c r="C19" s="304"/>
      <c r="D19" s="304"/>
      <c r="E19" s="304"/>
      <c r="F19" s="304"/>
      <c r="G19" s="304"/>
      <c r="H19" s="304"/>
      <c r="I19" s="304"/>
      <c r="J19" s="304"/>
      <c r="K19" s="304"/>
      <c r="L19" s="304"/>
      <c r="M19" s="304"/>
      <c r="N19" s="304"/>
      <c r="O19" s="304"/>
      <c r="P19" s="304"/>
      <c r="Q19" s="304"/>
      <c r="R19" s="304"/>
      <c r="S19" s="304"/>
      <c r="T19" s="304"/>
      <c r="U19" s="304"/>
      <c r="V19" s="304"/>
    </row>
    <row r="20" spans="1:22" x14ac:dyDescent="0.25">
      <c r="A20" s="304"/>
      <c r="B20" s="1206" t="s">
        <v>658</v>
      </c>
      <c r="C20" s="1206"/>
      <c r="D20" s="1206" t="s">
        <v>657</v>
      </c>
      <c r="E20" s="1206"/>
      <c r="F20" s="1206" t="s">
        <v>656</v>
      </c>
      <c r="G20" s="1206"/>
      <c r="H20" s="1206"/>
      <c r="I20" s="1206"/>
      <c r="J20" s="1206"/>
      <c r="K20" s="304"/>
      <c r="L20" s="304"/>
      <c r="M20" s="1206" t="s">
        <v>658</v>
      </c>
      <c r="N20" s="1206"/>
      <c r="O20" s="1206" t="s">
        <v>657</v>
      </c>
      <c r="P20" s="1206"/>
      <c r="Q20" s="1206" t="s">
        <v>656</v>
      </c>
      <c r="R20" s="1206"/>
      <c r="S20" s="1206"/>
      <c r="T20" s="1206"/>
      <c r="U20" s="1206"/>
      <c r="V20" s="304"/>
    </row>
    <row r="21" spans="1:22" x14ac:dyDescent="0.25">
      <c r="A21" s="304"/>
      <c r="B21" s="1195"/>
      <c r="C21" s="1196"/>
      <c r="D21" s="1196"/>
      <c r="E21" s="1196"/>
      <c r="F21" s="1197"/>
      <c r="G21" s="1197"/>
      <c r="H21" s="1197"/>
      <c r="I21" s="1197"/>
      <c r="J21" s="1197"/>
      <c r="K21" s="304"/>
      <c r="L21" s="304"/>
      <c r="M21" s="1195"/>
      <c r="N21" s="1196"/>
      <c r="O21" s="1196"/>
      <c r="P21" s="1196"/>
      <c r="Q21" s="1197"/>
      <c r="R21" s="1197"/>
      <c r="S21" s="1197"/>
      <c r="T21" s="1197"/>
      <c r="U21" s="1197"/>
      <c r="V21" s="304"/>
    </row>
    <row r="22" spans="1:22" ht="15.75" x14ac:dyDescent="0.25">
      <c r="A22" s="304"/>
      <c r="B22" s="1207">
        <f>Draft!E4</f>
        <v>46114</v>
      </c>
      <c r="C22" s="1208"/>
      <c r="D22" s="1209" t="str">
        <f>_xlfn.CONCAT(TEXT(Draft!O4,"hh:mm")," - ",TEXT(Draft!O6,"hh:mm")," h")</f>
        <v>09:00 - 12:00 h</v>
      </c>
      <c r="E22" s="1208"/>
      <c r="F22" s="1210" t="s">
        <v>655</v>
      </c>
      <c r="G22" s="1210"/>
      <c r="H22" s="1210"/>
      <c r="I22" s="1210"/>
      <c r="J22" s="1210"/>
      <c r="K22" s="691"/>
      <c r="L22" s="691"/>
      <c r="M22" s="1207">
        <v>46115</v>
      </c>
      <c r="N22" s="1208"/>
      <c r="O22" s="1209">
        <v>0.11458333333333333</v>
      </c>
      <c r="P22" s="1208"/>
      <c r="Q22" s="1210" t="s">
        <v>654</v>
      </c>
      <c r="R22" s="1210"/>
      <c r="S22" s="1210"/>
      <c r="T22" s="1210"/>
      <c r="U22" s="1210"/>
      <c r="V22" s="304"/>
    </row>
    <row r="23" spans="1:22" ht="15.75" x14ac:dyDescent="0.25">
      <c r="A23" s="304"/>
      <c r="B23" s="1207">
        <f>Draft!X4</f>
        <v>46117</v>
      </c>
      <c r="C23" s="1208"/>
      <c r="D23" s="1209" t="str">
        <f>_xlfn.CONCAT(TEXT(Draft!AH4,"hh:mm")," - ",TEXT(Draft!AH6,"hh:mm")," h")</f>
        <v>06:00 - 08:30 h</v>
      </c>
      <c r="E23" s="1208"/>
      <c r="F23" s="1210" t="s">
        <v>653</v>
      </c>
      <c r="G23" s="1210"/>
      <c r="H23" s="1210"/>
      <c r="I23" s="1210"/>
      <c r="J23" s="1210"/>
      <c r="K23" s="691"/>
      <c r="L23" s="691"/>
      <c r="M23" s="1207">
        <v>46117</v>
      </c>
      <c r="N23" s="1208"/>
      <c r="O23" s="1209">
        <v>0.22916666666666666</v>
      </c>
      <c r="P23" s="1208"/>
      <c r="Q23" s="1210" t="s">
        <v>652</v>
      </c>
      <c r="R23" s="1210"/>
      <c r="S23" s="1210"/>
      <c r="T23" s="1210"/>
      <c r="U23" s="1210"/>
      <c r="V23" s="304"/>
    </row>
    <row r="24" spans="1:22" x14ac:dyDescent="0.25">
      <c r="A24" s="304"/>
      <c r="B24" s="1213"/>
      <c r="C24" s="1214"/>
      <c r="D24" s="1215"/>
      <c r="E24" s="1214"/>
      <c r="F24" s="1216"/>
      <c r="G24" s="1216"/>
      <c r="H24" s="1216"/>
      <c r="I24" s="1216"/>
      <c r="J24" s="1216"/>
      <c r="K24" s="304"/>
      <c r="L24" s="304"/>
      <c r="M24" s="1213"/>
      <c r="N24" s="1214"/>
      <c r="O24" s="1215"/>
      <c r="P24" s="1214"/>
      <c r="Q24" s="1216"/>
      <c r="R24" s="1216"/>
      <c r="S24" s="1216"/>
      <c r="T24" s="1216"/>
      <c r="U24" s="1216"/>
      <c r="V24" s="304"/>
    </row>
    <row r="25" spans="1:22" x14ac:dyDescent="0.25">
      <c r="A25" s="304"/>
      <c r="B25" s="1213"/>
      <c r="C25" s="1214"/>
      <c r="D25" s="1215"/>
      <c r="E25" s="1214"/>
      <c r="F25" s="1216"/>
      <c r="G25" s="1216"/>
      <c r="H25" s="1216"/>
      <c r="I25" s="1216"/>
      <c r="J25" s="1216"/>
      <c r="K25" s="304"/>
      <c r="L25" s="304"/>
      <c r="M25" s="1213"/>
      <c r="N25" s="1214"/>
      <c r="O25" s="1215"/>
      <c r="P25" s="1214"/>
      <c r="Q25" s="1216"/>
      <c r="R25" s="1216"/>
      <c r="S25" s="1216"/>
      <c r="T25" s="1216"/>
      <c r="U25" s="1216"/>
      <c r="V25" s="304"/>
    </row>
    <row r="26" spans="1:22" x14ac:dyDescent="0.25">
      <c r="A26" s="304"/>
      <c r="B26" s="304"/>
      <c r="C26" s="304"/>
      <c r="D26" s="304"/>
      <c r="E26" s="304"/>
      <c r="F26" s="304"/>
      <c r="G26" s="304"/>
      <c r="H26" s="304"/>
      <c r="I26" s="304"/>
      <c r="J26" s="304"/>
      <c r="K26" s="304"/>
      <c r="L26" s="304"/>
      <c r="M26" s="304"/>
      <c r="N26" s="304"/>
      <c r="O26" s="304"/>
      <c r="P26" s="304"/>
      <c r="Q26" s="304"/>
      <c r="R26" s="304"/>
      <c r="S26" s="304"/>
      <c r="T26" s="304"/>
      <c r="U26" s="304"/>
      <c r="V26" s="304"/>
    </row>
    <row r="27" spans="1:22" x14ac:dyDescent="0.25">
      <c r="A27" s="304"/>
      <c r="B27" s="304"/>
      <c r="C27" s="304"/>
      <c r="D27" s="304"/>
      <c r="E27" s="304"/>
      <c r="F27" s="304"/>
      <c r="G27" s="304"/>
      <c r="H27" s="304"/>
      <c r="I27" s="304"/>
      <c r="J27" s="304"/>
      <c r="K27" s="304"/>
      <c r="L27" s="304"/>
      <c r="M27" s="304"/>
      <c r="N27" s="304"/>
      <c r="O27" s="304"/>
      <c r="P27" s="304"/>
      <c r="Q27" s="304"/>
      <c r="R27" s="304"/>
      <c r="S27" s="304"/>
      <c r="T27" s="304"/>
      <c r="U27" s="304"/>
      <c r="V27" s="304"/>
    </row>
    <row r="28" spans="1:22" x14ac:dyDescent="0.25">
      <c r="A28" s="304"/>
      <c r="B28" s="304"/>
      <c r="C28" s="304"/>
      <c r="D28" s="304"/>
      <c r="E28" s="304"/>
      <c r="F28" s="304"/>
      <c r="G28" s="304"/>
      <c r="H28" s="304"/>
      <c r="I28" s="304"/>
      <c r="J28" s="304"/>
      <c r="K28" s="304"/>
      <c r="L28" s="304"/>
      <c r="M28" s="304"/>
      <c r="N28" s="304"/>
      <c r="O28" s="304"/>
      <c r="P28" s="304"/>
      <c r="Q28" s="304"/>
      <c r="R28" s="304"/>
      <c r="S28" s="304"/>
      <c r="T28" s="304"/>
      <c r="U28" s="304"/>
      <c r="V28" s="304"/>
    </row>
    <row r="29" spans="1:22" x14ac:dyDescent="0.25">
      <c r="A29" s="304"/>
      <c r="B29" s="304"/>
      <c r="C29" s="304"/>
      <c r="D29" s="1205" t="s">
        <v>651</v>
      </c>
      <c r="E29" s="1205"/>
      <c r="F29" s="1205"/>
      <c r="G29" s="1205"/>
      <c r="H29" s="1205"/>
      <c r="I29" s="1205"/>
      <c r="J29" s="1205"/>
      <c r="K29" s="1205"/>
      <c r="L29" s="1205"/>
      <c r="M29" s="1205"/>
      <c r="N29" s="1205"/>
      <c r="O29" s="1205"/>
      <c r="P29" s="1205"/>
      <c r="Q29" s="1205"/>
      <c r="R29" s="1205"/>
      <c r="S29" s="1205"/>
      <c r="T29" s="304"/>
      <c r="U29" s="304"/>
      <c r="V29" s="304"/>
    </row>
    <row r="30" spans="1:22" x14ac:dyDescent="0.25">
      <c r="A30" s="304"/>
      <c r="B30" s="304"/>
      <c r="C30" s="304"/>
      <c r="D30" s="304"/>
      <c r="E30" s="304"/>
      <c r="F30" s="304"/>
      <c r="G30" s="304"/>
      <c r="H30" s="304"/>
      <c r="I30" s="304"/>
      <c r="J30" s="304"/>
      <c r="K30" s="304"/>
      <c r="L30" s="676"/>
      <c r="M30" s="304"/>
      <c r="N30" s="304"/>
      <c r="O30" s="304"/>
      <c r="P30" s="304"/>
      <c r="Q30" s="304"/>
      <c r="R30" s="304"/>
      <c r="S30" s="304"/>
      <c r="T30" s="304"/>
      <c r="U30" s="304"/>
      <c r="V30" s="304"/>
    </row>
    <row r="31" spans="1:22" x14ac:dyDescent="0.25">
      <c r="A31" s="304"/>
      <c r="B31" s="678"/>
      <c r="C31" s="678"/>
      <c r="D31" s="678"/>
      <c r="E31" s="678"/>
      <c r="F31" s="678"/>
      <c r="G31" s="678"/>
      <c r="H31" s="678"/>
      <c r="I31" s="678"/>
      <c r="J31" s="678"/>
      <c r="K31" s="304"/>
      <c r="L31" s="676"/>
      <c r="M31" s="678"/>
      <c r="N31" s="678"/>
      <c r="O31" s="678"/>
      <c r="P31" s="678"/>
      <c r="Q31" s="678"/>
      <c r="R31" s="678"/>
      <c r="S31" s="678"/>
      <c r="T31" s="678"/>
      <c r="U31" s="678"/>
      <c r="V31" s="304"/>
    </row>
    <row r="32" spans="1:22" ht="28.5" x14ac:dyDescent="0.25">
      <c r="A32" s="304"/>
      <c r="B32" s="678"/>
      <c r="C32" s="678"/>
      <c r="D32" s="678"/>
      <c r="E32" s="678"/>
      <c r="F32" s="678"/>
      <c r="G32" s="1224">
        <f>H74</f>
        <v>70069.13</v>
      </c>
      <c r="H32" s="1225"/>
      <c r="I32" s="1225"/>
      <c r="J32" s="1225"/>
      <c r="K32" s="1225"/>
      <c r="L32" s="1225"/>
      <c r="M32" s="1225"/>
      <c r="N32" s="1225"/>
      <c r="O32" s="1225"/>
      <c r="P32" s="1225"/>
      <c r="Q32" s="1225"/>
      <c r="R32" s="1225"/>
      <c r="S32" s="678"/>
      <c r="T32" s="678"/>
      <c r="U32" s="678"/>
      <c r="V32" s="304"/>
    </row>
    <row r="33" spans="1:22" ht="18.75" x14ac:dyDescent="0.3">
      <c r="A33" s="304"/>
      <c r="B33" s="679"/>
      <c r="C33" s="675"/>
      <c r="D33" s="693"/>
      <c r="E33" s="695"/>
      <c r="F33" s="695"/>
      <c r="G33" s="1250" t="s">
        <v>611</v>
      </c>
      <c r="H33" s="1251"/>
      <c r="I33" s="1251"/>
      <c r="J33" s="1251"/>
      <c r="K33" s="1252" t="s">
        <v>650</v>
      </c>
      <c r="L33" s="1253"/>
      <c r="M33" s="1253"/>
      <c r="N33" s="1253"/>
      <c r="O33" s="1252" t="s">
        <v>650</v>
      </c>
      <c r="P33" s="1253"/>
      <c r="Q33" s="1253"/>
      <c r="R33" s="1253"/>
      <c r="S33" s="675"/>
      <c r="T33" s="675"/>
      <c r="U33" s="679"/>
      <c r="V33" s="304"/>
    </row>
    <row r="34" spans="1:22" ht="18.75" x14ac:dyDescent="0.3">
      <c r="A34" s="304"/>
      <c r="B34" s="304"/>
      <c r="C34" s="675"/>
      <c r="D34" s="694" t="s">
        <v>649</v>
      </c>
      <c r="E34" s="694"/>
      <c r="F34" s="694"/>
      <c r="G34" s="1250" t="s">
        <v>648</v>
      </c>
      <c r="H34" s="1251"/>
      <c r="I34" s="1251"/>
      <c r="J34" s="1251"/>
      <c r="K34" s="1250" t="s">
        <v>648</v>
      </c>
      <c r="L34" s="1251"/>
      <c r="M34" s="1251"/>
      <c r="N34" s="1251"/>
      <c r="O34" s="1252" t="s">
        <v>647</v>
      </c>
      <c r="P34" s="1253"/>
      <c r="Q34" s="1253"/>
      <c r="R34" s="1253"/>
      <c r="S34" s="1212"/>
      <c r="T34" s="1212"/>
      <c r="U34" s="304"/>
      <c r="V34" s="304"/>
    </row>
    <row r="35" spans="1:22" ht="18.75" x14ac:dyDescent="0.3">
      <c r="A35" s="304"/>
      <c r="B35" s="304"/>
      <c r="C35" s="692"/>
      <c r="D35" s="693" t="str">
        <f>'DADOS E-MAIL '!C36</f>
        <v>Standard Brazil</v>
      </c>
      <c r="E35" s="695"/>
      <c r="F35" s="695"/>
      <c r="G35" s="1217">
        <f>'DADOS E-MAIL '!E36</f>
        <v>70092.861594392569</v>
      </c>
      <c r="H35" s="1218"/>
      <c r="I35" s="1218"/>
      <c r="J35" s="1218"/>
      <c r="K35" s="1219">
        <f>'DADOS E-MAIL '!G36</f>
        <v>23.731594392564148</v>
      </c>
      <c r="L35" s="1220"/>
      <c r="M35" s="1220"/>
      <c r="N35" s="1221"/>
      <c r="O35" s="1222">
        <f>IFERROR('DADOS E-MAIL '!I36,"")</f>
        <v>3.3868829815018604E-2</v>
      </c>
      <c r="P35" s="1223"/>
      <c r="Q35" s="1223"/>
      <c r="R35" s="1223"/>
      <c r="S35" s="1211"/>
      <c r="T35" s="1211"/>
      <c r="U35" s="304"/>
      <c r="V35" s="304"/>
    </row>
    <row r="36" spans="1:22" ht="18.75" x14ac:dyDescent="0.3">
      <c r="A36" s="304"/>
      <c r="B36" s="304"/>
      <c r="C36" s="692"/>
      <c r="D36" s="693" t="str">
        <f>'DADOS E-MAIL '!C37</f>
        <v>Comando do navio:</v>
      </c>
      <c r="E36" s="695"/>
      <c r="F36" s="695"/>
      <c r="G36" s="1217">
        <f>'DADOS E-MAIL '!E37</f>
        <v>70044.259999999995</v>
      </c>
      <c r="H36" s="1218"/>
      <c r="I36" s="1218"/>
      <c r="J36" s="1218"/>
      <c r="K36" s="1219">
        <f>'DADOS E-MAIL '!G37</f>
        <v>-24.870000000009895</v>
      </c>
      <c r="L36" s="1220"/>
      <c r="M36" s="1220"/>
      <c r="N36" s="1221"/>
      <c r="O36" s="1222">
        <f>IFERROR('DADOS E-MAIL '!I37,"")</f>
        <v>-3.5493519043278965E-2</v>
      </c>
      <c r="P36" s="1223"/>
      <c r="Q36" s="1223"/>
      <c r="R36" s="1223"/>
      <c r="S36" s="1211"/>
      <c r="T36" s="1211"/>
      <c r="U36" s="304"/>
      <c r="V36" s="304"/>
    </row>
    <row r="37" spans="1:22" ht="18.75" x14ac:dyDescent="0.3">
      <c r="A37" s="304"/>
      <c r="B37" s="304"/>
      <c r="C37" s="692"/>
      <c r="D37" s="693" t="str">
        <f>'DADOS E-MAIL '!C38</f>
        <v>Receita Federal:</v>
      </c>
      <c r="E37" s="695"/>
      <c r="F37" s="695"/>
      <c r="G37" s="1217">
        <f>'DADOS E-MAIL '!E38</f>
        <v>70136.372000000003</v>
      </c>
      <c r="H37" s="1218"/>
      <c r="I37" s="1218"/>
      <c r="J37" s="1218"/>
      <c r="K37" s="1219">
        <f>'DADOS E-MAIL '!G38</f>
        <v>67.24199999999837</v>
      </c>
      <c r="L37" s="1220"/>
      <c r="M37" s="1220"/>
      <c r="N37" s="1221"/>
      <c r="O37" s="1222">
        <f>IFERROR('DADOS E-MAIL '!I38,"")</f>
        <v>9.5965227483198912E-2</v>
      </c>
      <c r="P37" s="1223"/>
      <c r="Q37" s="1223"/>
      <c r="R37" s="1223"/>
      <c r="S37" s="1211"/>
      <c r="T37" s="1211"/>
      <c r="U37" s="304"/>
      <c r="V37" s="304"/>
    </row>
    <row r="38" spans="1:22" ht="18.75" x14ac:dyDescent="0.3">
      <c r="A38" s="304"/>
      <c r="B38" s="304"/>
      <c r="C38" s="674"/>
      <c r="D38" s="693" t="str">
        <f>'DADOS E-MAIL '!C39</f>
        <v>Comprador:</v>
      </c>
      <c r="E38" s="695"/>
      <c r="F38" s="695"/>
      <c r="G38" s="1217">
        <f>IF(D38="","",'DADOS E-MAIL '!E39)</f>
        <v>70106.301000000007</v>
      </c>
      <c r="H38" s="1218"/>
      <c r="I38" s="1218"/>
      <c r="J38" s="1218"/>
      <c r="K38" s="1219">
        <f>IF(D38="","",'DADOS E-MAIL '!G39)</f>
        <v>37.171000000002095</v>
      </c>
      <c r="L38" s="1220"/>
      <c r="M38" s="1220"/>
      <c r="N38" s="1220"/>
      <c r="O38" s="1222">
        <f>IF(D38="","",'DADOS E-MAIL '!I39)</f>
        <v>5.3049038856343857E-2</v>
      </c>
      <c r="P38" s="1223"/>
      <c r="Q38" s="1223"/>
      <c r="R38" s="1223"/>
      <c r="S38" s="1233"/>
      <c r="T38" s="1233"/>
      <c r="U38" s="304"/>
      <c r="V38" s="304"/>
    </row>
    <row r="39" spans="1:22" ht="18.75" x14ac:dyDescent="0.3">
      <c r="A39" s="304"/>
      <c r="B39" s="304"/>
      <c r="C39" s="674"/>
      <c r="D39" s="693" t="str">
        <f>'DADOS E-MAIL '!C40</f>
        <v/>
      </c>
      <c r="E39" s="695"/>
      <c r="F39" s="695"/>
      <c r="G39" s="1217" t="str">
        <f>IF(D39="","",'DADOS E-MAIL '!E40)</f>
        <v/>
      </c>
      <c r="H39" s="1218"/>
      <c r="I39" s="1218"/>
      <c r="J39" s="1218"/>
      <c r="K39" s="1219" t="str">
        <f>IF(D39="","",'DADOS E-MAIL '!G40)</f>
        <v/>
      </c>
      <c r="L39" s="1220"/>
      <c r="M39" s="1220"/>
      <c r="N39" s="1220"/>
      <c r="O39" s="1222" t="str">
        <f>IF(D39="","",'DADOS E-MAIL '!I40)</f>
        <v/>
      </c>
      <c r="P39" s="1223"/>
      <c r="Q39" s="1223"/>
      <c r="R39" s="1223"/>
      <c r="S39" s="690"/>
      <c r="T39" s="690"/>
      <c r="U39" s="304"/>
      <c r="V39" s="304"/>
    </row>
    <row r="40" spans="1:22" ht="18.75" x14ac:dyDescent="0.3">
      <c r="A40" s="304"/>
      <c r="B40" s="304"/>
      <c r="C40" s="674"/>
      <c r="D40" s="693" t="str">
        <f>'DADOS E-MAIL '!C41</f>
        <v/>
      </c>
      <c r="E40" s="695"/>
      <c r="F40" s="695"/>
      <c r="G40" s="1217" t="str">
        <f>IF(D40="","",'DADOS E-MAIL '!E41)</f>
        <v/>
      </c>
      <c r="H40" s="1218"/>
      <c r="I40" s="1218"/>
      <c r="J40" s="1218"/>
      <c r="K40" s="1219" t="str">
        <f>IF(D40="","",'DADOS E-MAIL '!G41)</f>
        <v/>
      </c>
      <c r="L40" s="1220"/>
      <c r="M40" s="1220"/>
      <c r="N40" s="1220"/>
      <c r="O40" s="1222" t="str">
        <f>IF(D40="","",'DADOS E-MAIL '!I41)</f>
        <v/>
      </c>
      <c r="P40" s="1223"/>
      <c r="Q40" s="1223"/>
      <c r="R40" s="1223"/>
      <c r="S40" s="690"/>
      <c r="T40" s="690"/>
      <c r="U40" s="304"/>
      <c r="V40" s="304"/>
    </row>
    <row r="41" spans="1:22" ht="18.75" x14ac:dyDescent="0.3">
      <c r="A41" s="304"/>
      <c r="B41" s="304"/>
      <c r="C41" s="674"/>
      <c r="D41" s="693" t="str">
        <f>'DADOS E-MAIL '!C42</f>
        <v/>
      </c>
      <c r="E41" s="695"/>
      <c r="F41" s="695"/>
      <c r="G41" s="1217" t="str">
        <f>IF(D41="","",'DADOS E-MAIL '!E42)</f>
        <v/>
      </c>
      <c r="H41" s="1218"/>
      <c r="I41" s="1218"/>
      <c r="J41" s="1218"/>
      <c r="K41" s="1219" t="str">
        <f>IF(D41="","",'DADOS E-MAIL '!G42)</f>
        <v/>
      </c>
      <c r="L41" s="1220"/>
      <c r="M41" s="1220"/>
      <c r="N41" s="1220"/>
      <c r="O41" s="1222" t="str">
        <f>IF(D41="","",'DADOS E-MAIL '!I42)</f>
        <v/>
      </c>
      <c r="P41" s="1223"/>
      <c r="Q41" s="1223"/>
      <c r="R41" s="1223"/>
      <c r="S41" s="690"/>
      <c r="T41" s="690"/>
      <c r="U41" s="304"/>
      <c r="V41" s="304"/>
    </row>
    <row r="42" spans="1:22" ht="18.75" x14ac:dyDescent="0.3">
      <c r="A42" s="304"/>
      <c r="B42" s="304"/>
      <c r="C42" s="674"/>
      <c r="D42" s="693"/>
      <c r="E42" s="695"/>
      <c r="F42" s="695"/>
      <c r="G42" s="1217" t="str">
        <f>IF(D42="","",'DADOS E-MAIL '!E43)</f>
        <v/>
      </c>
      <c r="H42" s="1218"/>
      <c r="I42" s="1218"/>
      <c r="J42" s="1218"/>
      <c r="K42" s="1219" t="str">
        <f>IF(D42="","",'DADOS E-MAIL '!G43)</f>
        <v/>
      </c>
      <c r="L42" s="1220"/>
      <c r="M42" s="1220"/>
      <c r="N42" s="1220"/>
      <c r="O42" s="1222" t="str">
        <f>IF(D42="","",'DADOS E-MAIL '!I43)</f>
        <v/>
      </c>
      <c r="P42" s="1223"/>
      <c r="Q42" s="1223"/>
      <c r="R42" s="1223"/>
      <c r="S42" s="1214"/>
      <c r="T42" s="1214"/>
      <c r="U42" s="304"/>
      <c r="V42" s="304"/>
    </row>
    <row r="43" spans="1:22" x14ac:dyDescent="0.25">
      <c r="A43" s="304"/>
      <c r="B43" s="304"/>
      <c r="C43" s="304"/>
      <c r="D43" s="304"/>
      <c r="E43" s="304"/>
      <c r="F43" s="304"/>
      <c r="G43" s="304"/>
      <c r="H43" s="304"/>
      <c r="I43" s="304"/>
      <c r="J43" s="304"/>
      <c r="K43" s="304"/>
      <c r="L43" s="304"/>
      <c r="M43" s="304"/>
      <c r="N43" s="304"/>
      <c r="O43" s="304"/>
      <c r="P43" s="304"/>
      <c r="Q43" s="304"/>
      <c r="R43" s="304"/>
      <c r="S43" s="304"/>
      <c r="T43" s="304"/>
      <c r="U43" s="304"/>
      <c r="V43" s="304"/>
    </row>
    <row r="44" spans="1:22" x14ac:dyDescent="0.25">
      <c r="A44" s="304"/>
      <c r="B44" s="304"/>
      <c r="C44" s="304"/>
      <c r="D44" s="304"/>
      <c r="E44" s="304"/>
      <c r="F44" s="304"/>
      <c r="G44" s="304"/>
      <c r="H44" s="304"/>
      <c r="I44" s="304"/>
      <c r="J44" s="304"/>
      <c r="K44" s="304"/>
      <c r="L44" s="304"/>
      <c r="M44" s="304"/>
      <c r="N44" s="304"/>
      <c r="O44" s="304"/>
      <c r="P44" s="304"/>
      <c r="Q44" s="304"/>
      <c r="R44" s="304"/>
      <c r="S44" s="304"/>
      <c r="T44" s="304"/>
      <c r="U44" s="304"/>
      <c r="V44" s="304"/>
    </row>
    <row r="45" spans="1:22" x14ac:dyDescent="0.25">
      <c r="A45" s="304"/>
      <c r="B45" s="304"/>
      <c r="C45" s="304"/>
      <c r="D45" s="1205" t="s">
        <v>610</v>
      </c>
      <c r="E45" s="1205"/>
      <c r="F45" s="1205"/>
      <c r="G45" s="1205"/>
      <c r="H45" s="1205"/>
      <c r="I45" s="1205"/>
      <c r="J45" s="1205"/>
      <c r="K45" s="1205"/>
      <c r="L45" s="1205"/>
      <c r="M45" s="1205"/>
      <c r="N45" s="1205"/>
      <c r="O45" s="1205"/>
      <c r="P45" s="1205"/>
      <c r="Q45" s="1205"/>
      <c r="R45" s="1205"/>
      <c r="S45" s="1205"/>
      <c r="T45" s="676"/>
      <c r="U45" s="304"/>
      <c r="V45" s="304"/>
    </row>
    <row r="46" spans="1:22" x14ac:dyDescent="0.25">
      <c r="A46" s="304"/>
      <c r="B46" s="304"/>
      <c r="C46" s="304"/>
      <c r="D46" s="678"/>
      <c r="E46" s="678"/>
      <c r="F46" s="678"/>
      <c r="G46" s="678"/>
      <c r="H46" s="678"/>
      <c r="I46" s="678"/>
      <c r="J46" s="678"/>
      <c r="K46" s="678"/>
      <c r="L46" s="678"/>
      <c r="M46" s="678"/>
      <c r="N46" s="678"/>
      <c r="O46" s="678"/>
      <c r="P46" s="678"/>
      <c r="Q46" s="678"/>
      <c r="R46" s="678"/>
      <c r="S46" s="678"/>
      <c r="T46" s="676"/>
      <c r="U46" s="304"/>
      <c r="V46" s="304"/>
    </row>
    <row r="47" spans="1:22" x14ac:dyDescent="0.25">
      <c r="A47" s="304"/>
      <c r="B47" s="304"/>
      <c r="C47" s="304"/>
      <c r="D47" s="678"/>
      <c r="E47" s="678"/>
      <c r="F47" s="678"/>
      <c r="G47" s="678"/>
      <c r="H47" s="678"/>
      <c r="I47" s="678"/>
      <c r="J47" s="678"/>
      <c r="K47" s="678"/>
      <c r="L47" s="678"/>
      <c r="M47" s="678"/>
      <c r="N47" s="678"/>
      <c r="O47" s="678"/>
      <c r="P47" s="678"/>
      <c r="Q47" s="678"/>
      <c r="R47" s="678"/>
      <c r="S47" s="678"/>
      <c r="T47" s="676"/>
      <c r="U47" s="304"/>
      <c r="V47" s="304"/>
    </row>
    <row r="48" spans="1:22" x14ac:dyDescent="0.25">
      <c r="A48" s="304"/>
      <c r="B48" s="304"/>
      <c r="C48" s="304"/>
      <c r="D48" s="304"/>
      <c r="E48" s="304"/>
      <c r="F48" s="304"/>
      <c r="G48" s="304"/>
      <c r="H48" s="304"/>
      <c r="I48" s="304"/>
      <c r="J48" s="304"/>
      <c r="K48" s="304"/>
      <c r="L48" s="304"/>
      <c r="M48" s="304"/>
      <c r="N48" s="304"/>
      <c r="O48" s="304"/>
      <c r="P48" s="304"/>
      <c r="Q48" s="304"/>
      <c r="R48" s="304"/>
      <c r="S48" s="304"/>
      <c r="T48" s="304"/>
      <c r="U48" s="304"/>
      <c r="V48" s="304"/>
    </row>
    <row r="49" spans="1:22" x14ac:dyDescent="0.25">
      <c r="A49" s="304"/>
      <c r="B49" s="304"/>
      <c r="C49" s="304"/>
      <c r="D49" s="304"/>
      <c r="E49" s="304"/>
      <c r="F49" s="304"/>
      <c r="G49" s="304"/>
      <c r="H49" s="304"/>
      <c r="I49" s="304"/>
      <c r="J49" s="304"/>
      <c r="K49" s="304"/>
      <c r="L49" s="304"/>
      <c r="M49" s="304"/>
      <c r="N49" s="304"/>
      <c r="O49" s="304"/>
      <c r="P49" s="304"/>
      <c r="Q49" s="304"/>
      <c r="R49" s="304"/>
      <c r="S49" s="304"/>
      <c r="T49" s="304"/>
      <c r="U49" s="304"/>
      <c r="V49" s="304"/>
    </row>
    <row r="50" spans="1:22" x14ac:dyDescent="0.25">
      <c r="A50" s="304"/>
      <c r="B50" s="304"/>
      <c r="C50" s="304"/>
      <c r="D50" s="304"/>
      <c r="E50" s="304"/>
      <c r="F50" s="304"/>
      <c r="G50" s="304"/>
      <c r="H50" s="304"/>
      <c r="I50" s="304"/>
      <c r="J50" s="304"/>
      <c r="K50" s="304"/>
      <c r="L50" s="304"/>
      <c r="M50" s="304"/>
      <c r="N50" s="304"/>
      <c r="O50" s="304"/>
      <c r="P50" s="304"/>
      <c r="Q50" s="304"/>
      <c r="R50" s="304"/>
      <c r="S50" s="304"/>
      <c r="T50" s="304"/>
      <c r="U50" s="304"/>
      <c r="V50" s="304"/>
    </row>
    <row r="51" spans="1:22" x14ac:dyDescent="0.25">
      <c r="A51" s="304"/>
      <c r="B51" s="304"/>
      <c r="C51" s="304"/>
      <c r="D51" s="304"/>
      <c r="E51" s="304"/>
      <c r="F51" s="304"/>
      <c r="G51" s="304"/>
      <c r="H51" s="304"/>
      <c r="I51" s="304"/>
      <c r="J51" s="304"/>
      <c r="K51" s="304"/>
      <c r="L51" s="304"/>
      <c r="M51" s="304"/>
      <c r="N51" s="304"/>
      <c r="O51" s="304"/>
      <c r="P51" s="304"/>
      <c r="Q51" s="304"/>
      <c r="R51" s="304"/>
      <c r="S51" s="304"/>
      <c r="T51" s="304"/>
      <c r="U51" s="304"/>
      <c r="V51" s="304"/>
    </row>
    <row r="52" spans="1:22" x14ac:dyDescent="0.25">
      <c r="A52" s="304"/>
      <c r="B52" s="304"/>
      <c r="C52" s="304"/>
      <c r="D52" s="304"/>
      <c r="E52" s="304"/>
      <c r="F52" s="304"/>
      <c r="G52" s="304"/>
      <c r="H52" s="304"/>
      <c r="I52" s="304"/>
      <c r="J52" s="304"/>
      <c r="K52" s="304"/>
      <c r="L52" s="304"/>
      <c r="M52" s="304"/>
      <c r="N52" s="304"/>
      <c r="O52" s="304"/>
      <c r="P52" s="304"/>
      <c r="Q52" s="304"/>
      <c r="R52" s="304"/>
      <c r="S52" s="304"/>
      <c r="T52" s="304"/>
      <c r="U52" s="304"/>
      <c r="V52" s="304"/>
    </row>
    <row r="53" spans="1:22" x14ac:dyDescent="0.25">
      <c r="A53" s="304"/>
      <c r="B53" s="304"/>
      <c r="C53" s="304"/>
      <c r="D53" s="304"/>
      <c r="E53" s="304"/>
      <c r="F53" s="304"/>
      <c r="G53" s="304"/>
      <c r="H53" s="304"/>
      <c r="I53" s="304"/>
      <c r="J53" s="304"/>
      <c r="K53" s="304"/>
      <c r="L53" s="304"/>
      <c r="M53" s="304"/>
      <c r="N53" s="304"/>
      <c r="O53" s="304"/>
      <c r="P53" s="304"/>
      <c r="Q53" s="304"/>
      <c r="R53" s="304"/>
      <c r="S53" s="304"/>
      <c r="T53" s="304"/>
      <c r="U53" s="304"/>
      <c r="V53" s="304"/>
    </row>
    <row r="54" spans="1:22" x14ac:dyDescent="0.25">
      <c r="A54" s="304"/>
      <c r="B54" s="304"/>
      <c r="C54" s="304"/>
      <c r="D54" s="304"/>
      <c r="E54" s="304"/>
      <c r="F54" s="304"/>
      <c r="G54" s="304"/>
      <c r="H54" s="304"/>
      <c r="I54" s="304"/>
      <c r="J54" s="304"/>
      <c r="K54" s="304"/>
      <c r="L54" s="304"/>
      <c r="M54" s="304"/>
      <c r="N54" s="304"/>
      <c r="O54" s="304"/>
      <c r="P54" s="304"/>
      <c r="Q54" s="304"/>
      <c r="R54" s="304"/>
      <c r="S54" s="304"/>
      <c r="T54" s="304"/>
      <c r="U54" s="304"/>
      <c r="V54" s="304"/>
    </row>
    <row r="55" spans="1:22" x14ac:dyDescent="0.25">
      <c r="A55" s="304"/>
      <c r="B55" s="304"/>
      <c r="C55" s="304"/>
      <c r="D55" s="304"/>
      <c r="E55" s="304"/>
      <c r="F55" s="304"/>
      <c r="G55" s="304"/>
      <c r="H55" s="304"/>
      <c r="I55" s="304"/>
      <c r="J55" s="304"/>
      <c r="K55" s="304"/>
      <c r="L55" s="304"/>
      <c r="M55" s="304"/>
      <c r="N55" s="304"/>
      <c r="O55" s="304"/>
      <c r="P55" s="304"/>
      <c r="Q55" s="304"/>
      <c r="R55" s="304"/>
      <c r="S55" s="304"/>
      <c r="T55" s="304"/>
      <c r="U55" s="304"/>
      <c r="V55" s="304"/>
    </row>
    <row r="56" spans="1:22" x14ac:dyDescent="0.25">
      <c r="A56" s="304"/>
      <c r="B56" s="304"/>
      <c r="C56" s="304"/>
      <c r="D56" s="304"/>
      <c r="E56" s="304"/>
      <c r="F56" s="304"/>
      <c r="G56" s="304"/>
      <c r="H56" s="304"/>
      <c r="I56" s="304"/>
      <c r="J56" s="304"/>
      <c r="K56" s="304"/>
      <c r="L56" s="304"/>
      <c r="M56" s="304"/>
      <c r="N56" s="304"/>
      <c r="O56" s="304"/>
      <c r="P56" s="304"/>
      <c r="Q56" s="304"/>
      <c r="R56" s="304"/>
      <c r="S56" s="304"/>
      <c r="T56" s="304"/>
      <c r="U56" s="304"/>
      <c r="V56" s="304"/>
    </row>
    <row r="57" spans="1:22" x14ac:dyDescent="0.25">
      <c r="A57" s="304"/>
      <c r="B57" s="304"/>
      <c r="C57" s="304"/>
      <c r="D57" s="304"/>
      <c r="E57" s="304"/>
      <c r="F57" s="304"/>
      <c r="G57" s="304"/>
      <c r="H57" s="304"/>
      <c r="I57" s="304"/>
      <c r="J57" s="304"/>
      <c r="K57" s="304"/>
      <c r="L57" s="304"/>
      <c r="M57" s="304"/>
      <c r="N57" s="304"/>
      <c r="O57" s="304"/>
      <c r="P57" s="304"/>
      <c r="Q57" s="304"/>
      <c r="R57" s="304"/>
      <c r="S57" s="304"/>
      <c r="T57" s="304"/>
      <c r="U57" s="304"/>
      <c r="V57" s="304"/>
    </row>
    <row r="58" spans="1:22" x14ac:dyDescent="0.25">
      <c r="A58" s="304"/>
      <c r="B58" s="304"/>
      <c r="C58" s="304"/>
      <c r="D58" s="304"/>
      <c r="E58" s="304"/>
      <c r="F58" s="304"/>
      <c r="G58" s="304"/>
      <c r="H58" s="304"/>
      <c r="I58" s="304"/>
      <c r="J58" s="304"/>
      <c r="K58" s="304"/>
      <c r="L58" s="304"/>
      <c r="M58" s="304"/>
      <c r="N58" s="304"/>
      <c r="O58" s="304"/>
      <c r="P58" s="304"/>
      <c r="Q58" s="304"/>
      <c r="R58" s="304"/>
      <c r="S58" s="304"/>
      <c r="T58" s="304"/>
      <c r="U58" s="304"/>
      <c r="V58" s="304"/>
    </row>
    <row r="59" spans="1:22" x14ac:dyDescent="0.25">
      <c r="A59" s="304"/>
      <c r="B59" s="304"/>
      <c r="C59" s="304"/>
      <c r="D59" s="304"/>
      <c r="E59" s="304"/>
      <c r="F59" s="304"/>
      <c r="G59" s="304"/>
      <c r="H59" s="304"/>
      <c r="I59" s="304"/>
      <c r="J59" s="304"/>
      <c r="K59" s="304"/>
      <c r="L59" s="304"/>
      <c r="M59" s="304"/>
      <c r="N59" s="304"/>
      <c r="O59" s="304"/>
      <c r="P59" s="304"/>
      <c r="Q59" s="304"/>
      <c r="R59" s="304"/>
      <c r="S59" s="304"/>
      <c r="T59" s="304"/>
      <c r="U59" s="304"/>
      <c r="V59" s="304"/>
    </row>
    <row r="60" spans="1:22" x14ac:dyDescent="0.25">
      <c r="A60" s="304"/>
      <c r="B60" s="304"/>
      <c r="C60" s="304"/>
      <c r="D60" s="304"/>
      <c r="E60" s="304"/>
      <c r="F60" s="304"/>
      <c r="G60" s="304"/>
      <c r="H60" s="304"/>
      <c r="I60" s="304"/>
      <c r="J60" s="304"/>
      <c r="K60" s="304"/>
      <c r="L60" s="304"/>
      <c r="M60" s="304"/>
      <c r="N60" s="304"/>
      <c r="O60" s="304"/>
      <c r="P60" s="304"/>
      <c r="Q60" s="304"/>
      <c r="R60" s="304"/>
      <c r="S60" s="304"/>
      <c r="T60" s="304"/>
      <c r="U60" s="304"/>
      <c r="V60" s="304"/>
    </row>
    <row r="61" spans="1:22" x14ac:dyDescent="0.25">
      <c r="A61" s="304"/>
      <c r="B61" s="304"/>
      <c r="C61" s="304"/>
      <c r="D61" s="304"/>
      <c r="E61" s="304"/>
      <c r="F61" s="304"/>
      <c r="G61" s="304"/>
      <c r="H61" s="304"/>
      <c r="I61" s="304"/>
      <c r="J61" s="304"/>
      <c r="K61" s="304"/>
      <c r="L61" s="304"/>
      <c r="M61" s="304"/>
      <c r="N61" s="304"/>
      <c r="O61" s="304"/>
      <c r="P61" s="304"/>
      <c r="Q61" s="304"/>
      <c r="R61" s="304"/>
      <c r="S61" s="304"/>
      <c r="T61" s="304"/>
      <c r="U61" s="304"/>
      <c r="V61" s="304"/>
    </row>
    <row r="62" spans="1:22" x14ac:dyDescent="0.25">
      <c r="A62" s="304"/>
      <c r="B62" s="304"/>
      <c r="C62" s="304"/>
      <c r="D62" s="304"/>
      <c r="E62" s="304"/>
      <c r="F62" s="304"/>
      <c r="G62" s="304"/>
      <c r="H62" s="304"/>
      <c r="I62" s="304"/>
      <c r="J62" s="304"/>
      <c r="K62" s="304"/>
      <c r="L62" s="304"/>
      <c r="M62" s="304"/>
      <c r="N62" s="304"/>
      <c r="O62" s="304"/>
      <c r="P62" s="304"/>
      <c r="Q62" s="304"/>
      <c r="R62" s="304"/>
      <c r="S62" s="304"/>
      <c r="T62" s="304"/>
      <c r="U62" s="304"/>
      <c r="V62" s="304"/>
    </row>
    <row r="63" spans="1:22" x14ac:dyDescent="0.25">
      <c r="A63" s="304"/>
      <c r="B63" s="304"/>
      <c r="C63" s="304"/>
      <c r="D63" s="304"/>
      <c r="E63" s="304"/>
      <c r="F63" s="304"/>
      <c r="G63" s="304"/>
      <c r="H63" s="304"/>
      <c r="I63" s="304"/>
      <c r="J63" s="304"/>
      <c r="K63" s="304"/>
      <c r="L63" s="304"/>
      <c r="M63" s="304"/>
      <c r="N63" s="304"/>
      <c r="O63" s="304"/>
      <c r="P63" s="304"/>
      <c r="Q63" s="304"/>
      <c r="R63" s="304"/>
      <c r="S63" s="304"/>
      <c r="T63" s="304"/>
      <c r="U63" s="304"/>
      <c r="V63" s="304"/>
    </row>
    <row r="64" spans="1:22" x14ac:dyDescent="0.25">
      <c r="A64" s="304"/>
      <c r="B64" s="304"/>
      <c r="C64" s="304"/>
      <c r="D64" s="304"/>
      <c r="E64" s="304"/>
      <c r="F64" s="304"/>
      <c r="G64" s="304"/>
      <c r="H64" s="304"/>
      <c r="I64" s="304"/>
      <c r="J64" s="304"/>
      <c r="K64" s="304"/>
      <c r="L64" s="304"/>
      <c r="M64" s="304"/>
      <c r="N64" s="304"/>
      <c r="O64" s="304"/>
      <c r="P64" s="304"/>
      <c r="Q64" s="304"/>
      <c r="R64" s="304"/>
      <c r="S64" s="304"/>
      <c r="T64" s="304"/>
      <c r="U64" s="304"/>
      <c r="V64" s="304"/>
    </row>
    <row r="65" spans="1:22" x14ac:dyDescent="0.25">
      <c r="A65" s="304"/>
      <c r="B65" s="304"/>
      <c r="C65" s="1230"/>
      <c r="D65" s="1230"/>
      <c r="E65" s="1230"/>
      <c r="F65" s="1230"/>
      <c r="G65" s="1230"/>
      <c r="H65" s="1230"/>
      <c r="I65" s="1230"/>
      <c r="J65" s="1230"/>
      <c r="K65" s="676"/>
      <c r="L65" s="676"/>
      <c r="M65" s="1230"/>
      <c r="N65" s="1230"/>
      <c r="O65" s="1230"/>
      <c r="P65" s="1230"/>
      <c r="Q65" s="1230"/>
      <c r="R65" s="1230"/>
      <c r="S65" s="1230"/>
      <c r="T65" s="1230"/>
      <c r="U65" s="304"/>
      <c r="V65" s="304"/>
    </row>
    <row r="66" spans="1:22" x14ac:dyDescent="0.25">
      <c r="A66" s="304"/>
      <c r="B66" s="304"/>
      <c r="C66" s="1212"/>
      <c r="D66" s="1212"/>
      <c r="E66" s="1212"/>
      <c r="F66" s="1212"/>
      <c r="G66" s="1212"/>
      <c r="H66" s="1212"/>
      <c r="I66" s="1212"/>
      <c r="J66" s="1212"/>
      <c r="K66" s="675"/>
      <c r="L66" s="675"/>
      <c r="M66" s="1212"/>
      <c r="N66" s="1212"/>
      <c r="O66" s="1212"/>
      <c r="P66" s="1212"/>
      <c r="Q66" s="1212"/>
      <c r="R66" s="1212"/>
      <c r="S66" s="1212"/>
      <c r="T66" s="1212"/>
      <c r="U66" s="304"/>
      <c r="V66" s="304"/>
    </row>
    <row r="67" spans="1:22" x14ac:dyDescent="0.25">
      <c r="A67" s="304"/>
      <c r="B67" s="304"/>
      <c r="C67" s="1234"/>
      <c r="D67" s="1234"/>
      <c r="E67" s="1234"/>
      <c r="F67" s="1234"/>
      <c r="G67" s="1234"/>
      <c r="H67" s="1234"/>
      <c r="I67" s="1234"/>
      <c r="J67" s="1234"/>
      <c r="K67" s="304"/>
      <c r="L67" s="304"/>
      <c r="M67" s="304"/>
      <c r="N67" s="304"/>
      <c r="O67" s="304"/>
      <c r="P67" s="304"/>
      <c r="Q67" s="304"/>
      <c r="R67" s="304"/>
      <c r="S67" s="304"/>
      <c r="T67" s="304"/>
      <c r="U67" s="304"/>
      <c r="V67" s="304"/>
    </row>
    <row r="68" spans="1:22" x14ac:dyDescent="0.25">
      <c r="A68" s="304"/>
      <c r="B68" s="304"/>
      <c r="C68" s="304"/>
      <c r="D68" s="1205" t="s">
        <v>646</v>
      </c>
      <c r="E68" s="1205"/>
      <c r="F68" s="1205"/>
      <c r="G68" s="1205"/>
      <c r="H68" s="1205"/>
      <c r="I68" s="1205"/>
      <c r="J68" s="1205"/>
      <c r="K68" s="1205"/>
      <c r="L68" s="1205"/>
      <c r="M68" s="1205"/>
      <c r="N68" s="1205"/>
      <c r="O68" s="1205"/>
      <c r="P68" s="1205"/>
      <c r="Q68" s="1205"/>
      <c r="R68" s="1205"/>
      <c r="S68" s="1205"/>
      <c r="T68" s="304"/>
      <c r="U68" s="304"/>
      <c r="V68" s="304"/>
    </row>
    <row r="69" spans="1:22" x14ac:dyDescent="0.25">
      <c r="A69" s="304"/>
      <c r="B69" s="304"/>
      <c r="C69" s="304"/>
      <c r="D69" s="304"/>
      <c r="E69" s="304"/>
      <c r="F69" s="304"/>
      <c r="G69" s="304"/>
      <c r="H69" s="304"/>
      <c r="I69" s="304"/>
      <c r="J69" s="304"/>
      <c r="K69" s="304"/>
      <c r="L69" s="304"/>
      <c r="M69" s="304"/>
      <c r="N69" s="304"/>
      <c r="O69" s="304"/>
      <c r="P69" s="304"/>
      <c r="Q69" s="304"/>
      <c r="R69" s="304"/>
      <c r="S69" s="304"/>
      <c r="T69" s="304"/>
      <c r="U69" s="304"/>
      <c r="V69" s="304"/>
    </row>
    <row r="70" spans="1:22" ht="22.5" customHeight="1" x14ac:dyDescent="0.25">
      <c r="A70" s="304"/>
      <c r="B70" s="304"/>
      <c r="C70" s="304"/>
      <c r="D70" s="304"/>
      <c r="E70" s="304"/>
      <c r="F70" s="1254" t="s">
        <v>676</v>
      </c>
      <c r="G70" s="1254"/>
      <c r="H70" s="1254"/>
      <c r="I70" s="699"/>
      <c r="J70" s="699"/>
      <c r="K70" s="699"/>
      <c r="L70" s="699"/>
      <c r="M70" s="699"/>
      <c r="N70" s="699"/>
      <c r="O70" s="700" t="s">
        <v>677</v>
      </c>
      <c r="P70" s="700"/>
      <c r="Q70" s="700"/>
      <c r="R70" s="304"/>
      <c r="S70" s="304"/>
      <c r="T70" s="304"/>
      <c r="U70" s="304"/>
      <c r="V70" s="304"/>
    </row>
    <row r="71" spans="1:22" ht="18.75" x14ac:dyDescent="0.3">
      <c r="A71" s="304"/>
      <c r="B71" s="304"/>
      <c r="C71" s="304"/>
      <c r="D71" s="304"/>
      <c r="E71" s="304"/>
      <c r="F71" s="1255" t="str">
        <f>Draft!E5</f>
        <v>Paranaguá, Br - Brazil</v>
      </c>
      <c r="G71" s="1255"/>
      <c r="H71" s="1255"/>
      <c r="I71" s="698"/>
      <c r="J71" s="698"/>
      <c r="K71" s="698"/>
      <c r="L71" s="698"/>
      <c r="M71" s="698"/>
      <c r="N71" s="698"/>
      <c r="O71" s="1255" t="str">
        <f>CAPA!B38</f>
        <v>One China Port</v>
      </c>
      <c r="P71" s="1255"/>
      <c r="Q71" s="1255"/>
      <c r="R71" s="304"/>
      <c r="S71" s="304"/>
      <c r="T71" s="304"/>
      <c r="U71" s="304"/>
      <c r="V71" s="304"/>
    </row>
    <row r="72" spans="1:22" ht="15" customHeight="1" x14ac:dyDescent="0.25">
      <c r="A72" s="304"/>
      <c r="B72" s="304"/>
      <c r="C72" s="304"/>
      <c r="D72" s="304"/>
      <c r="E72" s="304"/>
      <c r="F72" s="304"/>
      <c r="G72" s="304"/>
      <c r="H72" s="677"/>
      <c r="I72" s="677"/>
      <c r="J72" s="677"/>
      <c r="K72" s="677"/>
      <c r="L72" s="677"/>
      <c r="M72" s="677"/>
      <c r="N72" s="677"/>
      <c r="O72" s="677"/>
      <c r="P72" s="304"/>
      <c r="Q72" s="304"/>
      <c r="R72" s="304"/>
      <c r="S72" s="304"/>
      <c r="T72" s="304"/>
      <c r="U72" s="304"/>
      <c r="V72" s="304"/>
    </row>
    <row r="73" spans="1:22" ht="15" customHeight="1" x14ac:dyDescent="0.25">
      <c r="A73" s="304"/>
      <c r="B73" s="304"/>
      <c r="C73" s="304"/>
      <c r="D73" s="304"/>
      <c r="E73" s="304"/>
      <c r="F73" s="304"/>
      <c r="G73" s="304"/>
      <c r="H73" s="1232" t="s">
        <v>643</v>
      </c>
      <c r="I73" s="1232"/>
      <c r="J73" s="1232"/>
      <c r="K73" s="1232"/>
      <c r="L73" s="1232"/>
      <c r="M73" s="1232"/>
      <c r="N73" s="1232"/>
      <c r="O73" s="1232"/>
      <c r="P73" s="304"/>
      <c r="Q73" s="304"/>
      <c r="R73" s="304"/>
      <c r="S73" s="304"/>
      <c r="T73" s="304"/>
      <c r="U73" s="304"/>
      <c r="V73" s="304"/>
    </row>
    <row r="74" spans="1:22" x14ac:dyDescent="0.25">
      <c r="A74" s="304"/>
      <c r="B74" s="304"/>
      <c r="C74" s="304"/>
      <c r="D74" s="304"/>
      <c r="E74" s="304"/>
      <c r="F74" s="304"/>
      <c r="G74" s="304"/>
      <c r="H74" s="1231">
        <f>SUM(E82:R83)</f>
        <v>70069.13</v>
      </c>
      <c r="I74" s="1231"/>
      <c r="J74" s="1231"/>
      <c r="K74" s="1231"/>
      <c r="L74" s="1231"/>
      <c r="M74" s="1231"/>
      <c r="N74" s="1231"/>
      <c r="O74" s="1231"/>
      <c r="P74" s="304"/>
      <c r="Q74" s="304"/>
      <c r="R74" s="304"/>
      <c r="S74" s="304"/>
      <c r="T74" s="304"/>
      <c r="U74" s="304"/>
      <c r="V74" s="304"/>
    </row>
    <row r="75" spans="1:22" ht="15" customHeight="1" x14ac:dyDescent="0.25">
      <c r="A75" s="304"/>
      <c r="B75" s="304"/>
      <c r="C75" s="304"/>
      <c r="D75" s="304"/>
      <c r="E75" s="304"/>
      <c r="F75" s="304"/>
      <c r="G75" s="304"/>
      <c r="H75" s="1231"/>
      <c r="I75" s="1231"/>
      <c r="J75" s="1231"/>
      <c r="K75" s="1231"/>
      <c r="L75" s="1231"/>
      <c r="M75" s="1231"/>
      <c r="N75" s="1231"/>
      <c r="O75" s="1231"/>
      <c r="P75" s="304"/>
      <c r="Q75" s="304"/>
      <c r="R75" s="304"/>
      <c r="S75" s="304"/>
      <c r="T75" s="304"/>
      <c r="U75" s="304"/>
      <c r="V75" s="304"/>
    </row>
    <row r="76" spans="1:22" ht="15" customHeight="1" x14ac:dyDescent="0.25">
      <c r="A76" s="304"/>
      <c r="B76" s="304"/>
      <c r="C76" s="304"/>
      <c r="D76" s="304"/>
      <c r="E76" s="304"/>
      <c r="F76" s="304"/>
      <c r="G76" s="304"/>
      <c r="H76" s="304"/>
      <c r="I76" s="304"/>
      <c r="J76" s="304"/>
      <c r="K76" s="304"/>
      <c r="L76" s="304"/>
      <c r="M76" s="304"/>
      <c r="N76" s="304"/>
      <c r="O76" s="304"/>
      <c r="P76" s="304"/>
      <c r="Q76" s="304"/>
      <c r="R76" s="304"/>
      <c r="S76" s="304"/>
      <c r="T76" s="304"/>
      <c r="U76" s="304"/>
      <c r="V76" s="304"/>
    </row>
    <row r="77" spans="1:22" x14ac:dyDescent="0.25">
      <c r="A77" s="304"/>
      <c r="B77" s="304"/>
      <c r="C77" s="304"/>
      <c r="D77" s="304"/>
      <c r="E77" s="1239" t="str">
        <f>IF(E89=0,"-","PORÃO 7")</f>
        <v>PORÃO 7</v>
      </c>
      <c r="F77" s="1240"/>
      <c r="G77" s="1239" t="str">
        <f>IF(G82=0,"-","PORÃO 6")</f>
        <v>PORÃO 6</v>
      </c>
      <c r="H77" s="1240"/>
      <c r="I77" s="1239" t="str">
        <f>IF(I82=0,"-","PORÃO 5")</f>
        <v>PORÃO 5</v>
      </c>
      <c r="J77" s="1240"/>
      <c r="K77" s="1239" t="str">
        <f>IF(K82=0,"-","PORÃO 4")</f>
        <v>PORÃO 4</v>
      </c>
      <c r="L77" s="1240"/>
      <c r="M77" s="1239" t="str">
        <f>IF(M82=0,"-","PORÃO 3")</f>
        <v>PORÃO 3</v>
      </c>
      <c r="N77" s="1240"/>
      <c r="O77" s="1239" t="str">
        <f>IF(O82=0,"-","PORÃO 2")</f>
        <v>PORÃO 2</v>
      </c>
      <c r="P77" s="1240"/>
      <c r="Q77" s="1239" t="str">
        <f>IF(Q82=0,"-","PORÃO 1")</f>
        <v>PORÃO 1</v>
      </c>
      <c r="R77" s="1240"/>
      <c r="S77" s="304"/>
      <c r="T77" s="304"/>
      <c r="U77" s="304"/>
      <c r="V77" s="304"/>
    </row>
    <row r="78" spans="1:22" x14ac:dyDescent="0.25">
      <c r="A78" s="304"/>
      <c r="B78" s="304"/>
      <c r="C78" s="304"/>
      <c r="D78" s="304"/>
      <c r="E78" s="1241" t="str">
        <f t="shared" ref="E78" si="0">IF(E82=0,"-","PRODUTO")</f>
        <v>PRODUTO</v>
      </c>
      <c r="F78" s="1242"/>
      <c r="G78" s="1241" t="str">
        <f t="shared" ref="G78" si="1">IF(G82=0,"-","PRODUTO")</f>
        <v>PRODUTO</v>
      </c>
      <c r="H78" s="1242"/>
      <c r="I78" s="1241" t="str">
        <f t="shared" ref="I78" si="2">IF(I82=0,"-","PRODUTO")</f>
        <v>PRODUTO</v>
      </c>
      <c r="J78" s="1242"/>
      <c r="K78" s="1241" t="str">
        <f t="shared" ref="K78" si="3">IF(K82=0,"-","PRODUTO")</f>
        <v>PRODUTO</v>
      </c>
      <c r="L78" s="1242"/>
      <c r="M78" s="1241" t="str">
        <f t="shared" ref="M78" si="4">IF(M82=0,"-","PRODUTO")</f>
        <v>PRODUTO</v>
      </c>
      <c r="N78" s="1242"/>
      <c r="O78" s="1241" t="str">
        <f t="shared" ref="O78" si="5">IF(O82=0,"-","PRODUTO")</f>
        <v>PRODUTO</v>
      </c>
      <c r="P78" s="1242"/>
      <c r="Q78" s="1241" t="str">
        <f>IF(Q82=0,"-","PRODUTO")</f>
        <v>PRODUTO</v>
      </c>
      <c r="R78" s="1242"/>
      <c r="S78" s="304"/>
      <c r="T78" s="304"/>
      <c r="U78" s="304"/>
      <c r="V78" s="304"/>
    </row>
    <row r="79" spans="1:22" x14ac:dyDescent="0.25">
      <c r="A79" s="304"/>
      <c r="B79" s="304"/>
      <c r="C79" s="304"/>
      <c r="D79" s="304"/>
      <c r="E79" s="1235" t="str">
        <f>'DADOS E-MAIL '!J53</f>
        <v>Soybeans</v>
      </c>
      <c r="F79" s="1236"/>
      <c r="G79" s="1235" t="str">
        <f>'DADOS E-MAIL '!J52</f>
        <v>Soybeans</v>
      </c>
      <c r="H79" s="1236"/>
      <c r="I79" s="1235" t="str">
        <f>'DADOS E-MAIL '!J51</f>
        <v>Soybeans</v>
      </c>
      <c r="J79" s="1236"/>
      <c r="K79" s="1235" t="str">
        <f>'DADOS E-MAIL '!J50</f>
        <v>Soybeans</v>
      </c>
      <c r="L79" s="1236"/>
      <c r="M79" s="1235" t="str">
        <f>'DADOS E-MAIL '!J49</f>
        <v>Soybeans</v>
      </c>
      <c r="N79" s="1236"/>
      <c r="O79" s="1235" t="str">
        <f>'DADOS E-MAIL '!J48</f>
        <v>Soybeans</v>
      </c>
      <c r="P79" s="1236"/>
      <c r="Q79" s="1235" t="str">
        <f>'DADOS E-MAIL '!J47</f>
        <v>Soybeans</v>
      </c>
      <c r="R79" s="1236"/>
      <c r="S79" s="304"/>
      <c r="T79" s="304"/>
      <c r="U79" s="304"/>
      <c r="V79" s="304"/>
    </row>
    <row r="80" spans="1:22" x14ac:dyDescent="0.25">
      <c r="A80" s="304"/>
      <c r="B80" s="304"/>
      <c r="C80" s="304"/>
      <c r="D80" s="304"/>
      <c r="E80" s="696"/>
      <c r="F80" s="697"/>
      <c r="G80" s="696"/>
      <c r="H80" s="697"/>
      <c r="I80" s="696"/>
      <c r="J80" s="697"/>
      <c r="K80" s="696"/>
      <c r="L80" s="697"/>
      <c r="M80" s="696"/>
      <c r="N80" s="697"/>
      <c r="O80" s="696"/>
      <c r="P80" s="697"/>
      <c r="Q80" s="696"/>
      <c r="R80" s="697"/>
      <c r="S80" s="304"/>
      <c r="T80" s="304"/>
      <c r="U80" s="304"/>
      <c r="V80" s="304"/>
    </row>
    <row r="81" spans="1:22" x14ac:dyDescent="0.25">
      <c r="A81" s="304"/>
      <c r="B81" s="304"/>
      <c r="C81" s="304"/>
      <c r="D81" s="304"/>
      <c r="E81" s="1237" t="str">
        <f>IF(E82=0,"-","TOTAL")</f>
        <v>TOTAL</v>
      </c>
      <c r="F81" s="1238"/>
      <c r="G81" s="1237" t="str">
        <f>IF(G82=0,"-","TOTAL")</f>
        <v>TOTAL</v>
      </c>
      <c r="H81" s="1238"/>
      <c r="I81" s="1237" t="str">
        <f>IF(I82=0,"-","TOTAL")</f>
        <v>TOTAL</v>
      </c>
      <c r="J81" s="1238"/>
      <c r="K81" s="1237" t="str">
        <f>IF(K82=0,"-","TOTAL")</f>
        <v>TOTAL</v>
      </c>
      <c r="L81" s="1238"/>
      <c r="M81" s="1237" t="str">
        <f>IF(M82=0,"-","TOTAL")</f>
        <v>TOTAL</v>
      </c>
      <c r="N81" s="1238"/>
      <c r="O81" s="1237" t="str">
        <f>IF(O82=0,"-","TOTAL")</f>
        <v>TOTAL</v>
      </c>
      <c r="P81" s="1238"/>
      <c r="Q81" s="1237" t="str">
        <f>IF(Q82=0,"-","TOTAL")</f>
        <v>TOTAL</v>
      </c>
      <c r="R81" s="1238"/>
      <c r="S81" s="304"/>
      <c r="T81" s="304"/>
      <c r="U81" s="304"/>
      <c r="V81" s="304"/>
    </row>
    <row r="82" spans="1:22" x14ac:dyDescent="0.25">
      <c r="A82" s="304"/>
      <c r="B82" s="304"/>
      <c r="C82" s="304"/>
      <c r="D82" s="304"/>
      <c r="E82" s="1256">
        <f>'DADOS E-MAIL '!D53</f>
        <v>9780.6450000000004</v>
      </c>
      <c r="F82" s="1257"/>
      <c r="G82" s="1256">
        <f>'DADOS E-MAIL '!D52</f>
        <v>10299.11</v>
      </c>
      <c r="H82" s="1257"/>
      <c r="I82" s="1256">
        <f>'DADOS E-MAIL '!D51</f>
        <v>10317.275</v>
      </c>
      <c r="J82" s="1257"/>
      <c r="K82" s="1256">
        <f>'DADOS E-MAIL '!D50</f>
        <v>9665.6049999999996</v>
      </c>
      <c r="L82" s="1257"/>
      <c r="M82" s="1256">
        <f>'DADOS E-MAIL '!D49</f>
        <v>10755.76</v>
      </c>
      <c r="N82" s="1257"/>
      <c r="O82" s="1256">
        <f>'DADOS E-MAIL '!D48</f>
        <v>10341.594999999999</v>
      </c>
      <c r="P82" s="1257"/>
      <c r="Q82" s="1256">
        <f>'DADOS E-MAIL '!D47</f>
        <v>8909.14</v>
      </c>
      <c r="R82" s="1257"/>
      <c r="S82" s="304"/>
      <c r="T82" s="304"/>
      <c r="U82" s="304"/>
      <c r="V82" s="304"/>
    </row>
    <row r="83" spans="1:22" ht="15.75" customHeight="1" x14ac:dyDescent="0.25">
      <c r="A83" s="304"/>
      <c r="B83" s="304"/>
      <c r="C83" s="304"/>
      <c r="D83" s="304"/>
      <c r="E83" s="1258"/>
      <c r="F83" s="1259"/>
      <c r="G83" s="1258"/>
      <c r="H83" s="1259"/>
      <c r="I83" s="1258"/>
      <c r="J83" s="1259"/>
      <c r="K83" s="1258"/>
      <c r="L83" s="1259"/>
      <c r="M83" s="1258"/>
      <c r="N83" s="1259"/>
      <c r="O83" s="1258"/>
      <c r="P83" s="1259"/>
      <c r="Q83" s="1258"/>
      <c r="R83" s="1259"/>
      <c r="S83" s="304"/>
      <c r="T83" s="304"/>
      <c r="U83" s="304"/>
      <c r="V83" s="304"/>
    </row>
    <row r="84" spans="1:22" x14ac:dyDescent="0.25">
      <c r="A84" s="304"/>
      <c r="B84" s="304"/>
      <c r="C84" s="304"/>
      <c r="D84" s="304"/>
      <c r="E84" s="1228" t="str">
        <f>'DADOS E-MAIL '!H53</f>
        <v>FULL</v>
      </c>
      <c r="F84" s="1227"/>
      <c r="G84" s="1228" t="str">
        <f>'DADOS E-MAIL '!H52</f>
        <v>FULL</v>
      </c>
      <c r="H84" s="1227"/>
      <c r="I84" s="1228" t="str">
        <f>'DADOS E-MAIL '!H51</f>
        <v>FULL</v>
      </c>
      <c r="J84" s="1227"/>
      <c r="K84" s="1228" t="str">
        <f>'DADOS E-MAIL '!H50</f>
        <v>FULL</v>
      </c>
      <c r="L84" s="1227"/>
      <c r="M84" s="1228" t="str">
        <f>'DADOS E-MAIL '!H49</f>
        <v>FULL</v>
      </c>
      <c r="N84" s="1227"/>
      <c r="O84" s="1228" t="str">
        <f>'DADOS E-MAIL '!H48</f>
        <v>FULL</v>
      </c>
      <c r="P84" s="1227"/>
      <c r="Q84" s="1228" t="str">
        <f>'DADOS E-MAIL '!H47</f>
        <v>FULL</v>
      </c>
      <c r="R84" s="1227"/>
      <c r="S84" s="304"/>
      <c r="T84" s="304"/>
      <c r="U84" s="304"/>
      <c r="V84" s="304"/>
    </row>
    <row r="85" spans="1:22" x14ac:dyDescent="0.25">
      <c r="A85" s="304"/>
      <c r="B85" s="304"/>
      <c r="C85" s="304"/>
      <c r="D85" s="304"/>
      <c r="E85" s="1229" t="str">
        <f>IF(E82=0,"-","FATOR DE ESTIVA")</f>
        <v>FATOR DE ESTIVA</v>
      </c>
      <c r="F85" s="1227"/>
      <c r="G85" s="1229" t="str">
        <f>IF(G82=0,"-","FATOR DE ESTIVA")</f>
        <v>FATOR DE ESTIVA</v>
      </c>
      <c r="H85" s="1227"/>
      <c r="I85" s="1229" t="str">
        <f>IF(I82=0,"-","FATOR DE ESTIVA")</f>
        <v>FATOR DE ESTIVA</v>
      </c>
      <c r="J85" s="1227"/>
      <c r="K85" s="1229" t="str">
        <f>IF(K82=0,"-","FATOR DE ESTIVA")</f>
        <v>FATOR DE ESTIVA</v>
      </c>
      <c r="L85" s="1227"/>
      <c r="M85" s="1229" t="str">
        <f>IF(M82=0,"-","FATOR DE ESTIVA")</f>
        <v>FATOR DE ESTIVA</v>
      </c>
      <c r="N85" s="1227"/>
      <c r="O85" s="1229" t="str">
        <f>IF(O82=0,"-","FATOR DE ESTIVA")</f>
        <v>FATOR DE ESTIVA</v>
      </c>
      <c r="P85" s="1227"/>
      <c r="Q85" s="1229" t="str">
        <f>IF(Q82=0,"-","FATOR DE ESTIVA")</f>
        <v>FATOR DE ESTIVA</v>
      </c>
      <c r="R85" s="1227"/>
      <c r="S85" s="304"/>
      <c r="T85" s="304"/>
      <c r="U85" s="304"/>
      <c r="V85" s="304"/>
    </row>
    <row r="86" spans="1:22" x14ac:dyDescent="0.25">
      <c r="A86" s="304"/>
      <c r="B86" s="304"/>
      <c r="C86" s="304"/>
      <c r="D86" s="304"/>
      <c r="E86" s="1226">
        <f>IFERROR((E89/E82),"")</f>
        <v>51.296412455415769</v>
      </c>
      <c r="F86" s="1227"/>
      <c r="G86" s="1226">
        <f>IFERROR((G89/G82),"")</f>
        <v>48.340778960512118</v>
      </c>
      <c r="H86" s="1227"/>
      <c r="I86" s="1226">
        <f>IFERROR((I89/I82),"")</f>
        <v>48.366841050568105</v>
      </c>
      <c r="J86" s="1227"/>
      <c r="K86" s="1226">
        <f>IFERROR((K89/K82),"")</f>
        <v>49.133499661945635</v>
      </c>
      <c r="L86" s="1227"/>
      <c r="M86" s="1226">
        <f>IFERROR((M89/M82),"")</f>
        <v>48.324990516709185</v>
      </c>
      <c r="N86" s="1227"/>
      <c r="O86" s="1226">
        <f>IFERROR((O89/O82),"")</f>
        <v>48.137062029599889</v>
      </c>
      <c r="P86" s="1227"/>
      <c r="Q86" s="1226">
        <f>IFERROR((Q89/Q82),"")</f>
        <v>49.254697984317232</v>
      </c>
      <c r="R86" s="1227"/>
      <c r="S86" s="304"/>
      <c r="T86" s="304"/>
      <c r="U86" s="304"/>
      <c r="V86" s="304"/>
    </row>
    <row r="87" spans="1:22" x14ac:dyDescent="0.25">
      <c r="A87" s="304"/>
      <c r="B87" s="304"/>
      <c r="C87" s="304"/>
      <c r="D87" s="304"/>
      <c r="E87" s="696"/>
      <c r="F87" s="697"/>
      <c r="G87" s="696"/>
      <c r="H87" s="697"/>
      <c r="I87" s="696"/>
      <c r="J87" s="697"/>
      <c r="K87" s="696"/>
      <c r="L87" s="697"/>
      <c r="M87" s="696"/>
      <c r="N87" s="697"/>
      <c r="O87" s="696"/>
      <c r="P87" s="697"/>
      <c r="Q87" s="696"/>
      <c r="R87" s="697"/>
      <c r="S87" s="304"/>
      <c r="T87" s="304"/>
      <c r="U87" s="304"/>
      <c r="V87" s="304"/>
    </row>
    <row r="88" spans="1:22" x14ac:dyDescent="0.25">
      <c r="A88" s="304"/>
      <c r="B88" s="304"/>
      <c r="C88" s="304"/>
      <c r="D88" s="304"/>
      <c r="E88" s="1245" t="str">
        <f>IF(E82=0,"-","CUBAGEM")</f>
        <v>CUBAGEM</v>
      </c>
      <c r="F88" s="1246"/>
      <c r="G88" s="1245" t="str">
        <f>IF(G82=0,"-","CUBAGEM")</f>
        <v>CUBAGEM</v>
      </c>
      <c r="H88" s="1246"/>
      <c r="I88" s="1245" t="str">
        <f>IF(I82=0,"-","CUBAGEM")</f>
        <v>CUBAGEM</v>
      </c>
      <c r="J88" s="1246"/>
      <c r="K88" s="1245" t="str">
        <f>IF(K82=0,"-","CUBAGEM")</f>
        <v>CUBAGEM</v>
      </c>
      <c r="L88" s="1246"/>
      <c r="M88" s="1245" t="str">
        <f>IF(M82=0,"-","CUBAGEM")</f>
        <v>CUBAGEM</v>
      </c>
      <c r="N88" s="1246"/>
      <c r="O88" s="1245" t="str">
        <f>IF(O82=0,"-","CUBAGEM")</f>
        <v>CUBAGEM</v>
      </c>
      <c r="P88" s="1246"/>
      <c r="Q88" s="1245" t="str">
        <f>IF(Q82=0,"-","CUBAGEM")</f>
        <v>CUBAGEM</v>
      </c>
      <c r="R88" s="1246"/>
      <c r="S88" s="304"/>
      <c r="T88" s="304"/>
      <c r="U88" s="304"/>
      <c r="V88" s="304"/>
    </row>
    <row r="89" spans="1:22" x14ac:dyDescent="0.25">
      <c r="A89" s="304"/>
      <c r="B89" s="304"/>
      <c r="C89" s="304"/>
      <c r="D89" s="304"/>
      <c r="E89" s="1243">
        <f>'DADOS E-MAIL '!F53</f>
        <v>501712</v>
      </c>
      <c r="F89" s="1244"/>
      <c r="G89" s="1243">
        <f>'DADOS E-MAIL '!F52</f>
        <v>497867</v>
      </c>
      <c r="H89" s="1244"/>
      <c r="I89" s="1243">
        <f>'DADOS E-MAIL '!F51</f>
        <v>499014</v>
      </c>
      <c r="J89" s="1244"/>
      <c r="K89" s="1243">
        <f>'DADOS E-MAIL '!F50</f>
        <v>474905</v>
      </c>
      <c r="L89" s="1244"/>
      <c r="M89" s="1243">
        <f>'DADOS E-MAIL '!F49</f>
        <v>519772</v>
      </c>
      <c r="N89" s="1244"/>
      <c r="O89" s="1243">
        <f>'DADOS E-MAIL '!F48</f>
        <v>497814</v>
      </c>
      <c r="P89" s="1244"/>
      <c r="Q89" s="1243">
        <f>'DADOS E-MAIL '!F47</f>
        <v>438817</v>
      </c>
      <c r="R89" s="1244"/>
      <c r="S89" s="304"/>
      <c r="T89" s="304"/>
      <c r="U89" s="304"/>
      <c r="V89" s="304"/>
    </row>
    <row r="90" spans="1:22" x14ac:dyDescent="0.25">
      <c r="A90" s="304"/>
      <c r="B90" s="304"/>
      <c r="C90" s="304"/>
      <c r="D90" s="304"/>
      <c r="E90" s="304"/>
      <c r="F90" s="304"/>
      <c r="G90" s="304"/>
      <c r="H90" s="304"/>
      <c r="I90" s="304"/>
      <c r="J90" s="304"/>
      <c r="K90" s="304"/>
      <c r="L90" s="304"/>
      <c r="M90" s="304"/>
      <c r="N90" s="304"/>
      <c r="O90" s="304"/>
      <c r="P90" s="304"/>
      <c r="Q90" s="304"/>
      <c r="R90" s="304"/>
      <c r="S90" s="304"/>
      <c r="T90" s="304"/>
      <c r="U90" s="304"/>
      <c r="V90" s="304"/>
    </row>
    <row r="91" spans="1:22" x14ac:dyDescent="0.25">
      <c r="A91" s="304"/>
      <c r="B91" s="304"/>
      <c r="C91" s="304"/>
      <c r="D91" s="304"/>
      <c r="E91" s="304"/>
      <c r="F91" s="304"/>
      <c r="G91" s="304"/>
      <c r="H91" s="304"/>
      <c r="I91" s="304"/>
      <c r="J91" s="304"/>
      <c r="K91" s="304"/>
      <c r="L91" s="304"/>
      <c r="M91" s="304"/>
      <c r="N91" s="304"/>
      <c r="O91" s="304"/>
      <c r="P91" s="304"/>
      <c r="Q91" s="304"/>
      <c r="R91" s="304"/>
      <c r="S91" s="304"/>
      <c r="T91" s="304"/>
      <c r="U91" s="304"/>
      <c r="V91" s="304"/>
    </row>
    <row r="92" spans="1:22" ht="15" customHeight="1" x14ac:dyDescent="0.25">
      <c r="A92" s="304"/>
      <c r="B92" s="304"/>
      <c r="C92" s="304"/>
      <c r="D92" s="304"/>
      <c r="E92" s="304"/>
      <c r="F92" s="304"/>
      <c r="G92" s="304"/>
      <c r="H92" s="304"/>
      <c r="I92" s="304"/>
      <c r="J92" s="304"/>
      <c r="K92" s="304"/>
      <c r="L92" s="304"/>
      <c r="M92" s="304"/>
      <c r="N92" s="304"/>
      <c r="O92" s="304"/>
      <c r="P92" s="304"/>
      <c r="Q92" s="304"/>
      <c r="R92" s="304"/>
      <c r="S92" s="304"/>
      <c r="T92" s="304"/>
      <c r="U92" s="304"/>
      <c r="V92" s="304"/>
    </row>
    <row r="93" spans="1:22" x14ac:dyDescent="0.25">
      <c r="A93" s="304"/>
      <c r="B93" s="304"/>
      <c r="C93" s="304"/>
      <c r="D93" s="304"/>
      <c r="E93" s="304"/>
      <c r="F93" s="304"/>
      <c r="G93" s="304"/>
      <c r="H93" s="304"/>
      <c r="I93" s="304"/>
      <c r="J93" s="304"/>
      <c r="K93" s="304"/>
      <c r="L93" s="304"/>
      <c r="M93" s="304"/>
      <c r="N93" s="304"/>
      <c r="O93" s="304"/>
      <c r="P93" s="304"/>
      <c r="Q93" s="304"/>
      <c r="R93" s="304"/>
      <c r="S93" s="304"/>
      <c r="T93" s="304"/>
      <c r="U93" s="304"/>
      <c r="V93" s="304"/>
    </row>
    <row r="94" spans="1:22" x14ac:dyDescent="0.25">
      <c r="A94" s="304"/>
      <c r="B94" s="304"/>
      <c r="C94" s="304"/>
      <c r="D94" s="304"/>
      <c r="E94" s="304"/>
      <c r="F94" s="304"/>
      <c r="G94" s="304"/>
      <c r="H94" s="304"/>
      <c r="I94" s="304"/>
      <c r="J94" s="304"/>
      <c r="K94" s="304"/>
      <c r="L94" s="304"/>
      <c r="M94" s="304"/>
      <c r="N94" s="304"/>
      <c r="O94" s="304"/>
      <c r="P94" s="304"/>
      <c r="Q94" s="304"/>
      <c r="R94" s="304"/>
      <c r="S94" s="304"/>
      <c r="T94" s="304"/>
      <c r="U94" s="304"/>
      <c r="V94" s="304"/>
    </row>
    <row r="95" spans="1:22" ht="23.25" x14ac:dyDescent="0.35">
      <c r="A95" s="304"/>
      <c r="B95" s="304"/>
      <c r="C95" s="304"/>
      <c r="D95" s="1249" t="s">
        <v>645</v>
      </c>
      <c r="E95" s="1249"/>
      <c r="F95" s="1249"/>
      <c r="G95" s="1249"/>
      <c r="H95" s="1249"/>
      <c r="I95" s="1249"/>
      <c r="J95" s="1249"/>
      <c r="K95" s="1249"/>
      <c r="L95" s="1249"/>
      <c r="M95" s="1249"/>
      <c r="N95" s="1249"/>
      <c r="O95" s="1249"/>
      <c r="P95" s="1249"/>
      <c r="Q95" s="1249"/>
      <c r="R95" s="1249"/>
      <c r="S95" s="1249"/>
      <c r="T95" s="304"/>
      <c r="U95" s="304"/>
      <c r="V95" s="304"/>
    </row>
    <row r="97" spans="2:21" x14ac:dyDescent="0.25">
      <c r="B97" s="714"/>
      <c r="C97" s="714"/>
      <c r="D97" s="717"/>
      <c r="E97" s="717"/>
      <c r="F97" s="717"/>
      <c r="G97" s="718"/>
      <c r="H97" s="718"/>
      <c r="I97" s="717"/>
      <c r="J97" s="717"/>
      <c r="K97" s="714"/>
      <c r="L97" s="717"/>
      <c r="M97" s="717"/>
      <c r="N97" s="717"/>
      <c r="O97" s="717"/>
      <c r="P97" s="717"/>
      <c r="Q97" s="717"/>
      <c r="R97" s="717"/>
      <c r="S97" s="717"/>
      <c r="T97" s="714"/>
      <c r="U97" s="714"/>
    </row>
    <row r="98" spans="2:21" x14ac:dyDescent="0.25">
      <c r="B98" s="1247">
        <v>1</v>
      </c>
      <c r="C98" s="1248" t="s">
        <v>644</v>
      </c>
      <c r="D98" s="1248"/>
      <c r="E98" s="1248"/>
      <c r="F98" s="1248"/>
      <c r="G98" s="1248"/>
      <c r="H98" s="1248"/>
      <c r="I98" s="1248"/>
      <c r="J98" s="1248"/>
      <c r="K98" s="1248"/>
      <c r="L98" s="1248"/>
      <c r="M98" s="1248"/>
      <c r="N98" s="1248"/>
      <c r="O98" s="1248"/>
      <c r="P98" s="1248"/>
      <c r="Q98" s="1248"/>
      <c r="R98" s="1248"/>
      <c r="S98" s="1248"/>
      <c r="T98" s="1248"/>
    </row>
    <row r="99" spans="2:21" x14ac:dyDescent="0.25">
      <c r="B99" s="1247"/>
      <c r="C99" s="1248"/>
      <c r="D99" s="1248"/>
      <c r="E99" s="1248"/>
      <c r="F99" s="1248"/>
      <c r="G99" s="1248"/>
      <c r="H99" s="1248"/>
      <c r="I99" s="1248"/>
      <c r="J99" s="1248"/>
      <c r="K99" s="1248"/>
      <c r="L99" s="1248"/>
      <c r="M99" s="1248"/>
      <c r="N99" s="1248"/>
      <c r="O99" s="1248"/>
      <c r="P99" s="1248"/>
      <c r="Q99" s="1248"/>
      <c r="R99" s="1248"/>
      <c r="S99" s="1248"/>
      <c r="T99" s="1248"/>
    </row>
    <row r="100" spans="2:21" x14ac:dyDescent="0.25">
      <c r="B100" s="714"/>
      <c r="C100" s="714"/>
      <c r="D100" s="715"/>
      <c r="E100" s="715"/>
      <c r="F100" s="716"/>
      <c r="G100" s="716"/>
      <c r="H100" s="716"/>
      <c r="I100" s="716"/>
      <c r="J100" s="715"/>
      <c r="K100" s="715"/>
      <c r="L100" s="714"/>
      <c r="M100" s="714"/>
      <c r="N100" s="714"/>
      <c r="O100" s="714"/>
      <c r="P100" s="714"/>
      <c r="Q100" s="714"/>
      <c r="R100" s="714"/>
      <c r="S100" s="714"/>
      <c r="T100" s="714"/>
      <c r="U100" s="714"/>
    </row>
    <row r="101" spans="2:21" x14ac:dyDescent="0.25">
      <c r="B101" s="1247">
        <v>2</v>
      </c>
      <c r="C101" s="1248"/>
      <c r="D101" s="1248"/>
      <c r="E101" s="1248"/>
      <c r="F101" s="1248"/>
      <c r="G101" s="1248"/>
      <c r="H101" s="1248"/>
      <c r="I101" s="1248"/>
      <c r="J101" s="1248"/>
      <c r="K101" s="1248"/>
      <c r="L101" s="1248"/>
      <c r="M101" s="1248"/>
      <c r="N101" s="1248"/>
      <c r="O101" s="1248"/>
      <c r="P101" s="1248"/>
      <c r="Q101" s="1248"/>
      <c r="R101" s="1248"/>
      <c r="S101" s="1248"/>
      <c r="T101" s="1248"/>
    </row>
    <row r="102" spans="2:21" ht="15" customHeight="1" x14ac:dyDescent="0.25">
      <c r="B102" s="1247"/>
      <c r="C102" s="1248"/>
      <c r="D102" s="1248"/>
      <c r="E102" s="1248"/>
      <c r="F102" s="1248"/>
      <c r="G102" s="1248"/>
      <c r="H102" s="1248"/>
      <c r="I102" s="1248"/>
      <c r="J102" s="1248"/>
      <c r="K102" s="1248"/>
      <c r="L102" s="1248"/>
      <c r="M102" s="1248"/>
      <c r="N102" s="1248"/>
      <c r="O102" s="1248"/>
      <c r="P102" s="1248"/>
      <c r="Q102" s="1248"/>
      <c r="R102" s="1248"/>
      <c r="S102" s="1248"/>
      <c r="T102" s="1248"/>
    </row>
    <row r="103" spans="2:21" ht="15" customHeight="1" x14ac:dyDescent="0.25">
      <c r="B103" s="714"/>
      <c r="C103" s="714"/>
      <c r="D103" s="715"/>
      <c r="E103" s="715"/>
      <c r="F103" s="716"/>
      <c r="G103" s="716"/>
      <c r="H103" s="716"/>
      <c r="I103" s="716"/>
      <c r="J103" s="715"/>
      <c r="K103" s="715"/>
      <c r="L103" s="714"/>
      <c r="M103" s="714"/>
      <c r="N103" s="714"/>
      <c r="O103" s="714"/>
      <c r="P103" s="714"/>
      <c r="Q103" s="714"/>
      <c r="R103" s="714"/>
      <c r="S103" s="714"/>
      <c r="T103" s="714"/>
      <c r="U103" s="714"/>
    </row>
    <row r="104" spans="2:21" x14ac:dyDescent="0.25">
      <c r="B104" s="1247">
        <v>3</v>
      </c>
      <c r="C104" s="1248"/>
      <c r="D104" s="1248"/>
      <c r="E104" s="1248"/>
      <c r="F104" s="1248"/>
      <c r="G104" s="1248"/>
      <c r="H104" s="1248"/>
      <c r="I104" s="1248"/>
      <c r="J104" s="1248"/>
      <c r="K104" s="1248"/>
      <c r="L104" s="1248"/>
      <c r="M104" s="1248"/>
      <c r="N104" s="1248"/>
      <c r="O104" s="1248"/>
      <c r="P104" s="1248"/>
      <c r="Q104" s="1248"/>
      <c r="R104" s="1248"/>
      <c r="S104" s="1248"/>
      <c r="T104" s="1248"/>
    </row>
    <row r="105" spans="2:21" x14ac:dyDescent="0.25">
      <c r="B105" s="1247"/>
      <c r="C105" s="1248"/>
      <c r="D105" s="1248"/>
      <c r="E105" s="1248"/>
      <c r="F105" s="1248"/>
      <c r="G105" s="1248"/>
      <c r="H105" s="1248"/>
      <c r="I105" s="1248"/>
      <c r="J105" s="1248"/>
      <c r="K105" s="1248"/>
      <c r="L105" s="1248"/>
      <c r="M105" s="1248"/>
      <c r="N105" s="1248"/>
      <c r="O105" s="1248"/>
      <c r="P105" s="1248"/>
      <c r="Q105" s="1248"/>
      <c r="R105" s="1248"/>
      <c r="S105" s="1248"/>
      <c r="T105" s="1248"/>
    </row>
    <row r="106" spans="2:21" x14ac:dyDescent="0.25">
      <c r="B106" s="714"/>
      <c r="C106" s="714"/>
      <c r="D106" s="715"/>
      <c r="E106" s="715"/>
      <c r="F106" s="716"/>
      <c r="G106" s="716"/>
      <c r="H106" s="716"/>
      <c r="I106" s="716"/>
      <c r="J106" s="715"/>
      <c r="K106" s="715"/>
      <c r="L106" s="714"/>
      <c r="M106" s="714"/>
      <c r="N106" s="714"/>
      <c r="O106" s="714"/>
      <c r="P106" s="714"/>
      <c r="Q106" s="714"/>
      <c r="R106" s="714"/>
      <c r="S106" s="714"/>
      <c r="T106" s="714"/>
      <c r="U106" s="714"/>
    </row>
    <row r="107" spans="2:21" x14ac:dyDescent="0.25">
      <c r="B107" s="1247">
        <v>4</v>
      </c>
      <c r="C107" s="1248"/>
      <c r="D107" s="1248"/>
      <c r="E107" s="1248"/>
      <c r="F107" s="1248"/>
      <c r="G107" s="1248"/>
      <c r="H107" s="1248"/>
      <c r="I107" s="1248"/>
      <c r="J107" s="1248"/>
      <c r="K107" s="1248"/>
      <c r="L107" s="1248"/>
      <c r="M107" s="1248"/>
      <c r="N107" s="1248"/>
      <c r="O107" s="1248"/>
      <c r="P107" s="1248"/>
      <c r="Q107" s="1248"/>
      <c r="R107" s="1248"/>
      <c r="S107" s="1248"/>
      <c r="T107" s="1248"/>
    </row>
    <row r="108" spans="2:21" x14ac:dyDescent="0.25">
      <c r="B108" s="1247"/>
      <c r="C108" s="1248"/>
      <c r="D108" s="1248"/>
      <c r="E108" s="1248"/>
      <c r="F108" s="1248"/>
      <c r="G108" s="1248"/>
      <c r="H108" s="1248"/>
      <c r="I108" s="1248"/>
      <c r="J108" s="1248"/>
      <c r="K108" s="1248"/>
      <c r="L108" s="1248"/>
      <c r="M108" s="1248"/>
      <c r="N108" s="1248"/>
      <c r="O108" s="1248"/>
      <c r="P108" s="1248"/>
      <c r="Q108" s="1248"/>
      <c r="R108" s="1248"/>
      <c r="S108" s="1248"/>
      <c r="T108" s="1248"/>
    </row>
    <row r="109" spans="2:21" x14ac:dyDescent="0.25">
      <c r="B109" s="714"/>
      <c r="C109" s="714"/>
      <c r="D109" s="715"/>
      <c r="E109" s="715"/>
      <c r="F109" s="716"/>
      <c r="G109" s="716"/>
      <c r="H109" s="716"/>
      <c r="I109" s="716"/>
      <c r="J109" s="715"/>
      <c r="K109" s="715"/>
      <c r="L109" s="714"/>
      <c r="M109" s="714"/>
      <c r="N109" s="714"/>
      <c r="O109" s="714"/>
      <c r="P109" s="714"/>
      <c r="Q109" s="714"/>
      <c r="R109" s="714"/>
      <c r="S109" s="714"/>
      <c r="T109" s="714"/>
      <c r="U109" s="714"/>
    </row>
    <row r="110" spans="2:21" x14ac:dyDescent="0.25">
      <c r="B110" s="1247">
        <v>5</v>
      </c>
      <c r="C110" s="1248"/>
      <c r="D110" s="1248"/>
      <c r="E110" s="1248"/>
      <c r="F110" s="1248"/>
      <c r="G110" s="1248"/>
      <c r="H110" s="1248"/>
      <c r="I110" s="1248"/>
      <c r="J110" s="1248"/>
      <c r="K110" s="1248"/>
      <c r="L110" s="1248"/>
      <c r="M110" s="1248"/>
      <c r="N110" s="1248"/>
      <c r="O110" s="1248"/>
      <c r="P110" s="1248"/>
      <c r="Q110" s="1248"/>
      <c r="R110" s="1248"/>
      <c r="S110" s="1248"/>
      <c r="T110" s="1248"/>
    </row>
    <row r="111" spans="2:21" x14ac:dyDescent="0.25">
      <c r="B111" s="1247"/>
      <c r="C111" s="1248"/>
      <c r="D111" s="1248"/>
      <c r="E111" s="1248"/>
      <c r="F111" s="1248"/>
      <c r="G111" s="1248"/>
      <c r="H111" s="1248"/>
      <c r="I111" s="1248"/>
      <c r="J111" s="1248"/>
      <c r="K111" s="1248"/>
      <c r="L111" s="1248"/>
      <c r="M111" s="1248"/>
      <c r="N111" s="1248"/>
      <c r="O111" s="1248"/>
      <c r="P111" s="1248"/>
      <c r="Q111" s="1248"/>
      <c r="R111" s="1248"/>
      <c r="S111" s="1248"/>
      <c r="T111" s="1248"/>
    </row>
    <row r="112" spans="2:21" x14ac:dyDescent="0.25">
      <c r="B112" s="714"/>
      <c r="C112" s="714"/>
      <c r="D112" s="715"/>
      <c r="E112" s="715"/>
      <c r="F112" s="716"/>
      <c r="G112" s="716"/>
      <c r="H112" s="716"/>
      <c r="I112" s="716"/>
      <c r="J112" s="715"/>
      <c r="K112" s="715"/>
      <c r="L112" s="714"/>
      <c r="M112" s="714"/>
      <c r="N112" s="714"/>
      <c r="O112" s="714"/>
      <c r="P112" s="714"/>
      <c r="Q112" s="714"/>
      <c r="R112" s="714"/>
      <c r="S112" s="714"/>
      <c r="T112" s="714"/>
      <c r="U112" s="714"/>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82">
        <v>0</v>
      </c>
      <c r="J3" t="s">
        <v>339</v>
      </c>
      <c r="K3">
        <f>'DADOS E-MAIL '!E23</f>
        <v>10000</v>
      </c>
      <c r="L3" s="680">
        <f>'DADOS E-MAIL '!G23</f>
        <v>14.271620041521851</v>
      </c>
      <c r="M3">
        <f>'DADOS E-MAIL '!E23</f>
        <v>10000</v>
      </c>
    </row>
    <row r="4" spans="2:13" x14ac:dyDescent="0.25">
      <c r="B4" t="s">
        <v>666</v>
      </c>
      <c r="C4" s="682">
        <v>0</v>
      </c>
      <c r="D4">
        <v>17.683333000000001</v>
      </c>
      <c r="J4" t="s">
        <v>340</v>
      </c>
      <c r="K4">
        <f>'DADOS E-MAIL '!E24</f>
        <v>10000</v>
      </c>
      <c r="L4" s="680">
        <f>'DADOS E-MAIL '!G24</f>
        <v>14.271620041521851</v>
      </c>
      <c r="M4">
        <f>'DADOS E-MAIL '!E24</f>
        <v>10000</v>
      </c>
    </row>
    <row r="5" spans="2:13" x14ac:dyDescent="0.25">
      <c r="B5" t="s">
        <v>665</v>
      </c>
      <c r="C5" s="682">
        <v>0</v>
      </c>
      <c r="J5" t="s">
        <v>341</v>
      </c>
      <c r="K5">
        <f>'DADOS E-MAIL '!E25</f>
        <v>0</v>
      </c>
      <c r="L5" s="680">
        <f>'DADOS E-MAIL '!G25</f>
        <v>0</v>
      </c>
      <c r="M5">
        <f>'DADOS E-MAIL '!E25</f>
        <v>0</v>
      </c>
    </row>
    <row r="6" spans="2:13" x14ac:dyDescent="0.25">
      <c r="J6" t="s">
        <v>342</v>
      </c>
      <c r="K6">
        <f>'DADOS E-MAIL '!E26</f>
        <v>0</v>
      </c>
      <c r="L6" s="680">
        <f>'DADOS E-MAIL '!G26</f>
        <v>0</v>
      </c>
      <c r="M6">
        <f>'DADOS E-MAIL '!E26</f>
        <v>0</v>
      </c>
    </row>
    <row r="7" spans="2:13" x14ac:dyDescent="0.25">
      <c r="J7" t="s">
        <v>343</v>
      </c>
      <c r="K7">
        <f>'DADOS E-MAIL '!E27</f>
        <v>13569.13</v>
      </c>
      <c r="L7" s="680">
        <f>'DADOS E-MAIL '!G27</f>
        <v>19.365346765401537</v>
      </c>
      <c r="M7">
        <f>'DADOS E-MAIL '!E27</f>
        <v>13569.13</v>
      </c>
    </row>
    <row r="8" spans="2:13" x14ac:dyDescent="0.25">
      <c r="J8" t="s">
        <v>344</v>
      </c>
      <c r="K8">
        <f>'DADOS E-MAIL '!E28</f>
        <v>9000</v>
      </c>
      <c r="L8" s="680">
        <f>'DADOS E-MAIL '!G28</f>
        <v>12.844458037369666</v>
      </c>
      <c r="M8">
        <f>'DADOS E-MAIL '!E28</f>
        <v>9000</v>
      </c>
    </row>
    <row r="9" spans="2:13" x14ac:dyDescent="0.25">
      <c r="J9" t="s">
        <v>345</v>
      </c>
      <c r="K9">
        <f>'DADOS E-MAIL '!E29</f>
        <v>5000</v>
      </c>
      <c r="L9" s="680">
        <f>'DADOS E-MAIL '!G29</f>
        <v>7.1358100207609256</v>
      </c>
      <c r="M9">
        <f>'DADOS E-MAIL '!E29</f>
        <v>5000</v>
      </c>
    </row>
    <row r="10" spans="2:13" x14ac:dyDescent="0.25">
      <c r="J10" t="s">
        <v>346</v>
      </c>
      <c r="K10">
        <f>'DADOS E-MAIL '!E30</f>
        <v>0</v>
      </c>
      <c r="L10" s="680">
        <f>'DADOS E-MAIL '!G30</f>
        <v>0</v>
      </c>
      <c r="M10">
        <f>'DADOS E-MAIL '!E30</f>
        <v>0</v>
      </c>
    </row>
    <row r="11" spans="2:13" x14ac:dyDescent="0.25">
      <c r="J11" t="s">
        <v>347</v>
      </c>
      <c r="K11">
        <f>'DADOS E-MAIL '!E31</f>
        <v>14500</v>
      </c>
      <c r="L11" s="680">
        <f>'DADOS E-MAIL '!G31</f>
        <v>20.693849060206684</v>
      </c>
      <c r="M11">
        <f>'DADOS E-MAIL '!E31</f>
        <v>14500</v>
      </c>
    </row>
    <row r="12" spans="2:13" x14ac:dyDescent="0.25">
      <c r="J12" t="s">
        <v>348</v>
      </c>
      <c r="K12">
        <f>'DADOS E-MAIL '!E32</f>
        <v>0</v>
      </c>
      <c r="L12" s="680">
        <f>'DADOS E-MAIL '!G32</f>
        <v>0</v>
      </c>
      <c r="M12">
        <f>'DADOS E-MAIL '!E32</f>
        <v>0</v>
      </c>
    </row>
    <row r="13" spans="2:13" x14ac:dyDescent="0.25">
      <c r="J13" t="s">
        <v>349</v>
      </c>
      <c r="K13">
        <f>'DADOS E-MAIL '!E33</f>
        <v>8000</v>
      </c>
      <c r="L13" s="680">
        <f>'DADOS E-MAIL '!G33</f>
        <v>11.417296033217481</v>
      </c>
      <c r="M13">
        <f>'DADOS E-MAIL '!E33</f>
        <v>8000</v>
      </c>
    </row>
    <row r="14" spans="2:13" x14ac:dyDescent="0.25">
      <c r="J14" s="681" t="s">
        <v>609</v>
      </c>
      <c r="K14">
        <f>'DADOS E-MAIL '!E34</f>
        <v>70069.13</v>
      </c>
      <c r="L14" s="680">
        <f>'DADOS E-MAIL '!G34</f>
        <v>100</v>
      </c>
      <c r="M14">
        <f>'DADOS E-MAIL '!E34</f>
        <v>70069.13</v>
      </c>
    </row>
    <row r="15" spans="2:13" x14ac:dyDescent="0.25">
      <c r="L15" s="680"/>
    </row>
    <row r="16" spans="2:13" x14ac:dyDescent="0.25">
      <c r="L16" s="680"/>
    </row>
    <row r="17" spans="12:12" x14ac:dyDescent="0.25">
      <c r="L17" s="680"/>
    </row>
    <row r="18" spans="12:12" x14ac:dyDescent="0.25">
      <c r="L18" s="680"/>
    </row>
    <row r="19" spans="12:12" x14ac:dyDescent="0.25">
      <c r="L19" s="680"/>
    </row>
    <row r="20" spans="12:12" x14ac:dyDescent="0.25">
      <c r="L20" s="680"/>
    </row>
    <row r="21" spans="12:12" x14ac:dyDescent="0.25">
      <c r="L21" s="680"/>
    </row>
    <row r="22" spans="12:12" x14ac:dyDescent="0.25">
      <c r="L22" s="680"/>
    </row>
    <row r="23" spans="12:12" x14ac:dyDescent="0.25">
      <c r="L23" s="680"/>
    </row>
    <row r="24" spans="12:12" x14ac:dyDescent="0.25">
      <c r="L24" s="68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2026-04-14T18:14:38Z</cp:lastPrinted>
  <dcterms:created xsi:type="dcterms:W3CDTF">2015-06-05T18:19:34Z</dcterms:created>
  <dcterms:modified xsi:type="dcterms:W3CDTF">2026-04-14T18:31:34Z</dcterms:modified>
</cp:coreProperties>
</file>