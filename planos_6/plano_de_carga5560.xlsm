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02.03.26 Stella Navis\Miscellaneous\"/>
    </mc:Choice>
  </mc:AlternateContent>
  <xr:revisionPtr revIDLastSave="0" documentId="13_ncr:1_{E62D799F-B6AE-4BEB-9C26-39E0613CF03E}" xr6:coauthVersionLast="47" xr6:coauthVersionMax="47" xr10:uidLastSave="{00000000-0000-0000-0000-000000000000}"/>
  <bookViews>
    <workbookView xWindow="4785" yWindow="3045"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(WPC)'!$A$1:$J$286</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6" l="1"/>
  <c r="G26" i="6"/>
  <c r="D24" i="6"/>
  <c r="C24" i="6"/>
  <c r="F25" i="6"/>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2" i="14"/>
  <c r="A199" i="14"/>
  <c r="A167" i="3"/>
  <c r="A3" i="3"/>
  <c r="A29" i="3" s="1"/>
  <c r="M41" i="7" l="1"/>
  <c r="N42" i="7" s="1"/>
  <c r="M64" i="7"/>
  <c r="O66" i="7" s="1"/>
  <c r="M101" i="7"/>
  <c r="N103"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N81" i="7"/>
  <c r="M108" i="7"/>
  <c r="O103" i="7" l="1"/>
  <c r="O42"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G81" i="24" s="1"/>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I80" i="24"/>
  <c r="K8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C181" i="18"/>
  <c r="D184" i="18" s="1"/>
  <c r="C50" i="18"/>
  <c r="D54" i="18" s="1"/>
  <c r="G262" i="3"/>
  <c r="G261" i="3"/>
  <c r="G260" i="3"/>
  <c r="G259" i="3"/>
  <c r="G258" i="3"/>
  <c r="G257" i="3"/>
  <c r="G256" i="3"/>
  <c r="G255" i="3"/>
  <c r="G254" i="3"/>
  <c r="G253" i="3"/>
  <c r="G252" i="3"/>
  <c r="G251" i="3"/>
  <c r="G250" i="3"/>
  <c r="G249" i="3"/>
  <c r="G248" i="3"/>
  <c r="G247" i="3"/>
  <c r="G240" i="3"/>
  <c r="G239" i="3"/>
  <c r="G238" i="3"/>
  <c r="G237" i="3"/>
  <c r="G236" i="3"/>
  <c r="G235" i="3"/>
  <c r="G234" i="3"/>
  <c r="G233" i="3"/>
  <c r="G232" i="3"/>
  <c r="G231" i="3"/>
  <c r="G230" i="3"/>
  <c r="G229" i="3"/>
  <c r="G228" i="3"/>
  <c r="G227" i="3"/>
  <c r="G226" i="3"/>
  <c r="G225" i="3"/>
  <c r="A33" i="14"/>
  <c r="I168" i="3"/>
  <c r="G168" i="3"/>
  <c r="D185" i="18" l="1"/>
  <c r="D183" i="18"/>
  <c r="D55" i="18"/>
  <c r="D271" i="18"/>
  <c r="D50" i="18"/>
  <c r="F53" i="14" s="1"/>
  <c r="D51" i="18"/>
  <c r="F54" i="14" s="1"/>
  <c r="D181" i="18"/>
  <c r="F58" i="14" s="1"/>
  <c r="D267" i="18"/>
  <c r="D275" i="18"/>
  <c r="D52" i="18"/>
  <c r="F55" i="14" s="1"/>
  <c r="D182" i="18"/>
  <c r="F59" i="14" s="1"/>
  <c r="D53" i="18"/>
  <c r="D159" i="3"/>
  <c r="D158" i="3"/>
  <c r="D157" i="3"/>
  <c r="D156" i="3"/>
  <c r="F58" i="3" l="1"/>
  <c r="F59" i="3"/>
  <c r="F55" i="3"/>
  <c r="F54" i="3"/>
  <c r="F53" i="3"/>
  <c r="J100" i="3"/>
  <c r="J100" i="14" s="1"/>
  <c r="J99" i="3"/>
  <c r="J99" i="14" s="1"/>
  <c r="J98" i="3"/>
  <c r="J98" i="14" s="1"/>
  <c r="J97" i="3"/>
  <c r="J97" i="14" s="1"/>
  <c r="J96" i="3"/>
  <c r="J96" i="14" s="1"/>
  <c r="J95" i="3"/>
  <c r="J95" i="14" s="1"/>
  <c r="J94" i="3"/>
  <c r="J94" i="14" s="1"/>
  <c r="AN4" i="5" l="1"/>
  <c r="D11" i="5" l="1"/>
  <c r="A58" i="3" l="1"/>
  <c r="A53" i="3"/>
  <c r="D235" i="14"/>
  <c r="D234" i="14"/>
  <c r="D233" i="14"/>
  <c r="D232" i="14"/>
  <c r="D231" i="14"/>
  <c r="D230" i="14"/>
  <c r="D229" i="14"/>
  <c r="D228" i="14"/>
  <c r="D227" i="14"/>
  <c r="D226" i="14"/>
  <c r="D225" i="14"/>
  <c r="D224" i="14"/>
  <c r="D223" i="14"/>
  <c r="D222" i="14"/>
  <c r="D221" i="14"/>
  <c r="E5" i="5" l="1"/>
  <c r="F66" i="24" s="1"/>
  <c r="A36" i="3"/>
  <c r="A36" i="14"/>
  <c r="A29" i="14" l="1"/>
  <c r="AO4" i="5"/>
  <c r="L164" i="3"/>
  <c r="AN8" i="5" l="1"/>
  <c r="AN6" i="5"/>
  <c r="AN7" i="5"/>
  <c r="AN5" i="5"/>
  <c r="I163" i="3"/>
  <c r="I158" i="14" s="1"/>
  <c r="G163" i="3"/>
  <c r="G158" i="14" s="1"/>
  <c r="G163" i="14"/>
  <c r="I163" i="14"/>
  <c r="I164" i="3"/>
  <c r="I159" i="14" s="1"/>
  <c r="G165" i="3"/>
  <c r="G160" i="14" s="1"/>
  <c r="G164" i="3"/>
  <c r="G15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24" i="3"/>
  <c r="E134" i="3"/>
  <c r="E124" i="14" l="1"/>
  <c r="E134" i="14"/>
  <c r="G161" i="14"/>
  <c r="A203" i="3"/>
  <c r="I166" i="3"/>
  <c r="I161" i="14" s="1"/>
  <c r="G166" i="3"/>
  <c r="A1" i="3"/>
  <c r="B94" i="14" l="1"/>
  <c r="H216" i="3"/>
  <c r="E127" i="14" l="1"/>
  <c r="E126" i="14"/>
  <c r="E127" i="3"/>
  <c r="E126" i="3"/>
  <c r="I165" i="3" l="1"/>
  <c r="I160" i="14" s="1"/>
  <c r="G239" i="14"/>
  <c r="G217" i="14"/>
  <c r="G244" i="3"/>
  <c r="G222" i="3"/>
  <c r="C17" i="16" l="1"/>
  <c r="C34" i="16"/>
  <c r="J279" i="3" l="1"/>
  <c r="J27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4" i="14"/>
  <c r="H273" i="14"/>
  <c r="I266" i="14"/>
  <c r="I274" i="14" s="1"/>
  <c r="I265" i="14"/>
  <c r="I273" i="14" s="1"/>
  <c r="H266" i="14"/>
  <c r="H265" i="14"/>
  <c r="B265" i="14"/>
  <c r="B273" i="14" s="1"/>
  <c r="C279" i="3"/>
  <c r="C278" i="3"/>
  <c r="B279" i="3"/>
  <c r="B278" i="3"/>
  <c r="H242" i="14"/>
  <c r="F257" i="14"/>
  <c r="F256" i="14"/>
  <c r="F255" i="14"/>
  <c r="F254" i="14"/>
  <c r="F253" i="14"/>
  <c r="F252" i="14"/>
  <c r="F251" i="14"/>
  <c r="F250" i="14"/>
  <c r="F249" i="14"/>
  <c r="F248" i="14"/>
  <c r="F247" i="14"/>
  <c r="F246" i="14"/>
  <c r="F245" i="14"/>
  <c r="F244" i="14"/>
  <c r="F243" i="14"/>
  <c r="F242" i="14"/>
  <c r="E257" i="14"/>
  <c r="E256" i="14"/>
  <c r="E255" i="14"/>
  <c r="E254" i="14"/>
  <c r="E253" i="14"/>
  <c r="E252" i="14"/>
  <c r="E251" i="14"/>
  <c r="E250" i="14"/>
  <c r="E249" i="14"/>
  <c r="E248" i="14"/>
  <c r="E247" i="14"/>
  <c r="E246" i="14"/>
  <c r="E245" i="14"/>
  <c r="E244" i="14"/>
  <c r="E243" i="14"/>
  <c r="E242" i="14"/>
  <c r="D257" i="14"/>
  <c r="D256" i="14"/>
  <c r="D255" i="14"/>
  <c r="D254" i="14"/>
  <c r="D253" i="14"/>
  <c r="D252" i="14"/>
  <c r="D251" i="14"/>
  <c r="D250" i="14"/>
  <c r="D249" i="14"/>
  <c r="D248" i="14"/>
  <c r="D247" i="14"/>
  <c r="D246" i="14"/>
  <c r="D245" i="14"/>
  <c r="D244" i="14"/>
  <c r="D243" i="14"/>
  <c r="D242" i="14"/>
  <c r="I235" i="14"/>
  <c r="I234" i="14"/>
  <c r="I233" i="14"/>
  <c r="I232" i="14"/>
  <c r="I231" i="14"/>
  <c r="I230" i="14"/>
  <c r="I229" i="14"/>
  <c r="I228" i="14"/>
  <c r="I227" i="14"/>
  <c r="I226" i="14"/>
  <c r="I225" i="14"/>
  <c r="I224" i="14"/>
  <c r="I223" i="14"/>
  <c r="I222" i="14"/>
  <c r="I221" i="14"/>
  <c r="I220" i="14"/>
  <c r="F235" i="14"/>
  <c r="F234" i="14"/>
  <c r="F233" i="14"/>
  <c r="F232" i="14"/>
  <c r="F231" i="14"/>
  <c r="F230" i="14"/>
  <c r="F229" i="14"/>
  <c r="F228" i="14"/>
  <c r="F227" i="14"/>
  <c r="F226" i="14"/>
  <c r="F225" i="14"/>
  <c r="F224" i="14"/>
  <c r="F223" i="14"/>
  <c r="F222" i="14"/>
  <c r="F221" i="14"/>
  <c r="F220" i="14"/>
  <c r="H280" i="3"/>
  <c r="J280" i="3"/>
  <c r="E235" i="14"/>
  <c r="E234" i="14"/>
  <c r="E233" i="14"/>
  <c r="E232" i="14"/>
  <c r="E231" i="14"/>
  <c r="E230" i="14"/>
  <c r="E229" i="14"/>
  <c r="E228" i="14"/>
  <c r="E227" i="14"/>
  <c r="E226" i="14"/>
  <c r="E225" i="14"/>
  <c r="E224" i="14"/>
  <c r="E223" i="14"/>
  <c r="E222" i="14"/>
  <c r="E221" i="14"/>
  <c r="C235" i="14"/>
  <c r="C234" i="14"/>
  <c r="C233" i="14"/>
  <c r="C232" i="14"/>
  <c r="C231" i="14"/>
  <c r="C230" i="14"/>
  <c r="C229" i="14"/>
  <c r="C228" i="14"/>
  <c r="C227" i="14"/>
  <c r="C226" i="14"/>
  <c r="C224" i="14"/>
  <c r="C223" i="14"/>
  <c r="C222" i="14"/>
  <c r="C221" i="14"/>
  <c r="B235" i="14"/>
  <c r="B234" i="14"/>
  <c r="B256" i="14" s="1"/>
  <c r="B233" i="14"/>
  <c r="B255" i="14" s="1"/>
  <c r="B232" i="14"/>
  <c r="B254" i="14" s="1"/>
  <c r="B231" i="14"/>
  <c r="B253" i="14" s="1"/>
  <c r="B230" i="14"/>
  <c r="B252" i="14" s="1"/>
  <c r="B229" i="14"/>
  <c r="B251" i="14" s="1"/>
  <c r="B228" i="14"/>
  <c r="B250" i="14" s="1"/>
  <c r="B227" i="14"/>
  <c r="B249" i="14" s="1"/>
  <c r="B226" i="14"/>
  <c r="B248" i="14" s="1"/>
  <c r="B225" i="14"/>
  <c r="B247" i="14" s="1"/>
  <c r="B224" i="14"/>
  <c r="B246" i="14" s="1"/>
  <c r="B223" i="14"/>
  <c r="B245" i="14" s="1"/>
  <c r="B222" i="14"/>
  <c r="B244" i="14" s="1"/>
  <c r="B221" i="14"/>
  <c r="B243" i="14" s="1"/>
  <c r="A235" i="14"/>
  <c r="A234" i="14"/>
  <c r="A233" i="14"/>
  <c r="A232" i="14"/>
  <c r="A239" i="14"/>
  <c r="A240" i="14"/>
  <c r="A241" i="14"/>
  <c r="A231" i="14"/>
  <c r="A230" i="14"/>
  <c r="A229" i="14"/>
  <c r="A228" i="14"/>
  <c r="A227" i="14"/>
  <c r="A226" i="14"/>
  <c r="A225" i="14"/>
  <c r="A224" i="14"/>
  <c r="A223" i="14"/>
  <c r="A222" i="14"/>
  <c r="A221" i="14"/>
  <c r="A220" i="14"/>
  <c r="E220" i="14"/>
  <c r="D220" i="14"/>
  <c r="C220" i="14"/>
  <c r="B220" i="14"/>
  <c r="B242" i="14" s="1"/>
  <c r="C225" i="14"/>
  <c r="G279" i="3"/>
  <c r="G278" i="3"/>
  <c r="B101" i="7"/>
  <c r="B104" i="7"/>
  <c r="G271" i="3"/>
  <c r="B107" i="7" s="1"/>
  <c r="G27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3" i="14" l="1"/>
  <c r="G228" i="14"/>
  <c r="G221" i="14"/>
  <c r="G229" i="14"/>
  <c r="G233" i="14"/>
  <c r="G222" i="14"/>
  <c r="G234" i="14"/>
  <c r="G227" i="14"/>
  <c r="G247" i="14"/>
  <c r="G255" i="14"/>
  <c r="G257" i="14"/>
  <c r="G242" i="14"/>
  <c r="G250" i="14"/>
  <c r="G243" i="14"/>
  <c r="G251" i="14"/>
  <c r="G244" i="14"/>
  <c r="G254" i="14"/>
  <c r="G245" i="14"/>
  <c r="G253" i="14"/>
  <c r="G248" i="14"/>
  <c r="G256" i="14"/>
  <c r="G249" i="14"/>
  <c r="G246" i="14"/>
  <c r="G226" i="14"/>
  <c r="G232" i="14"/>
  <c r="G224" i="14"/>
  <c r="G230" i="14"/>
  <c r="G252" i="14"/>
  <c r="G225" i="14"/>
  <c r="G231" i="14"/>
  <c r="G235" i="14"/>
  <c r="G220" i="14"/>
  <c r="G34" i="11"/>
  <c r="L14" i="25" s="1"/>
  <c r="D12" i="13"/>
  <c r="E18" i="13" s="1"/>
  <c r="D11" i="13"/>
  <c r="E17" i="13" s="1"/>
  <c r="J266" i="14"/>
  <c r="J273" i="14"/>
  <c r="H267" i="14"/>
  <c r="J274"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A249" i="14"/>
  <c r="C248" i="14"/>
  <c r="A248" i="14"/>
  <c r="C247" i="14"/>
  <c r="A247" i="14"/>
  <c r="C246" i="14"/>
  <c r="A246" i="14"/>
  <c r="C245" i="14"/>
  <c r="C244" i="14"/>
  <c r="C243" i="14"/>
  <c r="C242" i="14"/>
  <c r="H213" i="14"/>
  <c r="H155" i="14" s="1"/>
  <c r="A213" i="14"/>
  <c r="H212" i="14"/>
  <c r="I207" i="14"/>
  <c r="H151" i="14" s="1"/>
  <c r="J205" i="14"/>
  <c r="H205" i="14"/>
  <c r="J204" i="14"/>
  <c r="H204" i="14"/>
  <c r="A204" i="14"/>
  <c r="I200" i="14"/>
  <c r="G200" i="14"/>
  <c r="I194" i="14"/>
  <c r="G194" i="14"/>
  <c r="G181" i="14"/>
  <c r="I181" i="14" s="1"/>
  <c r="I177" i="14"/>
  <c r="G177" i="14"/>
  <c r="I176" i="14"/>
  <c r="G176" i="14"/>
  <c r="I172" i="14"/>
  <c r="G172" i="14"/>
  <c r="I171" i="14"/>
  <c r="G171" i="14"/>
  <c r="I167" i="14"/>
  <c r="G167" i="14"/>
  <c r="I166" i="14"/>
  <c r="G166" i="14"/>
  <c r="G162" i="14"/>
  <c r="E161" i="14"/>
  <c r="C161" i="14"/>
  <c r="A161"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0" i="14"/>
  <c r="F49" i="14"/>
  <c r="F48" i="14"/>
  <c r="I20" i="14"/>
  <c r="I21" i="14" s="1"/>
  <c r="G3" i="14"/>
  <c r="A35" i="14" s="1"/>
  <c r="A1" i="14"/>
  <c r="A158" i="14" s="1"/>
  <c r="E83" i="14" l="1"/>
  <c r="I22" i="14"/>
  <c r="I168" i="14"/>
  <c r="I212" i="14"/>
  <c r="J212" i="14" s="1"/>
  <c r="A34" i="14"/>
  <c r="A48" i="14" s="1"/>
  <c r="H154" i="14"/>
  <c r="I173" i="14"/>
  <c r="G178" i="14"/>
  <c r="G173" i="14"/>
  <c r="G168" i="14"/>
  <c r="I178" i="14"/>
  <c r="A163" i="14"/>
  <c r="B101" i="14"/>
  <c r="I213" i="14"/>
  <c r="J213" i="14" s="1"/>
  <c r="A258" i="3"/>
  <c r="B258" i="3"/>
  <c r="C258" i="3"/>
  <c r="I258" i="3"/>
  <c r="A259" i="3"/>
  <c r="B259" i="3"/>
  <c r="C259" i="3"/>
  <c r="I259" i="3"/>
  <c r="A260" i="3"/>
  <c r="B260" i="3"/>
  <c r="C260" i="3"/>
  <c r="I260" i="3"/>
  <c r="A261" i="3"/>
  <c r="B261" i="3"/>
  <c r="C261" i="3"/>
  <c r="I261" i="3"/>
  <c r="A262" i="3"/>
  <c r="B262" i="3"/>
  <c r="C262" i="3"/>
  <c r="I262" i="3"/>
  <c r="I254" i="14" l="1"/>
  <c r="I257" i="14"/>
  <c r="I256" i="14"/>
  <c r="I253" i="14"/>
  <c r="I255" i="14"/>
  <c r="E80" i="3"/>
  <c r="E79" i="3"/>
  <c r="E81" i="3"/>
  <c r="M81" i="3"/>
  <c r="E146" i="3"/>
  <c r="I22" i="3" l="1"/>
  <c r="H75" i="5"/>
  <c r="G198" i="14" s="1"/>
  <c r="E82"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50" i="3"/>
  <c r="F49" i="3"/>
  <c r="F48" i="3"/>
  <c r="V11" i="5"/>
  <c r="AD11" i="5"/>
  <c r="V15" i="5"/>
  <c r="V18" i="5"/>
  <c r="Z18" i="5"/>
  <c r="AD18" i="5"/>
  <c r="AG20" i="5"/>
  <c r="F22" i="5"/>
  <c r="J25" i="5"/>
  <c r="AB25" i="5"/>
  <c r="J26" i="5"/>
  <c r="AB26" i="5"/>
  <c r="J27" i="5"/>
  <c r="AB27" i="5"/>
  <c r="G35" i="5"/>
  <c r="P35" i="5"/>
  <c r="Y35" i="5"/>
  <c r="J18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5" i="14" s="1"/>
  <c r="A209" i="3"/>
  <c r="O41" i="5"/>
  <c r="Y50" i="5"/>
  <c r="AE50" i="5" s="1"/>
  <c r="G50" i="5"/>
  <c r="G46" i="5"/>
  <c r="O45" i="5" s="1"/>
  <c r="M50" i="5"/>
  <c r="G38" i="11"/>
  <c r="K37" i="24" s="1"/>
  <c r="AG41" i="5"/>
  <c r="H186" i="14"/>
  <c r="Q9" i="16"/>
  <c r="Q26" i="16"/>
  <c r="F26" i="16"/>
  <c r="F9" i="16"/>
  <c r="P26" i="16"/>
  <c r="P9" i="16"/>
  <c r="E9" i="16"/>
  <c r="E26" i="16"/>
  <c r="Y46" i="5"/>
  <c r="AG45" i="5" s="1"/>
  <c r="X5" i="5"/>
  <c r="E145" i="14"/>
  <c r="G40" i="11"/>
  <c r="G37" i="11"/>
  <c r="K36" i="24" s="1"/>
  <c r="Y29" i="5"/>
  <c r="G39" i="11"/>
  <c r="A203"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5" i="3"/>
  <c r="E135" i="14" s="1"/>
  <c r="I190" i="3"/>
  <c r="I186" i="14"/>
  <c r="G190" i="3"/>
  <c r="G186" i="14"/>
  <c r="Q25" i="16"/>
  <c r="Q8" i="16"/>
  <c r="F8" i="16"/>
  <c r="F25" i="16"/>
  <c r="I40" i="11"/>
  <c r="I39" i="11"/>
  <c r="A41" i="14"/>
  <c r="G174" i="14"/>
  <c r="I170" i="14" l="1"/>
  <c r="I169" i="14"/>
  <c r="I174" i="14"/>
  <c r="Y33" i="5"/>
  <c r="G169" i="14"/>
  <c r="G170" i="14"/>
  <c r="AH29" i="5"/>
  <c r="I179" i="14"/>
  <c r="G179" i="14"/>
  <c r="G180" i="14"/>
  <c r="G175" i="14"/>
  <c r="G185" i="14" l="1"/>
  <c r="Z58" i="5"/>
  <c r="I196" i="3" s="1"/>
  <c r="P3" i="7"/>
  <c r="P97" i="7" s="1"/>
  <c r="I175" i="14"/>
  <c r="I180" i="14"/>
  <c r="I185" i="14" s="1"/>
  <c r="P29" i="5"/>
  <c r="F3" i="7" s="1"/>
  <c r="O31" i="5"/>
  <c r="K31" i="5" s="1"/>
  <c r="H54" i="5" s="1"/>
  <c r="G33" i="5"/>
  <c r="AN33" i="5" s="1"/>
  <c r="AG31" i="5"/>
  <c r="AC31" i="5" s="1"/>
  <c r="AF58" i="5"/>
  <c r="I192" i="14" s="1"/>
  <c r="J185" i="14"/>
  <c r="J239" i="14"/>
  <c r="AN36" i="5"/>
  <c r="AN35" i="5"/>
  <c r="AE33" i="5"/>
  <c r="I187" i="14" s="1"/>
  <c r="J187" i="14"/>
  <c r="C257" i="3"/>
  <c r="C256" i="3"/>
  <c r="C255" i="3"/>
  <c r="C254" i="3"/>
  <c r="C253" i="3"/>
  <c r="C252" i="3"/>
  <c r="C251" i="3"/>
  <c r="C250" i="3"/>
  <c r="C249" i="3"/>
  <c r="C248" i="3"/>
  <c r="C247" i="3"/>
  <c r="B248" i="3"/>
  <c r="B249" i="3"/>
  <c r="B250" i="3"/>
  <c r="B251" i="3"/>
  <c r="B252" i="3"/>
  <c r="B253" i="3"/>
  <c r="B254" i="3"/>
  <c r="B255" i="3"/>
  <c r="B256" i="3"/>
  <c r="B257" i="3"/>
  <c r="B247" i="3"/>
  <c r="A248" i="3"/>
  <c r="A243" i="14" s="1"/>
  <c r="A249" i="3"/>
  <c r="A244" i="14" s="1"/>
  <c r="A250" i="3"/>
  <c r="A245" i="14" s="1"/>
  <c r="A251" i="3"/>
  <c r="A252" i="3"/>
  <c r="A253" i="3"/>
  <c r="A254" i="3"/>
  <c r="A255" i="3"/>
  <c r="A256" i="3"/>
  <c r="A257" i="3"/>
  <c r="A247" i="3"/>
  <c r="A242" i="14" s="1"/>
  <c r="H272" i="3"/>
  <c r="J271" i="3"/>
  <c r="J270"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1" i="14"/>
  <c r="I245" i="14"/>
  <c r="I249" i="14"/>
  <c r="I243" i="14"/>
  <c r="I248" i="14"/>
  <c r="I250" i="14"/>
  <c r="I244" i="14"/>
  <c r="J247" i="3"/>
  <c r="I242" i="14"/>
  <c r="J242" i="14" s="1"/>
  <c r="I247" i="14"/>
  <c r="I252" i="14"/>
  <c r="I246" i="14"/>
  <c r="O39" i="5"/>
  <c r="O46" i="5" s="1"/>
  <c r="J47" i="5" s="1"/>
  <c r="Z54" i="5"/>
  <c r="N6" i="16"/>
  <c r="AG39" i="5"/>
  <c r="AG46" i="5" s="1"/>
  <c r="AB47" i="5" s="1"/>
  <c r="H53" i="5"/>
  <c r="C6" i="16"/>
  <c r="H58" i="5"/>
  <c r="N58" i="5"/>
  <c r="G192" i="14" s="1"/>
  <c r="H185" i="14"/>
  <c r="J217" i="14"/>
  <c r="Z53" i="5"/>
  <c r="H187" i="14"/>
  <c r="AN32" i="5"/>
  <c r="M33" i="5"/>
  <c r="G187"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57" i="14"/>
  <c r="J257" i="14" s="1"/>
  <c r="J26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4" i="3" s="1"/>
  <c r="O50" i="5"/>
  <c r="AG50" i="5"/>
  <c r="O42" i="5"/>
  <c r="J43" i="5" s="1"/>
  <c r="AQ33" i="5"/>
  <c r="AQ32" i="5"/>
  <c r="L203" i="14"/>
  <c r="N203" i="14" s="1"/>
  <c r="G3" i="3"/>
  <c r="O17" i="16" l="1"/>
  <c r="AB51" i="5"/>
  <c r="Z57" i="5"/>
  <c r="D17" i="16"/>
  <c r="J51" i="5"/>
  <c r="H57" i="5" s="1"/>
  <c r="H59" i="5" s="1"/>
  <c r="Z59" i="5"/>
  <c r="Z61" i="5" s="1"/>
  <c r="I195" i="3"/>
  <c r="H248" i="14"/>
  <c r="J248" i="14" s="1"/>
  <c r="J253" i="3"/>
  <c r="H246" i="14"/>
  <c r="J246" i="14" s="1"/>
  <c r="J251" i="3"/>
  <c r="H245" i="14"/>
  <c r="J245" i="14" s="1"/>
  <c r="J250" i="3"/>
  <c r="H247" i="14"/>
  <c r="J247" i="14" s="1"/>
  <c r="J252" i="3"/>
  <c r="H254" i="14"/>
  <c r="J254" i="14" s="1"/>
  <c r="J259" i="3"/>
  <c r="H252" i="14"/>
  <c r="J252" i="14" s="1"/>
  <c r="J257" i="3"/>
  <c r="H243" i="14"/>
  <c r="J248" i="3"/>
  <c r="H244" i="14"/>
  <c r="J244" i="14" s="1"/>
  <c r="J249" i="3"/>
  <c r="H255" i="14"/>
  <c r="J255" i="14" s="1"/>
  <c r="J260" i="3"/>
  <c r="H249" i="14"/>
  <c r="J249" i="14" s="1"/>
  <c r="J254" i="3"/>
  <c r="H251" i="14"/>
  <c r="J251" i="14" s="1"/>
  <c r="J256" i="3"/>
  <c r="H250" i="14"/>
  <c r="J250" i="14" s="1"/>
  <c r="J255" i="3"/>
  <c r="H256" i="14"/>
  <c r="J256" i="14" s="1"/>
  <c r="J261" i="3"/>
  <c r="H61" i="5"/>
  <c r="H63" i="5" s="1"/>
  <c r="L201" i="14"/>
  <c r="M201" i="14" s="1"/>
  <c r="M203" i="14"/>
  <c r="O203" i="14" s="1"/>
  <c r="J222" i="3"/>
  <c r="J244" i="3"/>
  <c r="I290" i="3"/>
  <c r="I287" i="3"/>
  <c r="I286" i="3"/>
  <c r="I285" i="3"/>
  <c r="F290" i="3"/>
  <c r="F287" i="3"/>
  <c r="F286" i="3"/>
  <c r="F285" i="3"/>
  <c r="A208" i="3"/>
  <c r="A207" i="3"/>
  <c r="Z63" i="5" l="1"/>
  <c r="I199" i="3" s="1"/>
  <c r="I197" i="3"/>
  <c r="J243" i="14"/>
  <c r="N201" i="14"/>
  <c r="O201" i="14" s="1"/>
  <c r="P201" i="14" s="1"/>
  <c r="P203"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62" i="14" s="1"/>
  <c r="E166" i="3"/>
  <c r="C166" i="3"/>
  <c r="A166" i="3"/>
  <c r="A205" i="14" l="1"/>
  <c r="L202" i="14"/>
  <c r="A210" i="14" s="1"/>
  <c r="I189" i="3"/>
  <c r="G173" i="3"/>
  <c r="I173" i="3"/>
  <c r="G178" i="3"/>
  <c r="G183" i="3"/>
  <c r="I183" i="3"/>
  <c r="I178" i="3"/>
  <c r="H159" i="3"/>
  <c r="H158" i="3"/>
  <c r="H157" i="3"/>
  <c r="H156" i="3"/>
  <c r="A41" i="3"/>
  <c r="I211" i="3"/>
  <c r="H209" i="3"/>
  <c r="H208" i="3"/>
  <c r="J209" i="3"/>
  <c r="J208" i="3"/>
  <c r="J207" i="3"/>
  <c r="E70" i="3"/>
  <c r="H151" i="3" l="1"/>
  <c r="H217" i="3"/>
  <c r="H155" i="3" s="1"/>
  <c r="H154"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95" i="14"/>
  <c r="G29" i="6"/>
  <c r="F99" i="14"/>
  <c r="F95" i="3"/>
  <c r="F99" i="3"/>
  <c r="D29" i="6"/>
  <c r="F96" i="14"/>
  <c r="F96" i="3"/>
  <c r="F100" i="3"/>
  <c r="B29" i="6"/>
  <c r="F97" i="3"/>
  <c r="F29" i="6"/>
  <c r="F98" i="14"/>
  <c r="F94" i="3"/>
  <c r="F98" i="3"/>
  <c r="AC86" i="5"/>
  <c r="G41" i="11"/>
  <c r="AC87" i="5"/>
  <c r="G42" i="11"/>
  <c r="Z69" i="5"/>
  <c r="AF69" i="5" s="1"/>
  <c r="I288" i="3"/>
  <c r="F288"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53" i="14" l="1"/>
  <c r="J258" i="3"/>
  <c r="J263" i="3" s="1"/>
  <c r="H263" i="3"/>
  <c r="R37" i="7"/>
  <c r="R94" i="7" s="1"/>
  <c r="P94" i="7"/>
  <c r="F101" i="3"/>
  <c r="F101" i="14"/>
  <c r="I41" i="11"/>
  <c r="H220" i="14"/>
  <c r="I42" i="11"/>
  <c r="D109" i="7"/>
  <c r="D95" i="3"/>
  <c r="D96" i="3"/>
  <c r="I96" i="3" s="1"/>
  <c r="J225"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9" i="3"/>
  <c r="I291" i="3" s="1"/>
  <c r="J253" i="14"/>
  <c r="J258" i="14" s="1"/>
  <c r="I284" i="14" s="1"/>
  <c r="I286" i="14" s="1"/>
  <c r="H258" i="14"/>
  <c r="J220" i="14"/>
  <c r="D98" i="3"/>
  <c r="I98" i="3" s="1"/>
  <c r="G175" i="3"/>
  <c r="G174" i="3"/>
  <c r="G184" i="3"/>
  <c r="G180" i="3"/>
  <c r="G179" i="3"/>
  <c r="E18" i="10"/>
  <c r="G187" i="3"/>
  <c r="AF68" i="5" l="1"/>
  <c r="AF72" i="5"/>
  <c r="Z72" i="5"/>
  <c r="Z74" i="5" s="1"/>
  <c r="I201" i="3" s="1"/>
  <c r="D100" i="3"/>
  <c r="I100" i="3" s="1"/>
  <c r="D99" i="3"/>
  <c r="I99" i="3" s="1"/>
  <c r="E20" i="10"/>
  <c r="G185" i="3"/>
  <c r="G189" i="3" s="1"/>
  <c r="I196" i="14" l="1"/>
  <c r="I200" i="3"/>
  <c r="H189" i="3"/>
  <c r="G196" i="3"/>
  <c r="H191" i="3"/>
  <c r="G191" i="3"/>
  <c r="M10" i="10"/>
  <c r="P11" i="10" s="1"/>
  <c r="M19" i="10" s="1"/>
  <c r="P19" i="10" s="1"/>
  <c r="AE39" i="5" s="1"/>
  <c r="G194" i="3"/>
  <c r="H207" i="3"/>
  <c r="I183" i="14" l="1"/>
  <c r="N23" i="16"/>
  <c r="AI45" i="5"/>
  <c r="AE37" i="5"/>
  <c r="I18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3" i="14"/>
  <c r="C23" i="16"/>
  <c r="H221" i="14"/>
  <c r="AI42" i="5"/>
  <c r="AE43" i="5" s="1"/>
  <c r="I190" i="14" s="1"/>
  <c r="AI46" i="5"/>
  <c r="AE47" i="5" s="1"/>
  <c r="J203" i="14" s="1"/>
  <c r="AI50" i="5"/>
  <c r="Q39" i="5"/>
  <c r="M37" i="5"/>
  <c r="G182" i="14" s="1"/>
  <c r="Q45" i="5"/>
  <c r="H16" i="7"/>
  <c r="H224" i="14"/>
  <c r="J224" i="14" s="1"/>
  <c r="H31" i="7"/>
  <c r="H229" i="14"/>
  <c r="J229" i="14" s="1"/>
  <c r="H61" i="7"/>
  <c r="H58" i="7"/>
  <c r="H52" i="7"/>
  <c r="H19" i="7"/>
  <c r="H225" i="14"/>
  <c r="J225" i="14" s="1"/>
  <c r="H73" i="7"/>
  <c r="H49" i="7"/>
  <c r="H40" i="7"/>
  <c r="H232" i="14"/>
  <c r="J232" i="14" s="1"/>
  <c r="H79" i="7"/>
  <c r="H85" i="7"/>
  <c r="H88" i="7"/>
  <c r="H55" i="7"/>
  <c r="H46" i="7"/>
  <c r="H234" i="14"/>
  <c r="J234" i="14" s="1"/>
  <c r="H64" i="7"/>
  <c r="H82" i="7"/>
  <c r="H70" i="7"/>
  <c r="H22" i="7"/>
  <c r="H226" i="14"/>
  <c r="J226" i="14" s="1"/>
  <c r="H28" i="7"/>
  <c r="H228" i="14"/>
  <c r="J228" i="14" s="1"/>
  <c r="H43" i="7"/>
  <c r="H233" i="14"/>
  <c r="J233" i="14" s="1"/>
  <c r="H25" i="7"/>
  <c r="H227" i="14"/>
  <c r="J227" i="14" s="1"/>
  <c r="H67" i="7"/>
  <c r="H76" i="7"/>
  <c r="H34" i="7"/>
  <c r="H230" i="14"/>
  <c r="J230" i="14" s="1"/>
  <c r="H13" i="7"/>
  <c r="H223" i="14"/>
  <c r="J223" i="14" s="1"/>
  <c r="H37" i="7"/>
  <c r="H231" i="14"/>
  <c r="J231" i="14" s="1"/>
  <c r="H10" i="7"/>
  <c r="H7" i="7"/>
  <c r="H98" i="7"/>
  <c r="F110" i="7"/>
  <c r="H91" i="7"/>
  <c r="F94" i="7"/>
  <c r="G195" i="3"/>
  <c r="AE51" i="5" l="1"/>
  <c r="AF57" i="5" s="1"/>
  <c r="I191" i="14" s="1"/>
  <c r="O34" i="16"/>
  <c r="D27" i="16"/>
  <c r="K32" i="16"/>
  <c r="D32" i="16" s="1"/>
  <c r="K34" i="16"/>
  <c r="K33" i="16" s="1"/>
  <c r="K30" i="16"/>
  <c r="D30" i="16" s="1"/>
  <c r="J226" i="3"/>
  <c r="J227" i="3"/>
  <c r="H222" i="14"/>
  <c r="J222" i="14" s="1"/>
  <c r="J240" i="3"/>
  <c r="H235" i="14"/>
  <c r="J235" i="14" s="1"/>
  <c r="J221" i="14"/>
  <c r="H241" i="3"/>
  <c r="Q46" i="5"/>
  <c r="M47" i="5" s="1"/>
  <c r="H203" i="14" s="1"/>
  <c r="Q42" i="5"/>
  <c r="M43" i="5" s="1"/>
  <c r="G190" i="14" s="1"/>
  <c r="Q50" i="5"/>
  <c r="J228" i="3"/>
  <c r="J231" i="3"/>
  <c r="J237" i="3"/>
  <c r="J230" i="3"/>
  <c r="J235" i="3"/>
  <c r="J238" i="3"/>
  <c r="J239" i="3"/>
  <c r="J234" i="3"/>
  <c r="J233" i="3"/>
  <c r="J229" i="3"/>
  <c r="J236" i="3"/>
  <c r="J232" i="3"/>
  <c r="H94" i="7"/>
  <c r="G197" i="3"/>
  <c r="M51" i="5" l="1"/>
  <c r="N57" i="5" s="1"/>
  <c r="D34" i="16"/>
  <c r="H236" i="14"/>
  <c r="J236" i="14"/>
  <c r="F284" i="14" s="1"/>
  <c r="F286" i="14" s="1"/>
  <c r="AF59" i="5"/>
  <c r="AF61" i="5" s="1"/>
  <c r="I193" i="14" s="1"/>
  <c r="J241" i="3"/>
  <c r="G199" i="3"/>
  <c r="N59" i="5" l="1"/>
  <c r="N61" i="5" s="1"/>
  <c r="G191" i="14"/>
  <c r="AF63" i="5"/>
  <c r="I195" i="14" s="1"/>
  <c r="F289" i="3"/>
  <c r="F291" i="3" s="1"/>
  <c r="H68" i="5"/>
  <c r="N63" i="5" l="1"/>
  <c r="G195" i="14" s="1"/>
  <c r="G193" i="14"/>
  <c r="AF74" i="5"/>
  <c r="H72" i="5"/>
  <c r="G196" i="14" s="1"/>
  <c r="N68" i="5"/>
  <c r="N72" i="5"/>
  <c r="I197" i="14" l="1"/>
  <c r="N74" i="5"/>
  <c r="G197" i="14" s="1"/>
  <c r="H74" i="5"/>
  <c r="G200" i="3"/>
  <c r="A207" i="14" l="1"/>
  <c r="A201" i="14"/>
  <c r="A208" i="14" s="1"/>
  <c r="N77" i="5"/>
  <c r="G199" i="14" s="1"/>
  <c r="AF75" i="5"/>
  <c r="H77" i="5"/>
  <c r="Z75" i="5"/>
  <c r="G201" i="3"/>
  <c r="A205" i="3" l="1"/>
  <c r="A212" i="3" s="1"/>
  <c r="A211" i="3"/>
  <c r="AF77" i="5"/>
  <c r="AF79" i="5" s="1"/>
  <c r="Z77" i="5"/>
  <c r="E36" i="11" s="1"/>
  <c r="G35" i="24" s="1"/>
  <c r="G203" i="3"/>
  <c r="C10" i="13" l="1"/>
  <c r="D10" i="13" s="1"/>
  <c r="E10" i="13" s="1"/>
  <c r="AI79" i="5"/>
  <c r="I201" i="14"/>
  <c r="I208" i="14"/>
  <c r="H153" i="14" s="1"/>
  <c r="B9" i="6"/>
  <c r="B10" i="6" s="1"/>
  <c r="B11" i="6" s="1"/>
  <c r="C16" i="13"/>
  <c r="D16" i="13" s="1"/>
  <c r="E16" i="13" s="1"/>
  <c r="I205" i="3"/>
  <c r="I212" i="3"/>
  <c r="G213" i="3" s="1"/>
  <c r="Z79" i="5"/>
  <c r="G36" i="11" s="1"/>
  <c r="K35" i="24" l="1"/>
  <c r="G209" i="14"/>
  <c r="A209" i="14" s="1"/>
  <c r="AC79" i="5"/>
  <c r="H153" i="3"/>
  <c r="A213" i="3"/>
  <c r="I213" i="3"/>
  <c r="I209"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<sst xmlns="http://schemas.openxmlformats.org/spreadsheetml/2006/main" count="1647" uniqueCount="792">
  <si>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</si>
  <si>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</si>
  <si>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</si>
  <si>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</si>
  <si>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</si>
  <si>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</si>
  <si>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</si>
  <si>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</si>
  <si>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</si>
  <si>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</si>
  <si>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</si>
  <si>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</si>
  <si>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</si>
  <si>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</si>
  <si>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</si>
  <si>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</si>
  <si>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</si>
  <si>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</si>
  <si>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</si>
  <si>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</si>
  <si>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</si>
  <si>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</si>
  <si>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</si>
  <si>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</si>
  <si>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</si>
  <si>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</si>
  <si>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</si>
  <si>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</si>
  <si>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</si>
  <si>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</si>
  <si>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</si>
  <si>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</si>
  <si>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</si>
  <si>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</si>
  <si>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</si>
  <si>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</si>
  <si>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</si>
  <si>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</si>
  <si>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</si>
  <si>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</si>
  <si>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</si>
  <si>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</si>
  <si>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</si>
  <si>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</si>
  <si>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</si>
  <si>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</si>
  <si>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</si>
  <si>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</si>
  <si>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</si>
  <si>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</si>
  <si>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</si>
  <si>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</si>
  <si>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</si>
  <si>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</si>
  <si>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</si>
  <si>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</si>
  <si>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</si>
  <si>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</si>
  <si>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</si>
  <si>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</si>
  <si>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</si>
  <si>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</si>
  <si>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</si>
  <si>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</si>
  <si>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</si>
  <si>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</si>
  <si>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</si>
  <si>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</si>
  <si>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</si>
  <si>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</si>
  <si>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</si>
  <si>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</si>
  <si>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</si>
  <si>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</si>
  <si>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</si>
  <si>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</si>
  <si>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</si>
  <si>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</si>
  <si>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</si>
  <si>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</si>
  <si>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</si>
  <si>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</si>
  <si>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</si>
  <si>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</si>
  <si>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</si>
  <si>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</si>
  <si>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</si>
  <si>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</si>
  <si>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</si>
  <si>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</si>
  <si>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</si>
  <si>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</si>
  <si>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</si>
  <si>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</si>
  <si>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</si>
  <si>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</si>
  <si>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</si>
  <si>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</si>
  <si>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</si>
  <si>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</si>
  <si>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</si>
  <si>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</si>
  <si>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</si>
  <si>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</si>
  <si>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</si>
  <si>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</si>
  <si>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</si>
  <si>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</si>
  <si>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</si>
  <si>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</si>
  <si>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</si>
  <si>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</si>
  <si>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</si>
  <si>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</si>
  <si>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</si>
  <si>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</si>
  <si>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</si>
  <si>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</si>
  <si>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</si>
  <si>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</si>
  <si>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</si>
  <si>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</si>
  <si>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</si>
  <si>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</si>
  <si>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</si>
  <si>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</si>
  <si>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</si>
  <si>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</si>
  <si>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</si>
  <si>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</si>
  <si>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</si>
  <si>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</si>
  <si>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</si>
  <si>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</si>
  <si>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</si>
  <si>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</si>
  <si>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</si>
  <si>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</si>
  <si>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</si>
  <si>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</si>
  <si>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</si>
  <si>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</si>
  <si>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</si>
  <si>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</si>
  <si>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</si>
  <si>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</si>
  <si>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</si>
  <si>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</si>
  <si>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</si>
  <si>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</si>
  <si>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</si>
  <si>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</si>
  <si>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</si>
  <si>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</si>
  <si>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</si>
  <si>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</si>
  <si>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</si>
  <si>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</si>
  <si>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</si>
  <si>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</si>
  <si>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</si>
  <si>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</si>
  <si>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</si>
  <si>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</si>
  <si>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</si>
  <si>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</si>
  <si>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</si>
  <si>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</si>
  <si>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</si>
  <si>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</si>
  <si>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</si>
  <si>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</si>
  <si>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</si>
  <si>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</si>
  <si>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</si>
  <si>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</si>
  <si>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</si>
  <si>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</si>
  <si>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</si>
  <si>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</si>
  <si>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</si>
  <si>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</si>
  <si>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</si>
  <si>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</si>
  <si>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</si>
  <si>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</si>
  <si>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</si>
  <si>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</si>
  <si>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</si>
  <si>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</si>
  <si>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</si>
  <si>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</si>
  <si>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</si>
  <si>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</si>
  <si>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</si>
  <si>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</si>
  <si>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</si>
  <si>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</si>
  <si>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</si>
  <si>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</si>
  <si>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</si>
  <si>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</si>
  <si>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</si>
  <si>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</si>
  <si>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</si>
  <si>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</si>
  <si>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</si>
  <si>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</si>
  <si>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</si>
  <si>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</si>
  <si>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</si>
  <si>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</si>
  <si>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</si>
  <si>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</si>
  <si>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</si>
  <si>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</si>
  <si>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</si>
  <si>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</si>
  <si>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</si>
  <si>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</si>
  <si>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</si>
  <si>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</si>
  <si>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</si>
  <si>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</si>
  <si>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</si>
  <si>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</si>
  <si>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</si>
  <si>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</si>
  <si>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</si>
  <si>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</si>
  <si>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</si>
  <si>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</si>
  <si>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</si>
  <si>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</si>
  <si>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</si>
  <si>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</si>
  <si>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</si>
  <si>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</si>
  <si>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</si>
  <si>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</si>
  <si>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</si>
  <si>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</si>
  <si>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</si>
  <si>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</si>
  <si>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</si>
  <si>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</si>
  <si>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</si>
  <si>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</si>
  <si>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</si>
  <si>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</si>
  <si>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</si>
  <si>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</si>
  <si>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</si>
  <si>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</si>
  <si>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</si>
  <si>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</si>
  <si>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</si>
  <si>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</si>
  <si>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</si>
  <si>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</si>
  <si>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</si>
  <si>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</si>
  <si>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</si>
  <si>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</si>
  <si>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</si>
  <si>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</si>
  <si>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</si>
  <si>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</si>
  <si>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</si>
  <si>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</si>
  <si>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</si>
  <si>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</si>
  <si>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</si>
  <si>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</si>
  <si>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</si>
  <si>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</si>
  <si>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</si>
  <si>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</si>
  <si>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</si>
  <si>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</si>
  <si>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</si>
  <si>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</si>
  <si>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</si>
  <si>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</si>
  <si>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</si>
  <si>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</si>
  <si>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</si>
  <si>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</si>
  <si>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</si>
  <si>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</si>
  <si>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</si>
  <si>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</si>
  <si>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</si>
  <si>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</si>
  <si>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</si>
  <si>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</si>
  <si>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</si>
  <si>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</si>
  <si>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</si>
  <si>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</si>
  <si>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</si>
  <si>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</si>
  <si>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</si>
  <si>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</si>
  <si>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</si>
  <si>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</si>
  <si>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</si>
  <si>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</si>
  <si>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</si>
  <si>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</si>
  <si>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</si>
  <si>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</si>
  <si>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</si>
  <si>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</si>
  <si>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</si>
  <si>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</si>
  <si>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</si>
  <si>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</si>
  <si>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</si>
  <si>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</si>
  <si>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</si>
  <si>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</si>
  <si>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</si>
  <si>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</si>
  <si>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</si>
  <si>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</si>
  <si>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</si>
  <si>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</si>
  <si>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</si>
  <si>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</si>
  <si>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</si>
  <si>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</si>
  <si>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</si>
  <si>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</si>
  <si>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</si>
  <si>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</si>
  <si>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</si>
  <si>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</si>
  <si>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</si>
  <si>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</si>
  <si>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</si>
  <si>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</si>
  <si>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</si>
  <si>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</si>
  <si>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</si>
  <si>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</si>
  <si>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</si>
  <si>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</si>
  <si>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</si>
  <si>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</si>
  <si>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</si>
  <si>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</si>
  <si>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</si>
  <si>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</si>
  <si>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</si>
  <si>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</si>
  <si>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</si>
  <si>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</si>
  <si>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</si>
  <si>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</si>
  <si>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</si>
  <si>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</si>
  <si>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</si>
  <si>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</si>
  <si>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</si>
  <si>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</si>
  <si>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</si>
  <si>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</si>
  <si>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</si>
  <si>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</si>
  <si>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</si>
  <si>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</si>
  <si>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</si>
  <si>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</si>
  <si>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</si>
  <si>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</si>
  <si>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</si>
  <si>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</si>
  <si>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</si>
  <si>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</si>
  <si>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</si>
  <si>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</si>
  <si>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</si>
  <si>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</si>
  <si>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</si>
  <si>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</si>
  <si>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</si>
  <si>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</si>
  <si>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</si>
  <si>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</si>
  <si>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</si>
  <si>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</si>
  <si>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</si>
  <si>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</si>
  <si>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</si>
  <si>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</si>
  <si>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</si>
  <si>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</si>
  <si>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</si>
  <si>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</si>
  <si>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</si>
  <si>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</si>
  <si>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</si>
  <si>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</si>
  <si>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</si>
  <si>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</si>
  <si>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</si>
  <si>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</si>
  <si>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</si>
  <si>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</si>
  <si>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</si>
  <si>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</si>
  <si>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</si>
  <si>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</si>
  <si>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</si>
  <si>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</si>
  <si>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</si>
  <si>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</si>
  <si>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</si>
  <si>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</si>
  <si>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</si>
  <si>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</si>
  <si>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</si>
  <si>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</si>
  <si>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</si>
  <si>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</si>
  <si>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</si>
  <si>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</si>
  <si>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</si>
  <si>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</si>
  <si>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</si>
  <si>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</si>
  <si>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</si>
  <si>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</si>
  <si>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</si>
  <si>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</si>
  <si>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</si>
  <si>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</si>
  <si>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</si>
  <si>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</si>
  <si>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</si>
  <si>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</si>
  <si>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</si>
  <si>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</si>
  <si>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</si>
  <si>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</si>
  <si>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</si>
  <si>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</si>
  <si>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</si>
  <si>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</si>
  <si>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</si>
  <si>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</si>
  <si>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</si>
  <si>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</si>
  <si>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</si>
  <si>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</si>
  <si>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</si>
  <si>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</si>
  <si>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</si>
  <si>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</si>
  <si>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</si>
  <si>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</si>
  <si>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</si>
  <si>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</si>
  <si>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</si>
  <si>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</si>
  <si>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</si>
  <si>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</si>
  <si>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</si>
  <si>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</si>
  <si>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</si>
  <si>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</si>
  <si>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</si>
  <si>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</si>
  <si>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</si>
  <si>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</si>
  <si>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</si>
  <si>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</si>
  <si>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</si>
  <si>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</si>
  <si>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</si>
  <si>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</si>
  <si>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</si>
  <si>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</si>
  <si>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</si>
  <si>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</si>
  <si>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</si>
  <si>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</si>
  <si>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</si>
  <si>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</si>
  <si>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</si>
  <si>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</si>
  <si>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</si>
  <si>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</si>
  <si>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</si>
  <si>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</si>
  <si>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</si>
  <si>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</si>
  <si>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</si>
  <si>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</si>
  <si>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</si>
  <si>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</si>
  <si>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</si>
  <si>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</si>
  <si>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</si>
  <si>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</si>
  <si>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</si>
  <si>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</si>
  <si>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</si>
  <si>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</si>
  <si>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</si>
  <si>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</si>
  <si>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</si>
  <si>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</si>
  <si>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</si>
  <si>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</si>
  <si>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</si>
  <si>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</si>
  <si>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</si>
  <si>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</si>
  <si>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</si>
  <si>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</si>
  <si>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</si>
  <si>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</si>
  <si>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</si>
  <si>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</si>
  <si>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</si>
  <si>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</si>
  <si>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</si>
  <si>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</si>
  <si>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</si>
  <si>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</si>
  <si>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</si>
  <si>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</si>
  <si>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</si>
  <si>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</si>
  <si>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</si>
  <si>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</si>
  <si>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</si>
  <si>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</si>
  <si>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</si>
  <si>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</si>
  <si>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</si>
  <si>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</si>
  <si>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</si>
  <si>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</si>
  <si>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</si>
  <si>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</si>
  <si>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</si>
  <si>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</si>
  <si>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</si>
  <si>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</si>
  <si>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</si>
  <si>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</si>
  <si>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</si>
  <si>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</si>
  <si>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</si>
  <si>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</si>
  <si>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</si>
  <si>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</si>
  <si>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</si>
  <si>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</si>
  <si>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</si>
  <si>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</si>
  <si>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</si>
  <si>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</si>
  <si>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</si>
  <si>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</si>
  <si>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</si>
  <si>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</si>
  <si>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</si>
  <si>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</si>
  <si>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</si>
  <si>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</si>
  <si>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</si>
  <si>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</si>
  <si>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</si>
  <si>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</si>
  <si>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</si>
  <si>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</si>
  <si>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</si>
  <si>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</si>
  <si>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</si>
  <si>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</si>
  <si>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</si>
  <si>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</si>
  <si>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</si>
  <si>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</si>
  <si>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</si>
  <si>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</si>
  <si>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</si>
  <si>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</si>
  <si>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</si>
  <si>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</si>
  <si>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</si>
  <si>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</si>
  <si>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</si>
  <si>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</si>
  <si>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</si>
  <si>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</si>
  <si>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</si>
  <si>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</si>
  <si>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</si>
  <si>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</si>
  <si>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</si>
  <si>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</si>
  <si>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</si>
  <si>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</si>
  <si>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</si>
  <si>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</si>
  <si>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</si>
  <si>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</si>
  <si>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</si>
  <si>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</si>
  <si>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</si>
  <si>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</si>
  <si>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</si>
  <si>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</si>
  <si>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</si>
  <si>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</si>
  <si>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</si>
  <si>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</si>
  <si>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</si>
  <si>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</si>
  <si>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</si>
  <si>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</si>
  <si>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</si>
  <si>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</si>
  <si>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</si>
  <si>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</si>
  <si>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</si>
  <si>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</si>
  <si>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</si>
  <si>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</si>
  <si>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</si>
  <si>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</si>
  <si>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</si>
  <si>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</si>
  <si>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</si>
  <si>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</si>
  <si>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</si>
  <si>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</si>
  <si>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</si>
  <si>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</si>
  <si>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</si>
  <si>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</si>
  <si>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</si>
  <si>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</si>
  <si>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</si>
  <si>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</si>
  <si>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</si>
  <si>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</si>
  <si>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</si>
  <si>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</si>
  <si>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</si>
  <si>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</si>
  <si>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</si>
  <si>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</si>
  <si>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</si>
  <si>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</si>
  <si>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</si>
  <si>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</si>
  <si>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</si>
  <si>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</si>
  <si>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</si>
  <si>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</si>
  <si>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</si>
  <si>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</si>
  <si>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</si>
  <si>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</si>
  <si>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</si>
  <si>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</si>
  <si>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</si>
  <si>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</si>
  <si>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</si>
  <si>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</si>
  <si>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</si>
  <si>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</si>
  <si>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</si>
  <si>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</si>
  <si>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</si>
  <si>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</si>
  <si>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</si>
  <si>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</si>
  <si>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</si>
  <si>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</si>
  <si>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</si>
  <si>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</si>
  <si>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</si>
  <si>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</si>
  <si>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</si>
  <si>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</si>
  <si>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</si>
  <si>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</si>
  <si>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</si>
  <si>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</si>
  <si>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</si>
  <si>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</si>
  <si>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</si>
  <si>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</si>
  <si>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</si>
  <si>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</si>
  <si>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</si>
  <si>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</si>
  <si>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</si>
  <si>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</si>
  <si>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</si>
  <si>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</si>
  <si>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</si>
  <si>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</si>
  <si>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</si>
  <si>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</si>
  <si>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</si>
  <si>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</si>
  <si>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</si>
  <si>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</si>
  <si>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</si>
  <si>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</si>
  <si>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</si>
  <si>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</si>
  <si>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</si>
  <si>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</si>
  <si>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</si>
  <si>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</si>
  <si>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</si>
  <si>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</si>
  <si>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</si>
  <si>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</si>
  <si>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</si>
  <si>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</si>
  <si>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</si>
  <si>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</si>
  <si>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</si>
  <si>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</si>
  <si>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</si>
  <si>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</si>
  <si>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</si>
  <si>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</si>
  <si>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</si>
  <si>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</si>
  <si>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</si>
  <si>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</si>
  <si>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</si>
  <si>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</si>
  <si>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</si>
  <si>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</si>
  <si>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PGUA/DS/</t>
  </si>
  <si>
    <t>060/26</t>
  </si>
  <si>
    <t>Stella Navis</t>
  </si>
  <si>
    <t>V7A4546</t>
  </si>
  <si>
    <t>Majuro</t>
  </si>
  <si>
    <t>Marshallese</t>
  </si>
  <si>
    <t>Nantong Cosco KHI Shipbuilding Engineering Co., Ltd.</t>
  </si>
  <si>
    <t>NKK: NS(CSR, BC-A, BC-XII, GRAB 30, PSPC-WBT, NC, 1C) (ESP) (HCM-GBS) (IWS) (PSCM) (IHM) MNS, Strengthened for heavy cargoloading where hold nos. 2,4 &amp; 6 may be empty, CHG, MPP, LSA, RCF, M0, AFS, BWM</t>
  </si>
  <si>
    <t>Far Wind Marshall S.A. - Marshall Islands</t>
  </si>
  <si>
    <t>B&amp;S Enterprise Co., Ltd.</t>
  </si>
  <si>
    <t>Nguyen Thanh Luat</t>
  </si>
  <si>
    <t>Trang Quang Duy</t>
  </si>
  <si>
    <t>Pham Ngoc Bach</t>
  </si>
  <si>
    <t>Iron Ore in bulk</t>
  </si>
  <si>
    <t>Hazira, India</t>
  </si>
  <si>
    <t>One China Port</t>
  </si>
  <si>
    <t>Nantong Cosco KHI Shipbuilding Engineering</t>
  </si>
  <si>
    <t>H-11</t>
  </si>
  <si>
    <t>H-14</t>
  </si>
  <si>
    <t>LRS</t>
  </si>
  <si>
    <t>22.03.2021</t>
  </si>
  <si>
    <t>1 WBT (P)</t>
  </si>
  <si>
    <t>1 WBT (S)</t>
  </si>
  <si>
    <t>2 WBT (P)</t>
  </si>
  <si>
    <t>2 WBT (S)</t>
  </si>
  <si>
    <t>3 WBT (P)</t>
  </si>
  <si>
    <t>3 WBT (S)</t>
  </si>
  <si>
    <t>4 WBT (P)</t>
  </si>
  <si>
    <t>4 WBT (S)</t>
  </si>
  <si>
    <t>Collect (P)</t>
  </si>
  <si>
    <t>Collect (S)</t>
  </si>
  <si>
    <t>GAUGE</t>
  </si>
  <si>
    <t>Mr. Ademar Haruo Fujiyama</t>
  </si>
  <si>
    <t>Inner roads</t>
  </si>
  <si>
    <t>Palangana</t>
  </si>
  <si>
    <t>Flood tide, &lt; 1knot</t>
  </si>
  <si>
    <t>Rainy</t>
  </si>
  <si>
    <t>SOJA</t>
  </si>
  <si>
    <t>Wharf</t>
  </si>
  <si>
    <t>Fine</t>
  </si>
  <si>
    <t>No tide flow</t>
  </si>
  <si>
    <t>FULL</t>
  </si>
  <si>
    <t>SLACK</t>
  </si>
  <si>
    <t>COMANDANTE E IMEDIATO SE RECUSARAM A ASSINAR O CERTIFICADO DE ARQUEAÇÃO.</t>
  </si>
  <si>
    <t>SOYBEANS</t>
  </si>
  <si>
    <t xml:space="preserve">, it was applied the waterplane area coefficient correction for the deflexion formula as per UN/ECE/Energy/19/1992.  2) According to the Master/Chief Officer usual constant would amount 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</si>
</sst>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8" borderId="150" xfId="4" applyNumberForma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26700</c:v>
                </c:pt>
                <c:pt idx="9">
                  <c:v>20400</c:v>
                </c:pt>
                <c:pt idx="10">
                  <c:v>23636.695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9747AB0-B3E0-4F27-A905-C2A32243CDB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2E5BEE7-3B8F-478E-ABD8-D3C5D88F80E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37.74561421055931</c:v>
                </c:pt>
                <c:pt idx="9">
                  <c:v>28.839345688966667</c:v>
                </c:pt>
                <c:pt idx="10">
                  <c:v>33.415040100474016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T76" sqref="T7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145</v>
      </c>
      <c r="N3" s="863"/>
      <c r="O3" s="863"/>
      <c r="P3" s="863"/>
      <c r="Q3" s="863"/>
      <c r="R3" s="863"/>
      <c r="S3" s="863"/>
      <c r="T3" s="863"/>
      <c r="U3" s="863"/>
    </row>
    <row r="4" spans="1:21" ht="21" x14ac:dyDescent="0.35">
      <c r="A4" s="22" t="s">
        <v>146</v>
      </c>
      <c r="B4" s="22" t="s">
        <v>147</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4" t="s">
        <v>150</v>
      </c>
      <c r="B7" s="862"/>
      <c r="C7" s="29"/>
      <c r="D7" s="29"/>
      <c r="E7" s="29"/>
      <c r="F7" s="29"/>
      <c r="G7" s="29"/>
      <c r="H7" s="29"/>
      <c r="I7" s="30"/>
      <c r="J7" s="30"/>
      <c r="K7" s="30"/>
      <c r="L7" s="30"/>
      <c r="M7" s="30"/>
      <c r="N7" s="30"/>
      <c r="O7" s="27" t="s">
        <v>151</v>
      </c>
      <c r="P7" s="28"/>
    </row>
    <row r="8" spans="1:21" ht="15.75" x14ac:dyDescent="0.25">
      <c r="A8" s="31" t="s">
        <v>50</v>
      </c>
      <c r="B8" s="32" t="s">
        <v>748</v>
      </c>
      <c r="C8" s="29"/>
      <c r="D8" s="29"/>
      <c r="E8" s="29"/>
      <c r="F8" s="29"/>
      <c r="G8" s="29"/>
      <c r="H8" s="29"/>
      <c r="I8" s="30"/>
      <c r="J8" s="30"/>
      <c r="K8" s="30"/>
      <c r="L8" s="30"/>
      <c r="M8" s="30"/>
      <c r="N8" s="30"/>
      <c r="O8" s="27" t="s">
        <v>152</v>
      </c>
    </row>
    <row r="9" spans="1:21" ht="15.75" x14ac:dyDescent="0.25">
      <c r="A9" s="31" t="s">
        <v>153</v>
      </c>
      <c r="B9" s="32">
        <v>2021</v>
      </c>
      <c r="C9" s="33"/>
      <c r="D9" s="33"/>
      <c r="E9" s="33"/>
      <c r="F9" s="29"/>
      <c r="G9" s="29"/>
      <c r="H9" s="29"/>
      <c r="I9" s="30"/>
      <c r="J9" s="30"/>
      <c r="K9" s="30"/>
      <c r="L9" s="30"/>
      <c r="M9" s="30"/>
      <c r="N9" s="30"/>
      <c r="O9" s="27" t="s">
        <v>154</v>
      </c>
    </row>
    <row r="10" spans="1:21" ht="15.75" x14ac:dyDescent="0.25">
      <c r="A10" s="31" t="s">
        <v>54</v>
      </c>
      <c r="B10" s="32">
        <v>9909039</v>
      </c>
      <c r="C10" s="29"/>
      <c r="D10" s="29"/>
      <c r="E10" s="29"/>
      <c r="F10" s="29"/>
      <c r="G10" s="29"/>
      <c r="H10" s="29"/>
      <c r="I10" s="30"/>
      <c r="J10" s="30"/>
      <c r="K10" s="30"/>
      <c r="L10" s="30"/>
      <c r="M10" s="30"/>
      <c r="N10" s="30"/>
      <c r="O10" s="27" t="s">
        <v>155</v>
      </c>
    </row>
    <row r="11" spans="1:21" ht="15.75" x14ac:dyDescent="0.25">
      <c r="A11" s="31" t="s">
        <v>64</v>
      </c>
      <c r="B11" s="32" t="s">
        <v>752</v>
      </c>
      <c r="C11" s="29"/>
      <c r="D11" s="29"/>
      <c r="E11" s="29"/>
      <c r="F11" s="29"/>
      <c r="G11" s="29"/>
      <c r="H11" s="29"/>
      <c r="I11" s="30"/>
      <c r="J11" s="30"/>
      <c r="K11" s="30"/>
      <c r="L11" s="30"/>
      <c r="M11" s="30"/>
      <c r="N11" s="30"/>
      <c r="O11" s="27" t="s">
        <v>156</v>
      </c>
    </row>
    <row r="12" spans="1:21" ht="15.75" x14ac:dyDescent="0.25">
      <c r="A12" s="31" t="s">
        <v>51</v>
      </c>
      <c r="B12" s="32" t="s">
        <v>749</v>
      </c>
      <c r="C12" s="29"/>
      <c r="D12" s="29"/>
      <c r="E12" s="29"/>
      <c r="F12" s="29"/>
      <c r="G12" s="29"/>
      <c r="H12" s="29"/>
      <c r="I12" s="30"/>
      <c r="J12" s="30"/>
      <c r="K12" s="30"/>
      <c r="L12" s="30"/>
      <c r="M12" s="30"/>
      <c r="N12" s="30"/>
      <c r="O12" s="27" t="s">
        <v>157</v>
      </c>
    </row>
    <row r="13" spans="1:21" ht="15.75" x14ac:dyDescent="0.25">
      <c r="A13" s="31" t="s">
        <v>52</v>
      </c>
      <c r="B13" s="32" t="s">
        <v>750</v>
      </c>
      <c r="C13" s="29"/>
      <c r="D13" s="29"/>
      <c r="E13" s="29"/>
      <c r="F13" s="29"/>
      <c r="G13" s="29"/>
      <c r="H13" s="29"/>
      <c r="I13" s="30"/>
      <c r="J13" s="30"/>
      <c r="K13" s="30"/>
      <c r="L13" s="30"/>
      <c r="M13" s="30"/>
      <c r="N13" s="30"/>
      <c r="O13" s="27" t="s">
        <v>158</v>
      </c>
    </row>
    <row r="14" spans="1:21" ht="15.75" x14ac:dyDescent="0.25">
      <c r="A14" s="31" t="s">
        <v>53</v>
      </c>
      <c r="B14" s="32" t="s">
        <v>751</v>
      </c>
      <c r="C14" s="29"/>
      <c r="D14" s="29"/>
      <c r="E14" s="29"/>
      <c r="F14" s="29"/>
      <c r="G14" s="29"/>
      <c r="H14" s="29"/>
      <c r="I14" s="30"/>
      <c r="J14" s="30"/>
      <c r="K14" s="30"/>
      <c r="L14" s="30"/>
      <c r="M14" s="30"/>
      <c r="N14" s="30"/>
      <c r="O14" s="34" t="s">
        <v>159</v>
      </c>
      <c r="P14" s="35" t="s">
        <v>580</v>
      </c>
    </row>
    <row r="15" spans="1:21" ht="15.75" x14ac:dyDescent="0.25">
      <c r="A15" s="31" t="s">
        <v>55</v>
      </c>
      <c r="B15" s="32">
        <v>228.9</v>
      </c>
      <c r="C15" s="29"/>
      <c r="D15" s="29"/>
      <c r="E15" s="29"/>
      <c r="F15" s="29"/>
      <c r="G15" s="29"/>
      <c r="H15" s="29"/>
      <c r="I15" s="30"/>
      <c r="J15" s="30"/>
      <c r="K15" s="30"/>
      <c r="L15" s="30"/>
      <c r="M15" s="30"/>
      <c r="N15" s="30"/>
      <c r="O15" s="19"/>
    </row>
    <row r="16" spans="1:21" ht="15.75" x14ac:dyDescent="0.25">
      <c r="A16" s="31" t="s">
        <v>56</v>
      </c>
      <c r="B16" s="32">
        <v>226</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32.24</v>
      </c>
      <c r="C18" s="29"/>
      <c r="D18" s="29"/>
      <c r="E18" s="29"/>
      <c r="F18" s="36" t="s">
        <v>163</v>
      </c>
      <c r="G18" s="29"/>
      <c r="H18" s="29"/>
      <c r="I18" s="30"/>
      <c r="J18" s="37" t="s">
        <v>164</v>
      </c>
      <c r="K18" s="30"/>
      <c r="L18" s="30"/>
      <c r="M18" s="30"/>
      <c r="N18" s="30"/>
      <c r="O18" s="19"/>
    </row>
    <row r="19" spans="1:15" ht="15.75" x14ac:dyDescent="0.25">
      <c r="A19" s="31" t="s">
        <v>62</v>
      </c>
      <c r="B19" s="32">
        <v>13441</v>
      </c>
      <c r="C19" s="29"/>
      <c r="D19" s="29"/>
      <c r="E19" s="29"/>
      <c r="F19" s="36" t="s">
        <v>633</v>
      </c>
      <c r="G19" s="29"/>
      <c r="H19" s="29"/>
      <c r="I19" s="30"/>
      <c r="J19" s="37" t="s">
        <v>644</v>
      </c>
      <c r="K19" s="30"/>
      <c r="L19" s="30"/>
      <c r="M19" s="30"/>
      <c r="N19" s="30"/>
      <c r="O19" s="19"/>
    </row>
    <row r="20" spans="1:15" ht="15.75" x14ac:dyDescent="0.25">
      <c r="A20" s="31" t="s">
        <v>59</v>
      </c>
      <c r="B20" s="32">
        <v>43987</v>
      </c>
      <c r="C20" s="29"/>
      <c r="D20" s="29"/>
      <c r="E20" s="29"/>
      <c r="F20" s="37" t="s">
        <v>162</v>
      </c>
      <c r="G20" s="29"/>
      <c r="H20" s="29"/>
      <c r="I20" s="30"/>
      <c r="J20" s="37" t="s">
        <v>165</v>
      </c>
      <c r="K20" s="30"/>
      <c r="L20" s="30"/>
      <c r="M20" s="30"/>
      <c r="N20" s="30"/>
      <c r="O20" s="19"/>
    </row>
    <row r="21" spans="1:15" ht="15.75" x14ac:dyDescent="0.25">
      <c r="A21" s="31" t="s">
        <v>60</v>
      </c>
      <c r="B21" s="32">
        <v>27425</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753</v>
      </c>
      <c r="C23" s="29"/>
      <c r="D23" s="29"/>
      <c r="E23" s="29"/>
      <c r="F23" s="36" t="s">
        <v>166</v>
      </c>
      <c r="G23" s="29"/>
      <c r="H23" s="29"/>
      <c r="I23" s="30"/>
      <c r="J23" s="36" t="s">
        <v>169</v>
      </c>
      <c r="K23" s="30"/>
      <c r="L23" s="30"/>
      <c r="M23" s="30"/>
      <c r="N23" s="30"/>
      <c r="O23" s="19"/>
    </row>
    <row r="24" spans="1:15" ht="31.5" x14ac:dyDescent="0.25">
      <c r="A24" s="40" t="s">
        <v>65</v>
      </c>
      <c r="B24" s="41" t="s">
        <v>754</v>
      </c>
      <c r="C24" s="29"/>
      <c r="D24" s="29"/>
      <c r="E24" s="29"/>
      <c r="F24" s="36" t="s">
        <v>170</v>
      </c>
      <c r="G24" s="29"/>
      <c r="H24" s="29"/>
      <c r="I24" s="30"/>
      <c r="J24" s="36" t="s">
        <v>171</v>
      </c>
      <c r="K24" s="30"/>
      <c r="L24" s="30"/>
      <c r="M24" s="30"/>
      <c r="N24" s="30"/>
      <c r="O24" s="19"/>
    </row>
    <row r="25" spans="1:15" ht="15.75" x14ac:dyDescent="0.25">
      <c r="A25" s="865" t="s">
        <v>66</v>
      </c>
      <c r="B25" s="867" t="s">
        <v>755</v>
      </c>
      <c r="C25" s="29"/>
      <c r="D25" s="29"/>
      <c r="E25" s="29"/>
      <c r="F25" s="36" t="s">
        <v>170</v>
      </c>
      <c r="G25" s="29"/>
      <c r="H25" s="29"/>
      <c r="I25" s="30"/>
      <c r="J25" s="30" t="s">
        <v>635</v>
      </c>
      <c r="K25" s="30"/>
      <c r="L25" s="30"/>
      <c r="M25" s="30"/>
      <c r="N25" s="30"/>
      <c r="O25" s="19"/>
    </row>
    <row r="26" spans="1:15" ht="15.75" x14ac:dyDescent="0.25">
      <c r="A26" s="865"/>
      <c r="B26" s="868"/>
      <c r="C26" s="29"/>
      <c r="D26" s="29"/>
      <c r="E26" s="29"/>
      <c r="F26" s="36" t="s">
        <v>168</v>
      </c>
      <c r="G26" s="29"/>
      <c r="H26" s="29"/>
      <c r="I26" s="30"/>
      <c r="J26" s="30"/>
      <c r="K26" s="30"/>
      <c r="L26" s="30"/>
      <c r="M26" s="30"/>
      <c r="N26" s="30"/>
      <c r="O26" s="19"/>
    </row>
    <row r="27" spans="1:15" ht="15.75" x14ac:dyDescent="0.25">
      <c r="A27" s="866"/>
      <c r="B27" s="869"/>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2" t="s">
        <v>174</v>
      </c>
      <c r="B29" s="862"/>
      <c r="C29" s="29"/>
      <c r="D29" s="29"/>
      <c r="E29" s="29"/>
      <c r="F29" s="36" t="s">
        <v>175</v>
      </c>
      <c r="G29" s="29"/>
      <c r="H29" s="29"/>
      <c r="I29" s="30"/>
      <c r="J29" s="30"/>
      <c r="K29" s="30"/>
      <c r="L29" s="30"/>
      <c r="M29" s="30"/>
      <c r="N29" s="30"/>
      <c r="O29" s="19"/>
    </row>
    <row r="30" spans="1:15" ht="15.75" x14ac:dyDescent="0.25">
      <c r="A30" s="31" t="s">
        <v>176</v>
      </c>
      <c r="B30" s="43" t="s">
        <v>756</v>
      </c>
      <c r="C30" s="29"/>
      <c r="D30" s="29"/>
      <c r="E30" s="29"/>
      <c r="F30" s="36" t="s">
        <v>171</v>
      </c>
      <c r="G30" s="29"/>
      <c r="H30" s="29"/>
      <c r="I30" s="30"/>
      <c r="J30" s="30"/>
      <c r="K30" s="30"/>
      <c r="L30" s="30"/>
      <c r="M30" s="30"/>
      <c r="N30" s="30"/>
      <c r="O30" s="19"/>
    </row>
    <row r="31" spans="1:15" ht="15.75" x14ac:dyDescent="0.25">
      <c r="A31" s="31" t="s">
        <v>177</v>
      </c>
      <c r="B31" s="43" t="s">
        <v>757</v>
      </c>
      <c r="C31" s="29"/>
      <c r="D31" s="29"/>
      <c r="E31" s="29"/>
      <c r="F31" s="36" t="s">
        <v>178</v>
      </c>
      <c r="G31" s="29"/>
      <c r="H31" s="29"/>
      <c r="I31" s="30"/>
      <c r="J31" s="30"/>
      <c r="K31" s="30"/>
      <c r="L31" s="30"/>
      <c r="M31" s="30"/>
      <c r="N31" s="30"/>
      <c r="O31" s="19"/>
    </row>
    <row r="32" spans="1:15" ht="15.75" x14ac:dyDescent="0.25">
      <c r="A32" s="31" t="s">
        <v>179</v>
      </c>
      <c r="B32" s="582" t="s">
        <v>758</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2" t="s">
        <v>183</v>
      </c>
      <c r="B35" s="862"/>
      <c r="C35" s="29"/>
      <c r="D35" s="29"/>
      <c r="E35" s="29"/>
      <c r="F35" s="46"/>
      <c r="G35" s="29"/>
      <c r="H35" s="29"/>
      <c r="I35" s="30"/>
      <c r="J35" s="30"/>
      <c r="K35" s="30"/>
      <c r="L35" s="30"/>
      <c r="M35" s="30"/>
      <c r="N35" s="30"/>
      <c r="O35" s="19"/>
    </row>
    <row r="36" spans="1:15" ht="15.75" x14ac:dyDescent="0.25">
      <c r="A36" s="31" t="s">
        <v>184</v>
      </c>
      <c r="B36" s="47" t="s">
        <v>759</v>
      </c>
      <c r="C36" s="29"/>
      <c r="D36" s="29"/>
      <c r="E36" s="29"/>
      <c r="F36" s="46"/>
      <c r="G36" s="29"/>
      <c r="H36" s="29"/>
      <c r="I36" s="30"/>
      <c r="J36" s="30"/>
      <c r="K36" s="30"/>
      <c r="L36" s="30"/>
      <c r="M36" s="30"/>
      <c r="N36" s="30"/>
      <c r="O36" s="19"/>
    </row>
    <row r="37" spans="1:15" ht="15.75" x14ac:dyDescent="0.25">
      <c r="A37" s="31" t="s">
        <v>103</v>
      </c>
      <c r="B37" s="47" t="s">
        <v>760</v>
      </c>
      <c r="C37" s="29"/>
      <c r="D37" s="29"/>
      <c r="E37" s="29"/>
      <c r="F37" s="29"/>
      <c r="G37" s="29"/>
      <c r="H37" s="29"/>
      <c r="I37" s="30"/>
      <c r="J37" s="30"/>
      <c r="K37" s="30"/>
      <c r="L37" s="30"/>
      <c r="M37" s="30"/>
      <c r="N37" s="30"/>
      <c r="O37" s="19"/>
    </row>
    <row r="38" spans="1:15" ht="15.75" x14ac:dyDescent="0.25">
      <c r="A38" s="31" t="s">
        <v>185</v>
      </c>
      <c r="B38" s="47" t="s">
        <v>761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186</v>
      </c>
      <c r="B40" s="862"/>
      <c r="C40" s="29"/>
      <c r="D40" s="29"/>
      <c r="E40" s="29"/>
      <c r="F40" s="29"/>
      <c r="G40" s="29"/>
      <c r="H40" s="29"/>
      <c r="I40" s="30"/>
      <c r="J40" s="30"/>
      <c r="K40" s="30"/>
      <c r="L40" s="30"/>
      <c r="M40" s="30"/>
      <c r="N40" s="30"/>
      <c r="O40" s="19"/>
    </row>
    <row r="41" spans="1:15" ht="15.75" x14ac:dyDescent="0.25">
      <c r="A41" s="872" t="s">
        <v>164</v>
      </c>
      <c r="B41" s="872"/>
      <c r="C41" s="29"/>
      <c r="D41" s="29"/>
      <c r="E41" s="29"/>
      <c r="F41" s="29"/>
      <c r="G41" s="29"/>
      <c r="H41" s="29"/>
      <c r="I41" s="30"/>
      <c r="J41" s="30"/>
      <c r="K41" s="30"/>
      <c r="L41" s="30"/>
      <c r="M41" s="30"/>
      <c r="N41" s="30"/>
      <c r="O41" s="19"/>
    </row>
    <row r="42" spans="1:15" ht="15.75" x14ac:dyDescent="0.25">
      <c r="A42" s="862" t="s">
        <v>187</v>
      </c>
      <c r="B42" s="862"/>
      <c r="C42" s="29"/>
      <c r="D42" s="29"/>
      <c r="E42" s="29"/>
      <c r="F42" s="29"/>
      <c r="G42" s="29"/>
      <c r="H42" s="29"/>
      <c r="I42" s="30"/>
      <c r="J42" s="30"/>
      <c r="K42" s="30"/>
      <c r="L42" s="30"/>
      <c r="M42" s="30"/>
      <c r="N42" s="30"/>
      <c r="O42" s="19"/>
    </row>
    <row r="43" spans="1:15" ht="15.75" x14ac:dyDescent="0.25">
      <c r="A43" s="873" t="s">
        <v>164</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188</v>
      </c>
      <c r="B45" s="862"/>
      <c r="C45" s="29"/>
      <c r="D45" s="29"/>
      <c r="E45" s="29"/>
      <c r="F45" s="29"/>
      <c r="G45" s="29"/>
      <c r="H45" s="29"/>
      <c r="I45" s="30"/>
      <c r="J45" s="30"/>
      <c r="K45" s="30"/>
      <c r="L45" s="30"/>
      <c r="M45" s="30"/>
      <c r="N45" s="30"/>
      <c r="O45" s="19"/>
    </row>
    <row r="46" spans="1:15" ht="15.75" customHeight="1" x14ac:dyDescent="0.25">
      <c r="A46" s="870" t="s">
        <v>189</v>
      </c>
      <c r="B46" s="87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0" t="s">
        <v>190</v>
      </c>
      <c r="B47" s="871"/>
      <c r="C47" s="19" t="b">
        <v>0</v>
      </c>
      <c r="D47" s="19" t="b">
        <v>1</v>
      </c>
      <c r="E47" s="51" t="str">
        <f t="shared" si="0"/>
        <v/>
      </c>
      <c r="F47" s="29"/>
      <c r="G47" s="29"/>
      <c r="H47" s="29"/>
      <c r="I47" s="30"/>
      <c r="J47" s="30"/>
      <c r="K47" s="30"/>
      <c r="L47" s="30"/>
      <c r="M47" s="30"/>
      <c r="N47" s="30"/>
      <c r="O47" s="19"/>
    </row>
    <row r="48" spans="1:15" ht="15.75" customHeight="1" x14ac:dyDescent="0.25">
      <c r="A48" s="870" t="s">
        <v>191</v>
      </c>
      <c r="B48" s="871"/>
      <c r="C48" s="19" t="b">
        <v>0</v>
      </c>
      <c r="D48" s="19" t="b">
        <v>1</v>
      </c>
      <c r="E48" s="51" t="str">
        <f t="shared" si="0"/>
        <v/>
      </c>
      <c r="F48" s="29"/>
      <c r="G48" s="29"/>
      <c r="H48" s="29"/>
      <c r="I48" s="30"/>
      <c r="J48" s="30"/>
      <c r="K48" s="30"/>
      <c r="L48" s="30"/>
      <c r="M48" s="30"/>
      <c r="N48" s="30"/>
      <c r="O48" s="19"/>
    </row>
    <row r="49" spans="1:20" ht="15.75" customHeight="1" x14ac:dyDescent="0.25">
      <c r="A49" s="870" t="s">
        <v>605</v>
      </c>
      <c r="B49" s="871"/>
      <c r="C49" s="19" t="b">
        <v>0</v>
      </c>
      <c r="D49" s="19" t="b">
        <v>1</v>
      </c>
      <c r="E49" s="51" t="str">
        <f t="shared" si="0"/>
        <v/>
      </c>
      <c r="F49" s="29"/>
      <c r="G49" s="29"/>
      <c r="H49" s="29"/>
      <c r="I49" s="30"/>
      <c r="J49" s="30"/>
      <c r="K49" s="30"/>
      <c r="L49" s="30"/>
      <c r="M49" s="30"/>
      <c r="N49" s="30"/>
      <c r="O49" s="19"/>
    </row>
    <row r="50" spans="1:20" ht="15.75" customHeight="1" x14ac:dyDescent="0.25">
      <c r="A50" s="874" t="s">
        <v>379</v>
      </c>
      <c r="B50" s="875"/>
      <c r="C50" s="19" t="b">
        <v>0</v>
      </c>
      <c r="D50" s="19" t="b">
        <v>1</v>
      </c>
      <c r="E50" s="51" t="str">
        <f t="shared" si="0"/>
        <v/>
      </c>
      <c r="F50" s="29"/>
      <c r="G50" s="29"/>
      <c r="H50" s="29"/>
      <c r="I50" s="30"/>
      <c r="J50" s="30"/>
      <c r="K50" s="30"/>
      <c r="L50" s="30"/>
      <c r="M50" s="30"/>
      <c r="N50" s="30"/>
      <c r="O50" s="19"/>
    </row>
    <row r="51" spans="1:20" ht="15.75" customHeight="1" x14ac:dyDescent="0.25">
      <c r="A51" s="874" t="s">
        <v>380</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381</v>
      </c>
      <c r="B52" s="87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4" t="s">
        <v>192</v>
      </c>
      <c r="B53" s="875"/>
      <c r="C53" s="19" t="b">
        <v>0</v>
      </c>
      <c r="D53" s="19" t="b">
        <v>1</v>
      </c>
      <c r="E53" s="51" t="str">
        <f t="shared" si="0"/>
        <v/>
      </c>
      <c r="F53" s="19"/>
      <c r="G53" s="19"/>
      <c r="H53" s="19"/>
      <c r="I53" s="19"/>
      <c r="J53" s="19"/>
      <c r="K53" s="19"/>
      <c r="L53" s="434" t="s">
        <v>578</v>
      </c>
      <c r="M53" s="435"/>
      <c r="N53" s="435"/>
      <c r="O53" s="435"/>
      <c r="P53" s="435"/>
      <c r="Q53" s="435"/>
      <c r="R53" s="435"/>
      <c r="S53" s="435"/>
      <c r="T53" s="433"/>
    </row>
    <row r="54" spans="1:20" ht="15.75" customHeight="1" x14ac:dyDescent="0.25">
      <c r="A54" s="870" t="s">
        <v>606</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193</v>
      </c>
      <c r="B55" s="877"/>
      <c r="C55" s="19" t="b">
        <v>0</v>
      </c>
      <c r="D55" s="19" t="b">
        <v>1</v>
      </c>
      <c r="E55" s="51" t="str">
        <f t="shared" si="0"/>
        <v/>
      </c>
      <c r="F55" s="19"/>
      <c r="G55" s="19"/>
      <c r="H55" s="19"/>
      <c r="I55" s="19"/>
      <c r="J55" s="19"/>
      <c r="K55" s="19"/>
      <c r="L55" s="434" t="s">
        <v>578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2" t="s">
        <v>194</v>
      </c>
      <c r="B57" s="862"/>
      <c r="C57" s="19"/>
      <c r="D57" s="19"/>
      <c r="E57" s="19"/>
      <c r="F57" s="19"/>
      <c r="G57" s="19"/>
      <c r="H57" s="19"/>
      <c r="I57" s="19"/>
      <c r="J57" s="19"/>
      <c r="K57" s="19"/>
      <c r="L57" s="19"/>
      <c r="M57" s="19"/>
      <c r="N57" s="19"/>
      <c r="O57" s="19"/>
    </row>
    <row r="58" spans="1:20" ht="15.75" customHeight="1" x14ac:dyDescent="0.2">
      <c r="A58" s="412" t="s">
        <v>195</v>
      </c>
      <c r="B58" s="412"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197</v>
      </c>
      <c r="B59" s="412" t="s">
        <v>198</v>
      </c>
      <c r="C59" s="19" t="b">
        <v>0</v>
      </c>
      <c r="D59" s="19" t="b">
        <v>1</v>
      </c>
      <c r="E59" s="51" t="str">
        <f t="shared" si="1"/>
        <v/>
      </c>
      <c r="F59" s="19"/>
      <c r="G59" s="19"/>
      <c r="H59" s="19"/>
      <c r="I59" s="19"/>
      <c r="J59" s="19"/>
      <c r="K59" s="19"/>
      <c r="L59" s="19"/>
      <c r="M59" s="19"/>
      <c r="N59" s="19"/>
      <c r="O59" s="19"/>
    </row>
    <row r="60" spans="1:20" ht="15.75" customHeight="1" x14ac:dyDescent="0.2">
      <c r="A60" s="412" t="s">
        <v>199</v>
      </c>
      <c r="B60" s="412" t="s">
        <v>200</v>
      </c>
      <c r="C60" s="19" t="b">
        <v>0</v>
      </c>
      <c r="D60" s="19" t="b">
        <v>1</v>
      </c>
      <c r="E60" s="51" t="str">
        <f t="shared" si="1"/>
        <v/>
      </c>
      <c r="F60" s="19"/>
      <c r="G60" s="19"/>
      <c r="H60" s="19"/>
      <c r="I60" s="19"/>
      <c r="J60" s="19"/>
      <c r="K60" s="19"/>
      <c r="L60" s="19"/>
      <c r="M60" s="19"/>
      <c r="N60" s="19"/>
      <c r="O60" s="19"/>
    </row>
    <row r="61" spans="1:20" ht="15.75" customHeight="1" x14ac:dyDescent="0.2">
      <c r="A61" s="412" t="s">
        <v>201</v>
      </c>
      <c r="B61" s="412" t="s">
        <v>202</v>
      </c>
      <c r="C61" s="19" t="b">
        <v>0</v>
      </c>
      <c r="D61" s="19" t="b">
        <v>1</v>
      </c>
      <c r="E61" s="51" t="str">
        <f t="shared" si="1"/>
        <v/>
      </c>
      <c r="F61" s="19"/>
      <c r="G61" s="19"/>
      <c r="H61" s="19"/>
      <c r="I61" s="19"/>
      <c r="J61" s="19"/>
      <c r="K61" s="19"/>
      <c r="L61" s="19"/>
      <c r="M61" s="19"/>
      <c r="N61" s="19"/>
      <c r="O61" s="19"/>
    </row>
    <row r="62" spans="1:20" ht="15.75" customHeight="1" x14ac:dyDescent="0.25">
      <c r="A62" s="412" t="s">
        <v>203</v>
      </c>
      <c r="B62" s="412" t="s">
        <v>204</v>
      </c>
      <c r="C62" s="19" t="b">
        <v>0</v>
      </c>
      <c r="D62" s="19" t="b">
        <v>1</v>
      </c>
      <c r="E62" s="51" t="str">
        <f t="shared" si="1"/>
        <v/>
      </c>
      <c r="F62" s="19"/>
      <c r="G62" s="19"/>
      <c r="H62" s="19"/>
      <c r="I62" s="19"/>
      <c r="J62" s="19"/>
      <c r="K62" s="19"/>
      <c r="L62" s="434" t="s">
        <v>579</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579</v>
      </c>
      <c r="M63" s="436"/>
      <c r="N63" s="436"/>
      <c r="O63" s="436"/>
      <c r="P63" s="433"/>
      <c r="Q63" s="433"/>
      <c r="R63" s="433"/>
      <c r="S63" s="433"/>
      <c r="T63" s="433"/>
    </row>
    <row r="64" spans="1:20" ht="15.75" customHeight="1" x14ac:dyDescent="0.25">
      <c r="A64" s="412" t="s">
        <v>207</v>
      </c>
      <c r="B64" s="412" t="s">
        <v>208</v>
      </c>
      <c r="C64" s="19" t="b">
        <v>1</v>
      </c>
      <c r="D64" s="19" t="b">
        <v>1</v>
      </c>
      <c r="E64" s="51" t="str">
        <f t="shared" si="1"/>
        <v xml:space="preserve">IT, </v>
      </c>
      <c r="F64" s="19"/>
      <c r="G64" s="19"/>
      <c r="H64" s="19"/>
      <c r="I64" s="19"/>
      <c r="J64" s="19"/>
      <c r="K64" s="19"/>
      <c r="L64" s="434" t="s">
        <v>579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209</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762</v>
      </c>
      <c r="C67" s="19" t="b">
        <v>0</v>
      </c>
      <c r="D67" s="19" t="b">
        <v>1</v>
      </c>
      <c r="E67" s="51" t="str">
        <f t="shared" si="2"/>
        <v/>
      </c>
      <c r="F67" s="19"/>
      <c r="G67" s="19"/>
      <c r="H67" s="19"/>
      <c r="I67" s="19"/>
      <c r="J67" s="19"/>
      <c r="K67" s="19"/>
      <c r="L67" s="19"/>
      <c r="M67" s="19"/>
      <c r="N67" s="19"/>
      <c r="O67" s="19"/>
    </row>
    <row r="68" spans="1:54" ht="15" x14ac:dyDescent="0.25">
      <c r="A68" s="52" t="s">
        <v>211</v>
      </c>
      <c r="B68" s="53">
        <v>2020</v>
      </c>
      <c r="C68" s="19" t="b">
        <v>0</v>
      </c>
      <c r="D68" s="19" t="b">
        <v>1</v>
      </c>
      <c r="E68" s="51" t="str">
        <f t="shared" si="2"/>
        <v/>
      </c>
      <c r="F68" s="19"/>
      <c r="G68" s="19"/>
      <c r="H68" s="19"/>
      <c r="I68" s="19"/>
      <c r="J68" s="19"/>
      <c r="K68" s="19"/>
      <c r="L68" s="19"/>
      <c r="M68" s="19"/>
      <c r="N68" s="19"/>
      <c r="O68" s="19"/>
    </row>
    <row r="69" spans="1:54" ht="15" x14ac:dyDescent="0.25">
      <c r="A69" s="52" t="s">
        <v>212</v>
      </c>
      <c r="B69" s="54" t="s">
        <v>763</v>
      </c>
      <c r="C69" s="19" t="b">
        <v>0</v>
      </c>
      <c r="D69" s="19" t="b">
        <v>1</v>
      </c>
      <c r="E69" s="51" t="str">
        <f t="shared" si="2"/>
        <v/>
      </c>
      <c r="F69" s="19"/>
      <c r="G69" s="19"/>
      <c r="H69" s="19"/>
      <c r="I69" s="19"/>
      <c r="J69" s="19"/>
      <c r="K69" s="19"/>
      <c r="L69" s="19"/>
      <c r="M69" s="19"/>
      <c r="N69" s="19"/>
      <c r="O69" s="19"/>
    </row>
    <row r="70" spans="1:54" ht="15" x14ac:dyDescent="0.25">
      <c r="A70" s="52" t="s">
        <v>213</v>
      </c>
      <c r="B70" s="54" t="s">
        <v>765</v>
      </c>
      <c r="C70" s="19" t="b">
        <v>0</v>
      </c>
      <c r="D70" s="19" t="b">
        <v>1</v>
      </c>
      <c r="E70" s="51" t="str">
        <f t="shared" si="2"/>
        <v/>
      </c>
      <c r="F70" s="19"/>
      <c r="G70" s="19"/>
      <c r="H70" s="19"/>
      <c r="I70" s="19"/>
      <c r="J70" s="19"/>
      <c r="K70" s="19"/>
      <c r="L70" s="19"/>
      <c r="M70" s="19"/>
      <c r="N70" s="19"/>
      <c r="O70" s="19"/>
    </row>
    <row r="71" spans="1:54" ht="15" x14ac:dyDescent="0.25">
      <c r="A71" s="52" t="s">
        <v>211</v>
      </c>
      <c r="B71" s="53" t="s">
        <v>766</v>
      </c>
      <c r="C71" s="19" t="b">
        <v>0</v>
      </c>
      <c r="D71" s="19" t="b">
        <v>1</v>
      </c>
      <c r="E71" s="51" t="str">
        <f t="shared" si="2"/>
        <v/>
      </c>
      <c r="F71" s="19"/>
      <c r="G71" s="19"/>
      <c r="H71" s="19"/>
      <c r="I71" s="19"/>
      <c r="J71" s="19"/>
      <c r="K71" s="19"/>
      <c r="L71" s="19"/>
      <c r="M71" s="19"/>
      <c r="N71" s="19"/>
      <c r="O71" s="19"/>
    </row>
    <row r="72" spans="1:54" ht="15.75" x14ac:dyDescent="0.25">
      <c r="A72" s="862" t="s">
        <v>214</v>
      </c>
      <c r="B72" s="862"/>
      <c r="C72" s="19"/>
      <c r="D72" s="19"/>
      <c r="E72" s="19"/>
      <c r="F72" s="19"/>
      <c r="G72" s="19"/>
      <c r="H72" s="19"/>
      <c r="I72" s="19"/>
      <c r="J72" s="19"/>
      <c r="K72" s="19"/>
      <c r="L72" s="19"/>
      <c r="M72" s="19"/>
      <c r="N72" s="19"/>
      <c r="O72" s="19"/>
    </row>
    <row r="73" spans="1:54" ht="15" x14ac:dyDescent="0.25">
      <c r="A73" s="52" t="s">
        <v>211</v>
      </c>
      <c r="B73" s="53">
        <v>2020</v>
      </c>
      <c r="C73" s="19"/>
      <c r="D73" s="19"/>
      <c r="E73" s="19"/>
      <c r="F73" s="19"/>
      <c r="G73" s="19"/>
      <c r="H73" s="19"/>
      <c r="I73" s="19"/>
      <c r="J73" s="19"/>
      <c r="K73" s="19"/>
      <c r="L73" s="19"/>
      <c r="M73" s="19"/>
      <c r="N73" s="19"/>
      <c r="O73" s="19"/>
    </row>
    <row r="74" spans="1:54" ht="15" x14ac:dyDescent="0.25">
      <c r="A74" s="52" t="s">
        <v>212</v>
      </c>
      <c r="B74" s="54"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215</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88</v>
      </c>
      <c r="B78" s="882"/>
      <c r="C78" s="56"/>
      <c r="D78" s="56"/>
      <c r="E78" s="56"/>
      <c r="F78" s="56"/>
      <c r="G78" s="56"/>
      <c r="H78" s="56"/>
      <c r="I78" s="56"/>
      <c r="J78" s="56"/>
      <c r="K78" s="56"/>
      <c r="L78" s="62">
        <v>5.0880000000000001</v>
      </c>
      <c r="M78" s="62">
        <v>15.16</v>
      </c>
      <c r="N78" s="63">
        <f>$O$78+Draft!$H$75</f>
        <v>97493</v>
      </c>
      <c r="O78" s="63">
        <v>84052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89</v>
      </c>
      <c r="B79" s="882"/>
      <c r="C79" s="56"/>
      <c r="D79" s="56"/>
      <c r="E79" s="56"/>
      <c r="F79" s="56"/>
      <c r="G79" s="56"/>
      <c r="H79" s="56"/>
      <c r="I79" s="56"/>
      <c r="J79" s="56"/>
      <c r="K79" s="56"/>
      <c r="L79" s="62">
        <v>5.39</v>
      </c>
      <c r="M79" s="62">
        <v>14.858000000000001</v>
      </c>
      <c r="N79" s="63">
        <f>$O$79+Draft!$H$75</f>
        <v>95406</v>
      </c>
      <c r="O79" s="63">
        <v>81965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90</v>
      </c>
      <c r="B80" s="882"/>
      <c r="C80" s="56"/>
      <c r="D80" s="56"/>
      <c r="E80" s="56"/>
      <c r="F80" s="56"/>
      <c r="G80" s="56"/>
      <c r="H80" s="56"/>
      <c r="I80" s="56"/>
      <c r="J80" s="56"/>
      <c r="K80" s="56"/>
      <c r="L80" s="62">
        <v>5.423</v>
      </c>
      <c r="M80" s="62">
        <v>14.824999999999999</v>
      </c>
      <c r="N80" s="63">
        <f>$O$80+Draft!$H$75</f>
        <v>97557</v>
      </c>
      <c r="O80" s="63">
        <v>84116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91</v>
      </c>
      <c r="B81" s="882"/>
      <c r="C81" s="56"/>
      <c r="D81" s="56"/>
      <c r="E81" s="56"/>
      <c r="F81" s="56"/>
      <c r="G81" s="56"/>
      <c r="H81" s="56"/>
      <c r="I81" s="56"/>
      <c r="J81" s="56"/>
      <c r="K81" s="56"/>
      <c r="L81" s="62">
        <v>5.7249999999999996</v>
      </c>
      <c r="M81" s="62">
        <v>14.523</v>
      </c>
      <c r="N81" s="63">
        <f>$O$81+Draft!$H$75</f>
        <v>95406</v>
      </c>
      <c r="O81" s="63">
        <v>81965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92</v>
      </c>
      <c r="B82" s="882"/>
      <c r="C82" s="70"/>
      <c r="D82" s="70"/>
      <c r="E82" s="70"/>
      <c r="F82" s="70"/>
      <c r="G82" s="70"/>
      <c r="H82" s="70"/>
      <c r="I82" s="70"/>
      <c r="J82" s="70"/>
      <c r="K82" s="70"/>
      <c r="L82" s="62">
        <v>6.0270000000000001</v>
      </c>
      <c r="M82" s="62">
        <v>14.221</v>
      </c>
      <c r="N82" s="63">
        <f>$O$82+Draft!$H$75</f>
        <v>93256</v>
      </c>
      <c r="O82" s="63">
        <v>79815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216</v>
      </c>
      <c r="B84" s="862"/>
      <c r="C84" s="19"/>
      <c r="D84" s="37" t="s">
        <v>689</v>
      </c>
      <c r="E84" s="19"/>
      <c r="F84" s="37"/>
      <c r="G84" s="19"/>
      <c r="H84" s="37"/>
      <c r="I84" s="19"/>
      <c r="J84" s="19"/>
      <c r="K84" s="19"/>
      <c r="L84" s="19"/>
      <c r="M84" s="19"/>
      <c r="N84" s="19"/>
      <c r="O84" s="19"/>
    </row>
    <row r="85" spans="1:54" ht="15" x14ac:dyDescent="0.25">
      <c r="A85" s="884"/>
      <c r="B85" s="884"/>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2" t="s">
        <v>219</v>
      </c>
      <c r="B87" s="862"/>
      <c r="C87" s="19"/>
      <c r="D87" s="37" t="s">
        <v>690</v>
      </c>
      <c r="E87" s="19"/>
      <c r="F87" s="19"/>
      <c r="G87" s="19"/>
      <c r="H87" s="19"/>
      <c r="I87" s="19"/>
      <c r="J87" s="19"/>
      <c r="K87" s="19"/>
      <c r="L87" s="19"/>
      <c r="M87" s="19"/>
      <c r="N87" s="19"/>
      <c r="O87" s="19"/>
    </row>
    <row r="88" spans="1:54" ht="15" x14ac:dyDescent="0.25">
      <c r="A88" s="885"/>
      <c r="B88" s="885"/>
      <c r="C88" s="19"/>
      <c r="D88" s="37" t="s">
        <v>691</v>
      </c>
      <c r="E88" s="19"/>
      <c r="F88" s="19"/>
      <c r="G88" s="19"/>
      <c r="H88" s="19"/>
      <c r="I88" s="19"/>
      <c r="J88" s="19"/>
      <c r="K88" s="19"/>
      <c r="L88" s="19"/>
      <c r="M88" s="19"/>
      <c r="N88" s="19"/>
      <c r="O88" s="19"/>
    </row>
    <row r="89" spans="1:54" ht="15" x14ac:dyDescent="0.25">
      <c r="A89" s="886"/>
      <c r="B89" s="886"/>
      <c r="C89" s="19"/>
      <c r="D89" s="37" t="s">
        <v>692</v>
      </c>
      <c r="E89" s="19"/>
      <c r="F89" s="19"/>
      <c r="G89" s="19"/>
      <c r="H89" s="19"/>
      <c r="I89" s="19"/>
      <c r="J89" s="19"/>
      <c r="K89" s="19"/>
      <c r="L89" s="19"/>
      <c r="M89" s="19"/>
      <c r="N89" s="19"/>
      <c r="O89" s="19"/>
    </row>
    <row r="90" spans="1:54" ht="15.75" x14ac:dyDescent="0.25">
      <c r="A90" s="862" t="s">
        <v>223</v>
      </c>
      <c r="B90" s="862"/>
      <c r="C90" s="19"/>
      <c r="D90" s="37" t="s">
        <v>221</v>
      </c>
      <c r="E90" s="19"/>
      <c r="F90" s="19"/>
      <c r="G90" s="19"/>
      <c r="H90" s="19"/>
      <c r="I90" s="19"/>
      <c r="J90" s="19"/>
      <c r="K90" s="19"/>
      <c r="L90" s="19"/>
      <c r="M90" s="19"/>
      <c r="N90" s="19"/>
      <c r="O90" s="19"/>
    </row>
    <row r="91" spans="1:54" ht="15" x14ac:dyDescent="0.25">
      <c r="A91" s="885"/>
      <c r="B91" s="885"/>
      <c r="C91" s="19"/>
      <c r="D91" s="36" t="s">
        <v>224</v>
      </c>
      <c r="E91" s="19"/>
      <c r="F91" s="19"/>
      <c r="G91" s="19"/>
      <c r="H91" s="19"/>
      <c r="I91" s="19"/>
      <c r="J91" s="19"/>
      <c r="K91" s="19"/>
      <c r="L91" s="19"/>
      <c r="M91" s="19"/>
      <c r="N91" s="19"/>
      <c r="O91" s="19"/>
    </row>
    <row r="92" spans="1:54" ht="15" x14ac:dyDescent="0.25">
      <c r="A92" s="886"/>
      <c r="B92" s="886"/>
      <c r="C92" s="19"/>
      <c r="D92" s="37" t="s">
        <v>611</v>
      </c>
      <c r="E92" s="19"/>
      <c r="F92" s="19"/>
      <c r="G92" s="19"/>
      <c r="H92" s="19"/>
      <c r="I92" s="19"/>
      <c r="J92" s="19"/>
      <c r="K92" s="19"/>
      <c r="L92" s="19"/>
      <c r="M92" s="19"/>
      <c r="N92" s="19"/>
      <c r="O92" s="19"/>
    </row>
    <row r="93" spans="1:54" ht="15.75" x14ac:dyDescent="0.25">
      <c r="A93" s="862" t="s">
        <v>226</v>
      </c>
      <c r="B93" s="862"/>
      <c r="C93" s="19"/>
      <c r="D93" s="37" t="s">
        <v>693</v>
      </c>
      <c r="E93" s="19"/>
      <c r="F93" s="19"/>
      <c r="G93" s="19"/>
      <c r="H93" s="19"/>
      <c r="I93" s="19"/>
      <c r="J93" s="19"/>
      <c r="K93" s="19"/>
      <c r="L93" s="19"/>
      <c r="M93" s="19"/>
      <c r="N93" s="19"/>
      <c r="O93" s="19"/>
    </row>
    <row r="94" spans="1:54" ht="15" x14ac:dyDescent="0.25">
      <c r="A94" s="885"/>
      <c r="B94" s="885"/>
      <c r="C94" s="19"/>
      <c r="D94" s="36" t="s">
        <v>694</v>
      </c>
      <c r="E94" s="19"/>
      <c r="F94" s="19"/>
      <c r="G94" s="19"/>
      <c r="H94" s="19"/>
      <c r="I94" s="19"/>
      <c r="J94" s="19"/>
      <c r="K94" s="19"/>
      <c r="L94" s="19"/>
      <c r="M94" s="19"/>
      <c r="N94" s="19"/>
      <c r="O94" s="19"/>
    </row>
    <row r="95" spans="1:54" ht="15" x14ac:dyDescent="0.25">
      <c r="A95" s="886"/>
      <c r="B95" s="886"/>
      <c r="C95" s="19"/>
      <c r="D95" s="36" t="s">
        <v>227</v>
      </c>
      <c r="E95" s="19"/>
      <c r="F95" s="19"/>
      <c r="G95" s="19"/>
      <c r="H95" s="19"/>
      <c r="I95" s="19"/>
      <c r="J95" s="19"/>
      <c r="K95" s="19"/>
      <c r="L95" s="19"/>
      <c r="M95" s="19"/>
      <c r="N95" s="19"/>
      <c r="O95" s="19"/>
    </row>
    <row r="96" spans="1:54" ht="15.75" x14ac:dyDescent="0.25">
      <c r="A96" s="862" t="s">
        <v>230</v>
      </c>
      <c r="B96" s="862"/>
      <c r="C96" s="19"/>
      <c r="D96" s="37" t="s">
        <v>228</v>
      </c>
      <c r="E96" s="19"/>
      <c r="F96" s="19"/>
      <c r="G96" s="19"/>
      <c r="H96" s="19"/>
      <c r="I96" s="19"/>
      <c r="J96" s="19"/>
      <c r="K96" s="19"/>
      <c r="L96" s="19"/>
      <c r="M96" s="19"/>
      <c r="N96" s="19"/>
      <c r="O96" s="19"/>
    </row>
    <row r="97" spans="1:15" ht="15.75" x14ac:dyDescent="0.25">
      <c r="A97" s="883" t="s">
        <v>735</v>
      </c>
      <c r="B97" s="883"/>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585</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587</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649</v>
      </c>
    </row>
    <row r="128" spans="4:4" x14ac:dyDescent="0.2">
      <c r="D128" s="20"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B71 N78:O82 A85 A88:B89 A97 A91:B92 A94:B95 B22:B27">
    <cfRule type="cellIs" dxfId="61" priority="6" operator="between">
      <formula>0</formula>
      <formula>0</formula>
    </cfRule>
  </conditionalFormatting>
  <conditionalFormatting sqref="B15:B21">
    <cfRule type="cellIs" dxfId="60" priority="5" operator="between">
      <formula>0</formula>
      <formula>0</formula>
    </cfRule>
  </conditionalFormatting>
  <conditionalFormatting sqref="L78:M82">
    <cfRule type="cellIs" dxfId="59" priority="4" operator="between">
      <formula>0</formula>
      <formula>0</formula>
    </cfRule>
  </conditionalFormatting>
  <conditionalFormatting sqref="B67">
    <cfRule type="cellIs" dxfId="58" priority="3" operator="between">
      <formula>0</formula>
      <formula>0</formula>
    </cfRule>
  </conditionalFormatting>
  <conditionalFormatting sqref="B68:B70">
    <cfRule type="cellIs" dxfId="57" priority="2" operator="between">
      <formula>0</formula>
      <formula>0</formula>
    </cfRule>
  </conditionalFormatting>
  <conditionalFormatting sqref="B73:B74">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51" zoomScaleNormal="100" workbookViewId="0">
      <selection activeCell="Y26" sqref="Y26:Z2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251</v>
      </c>
      <c r="B2" s="901"/>
      <c r="C2" s="901"/>
      <c r="D2" s="901"/>
      <c r="E2" s="901"/>
      <c r="F2" s="901"/>
      <c r="G2" s="901"/>
      <c r="H2" s="901"/>
      <c r="I2" s="901"/>
      <c r="J2" s="901"/>
      <c r="K2" s="901"/>
      <c r="L2" s="901"/>
      <c r="M2" s="901"/>
      <c r="N2" s="901"/>
      <c r="O2" s="901"/>
      <c r="P2" s="901"/>
      <c r="Q2" s="901"/>
      <c r="R2" s="901"/>
      <c r="S2" s="657"/>
      <c r="T2" s="901" t="s">
        <v>252</v>
      </c>
      <c r="U2" s="901"/>
      <c r="V2" s="901"/>
      <c r="W2" s="901"/>
      <c r="X2" s="901"/>
      <c r="Y2" s="901"/>
      <c r="Z2" s="901"/>
      <c r="AA2" s="901"/>
      <c r="AB2" s="901"/>
      <c r="AC2" s="901"/>
      <c r="AD2" s="901"/>
      <c r="AE2" s="901"/>
      <c r="AF2" s="901"/>
      <c r="AG2" s="901"/>
      <c r="AH2" s="901"/>
      <c r="AI2" s="901"/>
      <c r="AJ2" s="901"/>
      <c r="AK2" s="902"/>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570</v>
      </c>
      <c r="AP3" s="634"/>
      <c r="AQ3" s="634" t="s">
        <v>570</v>
      </c>
      <c r="AR3" s="634" t="s">
        <v>571</v>
      </c>
    </row>
    <row r="4" spans="1:44" ht="15" customHeight="1" x14ac:dyDescent="0.25">
      <c r="A4" s="903" t="s">
        <v>211</v>
      </c>
      <c r="B4" s="904"/>
      <c r="C4" s="904"/>
      <c r="D4" s="904"/>
      <c r="E4" s="905">
        <v>46079</v>
      </c>
      <c r="F4" s="905"/>
      <c r="G4" s="905"/>
      <c r="H4" s="905"/>
      <c r="I4" s="905"/>
      <c r="J4" s="905"/>
      <c r="K4" s="905"/>
      <c r="L4" s="904" t="s">
        <v>253</v>
      </c>
      <c r="M4" s="904"/>
      <c r="N4" s="904"/>
      <c r="O4" s="906">
        <v>0.375</v>
      </c>
      <c r="P4" s="906"/>
      <c r="Q4" s="906"/>
      <c r="R4" s="906"/>
      <c r="S4" s="646"/>
      <c r="T4" s="904" t="s">
        <v>211</v>
      </c>
      <c r="U4" s="904"/>
      <c r="V4" s="904"/>
      <c r="W4" s="904"/>
      <c r="X4" s="905">
        <v>46083</v>
      </c>
      <c r="Y4" s="905"/>
      <c r="Z4" s="905"/>
      <c r="AA4" s="905"/>
      <c r="AB4" s="905"/>
      <c r="AC4" s="905"/>
      <c r="AD4" s="905"/>
      <c r="AE4" s="904" t="s">
        <v>253</v>
      </c>
      <c r="AF4" s="904"/>
      <c r="AG4" s="904"/>
      <c r="AH4" s="907">
        <v>0.82638888888888884</v>
      </c>
      <c r="AI4" s="907"/>
      <c r="AJ4" s="907"/>
      <c r="AK4" s="908"/>
      <c r="AN4" s="75" t="str">
        <f>IF(E6="Wharf","wharf","inner roads")</f>
        <v>inner roads</v>
      </c>
      <c r="AO4" s="75" t="str">
        <f>IF(X6="Wharf","wharf","inner roads")</f>
        <v>wharf</v>
      </c>
      <c r="AP4" s="634"/>
      <c r="AQ4" s="634" t="s">
        <v>612</v>
      </c>
      <c r="AR4" s="634" t="s">
        <v>572</v>
      </c>
    </row>
    <row r="5" spans="1:44" ht="15" customHeight="1" x14ac:dyDescent="0.25">
      <c r="A5" s="895" t="s">
        <v>254</v>
      </c>
      <c r="B5" s="887"/>
      <c r="C5" s="887"/>
      <c r="D5" s="887"/>
      <c r="E5" s="896" t="str">
        <f>IFERROR(_xlfn.IFS(CAPA!A5=Draft!AQ3,Draft!AR3,CAPA!A5=AQ4,AR4),"Paranaguá, Br - Brazil")</f>
        <v>Paranaguá, Br - Brazil</v>
      </c>
      <c r="F5" s="896"/>
      <c r="G5" s="896"/>
      <c r="H5" s="896"/>
      <c r="I5" s="896"/>
      <c r="J5" s="896"/>
      <c r="K5" s="896"/>
      <c r="L5" s="887" t="s">
        <v>255</v>
      </c>
      <c r="M5" s="887"/>
      <c r="N5" s="887"/>
      <c r="O5" s="888">
        <v>0.38194444444444442</v>
      </c>
      <c r="P5" s="888"/>
      <c r="Q5" s="888"/>
      <c r="R5" s="888"/>
      <c r="S5" s="646"/>
      <c r="T5" s="887" t="s">
        <v>254</v>
      </c>
      <c r="U5" s="887"/>
      <c r="V5" s="887"/>
      <c r="W5" s="887"/>
      <c r="X5" s="896" t="str">
        <f>$E$5</f>
        <v>Paranaguá, Br - Brazil</v>
      </c>
      <c r="Y5" s="896"/>
      <c r="Z5" s="896"/>
      <c r="AA5" s="896"/>
      <c r="AB5" s="896"/>
      <c r="AC5" s="896"/>
      <c r="AD5" s="896"/>
      <c r="AE5" s="887" t="s">
        <v>255</v>
      </c>
      <c r="AF5" s="887"/>
      <c r="AG5" s="887"/>
      <c r="AH5" s="888">
        <v>0.83333333333333337</v>
      </c>
      <c r="AI5" s="888"/>
      <c r="AJ5" s="888"/>
      <c r="AK5" s="889"/>
      <c r="AN5" s="75" t="str">
        <f>IF(AN4="wharf","berthed alongside wharf ","anchored at inner roads area ")</f>
        <v xml:space="preserve">anchored at inner roads area </v>
      </c>
      <c r="AO5" s="75"/>
      <c r="AP5" s="75"/>
      <c r="AQ5" s="75"/>
    </row>
    <row r="6" spans="1:44" ht="15" customHeight="1" x14ac:dyDescent="0.25">
      <c r="A6" s="890" t="s">
        <v>256</v>
      </c>
      <c r="B6" s="891"/>
      <c r="C6" s="891"/>
      <c r="D6" s="891"/>
      <c r="E6" s="892" t="s">
        <v>779</v>
      </c>
      <c r="F6" s="892"/>
      <c r="G6" s="893"/>
      <c r="H6" s="898">
        <v>9.1999999999999993</v>
      </c>
      <c r="I6" s="899"/>
      <c r="J6" s="898" t="str">
        <f>IF(E6="Wharf","berthed","anchored")</f>
        <v>anchored</v>
      </c>
      <c r="K6" s="899"/>
      <c r="L6" s="890" t="s">
        <v>257</v>
      </c>
      <c r="M6" s="891"/>
      <c r="N6" s="891"/>
      <c r="O6" s="894">
        <v>0.47916666666666669</v>
      </c>
      <c r="P6" s="894"/>
      <c r="Q6" s="894"/>
      <c r="R6" s="894"/>
      <c r="S6" s="646"/>
      <c r="T6" s="891" t="s">
        <v>256</v>
      </c>
      <c r="U6" s="891"/>
      <c r="V6" s="891"/>
      <c r="W6" s="891"/>
      <c r="X6" s="892" t="s">
        <v>784</v>
      </c>
      <c r="Y6" s="892"/>
      <c r="Z6" s="893"/>
      <c r="AA6" s="898">
        <v>213</v>
      </c>
      <c r="AB6" s="899"/>
      <c r="AC6" s="898" t="str">
        <f>IF(X6="Wharf","berthed","anchored")</f>
        <v>berthed</v>
      </c>
      <c r="AD6" s="899"/>
      <c r="AE6" s="890" t="s">
        <v>257</v>
      </c>
      <c r="AF6" s="891"/>
      <c r="AG6" s="891"/>
      <c r="AH6" s="894">
        <v>0.91666666666666663</v>
      </c>
      <c r="AI6" s="894"/>
      <c r="AJ6" s="894"/>
      <c r="AK6" s="897"/>
      <c r="AN6" s="75" t="str">
        <f>IF(AO4="wharf","berthed alongside wharf ","anchored at inner roads area ")</f>
        <v xml:space="preserve">berthed alongside wharf </v>
      </c>
    </row>
    <row r="7" spans="1:44" ht="15" customHeight="1" x14ac:dyDescent="0.25">
      <c r="A7" s="937" t="s">
        <v>258</v>
      </c>
      <c r="B7" s="914"/>
      <c r="C7" s="914"/>
      <c r="D7" s="915"/>
      <c r="E7" s="909" t="s">
        <v>782</v>
      </c>
      <c r="F7" s="910"/>
      <c r="G7" s="911"/>
      <c r="H7" s="912"/>
      <c r="I7" s="913"/>
      <c r="J7" s="913"/>
      <c r="K7" s="913"/>
      <c r="L7" s="914" t="s">
        <v>259</v>
      </c>
      <c r="M7" s="914"/>
      <c r="N7" s="914"/>
      <c r="O7" s="926">
        <v>0.1</v>
      </c>
      <c r="P7" s="926"/>
      <c r="Q7" s="926"/>
      <c r="R7" s="926"/>
      <c r="S7" s="647"/>
      <c r="T7" s="914" t="s">
        <v>258</v>
      </c>
      <c r="U7" s="914"/>
      <c r="V7" s="914"/>
      <c r="W7" s="915"/>
      <c r="X7" s="909" t="s">
        <v>785</v>
      </c>
      <c r="Y7" s="910"/>
      <c r="Z7" s="911"/>
      <c r="AA7" s="472"/>
      <c r="AB7" s="472"/>
      <c r="AC7" s="472"/>
      <c r="AD7" s="472"/>
      <c r="AE7" s="914" t="s">
        <v>259</v>
      </c>
      <c r="AF7" s="914"/>
      <c r="AG7" s="914"/>
      <c r="AH7" s="926">
        <v>0.1</v>
      </c>
      <c r="AI7" s="926"/>
      <c r="AJ7" s="926"/>
      <c r="AK7" s="932"/>
      <c r="AN7" s="75" t="str">
        <f>IF(AN4="wharf","Atracado - berço ","Fundeado - área ")</f>
        <v xml:space="preserve">Fundeado - área </v>
      </c>
    </row>
    <row r="8" spans="1:44" ht="15" customHeight="1" x14ac:dyDescent="0.25">
      <c r="A8" s="916" t="s">
        <v>260</v>
      </c>
      <c r="B8" s="917"/>
      <c r="C8" s="917"/>
      <c r="D8" s="917"/>
      <c r="E8" s="920" t="s">
        <v>781</v>
      </c>
      <c r="F8" s="920"/>
      <c r="G8" s="920"/>
      <c r="H8" s="473"/>
      <c r="I8" s="473"/>
      <c r="J8" s="473"/>
      <c r="K8" s="473"/>
      <c r="L8" s="917" t="s">
        <v>261</v>
      </c>
      <c r="M8" s="917"/>
      <c r="N8" s="917"/>
      <c r="O8" s="933">
        <v>2</v>
      </c>
      <c r="P8" s="933"/>
      <c r="Q8" s="933"/>
      <c r="R8" s="933"/>
      <c r="S8" s="647"/>
      <c r="T8" s="917" t="s">
        <v>260</v>
      </c>
      <c r="U8" s="917"/>
      <c r="V8" s="917"/>
      <c r="W8" s="917"/>
      <c r="X8" s="920" t="s">
        <v>786</v>
      </c>
      <c r="Y8" s="920"/>
      <c r="Z8" s="920"/>
      <c r="AA8" s="472"/>
      <c r="AB8" s="472"/>
      <c r="AC8" s="472"/>
      <c r="AD8" s="472"/>
      <c r="AE8" s="917" t="s">
        <v>261</v>
      </c>
      <c r="AF8" s="917"/>
      <c r="AG8" s="917"/>
      <c r="AH8" s="933">
        <v>1</v>
      </c>
      <c r="AI8" s="933"/>
      <c r="AJ8" s="933"/>
      <c r="AK8" s="934"/>
      <c r="AM8" s="76">
        <v>0</v>
      </c>
      <c r="AN8" s="75" t="str">
        <f>IF(AO4="wharf","Atracado - berço ","Fundeado - área ")</f>
        <v xml:space="preserve">Atracado - berço </v>
      </c>
    </row>
    <row r="9" spans="1:44" ht="15" customHeight="1" x14ac:dyDescent="0.25">
      <c r="A9" s="916" t="s">
        <v>262</v>
      </c>
      <c r="B9" s="917"/>
      <c r="C9" s="917"/>
      <c r="D9" s="918"/>
      <c r="E9" s="919" t="s">
        <v>780</v>
      </c>
      <c r="F9" s="920"/>
      <c r="G9" s="921"/>
      <c r="H9" s="473"/>
      <c r="I9" s="473"/>
      <c r="J9" s="473"/>
      <c r="K9" s="473"/>
      <c r="L9" s="437"/>
      <c r="M9" s="437"/>
      <c r="N9" s="437"/>
      <c r="O9" s="437"/>
      <c r="P9" s="474"/>
      <c r="Q9" s="474"/>
      <c r="R9" s="474"/>
      <c r="S9" s="647"/>
      <c r="T9" s="917" t="s">
        <v>262</v>
      </c>
      <c r="U9" s="917"/>
      <c r="V9" s="917"/>
      <c r="W9" s="918"/>
      <c r="X9" s="919" t="s">
        <v>780</v>
      </c>
      <c r="Y9" s="920"/>
      <c r="Z9" s="92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923">
        <f>CAPA!$B$16</f>
        <v>226</v>
      </c>
      <c r="E11" s="924"/>
      <c r="F11" s="925"/>
      <c r="G11" s="78"/>
      <c r="H11" s="78"/>
      <c r="I11" s="927" t="s">
        <v>264</v>
      </c>
      <c r="J11" s="927"/>
      <c r="K11" s="928"/>
      <c r="L11" s="923">
        <f>CAPA!$B$18</f>
        <v>32.24</v>
      </c>
      <c r="M11" s="924"/>
      <c r="N11" s="925"/>
      <c r="O11" s="78"/>
      <c r="P11" s="78"/>
      <c r="Q11" s="78"/>
      <c r="R11" s="78"/>
      <c r="S11" s="648"/>
      <c r="T11" s="78"/>
      <c r="U11" s="478" t="s">
        <v>263</v>
      </c>
      <c r="V11" s="929">
        <f>D11</f>
        <v>226</v>
      </c>
      <c r="W11" s="930"/>
      <c r="X11" s="931"/>
      <c r="Y11" s="479"/>
      <c r="Z11" s="479"/>
      <c r="AA11" s="935" t="s">
        <v>264</v>
      </c>
      <c r="AB11" s="935"/>
      <c r="AC11" s="936"/>
      <c r="AD11" s="929">
        <f>L11</f>
        <v>32.24</v>
      </c>
      <c r="AE11" s="930"/>
      <c r="AF11" s="931"/>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2" t="s">
        <v>266</v>
      </c>
      <c r="D13" s="922"/>
      <c r="E13" s="922"/>
      <c r="F13" s="922"/>
      <c r="G13" s="922"/>
      <c r="H13" s="922"/>
      <c r="I13" s="922"/>
      <c r="J13" s="922"/>
      <c r="K13" s="922"/>
      <c r="L13" s="922"/>
      <c r="M13" s="922"/>
      <c r="N13" s="922"/>
      <c r="O13" s="922"/>
      <c r="P13" s="922"/>
      <c r="Q13" s="922"/>
      <c r="R13" s="78"/>
      <c r="S13" s="648"/>
      <c r="T13" s="78"/>
      <c r="U13" s="922" t="s">
        <v>266</v>
      </c>
      <c r="V13" s="922"/>
      <c r="W13" s="922"/>
      <c r="X13" s="922"/>
      <c r="Y13" s="922"/>
      <c r="Z13" s="922"/>
      <c r="AA13" s="922"/>
      <c r="AB13" s="922"/>
      <c r="AC13" s="922"/>
      <c r="AD13" s="922"/>
      <c r="AE13" s="922"/>
      <c r="AF13" s="922"/>
      <c r="AG13" s="922"/>
      <c r="AH13" s="922"/>
      <c r="AI13" s="92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923">
        <v>4.835</v>
      </c>
      <c r="E15" s="924"/>
      <c r="F15" s="925"/>
      <c r="G15" s="477" t="s">
        <v>268</v>
      </c>
      <c r="H15" s="923"/>
      <c r="I15" s="924"/>
      <c r="J15" s="925"/>
      <c r="K15" s="477" t="s">
        <v>269</v>
      </c>
      <c r="L15" s="923">
        <v>10.24</v>
      </c>
      <c r="M15" s="924"/>
      <c r="N15" s="925"/>
      <c r="O15" s="78"/>
      <c r="P15" s="78"/>
      <c r="Q15" s="78"/>
      <c r="R15" s="78"/>
      <c r="S15" s="648"/>
      <c r="T15" s="78"/>
      <c r="U15" s="477" t="s">
        <v>267</v>
      </c>
      <c r="V15" s="923">
        <f>D15</f>
        <v>4.835</v>
      </c>
      <c r="W15" s="924"/>
      <c r="X15" s="925"/>
      <c r="Y15" s="477" t="s">
        <v>268</v>
      </c>
      <c r="Z15" s="923">
        <v>1</v>
      </c>
      <c r="AA15" s="924"/>
      <c r="AB15" s="925"/>
      <c r="AC15" s="477" t="s">
        <v>269</v>
      </c>
      <c r="AD15" s="923">
        <v>10.24</v>
      </c>
      <c r="AE15" s="924"/>
      <c r="AF15" s="92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8" t="s">
        <v>270</v>
      </c>
      <c r="D17" s="948"/>
      <c r="E17" s="948"/>
      <c r="F17" s="948"/>
      <c r="G17" s="948"/>
      <c r="H17" s="948"/>
      <c r="I17" s="948"/>
      <c r="J17" s="948"/>
      <c r="K17" s="948"/>
      <c r="L17" s="948"/>
      <c r="M17" s="948"/>
      <c r="N17" s="948"/>
      <c r="O17" s="948"/>
      <c r="P17" s="948"/>
      <c r="Q17" s="948"/>
      <c r="R17" s="78"/>
      <c r="S17" s="648"/>
      <c r="T17" s="78"/>
      <c r="U17" s="948" t="s">
        <v>270</v>
      </c>
      <c r="V17" s="948"/>
      <c r="W17" s="948"/>
      <c r="X17" s="948"/>
      <c r="Y17" s="948"/>
      <c r="Z17" s="948"/>
      <c r="AA17" s="948"/>
      <c r="AB17" s="948"/>
      <c r="AC17" s="948"/>
      <c r="AD17" s="948"/>
      <c r="AE17" s="948"/>
      <c r="AF17" s="948"/>
      <c r="AG17" s="948"/>
      <c r="AH17" s="948"/>
      <c r="AI17" s="948"/>
      <c r="AJ17" s="480"/>
      <c r="AK17" s="79"/>
    </row>
    <row r="18" spans="1:43" ht="15" customHeight="1" thickTop="1" thickBot="1" x14ac:dyDescent="0.25">
      <c r="A18" s="77"/>
      <c r="B18" s="78"/>
      <c r="C18" s="477" t="s">
        <v>267</v>
      </c>
      <c r="D18" s="949"/>
      <c r="E18" s="950"/>
      <c r="F18" s="951"/>
      <c r="G18" s="477" t="s">
        <v>268</v>
      </c>
      <c r="H18" s="949"/>
      <c r="I18" s="950"/>
      <c r="J18" s="951"/>
      <c r="K18" s="477" t="s">
        <v>269</v>
      </c>
      <c r="L18" s="949"/>
      <c r="M18" s="950"/>
      <c r="N18" s="951"/>
      <c r="O18" s="78"/>
      <c r="P18" s="78"/>
      <c r="Q18" s="78"/>
      <c r="R18" s="78"/>
      <c r="S18" s="648"/>
      <c r="T18" s="78"/>
      <c r="U18" s="477" t="s">
        <v>267</v>
      </c>
      <c r="V18" s="952">
        <f>D18</f>
        <v>0</v>
      </c>
      <c r="W18" s="953"/>
      <c r="X18" s="954"/>
      <c r="Y18" s="477" t="s">
        <v>268</v>
      </c>
      <c r="Z18" s="952">
        <f>H18</f>
        <v>0</v>
      </c>
      <c r="AA18" s="953"/>
      <c r="AB18" s="954"/>
      <c r="AC18" s="477" t="s">
        <v>269</v>
      </c>
      <c r="AD18" s="952">
        <f>L18</f>
        <v>0</v>
      </c>
      <c r="AE18" s="953"/>
      <c r="AF18" s="95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8" t="s">
        <v>271</v>
      </c>
      <c r="D20" s="938"/>
      <c r="E20" s="938"/>
      <c r="F20" s="938"/>
      <c r="G20" s="938"/>
      <c r="H20" s="938"/>
      <c r="I20" s="938"/>
      <c r="J20" s="938"/>
      <c r="K20" s="938"/>
      <c r="L20" s="938"/>
      <c r="M20" s="938"/>
      <c r="N20" s="939"/>
      <c r="O20" s="940"/>
      <c r="P20" s="941"/>
      <c r="Q20" s="942"/>
      <c r="R20" s="483"/>
      <c r="S20" s="646"/>
      <c r="T20" s="483"/>
      <c r="U20" s="943" t="s">
        <v>271</v>
      </c>
      <c r="V20" s="943"/>
      <c r="W20" s="943"/>
      <c r="X20" s="943"/>
      <c r="Y20" s="943"/>
      <c r="Z20" s="943"/>
      <c r="AA20" s="943"/>
      <c r="AB20" s="943"/>
      <c r="AC20" s="943"/>
      <c r="AD20" s="943"/>
      <c r="AE20" s="943"/>
      <c r="AF20" s="944"/>
      <c r="AG20" s="940">
        <f>O20</f>
        <v>0</v>
      </c>
      <c r="AH20" s="941"/>
      <c r="AI20" s="94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945">
        <f>D11-D15-L15</f>
        <v>210.92499999999998</v>
      </c>
      <c r="G22" s="946"/>
      <c r="H22" s="947"/>
      <c r="I22" s="483"/>
      <c r="J22" s="485"/>
      <c r="K22" s="483"/>
      <c r="L22" s="483"/>
      <c r="M22" s="483"/>
      <c r="N22" s="483"/>
      <c r="O22" s="483"/>
      <c r="P22" s="483"/>
      <c r="Q22" s="483"/>
      <c r="R22" s="483"/>
      <c r="S22" s="646"/>
      <c r="T22" s="483"/>
      <c r="U22" s="485" t="s">
        <v>273</v>
      </c>
      <c r="V22" s="485"/>
      <c r="W22" s="483"/>
      <c r="X22" s="945">
        <f>V11-V15-AD15</f>
        <v>210.92499999999998</v>
      </c>
      <c r="Y22" s="946"/>
      <c r="Z22" s="94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5" t="s">
        <v>274</v>
      </c>
      <c r="D24" s="955"/>
      <c r="E24" s="956"/>
      <c r="F24" s="956"/>
      <c r="G24" s="955" t="s">
        <v>275</v>
      </c>
      <c r="H24" s="955"/>
      <c r="I24" s="488"/>
      <c r="J24" s="957" t="s">
        <v>276</v>
      </c>
      <c r="K24" s="957"/>
      <c r="L24" s="488"/>
      <c r="M24" s="957" t="s">
        <v>277</v>
      </c>
      <c r="N24" s="957"/>
      <c r="O24" s="488"/>
      <c r="P24" s="957" t="s">
        <v>278</v>
      </c>
      <c r="Q24" s="957"/>
      <c r="R24" s="483"/>
      <c r="S24" s="646"/>
      <c r="T24" s="483"/>
      <c r="U24" s="955" t="s">
        <v>274</v>
      </c>
      <c r="V24" s="955"/>
      <c r="W24" s="966"/>
      <c r="X24" s="966"/>
      <c r="Y24" s="955" t="s">
        <v>275</v>
      </c>
      <c r="Z24" s="955"/>
      <c r="AA24" s="484"/>
      <c r="AB24" s="957" t="s">
        <v>276</v>
      </c>
      <c r="AC24" s="957"/>
      <c r="AD24" s="487"/>
      <c r="AE24" s="957" t="s">
        <v>277</v>
      </c>
      <c r="AF24" s="957"/>
      <c r="AG24" s="487"/>
      <c r="AH24" s="957" t="s">
        <v>278</v>
      </c>
      <c r="AI24" s="957"/>
      <c r="AJ24" s="484"/>
      <c r="AK24" s="81"/>
    </row>
    <row r="25" spans="1:43" ht="15" customHeight="1" thickTop="1" thickBot="1" x14ac:dyDescent="0.3">
      <c r="A25" s="80"/>
      <c r="B25" s="483"/>
      <c r="C25" s="958">
        <v>5.87</v>
      </c>
      <c r="D25" s="959"/>
      <c r="E25" s="956"/>
      <c r="F25" s="956"/>
      <c r="G25" s="958">
        <v>5.83</v>
      </c>
      <c r="H25" s="959"/>
      <c r="I25" s="488"/>
      <c r="J25" s="960">
        <f>(C25+G25)/2</f>
        <v>5.85</v>
      </c>
      <c r="K25" s="961"/>
      <c r="L25" s="487">
        <f>G29*D15/F22</f>
        <v>1.5702145312314817E-2</v>
      </c>
      <c r="M25" s="962">
        <f>P25-J25</f>
        <v>-1.5699999999999825E-2</v>
      </c>
      <c r="N25" s="963"/>
      <c r="O25" s="488"/>
      <c r="P25" s="964">
        <f>ROUND((J25-L25),4)-D18</f>
        <v>5.8342999999999998</v>
      </c>
      <c r="Q25" s="961"/>
      <c r="R25" s="483"/>
      <c r="S25" s="646"/>
      <c r="T25" s="483"/>
      <c r="U25" s="958">
        <v>13.3</v>
      </c>
      <c r="V25" s="959"/>
      <c r="W25" s="966"/>
      <c r="X25" s="966"/>
      <c r="Y25" s="958">
        <v>13.3</v>
      </c>
      <c r="Z25" s="959"/>
      <c r="AA25" s="484"/>
      <c r="AB25" s="960">
        <f>(U25+Y25)/2</f>
        <v>13.3</v>
      </c>
      <c r="AC25" s="961"/>
      <c r="AD25" s="487">
        <f>Y29*V15/X22</f>
        <v>-1.1461419935998001E-4</v>
      </c>
      <c r="AE25" s="962">
        <f>AH25-AB25</f>
        <v>9.9999999999766942E-5</v>
      </c>
      <c r="AF25" s="963"/>
      <c r="AG25" s="487"/>
      <c r="AH25" s="965">
        <f>ROUND((AB25-AD25),4)-V18</f>
        <v>13.3001</v>
      </c>
      <c r="AI25" s="961"/>
      <c r="AJ25" s="484"/>
      <c r="AK25" s="81"/>
    </row>
    <row r="26" spans="1:43" ht="15" customHeight="1" thickTop="1" thickBot="1" x14ac:dyDescent="0.3">
      <c r="A26" s="80"/>
      <c r="B26" s="483"/>
      <c r="C26" s="958">
        <v>6.19</v>
      </c>
      <c r="D26" s="959"/>
      <c r="E26" s="956"/>
      <c r="F26" s="956"/>
      <c r="G26" s="958">
        <v>6.1</v>
      </c>
      <c r="H26" s="959"/>
      <c r="I26" s="488"/>
      <c r="J26" s="960">
        <f>(C26+G26)/2</f>
        <v>6.1449999999999996</v>
      </c>
      <c r="K26" s="961"/>
      <c r="L26" s="487">
        <f>G29*H15/F22</f>
        <v>0</v>
      </c>
      <c r="M26" s="962">
        <f t="shared" ref="M26:M27" si="0">P26-J26</f>
        <v>0</v>
      </c>
      <c r="N26" s="963"/>
      <c r="O26" s="488"/>
      <c r="P26" s="960">
        <f>ROUND((J26-L26),4)-H18</f>
        <v>6.1449999999999996</v>
      </c>
      <c r="Q26" s="961"/>
      <c r="R26" s="483"/>
      <c r="S26" s="646"/>
      <c r="T26" s="483"/>
      <c r="U26" s="958">
        <v>13.38</v>
      </c>
      <c r="V26" s="959"/>
      <c r="W26" s="966"/>
      <c r="X26" s="966"/>
      <c r="Y26" s="958">
        <v>13.4</v>
      </c>
      <c r="Z26" s="959"/>
      <c r="AA26" s="484"/>
      <c r="AB26" s="960">
        <f>(U26+Y26)/2</f>
        <v>13.39</v>
      </c>
      <c r="AC26" s="961"/>
      <c r="AD26" s="487">
        <f>Y29*Z15/X22</f>
        <v>-2.3705108450874872E-5</v>
      </c>
      <c r="AE26" s="962">
        <f t="shared" ref="AE26:AE27" si="1">AH26-AB26</f>
        <v>0</v>
      </c>
      <c r="AF26" s="963"/>
      <c r="AG26" s="487"/>
      <c r="AH26" s="965">
        <f>ROUND((AB26-AD26),4)-Z18</f>
        <v>13.39</v>
      </c>
      <c r="AI26" s="961"/>
      <c r="AJ26" s="484"/>
      <c r="AK26" s="81"/>
    </row>
    <row r="27" spans="1:43" ht="15" customHeight="1" thickTop="1" thickBot="1" x14ac:dyDescent="0.3">
      <c r="A27" s="80"/>
      <c r="B27" s="483"/>
      <c r="C27" s="958">
        <v>6.54</v>
      </c>
      <c r="D27" s="959"/>
      <c r="E27" s="956"/>
      <c r="F27" s="956"/>
      <c r="G27" s="958">
        <v>6.53</v>
      </c>
      <c r="H27" s="959"/>
      <c r="I27" s="488"/>
      <c r="J27" s="960">
        <f>(C27+G27)/2</f>
        <v>6.5350000000000001</v>
      </c>
      <c r="K27" s="961"/>
      <c r="L27" s="487">
        <f>G29*L15/F22</f>
        <v>3.3255422543558164E-2</v>
      </c>
      <c r="M27" s="962">
        <f t="shared" si="0"/>
        <v>3.3299999999999663E-2</v>
      </c>
      <c r="N27" s="963"/>
      <c r="O27" s="488"/>
      <c r="P27" s="964">
        <f>ROUND((J27+L27),4)-L18</f>
        <v>6.5682999999999998</v>
      </c>
      <c r="Q27" s="961"/>
      <c r="R27" s="483"/>
      <c r="S27" s="646"/>
      <c r="T27" s="483"/>
      <c r="U27" s="958">
        <v>13.29</v>
      </c>
      <c r="V27" s="959"/>
      <c r="W27" s="966"/>
      <c r="X27" s="966"/>
      <c r="Y27" s="958">
        <v>13.3</v>
      </c>
      <c r="Z27" s="959"/>
      <c r="AA27" s="484"/>
      <c r="AB27" s="960">
        <f>(U27+Y27)/2</f>
        <v>13.295</v>
      </c>
      <c r="AC27" s="961"/>
      <c r="AD27" s="487">
        <f>Y29*AD15/X22</f>
        <v>-2.4274031053695867E-4</v>
      </c>
      <c r="AE27" s="962">
        <f t="shared" si="1"/>
        <v>-1.9999999999953388E-4</v>
      </c>
      <c r="AF27" s="963"/>
      <c r="AG27" s="487"/>
      <c r="AH27" s="965">
        <f>ROUND((AB27+AD27),4)-AD18</f>
        <v>13.2948</v>
      </c>
      <c r="AI27" s="961"/>
      <c r="AJ27" s="484"/>
      <c r="AK27" s="81"/>
    </row>
    <row r="28" spans="1:43" ht="15" customHeight="1" thickTop="1" thickBot="1" x14ac:dyDescent="0.3">
      <c r="A28" s="80"/>
      <c r="B28" s="483"/>
      <c r="C28" s="489"/>
      <c r="D28" s="489"/>
      <c r="E28" s="956"/>
      <c r="F28" s="956"/>
      <c r="G28" s="489"/>
      <c r="H28" s="489"/>
      <c r="I28" s="488"/>
      <c r="J28" s="490"/>
      <c r="K28" s="490"/>
      <c r="L28" s="488"/>
      <c r="M28" s="490"/>
      <c r="N28" s="490"/>
      <c r="O28" s="488"/>
      <c r="P28" s="490"/>
      <c r="Q28" s="490"/>
      <c r="R28" s="483"/>
      <c r="S28" s="646"/>
      <c r="T28" s="483"/>
      <c r="U28" s="491"/>
      <c r="V28" s="491"/>
      <c r="W28" s="966"/>
      <c r="X28" s="966"/>
      <c r="Y28" s="491"/>
      <c r="Z28" s="491"/>
      <c r="AA28" s="484"/>
      <c r="AB28" s="492"/>
      <c r="AC28" s="492"/>
      <c r="AD28" s="487"/>
      <c r="AE28" s="492"/>
      <c r="AF28" s="492"/>
      <c r="AG28" s="487"/>
      <c r="AH28" s="492"/>
      <c r="AI28" s="492"/>
      <c r="AJ28" s="484"/>
      <c r="AK28" s="81"/>
    </row>
    <row r="29" spans="1:43" ht="15" customHeight="1" thickTop="1" thickBot="1" x14ac:dyDescent="0.3">
      <c r="A29" s="80"/>
      <c r="B29" s="488"/>
      <c r="C29" s="967" t="s">
        <v>279</v>
      </c>
      <c r="D29" s="967"/>
      <c r="E29" s="967"/>
      <c r="F29" s="968"/>
      <c r="G29" s="960">
        <f>($J$27-$J$25)</f>
        <v>0.6850000000000005</v>
      </c>
      <c r="H29" s="961"/>
      <c r="I29" s="488"/>
      <c r="J29" s="488"/>
      <c r="K29" s="488"/>
      <c r="L29" s="488"/>
      <c r="M29" s="493" t="s">
        <v>280</v>
      </c>
      <c r="N29" s="488"/>
      <c r="O29" s="488"/>
      <c r="P29" s="960">
        <f>($P$27-$P$25)</f>
        <v>0.73399999999999999</v>
      </c>
      <c r="Q29" s="961"/>
      <c r="R29" s="488"/>
      <c r="S29" s="646"/>
      <c r="T29" s="483"/>
      <c r="U29" s="967" t="s">
        <v>279</v>
      </c>
      <c r="V29" s="967"/>
      <c r="W29" s="967"/>
      <c r="X29" s="968"/>
      <c r="Y29" s="960">
        <f>(AB27-AB25)</f>
        <v>-5.0000000000007816E-3</v>
      </c>
      <c r="Z29" s="961"/>
      <c r="AA29" s="487"/>
      <c r="AB29" s="487"/>
      <c r="AC29" s="487"/>
      <c r="AD29" s="487"/>
      <c r="AE29" s="493" t="s">
        <v>280</v>
      </c>
      <c r="AF29" s="487"/>
      <c r="AG29" s="487"/>
      <c r="AH29" s="960">
        <f>(AH27-AH25)</f>
        <v>-5.3000000000000824E-3</v>
      </c>
      <c r="AI29" s="96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2" t="s">
        <v>281</v>
      </c>
      <c r="D31" s="972"/>
      <c r="E31" s="972"/>
      <c r="F31" s="972"/>
      <c r="G31" s="972"/>
      <c r="H31" s="972"/>
      <c r="I31" s="972"/>
      <c r="J31" s="973"/>
      <c r="K31" s="974">
        <f>$O$31</f>
        <v>6.1590749999999996</v>
      </c>
      <c r="L31" s="975"/>
      <c r="M31" s="976" t="s">
        <v>282</v>
      </c>
      <c r="N31" s="977"/>
      <c r="O31" s="971">
        <f>(((P25+P27)/2+P26)/2+P26)/2-O20</f>
        <v>6.1590749999999996</v>
      </c>
      <c r="P31" s="971"/>
      <c r="Q31" s="971"/>
      <c r="R31" s="488"/>
      <c r="S31" s="646"/>
      <c r="T31" s="483"/>
      <c r="U31" s="972" t="s">
        <v>281</v>
      </c>
      <c r="V31" s="972"/>
      <c r="W31" s="972"/>
      <c r="X31" s="972"/>
      <c r="Y31" s="972"/>
      <c r="Z31" s="972"/>
      <c r="AA31" s="972"/>
      <c r="AB31" s="973"/>
      <c r="AC31" s="974">
        <f>AG31</f>
        <v>13.3668625</v>
      </c>
      <c r="AD31" s="975"/>
      <c r="AE31" s="969" t="s">
        <v>282</v>
      </c>
      <c r="AF31" s="970"/>
      <c r="AG31" s="971">
        <f>(((AH25+AH27)/2+AH26)/2+AH26)/2-AG20</f>
        <v>13.3668625</v>
      </c>
      <c r="AH31" s="971"/>
      <c r="AI31" s="97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67" t="s">
        <v>283</v>
      </c>
      <c r="D33" s="967"/>
      <c r="E33" s="967"/>
      <c r="F33" s="488"/>
      <c r="G33" s="960">
        <f>ABS(AVERAGE(P25,P27)-P26)*100</f>
        <v>5.6300000000000239</v>
      </c>
      <c r="H33" s="961"/>
      <c r="I33" s="488"/>
      <c r="J33" s="488" t="s">
        <v>284</v>
      </c>
      <c r="K33" s="493"/>
      <c r="L33" s="488"/>
      <c r="M33" s="960" t="str">
        <f>IF(G33=0,"",IF(AVERAGE(P25,P27)&gt;P26,"HOGGING","SAGGING"))</f>
        <v>HOGGING</v>
      </c>
      <c r="N33" s="961"/>
      <c r="O33" s="488"/>
      <c r="P33" s="488"/>
      <c r="Q33" s="488"/>
      <c r="R33" s="488"/>
      <c r="S33" s="646"/>
      <c r="T33" s="483"/>
      <c r="U33" s="967" t="s">
        <v>285</v>
      </c>
      <c r="V33" s="967"/>
      <c r="W33" s="967"/>
      <c r="X33" s="487"/>
      <c r="Y33" s="960">
        <f>ABS(AVERAGE(AH25,AH27)-AH26)*100</f>
        <v>9.2549999999999244</v>
      </c>
      <c r="Z33" s="961"/>
      <c r="AA33" s="487"/>
      <c r="AB33" s="488" t="s">
        <v>284</v>
      </c>
      <c r="AC33" s="494"/>
      <c r="AD33" s="487"/>
      <c r="AE33" s="960" t="str">
        <f>IF(Y33=0,"",IF(AVERAGE(AH25,AH27)&gt;AH26,"HOGGING","SAGGING"))</f>
        <v>SAGGING</v>
      </c>
      <c r="AF33" s="96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7" t="s">
        <v>286</v>
      </c>
      <c r="D35" s="967"/>
      <c r="E35" s="967"/>
      <c r="F35" s="488"/>
      <c r="G35" s="987">
        <f>ROUND(IF(C18="FORE",ABS(C26-G26)*100,ABS(C26-G26)*12),2)</f>
        <v>9</v>
      </c>
      <c r="H35" s="988"/>
      <c r="I35" s="488"/>
      <c r="J35" s="488"/>
      <c r="K35" s="488" t="s">
        <v>287</v>
      </c>
      <c r="L35" s="488"/>
      <c r="M35" s="989">
        <f>IF(G35=0,"",IF(C18="FORE",ABS(DEGREES(ATAN((C26-G26)/L11))),ABS(DEGREES(ATAN((C26*0.3048-G26*0.3048)/L11)))))</f>
        <v>0.15994437845408491</v>
      </c>
      <c r="N35" s="990"/>
      <c r="O35" s="82" t="s">
        <v>129</v>
      </c>
      <c r="P35" s="83" t="str">
        <f>IF(C26=G26,"N",IF(C26&gt;G26,"P","S"))</f>
        <v>P</v>
      </c>
      <c r="Q35" s="488"/>
      <c r="R35" s="488"/>
      <c r="S35" s="646"/>
      <c r="T35" s="483"/>
      <c r="U35" s="967" t="s">
        <v>286</v>
      </c>
      <c r="V35" s="967"/>
      <c r="W35" s="967"/>
      <c r="X35" s="487"/>
      <c r="Y35" s="987">
        <f>ROUND(IF(U18="FORE",ABS(U26-Y26)*100,ABS(U26-Y26)*12),2)</f>
        <v>2</v>
      </c>
      <c r="Z35" s="988"/>
      <c r="AA35" s="487"/>
      <c r="AB35" s="487"/>
      <c r="AC35" s="488" t="s">
        <v>287</v>
      </c>
      <c r="AD35" s="487"/>
      <c r="AE35" s="989">
        <f>IF(Y35=0,"",IF(U18="FORE",ABS(DEGREES(ATAN((U26-Y26)/AD11))),ABS(DEGREES(ATAN((U26*0.3048-Y26*0.3048)/AD11)))))</f>
        <v>3.5543282979748257E-2</v>
      </c>
      <c r="AF35" s="990"/>
      <c r="AG35" s="82" t="s">
        <v>129</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288</v>
      </c>
      <c r="D37" s="488"/>
      <c r="E37" s="488"/>
      <c r="F37" s="488"/>
      <c r="G37" s="488"/>
      <c r="H37" s="488"/>
      <c r="I37" s="488"/>
      <c r="J37" s="488"/>
      <c r="K37" s="488"/>
      <c r="L37" s="488"/>
      <c r="M37" s="978">
        <f>M39-K31</f>
        <v>5.6975616767358517E-3</v>
      </c>
      <c r="N37" s="979"/>
      <c r="O37" s="498"/>
      <c r="P37" s="498"/>
      <c r="Q37" s="488"/>
      <c r="R37" s="488"/>
      <c r="S37" s="646"/>
      <c r="T37" s="483"/>
      <c r="U37" s="493" t="s">
        <v>288</v>
      </c>
      <c r="V37" s="487"/>
      <c r="W37" s="487"/>
      <c r="X37" s="487"/>
      <c r="Y37" s="487"/>
      <c r="Z37" s="487"/>
      <c r="AA37" s="487"/>
      <c r="AB37" s="487"/>
      <c r="AC37" s="487"/>
      <c r="AD37" s="487"/>
      <c r="AE37" s="978">
        <f>AE39-AC31</f>
        <v>-1.3505625213070971E-2</v>
      </c>
      <c r="AF37" s="97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613</v>
      </c>
      <c r="D39" s="497"/>
      <c r="E39" s="497"/>
      <c r="F39" s="488"/>
      <c r="G39" s="497"/>
      <c r="H39" s="497"/>
      <c r="I39" s="497"/>
      <c r="J39" s="497"/>
      <c r="K39" s="488"/>
      <c r="L39" s="488"/>
      <c r="M39" s="980">
        <f>'wpc '!$H$19</f>
        <v>6.1647725616767355</v>
      </c>
      <c r="N39" s="981"/>
      <c r="O39" s="982">
        <f>K31-H41</f>
        <v>9.0749999999992781E-3</v>
      </c>
      <c r="P39" s="983"/>
      <c r="Q39" s="984">
        <f>M39-H41</f>
        <v>1.477256167673513E-2</v>
      </c>
      <c r="R39" s="984"/>
      <c r="S39" s="646"/>
      <c r="T39" s="483"/>
      <c r="U39" s="497" t="s">
        <v>613</v>
      </c>
      <c r="V39" s="500"/>
      <c r="W39" s="500"/>
      <c r="X39" s="500"/>
      <c r="Y39" s="500"/>
      <c r="Z39" s="500"/>
      <c r="AA39" s="500"/>
      <c r="AB39" s="500"/>
      <c r="AC39" s="487"/>
      <c r="AD39" s="487"/>
      <c r="AE39" s="985">
        <f>'wpc '!$P$19</f>
        <v>13.353356874786929</v>
      </c>
      <c r="AF39" s="986"/>
      <c r="AG39" s="982">
        <f>AC31-Z41</f>
        <v>1.6862500000000225E-2</v>
      </c>
      <c r="AH39" s="983"/>
      <c r="AI39" s="984">
        <f>AE39-Z41</f>
        <v>3.3568747869292537E-3</v>
      </c>
      <c r="AJ39" s="98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991">
        <v>6.15</v>
      </c>
      <c r="I41" s="992"/>
      <c r="J41" s="993">
        <v>37945</v>
      </c>
      <c r="K41" s="994"/>
      <c r="L41" s="995"/>
      <c r="M41" s="996">
        <f>ROUND((J42-J41),2)</f>
        <v>322</v>
      </c>
      <c r="N41" s="997"/>
      <c r="O41" s="998">
        <f>ROUND((M41/G42),1)</f>
        <v>6440</v>
      </c>
      <c r="P41" s="998"/>
      <c r="Q41" s="487"/>
      <c r="R41" s="487"/>
      <c r="S41" s="649"/>
      <c r="T41" s="501"/>
      <c r="U41" s="504" t="s">
        <v>289</v>
      </c>
      <c r="V41" s="484"/>
      <c r="W41" s="484"/>
      <c r="X41" s="484"/>
      <c r="Y41" s="505"/>
      <c r="Z41" s="991">
        <v>13.35</v>
      </c>
      <c r="AA41" s="992"/>
      <c r="AB41" s="993">
        <v>87073</v>
      </c>
      <c r="AC41" s="994"/>
      <c r="AD41" s="995"/>
      <c r="AE41" s="996">
        <f>ROUND((AB42-AB41),2)</f>
        <v>355</v>
      </c>
      <c r="AF41" s="997"/>
      <c r="AG41" s="998">
        <f>ROUND((AE41/Y42),1)</f>
        <v>7100</v>
      </c>
      <c r="AH41" s="998"/>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91">
        <v>6.2</v>
      </c>
      <c r="I42" s="992"/>
      <c r="J42" s="993">
        <v>38267</v>
      </c>
      <c r="K42" s="994"/>
      <c r="L42" s="995"/>
      <c r="M42" s="999" t="s">
        <v>290</v>
      </c>
      <c r="N42" s="1000"/>
      <c r="O42" s="1001">
        <f>ROUND((O41*O39),2)</f>
        <v>58.44</v>
      </c>
      <c r="P42" s="1001"/>
      <c r="Q42" s="1002">
        <f>ROUND((O41*Q39),2)</f>
        <v>95.14</v>
      </c>
      <c r="R42" s="1002"/>
      <c r="S42" s="649"/>
      <c r="T42" s="501"/>
      <c r="U42" s="507"/>
      <c r="V42" s="484"/>
      <c r="W42" s="484"/>
      <c r="X42" s="484"/>
      <c r="Y42" s="506">
        <f>ROUND((Z42-Z41),3)</f>
        <v>0.05</v>
      </c>
      <c r="Z42" s="991">
        <v>13.4</v>
      </c>
      <c r="AA42" s="992"/>
      <c r="AB42" s="993">
        <v>87428</v>
      </c>
      <c r="AC42" s="994"/>
      <c r="AD42" s="995"/>
      <c r="AE42" s="999" t="s">
        <v>290</v>
      </c>
      <c r="AF42" s="1000"/>
      <c r="AG42" s="1001">
        <f>ROUND((AG41*AG39),2)</f>
        <v>119.72</v>
      </c>
      <c r="AH42" s="1001"/>
      <c r="AI42" s="1002">
        <f>ROUND((AG41*AI39),2)</f>
        <v>23.83</v>
      </c>
      <c r="AJ42" s="1002"/>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1003">
        <f>$J$41+$O$42</f>
        <v>38003.440000000002</v>
      </c>
      <c r="K43" s="1004"/>
      <c r="L43" s="1005"/>
      <c r="M43" s="1006">
        <f>$J$41+$Q$42</f>
        <v>38040.14</v>
      </c>
      <c r="N43" s="1007"/>
      <c r="O43" s="1008"/>
      <c r="P43" s="499"/>
      <c r="Q43" s="499"/>
      <c r="R43" s="499"/>
      <c r="S43" s="649"/>
      <c r="T43" s="501"/>
      <c r="U43" s="504" t="s">
        <v>291</v>
      </c>
      <c r="V43" s="484"/>
      <c r="W43" s="484"/>
      <c r="X43" s="484"/>
      <c r="Y43" s="484"/>
      <c r="Z43" s="484">
        <v>35905.1</v>
      </c>
      <c r="AA43" s="484"/>
      <c r="AB43" s="1009">
        <f>AB41+AG42</f>
        <v>87192.72</v>
      </c>
      <c r="AC43" s="1010"/>
      <c r="AD43" s="1011"/>
      <c r="AE43" s="1012">
        <f>AB41+AI42</f>
        <v>87096.83</v>
      </c>
      <c r="AF43" s="1007"/>
      <c r="AG43" s="1008"/>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1013">
        <f>H41</f>
        <v>6.15</v>
      </c>
      <c r="I45" s="1014"/>
      <c r="J45" s="1015">
        <v>64.400000000000006</v>
      </c>
      <c r="K45" s="1016"/>
      <c r="L45" s="1017"/>
      <c r="M45" s="1018">
        <f>ROUND((J46-J45),2)</f>
        <v>0.1</v>
      </c>
      <c r="N45" s="1001"/>
      <c r="O45" s="1001">
        <f>ROUND((M45/G46),1)</f>
        <v>2</v>
      </c>
      <c r="P45" s="1001"/>
      <c r="Q45" s="984">
        <f>M39-H45</f>
        <v>1.477256167673513E-2</v>
      </c>
      <c r="R45" s="984"/>
      <c r="S45" s="649"/>
      <c r="T45" s="501"/>
      <c r="U45" s="504" t="s">
        <v>137</v>
      </c>
      <c r="V45" s="484"/>
      <c r="W45" s="484"/>
      <c r="X45" s="484"/>
      <c r="Y45" s="484"/>
      <c r="Z45" s="1019">
        <f>Z41</f>
        <v>13.35</v>
      </c>
      <c r="AA45" s="1020"/>
      <c r="AB45" s="1015">
        <v>71.099999999999994</v>
      </c>
      <c r="AC45" s="1016"/>
      <c r="AD45" s="1017"/>
      <c r="AE45" s="1018">
        <f>ROUND((AB46-AB45),2)</f>
        <v>0</v>
      </c>
      <c r="AF45" s="1001"/>
      <c r="AG45" s="1001">
        <f>ROUND((AE45/Y46),1)</f>
        <v>0</v>
      </c>
      <c r="AH45" s="1001"/>
      <c r="AI45" s="984">
        <f>AE39-Z45</f>
        <v>3.3568747869292537E-3</v>
      </c>
      <c r="AJ45" s="984"/>
      <c r="AK45" s="86"/>
      <c r="AL45" s="84"/>
    </row>
    <row r="46" spans="1:52" ht="16.5" thickTop="1" thickBot="1" x14ac:dyDescent="0.3">
      <c r="A46" s="80"/>
      <c r="B46" s="483"/>
      <c r="C46" s="502"/>
      <c r="D46" s="483"/>
      <c r="E46" s="483"/>
      <c r="F46" s="483"/>
      <c r="G46" s="506">
        <f>ROUND((H46-H45),3)</f>
        <v>0.05</v>
      </c>
      <c r="H46" s="1013">
        <f>H42</f>
        <v>6.2</v>
      </c>
      <c r="I46" s="1014"/>
      <c r="J46" s="1015">
        <v>64.5</v>
      </c>
      <c r="K46" s="1016"/>
      <c r="L46" s="1017"/>
      <c r="M46" s="510"/>
      <c r="N46" s="510"/>
      <c r="O46" s="984">
        <f>ROUND((O45*O39),3)</f>
        <v>1.7999999999999999E-2</v>
      </c>
      <c r="P46" s="984"/>
      <c r="Q46" s="984">
        <f>ROUND((O45*Q39),3)</f>
        <v>0.03</v>
      </c>
      <c r="R46" s="984"/>
      <c r="S46" s="649"/>
      <c r="T46" s="501"/>
      <c r="U46" s="507"/>
      <c r="V46" s="484"/>
      <c r="W46" s="484"/>
      <c r="X46" s="484"/>
      <c r="Y46" s="506">
        <f>ROUND((Z46-Z45),3)</f>
        <v>0.05</v>
      </c>
      <c r="Z46" s="1013">
        <f>Z42</f>
        <v>13.4</v>
      </c>
      <c r="AA46" s="1014"/>
      <c r="AB46" s="1015">
        <v>71.099999999999994</v>
      </c>
      <c r="AC46" s="1016"/>
      <c r="AD46" s="1017"/>
      <c r="AE46" s="510"/>
      <c r="AF46" s="510"/>
      <c r="AG46" s="984">
        <f>ROUND((AG45*AG39),3)</f>
        <v>0</v>
      </c>
      <c r="AH46" s="984"/>
      <c r="AI46" s="984">
        <f>ROUND((AG45*AI39),3)</f>
        <v>0</v>
      </c>
      <c r="AJ46" s="984"/>
      <c r="AK46" s="86"/>
      <c r="AL46" s="84"/>
    </row>
    <row r="47" spans="1:52" ht="16.5" thickTop="1" thickBot="1" x14ac:dyDescent="0.3">
      <c r="A47" s="80"/>
      <c r="B47" s="483"/>
      <c r="C47" s="502" t="s">
        <v>292</v>
      </c>
      <c r="D47" s="483"/>
      <c r="E47" s="483"/>
      <c r="F47" s="483"/>
      <c r="G47" s="484"/>
      <c r="H47" s="483"/>
      <c r="I47" s="483"/>
      <c r="J47" s="1021">
        <f>$J$45+$O$46</f>
        <v>64.418000000000006</v>
      </c>
      <c r="K47" s="1022"/>
      <c r="L47" s="1023"/>
      <c r="M47" s="1012">
        <f>$J$45+$Q$46</f>
        <v>64.430000000000007</v>
      </c>
      <c r="N47" s="1007"/>
      <c r="O47" s="1008"/>
      <c r="P47" s="511"/>
      <c r="Q47" s="511"/>
      <c r="R47" s="511"/>
      <c r="S47" s="649"/>
      <c r="T47" s="501"/>
      <c r="U47" s="504" t="s">
        <v>292</v>
      </c>
      <c r="V47" s="484"/>
      <c r="W47" s="484"/>
      <c r="X47" s="484"/>
      <c r="Y47" s="484"/>
      <c r="Z47" s="484"/>
      <c r="AA47" s="484"/>
      <c r="AB47" s="1021">
        <f>AB45+AG46</f>
        <v>71.099999999999994</v>
      </c>
      <c r="AC47" s="1022"/>
      <c r="AD47" s="1023"/>
      <c r="AE47" s="1012">
        <f>AB45+AI46</f>
        <v>71.099999999999994</v>
      </c>
      <c r="AF47" s="1007"/>
      <c r="AG47" s="100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1013">
        <f>H41</f>
        <v>6.15</v>
      </c>
      <c r="I49" s="1014"/>
      <c r="J49" s="1024">
        <v>-7.6</v>
      </c>
      <c r="K49" s="1025"/>
      <c r="L49" s="1026"/>
      <c r="M49" s="996">
        <f>J50-J49</f>
        <v>2.9999999999999361E-2</v>
      </c>
      <c r="N49" s="997"/>
      <c r="O49" s="998"/>
      <c r="P49" s="998"/>
      <c r="Q49" s="983"/>
      <c r="R49" s="983"/>
      <c r="S49" s="649"/>
      <c r="T49" s="501"/>
      <c r="U49" s="504" t="s">
        <v>293</v>
      </c>
      <c r="V49" s="484"/>
      <c r="W49" s="484"/>
      <c r="X49" s="484"/>
      <c r="Y49" s="484"/>
      <c r="Z49" s="1013">
        <f>Z41</f>
        <v>13.35</v>
      </c>
      <c r="AA49" s="1014"/>
      <c r="AB49" s="1024">
        <v>2.19</v>
      </c>
      <c r="AC49" s="1025"/>
      <c r="AD49" s="1026"/>
      <c r="AE49" s="996">
        <f>AB50-AB49</f>
        <v>0</v>
      </c>
      <c r="AF49" s="997"/>
      <c r="AG49" s="998"/>
      <c r="AH49" s="998"/>
      <c r="AI49" s="983"/>
      <c r="AJ49" s="983"/>
      <c r="AK49" s="86"/>
      <c r="AL49" s="84"/>
    </row>
    <row r="50" spans="1:47" ht="16.5" thickTop="1" thickBot="1" x14ac:dyDescent="0.3">
      <c r="A50" s="80"/>
      <c r="B50" s="483"/>
      <c r="C50" s="502"/>
      <c r="D50" s="483"/>
      <c r="E50" s="483"/>
      <c r="F50" s="483"/>
      <c r="G50" s="506">
        <f>ROUND((H50-H49),3)</f>
        <v>0.05</v>
      </c>
      <c r="H50" s="1013">
        <f>H42</f>
        <v>6.2</v>
      </c>
      <c r="I50" s="1014"/>
      <c r="J50" s="1024">
        <v>-7.57</v>
      </c>
      <c r="K50" s="1025"/>
      <c r="L50" s="1026"/>
      <c r="M50" s="1027">
        <f>M49/G50</f>
        <v>0.59999999999998721</v>
      </c>
      <c r="N50" s="1028"/>
      <c r="O50" s="984">
        <f>M50*O39</f>
        <v>5.4449999999994511E-3</v>
      </c>
      <c r="P50" s="984"/>
      <c r="Q50" s="983">
        <f>M50*Q39</f>
        <v>8.8635370060408895E-3</v>
      </c>
      <c r="R50" s="983"/>
      <c r="S50" s="649"/>
      <c r="T50" s="501"/>
      <c r="U50" s="507"/>
      <c r="V50" s="484"/>
      <c r="W50" s="484"/>
      <c r="X50" s="484"/>
      <c r="Y50" s="506">
        <f>ROUND((Z50-Z49),3)</f>
        <v>0.05</v>
      </c>
      <c r="Z50" s="1013">
        <f>Z42</f>
        <v>13.4</v>
      </c>
      <c r="AA50" s="1014"/>
      <c r="AB50" s="1024">
        <v>2.19</v>
      </c>
      <c r="AC50" s="1025"/>
      <c r="AD50" s="1026"/>
      <c r="AE50" s="1027">
        <f>AE49/Y50</f>
        <v>0</v>
      </c>
      <c r="AF50" s="1028"/>
      <c r="AG50" s="984">
        <f>AE50*AG39</f>
        <v>0</v>
      </c>
      <c r="AH50" s="984"/>
      <c r="AI50" s="983">
        <f>AE50*AI39</f>
        <v>0</v>
      </c>
      <c r="AJ50" s="983"/>
      <c r="AK50" s="86"/>
      <c r="AL50" s="84"/>
    </row>
    <row r="51" spans="1:47" ht="16.5" thickTop="1" thickBot="1" x14ac:dyDescent="0.3">
      <c r="A51" s="80"/>
      <c r="B51" s="483"/>
      <c r="C51" s="502" t="s">
        <v>294</v>
      </c>
      <c r="D51" s="483"/>
      <c r="E51" s="483"/>
      <c r="F51" s="483"/>
      <c r="G51" s="512"/>
      <c r="H51" s="483"/>
      <c r="I51" s="483"/>
      <c r="J51" s="1029">
        <f>Planilha1!$K$16</f>
        <v>-7.5945999999999998</v>
      </c>
      <c r="K51" s="1030"/>
      <c r="L51" s="1031"/>
      <c r="M51" s="1032">
        <f>Planilha1!$K$33</f>
        <v>-7.5911</v>
      </c>
      <c r="N51" s="1033"/>
      <c r="O51" s="1034"/>
      <c r="P51" s="499"/>
      <c r="Q51" s="499"/>
      <c r="R51" s="499"/>
      <c r="S51" s="649"/>
      <c r="T51" s="501"/>
      <c r="U51" s="504" t="s">
        <v>294</v>
      </c>
      <c r="V51" s="484"/>
      <c r="W51" s="484"/>
      <c r="X51" s="484"/>
      <c r="Y51" s="484"/>
      <c r="Z51" s="484"/>
      <c r="AA51" s="484"/>
      <c r="AB51" s="1029">
        <f>Planilha1!$V$16</f>
        <v>2.19</v>
      </c>
      <c r="AC51" s="1030"/>
      <c r="AD51" s="1031"/>
      <c r="AE51" s="1032">
        <f>Planilha1!$V$33</f>
        <v>2.19</v>
      </c>
      <c r="AF51" s="1033"/>
      <c r="AG51" s="103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1013">
        <f>K31+0.5</f>
        <v>6.6590749999999996</v>
      </c>
      <c r="I53" s="1014"/>
      <c r="J53" s="1015">
        <v>935.4</v>
      </c>
      <c r="K53" s="1016"/>
      <c r="L53" s="1046"/>
      <c r="M53" s="88"/>
      <c r="N53" s="513"/>
      <c r="O53" s="499"/>
      <c r="P53" s="499"/>
      <c r="Q53" s="499"/>
      <c r="R53" s="499"/>
      <c r="S53" s="649"/>
      <c r="T53" s="501"/>
      <c r="U53" s="504" t="s">
        <v>295</v>
      </c>
      <c r="V53" s="484"/>
      <c r="W53" s="484"/>
      <c r="X53" s="484"/>
      <c r="Y53" s="484"/>
      <c r="Z53" s="1013">
        <f>AC31+0.5</f>
        <v>13.8668625</v>
      </c>
      <c r="AA53" s="1014"/>
      <c r="AB53" s="1015">
        <v>1230.9000000000001</v>
      </c>
      <c r="AC53" s="1016"/>
      <c r="AD53" s="1046"/>
      <c r="AE53" s="89"/>
      <c r="AF53" s="506"/>
      <c r="AG53" s="487"/>
      <c r="AH53" s="487"/>
      <c r="AI53" s="487"/>
      <c r="AJ53" s="487"/>
      <c r="AK53" s="86"/>
      <c r="AL53" s="84"/>
    </row>
    <row r="54" spans="1:47" ht="16.5" thickTop="1" thickBot="1" x14ac:dyDescent="0.3">
      <c r="A54" s="80"/>
      <c r="B54" s="483"/>
      <c r="C54" s="502" t="s">
        <v>296</v>
      </c>
      <c r="D54" s="483"/>
      <c r="E54" s="483"/>
      <c r="F54" s="483"/>
      <c r="G54" s="483"/>
      <c r="H54" s="1013">
        <f>K31-0.5</f>
        <v>5.6590749999999996</v>
      </c>
      <c r="I54" s="1014"/>
      <c r="J54" s="1015">
        <v>913.7</v>
      </c>
      <c r="K54" s="1016"/>
      <c r="L54" s="1046"/>
      <c r="M54" s="88"/>
      <c r="N54" s="513"/>
      <c r="O54" s="499"/>
      <c r="P54" s="499"/>
      <c r="Q54" s="499"/>
      <c r="R54" s="499"/>
      <c r="S54" s="649"/>
      <c r="T54" s="501"/>
      <c r="U54" s="504" t="s">
        <v>296</v>
      </c>
      <c r="V54" s="484"/>
      <c r="W54" s="484"/>
      <c r="X54" s="484"/>
      <c r="Y54" s="484"/>
      <c r="Z54" s="1013">
        <f>AC31-0.5</f>
        <v>12.8668625</v>
      </c>
      <c r="AA54" s="1014"/>
      <c r="AB54" s="1015">
        <v>1227.8</v>
      </c>
      <c r="AC54" s="1016"/>
      <c r="AD54" s="1046"/>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1021">
        <f>J53-J54</f>
        <v>21.699999999999932</v>
      </c>
      <c r="K55" s="1022"/>
      <c r="L55" s="1035"/>
      <c r="M55" s="88"/>
      <c r="N55" s="513"/>
      <c r="O55" s="499"/>
      <c r="P55" s="499"/>
      <c r="Q55" s="499"/>
      <c r="R55" s="499"/>
      <c r="S55" s="649"/>
      <c r="T55" s="501"/>
      <c r="U55" s="504" t="s">
        <v>297</v>
      </c>
      <c r="V55" s="484"/>
      <c r="W55" s="484"/>
      <c r="X55" s="484"/>
      <c r="Y55" s="484"/>
      <c r="Z55" s="484"/>
      <c r="AA55" s="484"/>
      <c r="AB55" s="1009">
        <f>AB53-AB54</f>
        <v>3.1000000000001364</v>
      </c>
      <c r="AC55" s="1010"/>
      <c r="AD55" s="103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7" t="s">
        <v>290</v>
      </c>
      <c r="O56" s="1038"/>
      <c r="P56" s="1038"/>
      <c r="Q56" s="1039"/>
      <c r="R56" s="499"/>
      <c r="S56" s="649"/>
      <c r="T56" s="501"/>
      <c r="U56" s="509"/>
      <c r="V56" s="484"/>
      <c r="W56" s="484"/>
      <c r="X56" s="484"/>
      <c r="Y56" s="484"/>
      <c r="Z56" s="484"/>
      <c r="AA56" s="484"/>
      <c r="AB56" s="484"/>
      <c r="AC56" s="484"/>
      <c r="AD56" s="484"/>
      <c r="AE56" s="487"/>
      <c r="AF56" s="1037" t="s">
        <v>290</v>
      </c>
      <c r="AG56" s="1038"/>
      <c r="AH56" s="1038"/>
      <c r="AI56" s="1039"/>
      <c r="AJ56" s="487"/>
      <c r="AK56" s="81"/>
    </row>
    <row r="57" spans="1:47" ht="16.5" customHeight="1" thickTop="1" thickBot="1" x14ac:dyDescent="0.3">
      <c r="A57" s="80"/>
      <c r="B57" s="483"/>
      <c r="C57" s="502" t="s">
        <v>298</v>
      </c>
      <c r="D57" s="483"/>
      <c r="E57" s="483"/>
      <c r="F57" s="483"/>
      <c r="G57" s="483"/>
      <c r="H57" s="1040">
        <f>(P29*J47)*(J51*100)/D11</f>
        <v>-158.8911699182301</v>
      </c>
      <c r="I57" s="1041"/>
      <c r="J57" s="1041"/>
      <c r="K57" s="1041"/>
      <c r="L57" s="1042"/>
      <c r="M57" s="513"/>
      <c r="N57" s="1043">
        <f>(P29*M47)*(M51*100)/D11</f>
        <v>-158.84752946106195</v>
      </c>
      <c r="O57" s="1044"/>
      <c r="P57" s="1044"/>
      <c r="Q57" s="1045"/>
      <c r="R57" s="499"/>
      <c r="S57" s="649"/>
      <c r="T57" s="501"/>
      <c r="U57" s="504" t="s">
        <v>298</v>
      </c>
      <c r="V57" s="484"/>
      <c r="W57" s="484"/>
      <c r="X57" s="484"/>
      <c r="Y57" s="484"/>
      <c r="Z57" s="1040">
        <f>(AH29*AB47)*(AB51*100)/V11</f>
        <v>-0.36515827433628884</v>
      </c>
      <c r="AA57" s="1041"/>
      <c r="AB57" s="1041"/>
      <c r="AC57" s="1041"/>
      <c r="AD57" s="1042"/>
      <c r="AE57" s="506"/>
      <c r="AF57" s="1043">
        <f>(AH29*AE47)*(AE51*100)/V11</f>
        <v>-0.36515827433628884</v>
      </c>
      <c r="AG57" s="1044"/>
      <c r="AH57" s="1044"/>
      <c r="AI57" s="1045"/>
      <c r="AJ57" s="487"/>
      <c r="AK57" s="81"/>
    </row>
    <row r="58" spans="1:47" ht="16.5" customHeight="1" thickTop="1" thickBot="1" x14ac:dyDescent="0.3">
      <c r="A58" s="80"/>
      <c r="B58" s="483"/>
      <c r="C58" s="502" t="s">
        <v>299</v>
      </c>
      <c r="D58" s="483"/>
      <c r="E58" s="483"/>
      <c r="F58" s="483"/>
      <c r="G58" s="483"/>
      <c r="H58" s="1056">
        <f>(P29*P29)*(50*J55)/D11</f>
        <v>2.5865055752212309</v>
      </c>
      <c r="I58" s="1057"/>
      <c r="J58" s="1057"/>
      <c r="K58" s="1057"/>
      <c r="L58" s="1058"/>
      <c r="M58" s="513"/>
      <c r="N58" s="1043">
        <f>(P29*P29)*(50*J55)/D11</f>
        <v>2.5865055752212309</v>
      </c>
      <c r="O58" s="1044"/>
      <c r="P58" s="1044"/>
      <c r="Q58" s="1045"/>
      <c r="R58" s="499"/>
      <c r="S58" s="649"/>
      <c r="T58" s="501"/>
      <c r="U58" s="504" t="s">
        <v>299</v>
      </c>
      <c r="V58" s="484"/>
      <c r="W58" s="484"/>
      <c r="X58" s="484"/>
      <c r="Y58" s="484"/>
      <c r="Z58" s="1056">
        <f>(AH29*AH29)*(50*AB55)/V11</f>
        <v>1.9265265486727111E-5</v>
      </c>
      <c r="AA58" s="1057"/>
      <c r="AB58" s="1057"/>
      <c r="AC58" s="1057"/>
      <c r="AD58" s="1058"/>
      <c r="AE58" s="506"/>
      <c r="AF58" s="1043">
        <f>(AH29*AH29)*(50*AB55)/V11</f>
        <v>1.9265265486727111E-5</v>
      </c>
      <c r="AG58" s="1044"/>
      <c r="AH58" s="1044"/>
      <c r="AI58" s="1045"/>
      <c r="AJ58" s="487"/>
      <c r="AK58" s="81"/>
    </row>
    <row r="59" spans="1:47" ht="16.5" customHeight="1" thickTop="1" thickBot="1" x14ac:dyDescent="0.3">
      <c r="A59" s="80"/>
      <c r="B59" s="483"/>
      <c r="C59" s="502" t="s">
        <v>300</v>
      </c>
      <c r="D59" s="483"/>
      <c r="E59" s="483"/>
      <c r="F59" s="483"/>
      <c r="G59" s="483"/>
      <c r="H59" s="1059">
        <f>H57+H58</f>
        <v>-156.30466434300888</v>
      </c>
      <c r="I59" s="1060"/>
      <c r="J59" s="1060"/>
      <c r="K59" s="1060"/>
      <c r="L59" s="1061"/>
      <c r="M59" s="513"/>
      <c r="N59" s="1062">
        <f>N57+N58</f>
        <v>-156.26102388584073</v>
      </c>
      <c r="O59" s="1063"/>
      <c r="P59" s="1063"/>
      <c r="Q59" s="1064"/>
      <c r="R59" s="499"/>
      <c r="S59" s="649"/>
      <c r="T59" s="501"/>
      <c r="U59" s="504" t="s">
        <v>300</v>
      </c>
      <c r="V59" s="484"/>
      <c r="W59" s="484"/>
      <c r="X59" s="484"/>
      <c r="Y59" s="484"/>
      <c r="Z59" s="1059">
        <f>Z57+Z58</f>
        <v>-0.3651390090708021</v>
      </c>
      <c r="AA59" s="1060"/>
      <c r="AB59" s="1060"/>
      <c r="AC59" s="1060"/>
      <c r="AD59" s="1061"/>
      <c r="AE59" s="506"/>
      <c r="AF59" s="1062">
        <f>AF57+AF58</f>
        <v>-0.3651390090708021</v>
      </c>
      <c r="AG59" s="1063"/>
      <c r="AH59" s="1063"/>
      <c r="AI59" s="1064"/>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301</v>
      </c>
      <c r="D61" s="483"/>
      <c r="E61" s="483"/>
      <c r="F61" s="483"/>
      <c r="G61" s="483"/>
      <c r="H61" s="1040">
        <f>J43+H59</f>
        <v>37847.135335656996</v>
      </c>
      <c r="I61" s="1041"/>
      <c r="J61" s="1041"/>
      <c r="K61" s="1041"/>
      <c r="L61" s="1042"/>
      <c r="M61" s="499"/>
      <c r="N61" s="1047">
        <f>M43+N59</f>
        <v>37883.87897611416</v>
      </c>
      <c r="O61" s="1048"/>
      <c r="P61" s="1048"/>
      <c r="Q61" s="1049"/>
      <c r="R61" s="499"/>
      <c r="S61" s="649"/>
      <c r="T61" s="501"/>
      <c r="U61" s="504" t="s">
        <v>301</v>
      </c>
      <c r="V61" s="484"/>
      <c r="W61" s="484"/>
      <c r="X61" s="484"/>
      <c r="Y61" s="484"/>
      <c r="Z61" s="1040">
        <f>AB43+Z59</f>
        <v>87192.354860990934</v>
      </c>
      <c r="AA61" s="1041"/>
      <c r="AB61" s="1041"/>
      <c r="AC61" s="1041"/>
      <c r="AD61" s="1042"/>
      <c r="AE61" s="487"/>
      <c r="AF61" s="1047">
        <f>AE43+AF59</f>
        <v>87096.464860990935</v>
      </c>
      <c r="AG61" s="1048"/>
      <c r="AH61" s="1048"/>
      <c r="AI61" s="1049"/>
      <c r="AJ61" s="487"/>
      <c r="AK61" s="81"/>
    </row>
    <row r="62" spans="1:47" ht="16.5" thickTop="1" thickBot="1" x14ac:dyDescent="0.3">
      <c r="A62" s="80"/>
      <c r="B62" s="483"/>
      <c r="C62" s="514" t="s">
        <v>302</v>
      </c>
      <c r="D62" s="483"/>
      <c r="E62" s="483"/>
      <c r="F62" s="483"/>
      <c r="G62" s="483"/>
      <c r="H62" s="1050">
        <v>1.0145</v>
      </c>
      <c r="I62" s="1051"/>
      <c r="J62" s="1051"/>
      <c r="K62" s="1051"/>
      <c r="L62" s="1052"/>
      <c r="M62" s="499"/>
      <c r="N62" s="1053">
        <f>H62</f>
        <v>1.0145</v>
      </c>
      <c r="O62" s="1054"/>
      <c r="P62" s="1054"/>
      <c r="Q62" s="1055"/>
      <c r="R62" s="499"/>
      <c r="S62" s="649"/>
      <c r="T62" s="501"/>
      <c r="U62" s="504" t="s">
        <v>302</v>
      </c>
      <c r="V62" s="484"/>
      <c r="W62" s="484"/>
      <c r="X62" s="484"/>
      <c r="Y62" s="484"/>
      <c r="Z62" s="1050">
        <v>1.014</v>
      </c>
      <c r="AA62" s="1051"/>
      <c r="AB62" s="1051"/>
      <c r="AC62" s="1051"/>
      <c r="AD62" s="1052"/>
      <c r="AE62" s="487"/>
      <c r="AF62" s="1053">
        <f>Z62</f>
        <v>1.014</v>
      </c>
      <c r="AG62" s="1054"/>
      <c r="AH62" s="1054"/>
      <c r="AI62" s="1055"/>
      <c r="AJ62" s="487"/>
      <c r="AK62" s="81"/>
    </row>
    <row r="63" spans="1:47" ht="16.5" thickTop="1" thickBot="1" x14ac:dyDescent="0.3">
      <c r="A63" s="80"/>
      <c r="B63" s="483"/>
      <c r="C63" s="502" t="s">
        <v>303</v>
      </c>
      <c r="D63" s="483"/>
      <c r="E63" s="483"/>
      <c r="F63" s="483"/>
      <c r="G63" s="483"/>
      <c r="H63" s="1059">
        <f>(H61*H62)/1.025</f>
        <v>37459.432973681978</v>
      </c>
      <c r="I63" s="1060"/>
      <c r="J63" s="1060"/>
      <c r="K63" s="1060"/>
      <c r="L63" s="1061"/>
      <c r="M63" s="499"/>
      <c r="N63" s="1065">
        <f>(N61*N62)/1.025</f>
        <v>37495.800215871044</v>
      </c>
      <c r="O63" s="1066"/>
      <c r="P63" s="1066"/>
      <c r="Q63" s="1067"/>
      <c r="R63" s="499"/>
      <c r="S63" s="649"/>
      <c r="T63" s="501"/>
      <c r="U63" s="504" t="s">
        <v>303</v>
      </c>
      <c r="V63" s="484"/>
      <c r="W63" s="484"/>
      <c r="X63" s="484"/>
      <c r="Y63" s="484"/>
      <c r="Z63" s="1059">
        <f>(Z61*Z62)/1.025</f>
        <v>86256.632028336404</v>
      </c>
      <c r="AA63" s="1060"/>
      <c r="AB63" s="1060"/>
      <c r="AC63" s="1060"/>
      <c r="AD63" s="1061"/>
      <c r="AE63" s="487"/>
      <c r="AF63" s="1065">
        <f>(AF61*AF62)/1.025</f>
        <v>86161.771091751041</v>
      </c>
      <c r="AG63" s="1066"/>
      <c r="AH63" s="1066"/>
      <c r="AI63" s="1067"/>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304</v>
      </c>
      <c r="D65" s="483"/>
      <c r="E65" s="483"/>
      <c r="F65" s="483"/>
      <c r="G65" s="483"/>
      <c r="H65" s="1068">
        <v>615.30600000000004</v>
      </c>
      <c r="I65" s="1069"/>
      <c r="J65" s="1069"/>
      <c r="K65" s="1069"/>
      <c r="L65" s="1070"/>
      <c r="M65" s="499"/>
      <c r="N65" s="1047">
        <f>H65</f>
        <v>615.30600000000004</v>
      </c>
      <c r="O65" s="1048"/>
      <c r="P65" s="1048"/>
      <c r="Q65" s="1049"/>
      <c r="R65" s="499"/>
      <c r="S65" s="649"/>
      <c r="T65" s="501"/>
      <c r="U65" s="504" t="s">
        <v>304</v>
      </c>
      <c r="V65" s="484"/>
      <c r="W65" s="1071" t="str">
        <f>IF(Z65&gt;H65,"PEDIR BDN","")</f>
        <v>PEDIR BDN</v>
      </c>
      <c r="X65" s="1071"/>
      <c r="Y65" s="1071"/>
      <c r="Z65" s="1068">
        <v>846.83</v>
      </c>
      <c r="AA65" s="1069"/>
      <c r="AB65" s="1069"/>
      <c r="AC65" s="1069"/>
      <c r="AD65" s="1070"/>
      <c r="AE65" s="487"/>
      <c r="AF65" s="1047">
        <f>Z65</f>
        <v>846.83</v>
      </c>
      <c r="AG65" s="1048"/>
      <c r="AH65" s="1048"/>
      <c r="AI65" s="1049"/>
      <c r="AJ65" s="487"/>
      <c r="AK65" s="81"/>
    </row>
    <row r="66" spans="1:47" ht="16.5" thickTop="1" thickBot="1" x14ac:dyDescent="0.3">
      <c r="A66" s="80"/>
      <c r="B66" s="483"/>
      <c r="C66" s="502" t="s">
        <v>305</v>
      </c>
      <c r="D66" s="483"/>
      <c r="E66" s="483"/>
      <c r="F66" s="483"/>
      <c r="G66" s="483"/>
      <c r="H66" s="1072">
        <v>230.97</v>
      </c>
      <c r="I66" s="1073"/>
      <c r="J66" s="1073"/>
      <c r="K66" s="1073"/>
      <c r="L66" s="1074"/>
      <c r="M66" s="499"/>
      <c r="N66" s="1075">
        <f t="shared" ref="N66:N71" si="2">H66</f>
        <v>230.97</v>
      </c>
      <c r="O66" s="1076"/>
      <c r="P66" s="1076"/>
      <c r="Q66" s="1077"/>
      <c r="R66" s="499"/>
      <c r="S66" s="649"/>
      <c r="T66" s="501"/>
      <c r="U66" s="504" t="s">
        <v>305</v>
      </c>
      <c r="V66" s="484"/>
      <c r="W66" s="1071" t="str">
        <f>IF(Z66&gt;H66,"PEDIR BDN","")</f>
        <v/>
      </c>
      <c r="X66" s="1071"/>
      <c r="Y66" s="1071"/>
      <c r="Z66" s="1078">
        <v>230.57</v>
      </c>
      <c r="AA66" s="1073"/>
      <c r="AB66" s="1073"/>
      <c r="AC66" s="1073"/>
      <c r="AD66" s="1074"/>
      <c r="AE66" s="487"/>
      <c r="AF66" s="1075">
        <f t="shared" ref="AF66:AF71" si="3">Z66</f>
        <v>230.57</v>
      </c>
      <c r="AG66" s="1076"/>
      <c r="AH66" s="1076"/>
      <c r="AI66" s="1077"/>
      <c r="AJ66" s="487"/>
      <c r="AK66" s="81"/>
    </row>
    <row r="67" spans="1:47" ht="16.5" thickTop="1" thickBot="1" x14ac:dyDescent="0.3">
      <c r="A67" s="80"/>
      <c r="B67" s="483"/>
      <c r="C67" s="502" t="s">
        <v>306</v>
      </c>
      <c r="D67" s="483"/>
      <c r="E67" s="483"/>
      <c r="F67" s="483"/>
      <c r="G67" s="483"/>
      <c r="H67" s="1072">
        <v>31.22</v>
      </c>
      <c r="I67" s="1073"/>
      <c r="J67" s="1073"/>
      <c r="K67" s="1073"/>
      <c r="L67" s="1074"/>
      <c r="M67" s="499"/>
      <c r="N67" s="1075">
        <f t="shared" si="2"/>
        <v>31.22</v>
      </c>
      <c r="O67" s="1076"/>
      <c r="P67" s="1076"/>
      <c r="Q67" s="1077"/>
      <c r="R67" s="499"/>
      <c r="S67" s="649"/>
      <c r="T67" s="501"/>
      <c r="U67" s="504" t="s">
        <v>306</v>
      </c>
      <c r="V67" s="484"/>
      <c r="W67" s="484"/>
      <c r="X67" s="484"/>
      <c r="Y67" s="484"/>
      <c r="Z67" s="1078">
        <v>31.22</v>
      </c>
      <c r="AA67" s="1073"/>
      <c r="AB67" s="1073"/>
      <c r="AC67" s="1073"/>
      <c r="AD67" s="1074"/>
      <c r="AE67" s="487"/>
      <c r="AF67" s="1075">
        <f t="shared" si="3"/>
        <v>31.22</v>
      </c>
      <c r="AG67" s="1076"/>
      <c r="AH67" s="1076"/>
      <c r="AI67" s="1077"/>
      <c r="AJ67" s="487"/>
      <c r="AK67" s="81"/>
    </row>
    <row r="68" spans="1:47" ht="16.5" thickTop="1" thickBot="1" x14ac:dyDescent="0.3">
      <c r="A68" s="80"/>
      <c r="B68" s="483"/>
      <c r="C68" s="502" t="s">
        <v>307</v>
      </c>
      <c r="D68" s="483"/>
      <c r="E68" s="483"/>
      <c r="F68" s="483"/>
      <c r="G68" s="483"/>
      <c r="H68" s="1056">
        <f>Relato!$J$241</f>
        <v>22659.399999999998</v>
      </c>
      <c r="I68" s="1057"/>
      <c r="J68" s="1057"/>
      <c r="K68" s="1057"/>
      <c r="L68" s="1058"/>
      <c r="M68" s="499"/>
      <c r="N68" s="1075">
        <f t="shared" si="2"/>
        <v>22659.399999999998</v>
      </c>
      <c r="O68" s="1076"/>
      <c r="P68" s="1076"/>
      <c r="Q68" s="1077"/>
      <c r="R68" s="499"/>
      <c r="S68" s="649"/>
      <c r="T68" s="501"/>
      <c r="U68" s="504" t="s">
        <v>307</v>
      </c>
      <c r="V68" s="484"/>
      <c r="W68" s="484"/>
      <c r="X68" s="484"/>
      <c r="Y68" s="484"/>
      <c r="Z68" s="1056">
        <f>Relato!$J$263</f>
        <v>333.80000000000007</v>
      </c>
      <c r="AA68" s="1057"/>
      <c r="AB68" s="1057"/>
      <c r="AC68" s="1057"/>
      <c r="AD68" s="1058"/>
      <c r="AE68" s="487"/>
      <c r="AF68" s="1075">
        <f t="shared" si="3"/>
        <v>333.80000000000007</v>
      </c>
      <c r="AG68" s="1076"/>
      <c r="AH68" s="1076"/>
      <c r="AI68" s="1077"/>
      <c r="AJ68" s="487"/>
      <c r="AK68" s="81"/>
    </row>
    <row r="69" spans="1:47" ht="16.5" thickTop="1" thickBot="1" x14ac:dyDescent="0.3">
      <c r="A69" s="80"/>
      <c r="B69" s="483"/>
      <c r="C69" s="502" t="s">
        <v>308</v>
      </c>
      <c r="D69" s="483"/>
      <c r="E69" s="483"/>
      <c r="F69" s="483"/>
      <c r="G69" s="483"/>
      <c r="H69" s="1056">
        <f>Relato!$J$272</f>
        <v>89.5</v>
      </c>
      <c r="I69" s="1057"/>
      <c r="J69" s="1057"/>
      <c r="K69" s="1057"/>
      <c r="L69" s="1058"/>
      <c r="M69" s="499"/>
      <c r="N69" s="1075">
        <f t="shared" si="2"/>
        <v>89.5</v>
      </c>
      <c r="O69" s="1076"/>
      <c r="P69" s="1076"/>
      <c r="Q69" s="1077"/>
      <c r="R69" s="499"/>
      <c r="S69" s="649"/>
      <c r="T69" s="501"/>
      <c r="U69" s="504" t="s">
        <v>308</v>
      </c>
      <c r="V69" s="484"/>
      <c r="W69" s="484"/>
      <c r="X69" s="484"/>
      <c r="Y69" s="484"/>
      <c r="Z69" s="1056">
        <f>Relato!$J$280</f>
        <v>65</v>
      </c>
      <c r="AA69" s="1057"/>
      <c r="AB69" s="1057"/>
      <c r="AC69" s="1057"/>
      <c r="AD69" s="1058"/>
      <c r="AE69" s="487"/>
      <c r="AF69" s="1075">
        <f t="shared" si="3"/>
        <v>65</v>
      </c>
      <c r="AG69" s="1076"/>
      <c r="AH69" s="1076"/>
      <c r="AI69" s="1077"/>
      <c r="AJ69" s="487"/>
      <c r="AK69" s="81"/>
    </row>
    <row r="70" spans="1:47" ht="14.25" hidden="1" customHeight="1" thickTop="1" thickBot="1" x14ac:dyDescent="0.3">
      <c r="A70" s="80"/>
      <c r="B70" s="483"/>
      <c r="C70" s="502" t="s">
        <v>309</v>
      </c>
      <c r="D70" s="483"/>
      <c r="E70" s="483"/>
      <c r="F70" s="483"/>
      <c r="G70" s="483"/>
      <c r="H70" s="1079">
        <v>0</v>
      </c>
      <c r="I70" s="1080"/>
      <c r="J70" s="1080"/>
      <c r="K70" s="1080"/>
      <c r="L70" s="1081"/>
      <c r="M70" s="499"/>
      <c r="N70" s="1075">
        <f>H70</f>
        <v>0</v>
      </c>
      <c r="O70" s="1076"/>
      <c r="P70" s="1076"/>
      <c r="Q70" s="1077"/>
      <c r="R70" s="499"/>
      <c r="S70" s="649"/>
      <c r="T70" s="501"/>
      <c r="U70" s="504" t="s">
        <v>310</v>
      </c>
      <c r="V70" s="484"/>
      <c r="W70" s="484"/>
      <c r="X70" s="484"/>
      <c r="Y70" s="484"/>
      <c r="Z70" s="1079">
        <v>0</v>
      </c>
      <c r="AA70" s="1080"/>
      <c r="AB70" s="1080"/>
      <c r="AC70" s="1080"/>
      <c r="AD70" s="1081"/>
      <c r="AE70" s="487"/>
      <c r="AF70" s="1075">
        <f>Z70</f>
        <v>0</v>
      </c>
      <c r="AG70" s="1076"/>
      <c r="AH70" s="1076"/>
      <c r="AI70" s="1077"/>
      <c r="AJ70" s="487"/>
      <c r="AK70" s="81"/>
    </row>
    <row r="71" spans="1:47" ht="16.5" thickTop="1" thickBot="1" x14ac:dyDescent="0.3">
      <c r="A71" s="80"/>
      <c r="B71" s="483"/>
      <c r="C71" s="502" t="s">
        <v>311</v>
      </c>
      <c r="D71" s="483"/>
      <c r="E71" s="483"/>
      <c r="F71" s="483"/>
      <c r="G71" s="483"/>
      <c r="H71" s="1082">
        <v>0</v>
      </c>
      <c r="I71" s="1083"/>
      <c r="J71" s="1083"/>
      <c r="K71" s="1083"/>
      <c r="L71" s="1084"/>
      <c r="M71" s="499"/>
      <c r="N71" s="1075">
        <f t="shared" si="2"/>
        <v>0</v>
      </c>
      <c r="O71" s="1076"/>
      <c r="P71" s="1076"/>
      <c r="Q71" s="1077"/>
      <c r="R71" s="499"/>
      <c r="S71" s="649"/>
      <c r="T71" s="501"/>
      <c r="U71" s="504" t="s">
        <v>311</v>
      </c>
      <c r="V71" s="484"/>
      <c r="W71" s="484"/>
      <c r="X71" s="484"/>
      <c r="Y71" s="484"/>
      <c r="Z71" s="1082">
        <v>0</v>
      </c>
      <c r="AA71" s="1083"/>
      <c r="AB71" s="1083"/>
      <c r="AC71" s="1083"/>
      <c r="AD71" s="1084"/>
      <c r="AE71" s="487"/>
      <c r="AF71" s="1075">
        <f t="shared" si="3"/>
        <v>0</v>
      </c>
      <c r="AG71" s="1076"/>
      <c r="AH71" s="1076"/>
      <c r="AI71" s="1077"/>
      <c r="AJ71" s="487"/>
      <c r="AK71" s="81"/>
    </row>
    <row r="72" spans="1:47" ht="16.5" customHeight="1" thickTop="1" thickBot="1" x14ac:dyDescent="0.3">
      <c r="A72" s="80"/>
      <c r="B72" s="483"/>
      <c r="C72" s="502" t="s">
        <v>312</v>
      </c>
      <c r="D72" s="483"/>
      <c r="E72" s="483"/>
      <c r="F72" s="483"/>
      <c r="G72" s="483"/>
      <c r="H72" s="1092">
        <f>SUM(H65:L69,H71)</f>
        <v>23626.395999999997</v>
      </c>
      <c r="I72" s="1093"/>
      <c r="J72" s="1093"/>
      <c r="K72" s="1093"/>
      <c r="L72" s="1094"/>
      <c r="M72" s="499"/>
      <c r="N72" s="1065">
        <f>SUM(H65:L71)</f>
        <v>23626.395999999997</v>
      </c>
      <c r="O72" s="1066"/>
      <c r="P72" s="1066"/>
      <c r="Q72" s="1067"/>
      <c r="R72" s="499"/>
      <c r="S72" s="649"/>
      <c r="T72" s="501"/>
      <c r="U72" s="504" t="s">
        <v>312</v>
      </c>
      <c r="V72" s="484"/>
      <c r="W72" s="484"/>
      <c r="X72" s="484"/>
      <c r="Y72" s="484"/>
      <c r="Z72" s="1092">
        <f>SUM(Z65:AD71)</f>
        <v>1507.42</v>
      </c>
      <c r="AA72" s="1093"/>
      <c r="AB72" s="1093"/>
      <c r="AC72" s="1093"/>
      <c r="AD72" s="1094"/>
      <c r="AE72" s="487"/>
      <c r="AF72" s="1065">
        <f>SUM(Z65:AD71)</f>
        <v>1507.42</v>
      </c>
      <c r="AG72" s="1066"/>
      <c r="AH72" s="1066"/>
      <c r="AI72" s="1067"/>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313</v>
      </c>
      <c r="D74" s="483"/>
      <c r="E74" s="483"/>
      <c r="F74" s="483"/>
      <c r="G74" s="483"/>
      <c r="H74" s="1095">
        <f>H63-H72</f>
        <v>13833.036973681981</v>
      </c>
      <c r="I74" s="1096"/>
      <c r="J74" s="1096"/>
      <c r="K74" s="1096"/>
      <c r="L74" s="1097"/>
      <c r="M74" s="499"/>
      <c r="N74" s="1047">
        <f>N63-N72</f>
        <v>13869.404215871047</v>
      </c>
      <c r="O74" s="1048"/>
      <c r="P74" s="1048"/>
      <c r="Q74" s="1049"/>
      <c r="R74" s="499"/>
      <c r="S74" s="649"/>
      <c r="T74" s="501"/>
      <c r="U74" s="504" t="s">
        <v>313</v>
      </c>
      <c r="V74" s="484"/>
      <c r="W74" s="484"/>
      <c r="X74" s="484"/>
      <c r="Y74" s="484"/>
      <c r="Z74" s="1098">
        <f>Z63-Z72</f>
        <v>84749.212028336406</v>
      </c>
      <c r="AA74" s="1099"/>
      <c r="AB74" s="1099"/>
      <c r="AC74" s="1099"/>
      <c r="AD74" s="1100"/>
      <c r="AE74" s="487"/>
      <c r="AF74" s="1047">
        <f>AF63-AF72</f>
        <v>84654.351091751043</v>
      </c>
      <c r="AG74" s="1048"/>
      <c r="AH74" s="1048"/>
      <c r="AI74" s="1049"/>
      <c r="AJ74" s="487"/>
      <c r="AK74" s="81"/>
    </row>
    <row r="75" spans="1:47" ht="16.5" customHeight="1" thickTop="1" thickBot="1" x14ac:dyDescent="0.3">
      <c r="A75" s="80"/>
      <c r="B75" s="483"/>
      <c r="C75" s="502" t="s">
        <v>314</v>
      </c>
      <c r="D75" s="483"/>
      <c r="E75" s="483"/>
      <c r="F75" s="483"/>
      <c r="G75" s="483"/>
      <c r="H75" s="1087">
        <f>CAPA!$B$19</f>
        <v>13441</v>
      </c>
      <c r="I75" s="1088"/>
      <c r="J75" s="1088"/>
      <c r="K75" s="1088"/>
      <c r="L75" s="1089"/>
      <c r="M75" s="499"/>
      <c r="N75" s="1075">
        <f>H75</f>
        <v>13441</v>
      </c>
      <c r="O75" s="1076"/>
      <c r="P75" s="1076"/>
      <c r="Q75" s="1077"/>
      <c r="R75" s="499"/>
      <c r="S75" s="649"/>
      <c r="T75" s="501"/>
      <c r="U75" s="504" t="s">
        <v>315</v>
      </c>
      <c r="V75" s="484"/>
      <c r="W75" s="484"/>
      <c r="X75" s="484"/>
      <c r="Y75" s="484"/>
      <c r="Z75" s="1085">
        <f>H74</f>
        <v>13833.036973681981</v>
      </c>
      <c r="AA75" s="1022"/>
      <c r="AB75" s="1022"/>
      <c r="AC75" s="1022"/>
      <c r="AD75" s="1086"/>
      <c r="AE75" s="487"/>
      <c r="AF75" s="1075">
        <f>N74</f>
        <v>13869.404215871047</v>
      </c>
      <c r="AG75" s="1076"/>
      <c r="AH75" s="1076"/>
      <c r="AI75" s="1077"/>
      <c r="AJ75" s="487"/>
      <c r="AK75" s="81"/>
    </row>
    <row r="76" spans="1:47" ht="16.5" customHeight="1" thickTop="1" thickBot="1" x14ac:dyDescent="0.3">
      <c r="A76" s="80"/>
      <c r="B76" s="483"/>
      <c r="C76" s="502" t="s">
        <v>309</v>
      </c>
      <c r="D76" s="483"/>
      <c r="E76" s="483"/>
      <c r="F76" s="483"/>
      <c r="G76" s="483"/>
      <c r="H76" s="1087">
        <v>23.9</v>
      </c>
      <c r="I76" s="1088"/>
      <c r="J76" s="1088"/>
      <c r="K76" s="1088"/>
      <c r="L76" s="1089"/>
      <c r="M76" s="499"/>
      <c r="N76" s="1075">
        <f>H76</f>
        <v>23.9</v>
      </c>
      <c r="O76" s="1076"/>
      <c r="P76" s="1076"/>
      <c r="Q76" s="1077"/>
      <c r="R76" s="499"/>
      <c r="S76" s="649"/>
      <c r="T76" s="501"/>
      <c r="U76" s="504" t="s">
        <v>310</v>
      </c>
      <c r="V76" s="484"/>
      <c r="W76" s="484"/>
      <c r="X76" s="484"/>
      <c r="Y76" s="484"/>
      <c r="Z76" s="1090">
        <v>0</v>
      </c>
      <c r="AA76" s="1016"/>
      <c r="AB76" s="1016"/>
      <c r="AC76" s="1016"/>
      <c r="AD76" s="1091"/>
      <c r="AE76" s="487"/>
      <c r="AF76" s="1075">
        <f>Z76</f>
        <v>0</v>
      </c>
      <c r="AG76" s="1076"/>
      <c r="AH76" s="1076"/>
      <c r="AI76" s="1077"/>
      <c r="AJ76" s="487"/>
      <c r="AK76" s="81"/>
    </row>
    <row r="77" spans="1:47" ht="16.5" customHeight="1" thickTop="1" thickBot="1" x14ac:dyDescent="0.3">
      <c r="A77" s="80"/>
      <c r="B77" s="483"/>
      <c r="C77" s="502" t="s">
        <v>316</v>
      </c>
      <c r="D77" s="483"/>
      <c r="E77" s="483"/>
      <c r="F77" s="483"/>
      <c r="G77" s="483"/>
      <c r="H77" s="1114">
        <f>H74-(H75-H76)</f>
        <v>415.93697368198082</v>
      </c>
      <c r="I77" s="1115"/>
      <c r="J77" s="1115"/>
      <c r="K77" s="1115"/>
      <c r="L77" s="1116"/>
      <c r="M77" s="499"/>
      <c r="N77" s="1075">
        <f>N74-(N75-N76)</f>
        <v>452.30421587104684</v>
      </c>
      <c r="O77" s="1076"/>
      <c r="P77" s="1076"/>
      <c r="Q77" s="1077"/>
      <c r="R77" s="499"/>
      <c r="S77" s="649"/>
      <c r="T77" s="501"/>
      <c r="U77" s="504" t="s">
        <v>317</v>
      </c>
      <c r="V77" s="484"/>
      <c r="W77" s="484"/>
      <c r="X77" s="484"/>
      <c r="Y77" s="484"/>
      <c r="Z77" s="1085">
        <f>Z74-Z75-H76+Z76</f>
        <v>70892.275054654427</v>
      </c>
      <c r="AA77" s="1022"/>
      <c r="AB77" s="1022"/>
      <c r="AC77" s="1022"/>
      <c r="AD77" s="1086"/>
      <c r="AE77" s="487"/>
      <c r="AF77" s="1075">
        <f>AF74-AF75-N76+AF76</f>
        <v>70761.046875879998</v>
      </c>
      <c r="AG77" s="1076"/>
      <c r="AH77" s="1076"/>
      <c r="AI77" s="1077"/>
      <c r="AJ77" s="487"/>
      <c r="AK77" s="81"/>
    </row>
    <row r="78" spans="1:47" ht="16.5" thickTop="1" thickBot="1" x14ac:dyDescent="0.3">
      <c r="A78" s="80"/>
      <c r="B78" s="483"/>
      <c r="C78" s="502" t="s">
        <v>318</v>
      </c>
      <c r="D78" s="483"/>
      <c r="E78" s="483"/>
      <c r="F78" s="483"/>
      <c r="G78" s="483"/>
      <c r="H78" s="1117">
        <v>400</v>
      </c>
      <c r="I78" s="1118"/>
      <c r="J78" s="1118"/>
      <c r="K78" s="1118"/>
      <c r="L78" s="1119"/>
      <c r="M78" s="499"/>
      <c r="N78" s="1065">
        <f>H78</f>
        <v>400</v>
      </c>
      <c r="O78" s="1066"/>
      <c r="P78" s="1066"/>
      <c r="Q78" s="1067"/>
      <c r="R78" s="499"/>
      <c r="S78" s="649"/>
      <c r="T78" s="501"/>
      <c r="U78" s="504" t="s">
        <v>319</v>
      </c>
      <c r="V78" s="484"/>
      <c r="W78" s="484"/>
      <c r="X78" s="484"/>
      <c r="Y78" s="484"/>
      <c r="Z78" s="1120">
        <v>70736.695000000007</v>
      </c>
      <c r="AA78" s="1010"/>
      <c r="AB78" s="1010"/>
      <c r="AC78" s="1010"/>
      <c r="AD78" s="1121"/>
      <c r="AE78" s="487"/>
      <c r="AF78" s="1075">
        <f>Z78</f>
        <v>70736.695000000007</v>
      </c>
      <c r="AG78" s="1076"/>
      <c r="AH78" s="1076"/>
      <c r="AI78" s="107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320</v>
      </c>
      <c r="V79" s="484"/>
      <c r="W79" s="484"/>
      <c r="X79" s="484"/>
      <c r="Y79" s="484"/>
      <c r="Z79" s="1132">
        <f>Z77-Z78</f>
        <v>155.58005465441965</v>
      </c>
      <c r="AA79" s="1133"/>
      <c r="AB79" s="1133"/>
      <c r="AC79" s="1134">
        <f>Z79/Z78*100</f>
        <v>0.21994249894544782</v>
      </c>
      <c r="AD79" s="1135"/>
      <c r="AE79" s="487"/>
      <c r="AF79" s="1101">
        <f>AF77-AF78</f>
        <v>24.351875879990985</v>
      </c>
      <c r="AG79" s="1102"/>
      <c r="AH79" s="1102"/>
      <c r="AI79" s="653">
        <f>AF79/AF78*100</f>
        <v>3.4426086601856337E-2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1103" t="s">
        <v>321</v>
      </c>
      <c r="AB81" s="1103"/>
      <c r="AC81" s="1103" t="s">
        <v>138</v>
      </c>
      <c r="AD81" s="1103"/>
      <c r="AE81" s="479"/>
      <c r="AF81" s="520"/>
      <c r="AG81" s="520"/>
      <c r="AH81" s="520"/>
      <c r="AI81" s="521"/>
      <c r="AJ81" s="479"/>
      <c r="AK81" s="79"/>
      <c r="AM81" s="90" t="s">
        <v>322</v>
      </c>
    </row>
    <row r="82" spans="1:39" ht="14.25" customHeight="1" x14ac:dyDescent="0.2">
      <c r="A82" s="77"/>
      <c r="B82" s="78"/>
      <c r="C82" s="78"/>
      <c r="D82" s="78"/>
      <c r="E82" s="78"/>
      <c r="F82" s="78"/>
      <c r="G82" s="78"/>
      <c r="H82" s="1104" t="s">
        <v>323</v>
      </c>
      <c r="I82" s="1104"/>
      <c r="J82" s="1104"/>
      <c r="K82" s="1104"/>
      <c r="L82" s="1104"/>
      <c r="M82" s="1104"/>
      <c r="N82" s="1104"/>
      <c r="O82" s="1104"/>
      <c r="P82" s="1104"/>
      <c r="Q82" s="1104"/>
      <c r="R82" s="516"/>
      <c r="S82" s="650"/>
      <c r="T82" s="516"/>
      <c r="U82" s="1105" t="s">
        <v>140</v>
      </c>
      <c r="V82" s="1106"/>
      <c r="W82" s="1106"/>
      <c r="X82" s="1107">
        <v>70750.23</v>
      </c>
      <c r="Y82" s="1107"/>
      <c r="Z82" s="1107"/>
      <c r="AA82" s="1107">
        <f>X82-Z78</f>
        <v>13.534999999988941</v>
      </c>
      <c r="AB82" s="1107"/>
      <c r="AC82" s="1110">
        <f>AA82/Z78*100</f>
        <v>1.9134340387247296E-2</v>
      </c>
      <c r="AD82" s="1111"/>
      <c r="AE82" s="480"/>
      <c r="AF82" s="518"/>
      <c r="AG82" s="518"/>
      <c r="AH82" s="518"/>
      <c r="AI82" s="519"/>
      <c r="AJ82" s="480"/>
      <c r="AK82" s="79"/>
      <c r="AM82" s="90" t="s">
        <v>324</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6"/>
      <c r="S83" s="650"/>
      <c r="T83" s="516"/>
      <c r="U83" s="1108" t="s">
        <v>141</v>
      </c>
      <c r="V83" s="1109"/>
      <c r="W83" s="1109"/>
      <c r="X83" s="1130">
        <v>70750.547000000006</v>
      </c>
      <c r="Y83" s="1130"/>
      <c r="Z83" s="1130"/>
      <c r="AA83" s="1130">
        <f>X83-Z78</f>
        <v>13.851999999998952</v>
      </c>
      <c r="AB83" s="1130"/>
      <c r="AC83" s="1112">
        <f>AA83/Z78*100</f>
        <v>1.9582481200173335E-2</v>
      </c>
      <c r="AD83" s="1113"/>
      <c r="AE83" s="480"/>
      <c r="AF83" s="518"/>
      <c r="AG83" s="518"/>
      <c r="AH83" s="518"/>
      <c r="AI83" s="519"/>
      <c r="AJ83" s="480"/>
      <c r="AK83" s="79"/>
      <c r="AM83" s="90" t="s">
        <v>325</v>
      </c>
    </row>
    <row r="84" spans="1:39" ht="16.5" customHeight="1" x14ac:dyDescent="0.2">
      <c r="A84" s="77"/>
      <c r="B84" s="78"/>
      <c r="C84" s="78"/>
      <c r="D84" s="78"/>
      <c r="E84" s="78"/>
      <c r="F84" s="78"/>
      <c r="G84" s="78"/>
      <c r="H84" s="1131" t="s">
        <v>326</v>
      </c>
      <c r="I84" s="1131"/>
      <c r="J84" s="1131"/>
      <c r="K84" s="1131"/>
      <c r="L84" s="1131"/>
      <c r="M84" s="1131"/>
      <c r="N84" s="1131"/>
      <c r="O84" s="1131"/>
      <c r="P84" s="1131"/>
      <c r="Q84" s="1131"/>
      <c r="R84" s="516"/>
      <c r="S84" s="650"/>
      <c r="T84" s="516"/>
      <c r="U84" s="1108"/>
      <c r="V84" s="1109"/>
      <c r="W84" s="1109"/>
      <c r="X84" s="1130"/>
      <c r="Y84" s="1130"/>
      <c r="Z84" s="1130"/>
      <c r="AA84" s="1130">
        <f>X84-Z78</f>
        <v>-70736.695000000007</v>
      </c>
      <c r="AB84" s="1130"/>
      <c r="AC84" s="1112">
        <f>AA84/Z78*100</f>
        <v>-100</v>
      </c>
      <c r="AD84" s="1113"/>
      <c r="AE84" s="480"/>
      <c r="AF84" s="518"/>
      <c r="AG84" s="518"/>
      <c r="AH84" s="518"/>
      <c r="AI84" s="519"/>
      <c r="AJ84" s="480"/>
      <c r="AK84" s="79"/>
      <c r="AM84" s="90" t="s">
        <v>327</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6"/>
      <c r="S85" s="650"/>
      <c r="T85" s="516"/>
      <c r="U85" s="1108"/>
      <c r="V85" s="1109"/>
      <c r="W85" s="1109"/>
      <c r="X85" s="1130"/>
      <c r="Y85" s="1130"/>
      <c r="Z85" s="1130"/>
      <c r="AA85" s="1130">
        <f>X85-Z78</f>
        <v>-70736.695000000007</v>
      </c>
      <c r="AB85" s="1130"/>
      <c r="AC85" s="1112">
        <f>AA85/Z78*100</f>
        <v>-100</v>
      </c>
      <c r="AD85" s="1113"/>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1108"/>
      <c r="V86" s="1109"/>
      <c r="W86" s="1109"/>
      <c r="X86" s="1130"/>
      <c r="Y86" s="1130"/>
      <c r="Z86" s="1130"/>
      <c r="AA86" s="1130">
        <f>X86-Z78</f>
        <v>-70736.695000000007</v>
      </c>
      <c r="AB86" s="1130"/>
      <c r="AC86" s="1112">
        <f>AA86/Z78*100</f>
        <v>-100</v>
      </c>
      <c r="AD86" s="1113"/>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1108"/>
      <c r="V87" s="1109"/>
      <c r="W87" s="1109"/>
      <c r="X87" s="1130"/>
      <c r="Y87" s="1130"/>
      <c r="Z87" s="1130"/>
      <c r="AA87" s="1130">
        <f>X87-Z78</f>
        <v>-70736.695000000007</v>
      </c>
      <c r="AB87" s="1130"/>
      <c r="AC87" s="1112">
        <f>AA87/Z78*100</f>
        <v>-100</v>
      </c>
      <c r="AD87" s="1113"/>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331</v>
      </c>
      <c r="B89" s="1125"/>
      <c r="C89" s="1125"/>
      <c r="D89" s="1125"/>
      <c r="E89" s="1125"/>
      <c r="F89" s="1126">
        <v>8.3249999999999993</v>
      </c>
      <c r="G89" s="1127"/>
      <c r="H89" s="1122" t="s">
        <v>332</v>
      </c>
      <c r="I89" s="1122"/>
      <c r="J89" s="1122"/>
      <c r="K89" s="1126">
        <v>4</v>
      </c>
      <c r="L89" s="1127"/>
      <c r="M89" s="1128" t="s">
        <v>333</v>
      </c>
      <c r="N89" s="1129"/>
      <c r="O89" s="1126">
        <v>81</v>
      </c>
      <c r="P89" s="1127"/>
      <c r="Q89" s="1122" t="s">
        <v>334</v>
      </c>
      <c r="R89" s="1122"/>
      <c r="S89" s="1123">
        <f>-ROUND(IF(K89=0,0,(O89*O89*K89*27.5*0.0216)/1000+F89),1)</f>
        <v>-23.9</v>
      </c>
      <c r="T89" s="1123"/>
      <c r="U89" s="1123"/>
      <c r="V89" s="1123"/>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5" priority="26" operator="equal">
      <formula>0</formula>
    </cfRule>
  </conditionalFormatting>
  <conditionalFormatting sqref="F89:G89">
    <cfRule type="cellIs" dxfId="54" priority="25" operator="equal">
      <formula>0</formula>
    </cfRule>
  </conditionalFormatting>
  <conditionalFormatting sqref="O89:P89">
    <cfRule type="cellIs" dxfId="53" priority="23" operator="equal">
      <formula>0</formula>
    </cfRule>
  </conditionalFormatting>
  <conditionalFormatting sqref="K89:L89">
    <cfRule type="cellIs" dxfId="52" priority="24" operator="equal">
      <formula>0</formula>
    </cfRule>
  </conditionalFormatting>
  <conditionalFormatting sqref="H71 H76:L76 Z76 Z71">
    <cfRule type="cellIs" dxfId="51" priority="22" operator="equal">
      <formula>0</formula>
    </cfRule>
  </conditionalFormatting>
  <conditionalFormatting sqref="D11 L11 D15 H15 L15 D18 H18 L18 O20 H62 Z62 AB53:AD54 AB49:AD50 AB45:AD46 Z41:AD42 U25:V27 Y25:Z27 AD15 Z15 E4:K5 O4:R5 O6 X4:AD5 AH4:AK8 E6:G9 H6 X7:Z9">
    <cfRule type="cellIs" dxfId="50" priority="21" operator="equal">
      <formula>0</formula>
    </cfRule>
  </conditionalFormatting>
  <conditionalFormatting sqref="Z65:AD67">
    <cfRule type="cellIs" dxfId="49" priority="19" operator="equal">
      <formula>0</formula>
    </cfRule>
  </conditionalFormatting>
  <conditionalFormatting sqref="H75:L75">
    <cfRule type="cellIs" dxfId="48" priority="18" operator="equal">
      <formula>0</formula>
    </cfRule>
  </conditionalFormatting>
  <conditionalFormatting sqref="H78">
    <cfRule type="cellIs" dxfId="47" priority="17" operator="equal">
      <formula>0</formula>
    </cfRule>
  </conditionalFormatting>
  <conditionalFormatting sqref="Z78">
    <cfRule type="cellIs" dxfId="46" priority="16" operator="equal">
      <formula>0</formula>
    </cfRule>
  </conditionalFormatting>
  <conditionalFormatting sqref="X82:X83">
    <cfRule type="cellIs" dxfId="45" priority="15" operator="equal">
      <formula>0</formula>
    </cfRule>
  </conditionalFormatting>
  <conditionalFormatting sqref="O7:R8">
    <cfRule type="cellIs" dxfId="44" priority="14" operator="equal">
      <formula>0</formula>
    </cfRule>
  </conditionalFormatting>
  <conditionalFormatting sqref="X6:Z6">
    <cfRule type="cellIs" dxfId="43" priority="12" operator="equal">
      <formula>0</formula>
    </cfRule>
  </conditionalFormatting>
  <conditionalFormatting sqref="J6">
    <cfRule type="cellIs" dxfId="42" priority="11" operator="equal">
      <formula>0</formula>
    </cfRule>
  </conditionalFormatting>
  <conditionalFormatting sqref="AA6">
    <cfRule type="cellIs" dxfId="41" priority="10" operator="equal">
      <formula>0</formula>
    </cfRule>
  </conditionalFormatting>
  <conditionalFormatting sqref="AC6">
    <cfRule type="cellIs" dxfId="40" priority="8" operator="equal">
      <formula>0</formula>
    </cfRule>
  </conditionalFormatting>
  <conditionalFormatting sqref="C25:D27">
    <cfRule type="cellIs" dxfId="39" priority="7" operator="equal">
      <formula>0</formula>
    </cfRule>
  </conditionalFormatting>
  <conditionalFormatting sqref="G25:H27">
    <cfRule type="cellIs" dxfId="38" priority="6" operator="equal">
      <formula>0</formula>
    </cfRule>
  </conditionalFormatting>
  <conditionalFormatting sqref="H41:L42">
    <cfRule type="cellIs" dxfId="37" priority="5" operator="equal">
      <formula>0</formula>
    </cfRule>
  </conditionalFormatting>
  <conditionalFormatting sqref="J45:L46">
    <cfRule type="cellIs" dxfId="36" priority="4" operator="equal">
      <formula>0</formula>
    </cfRule>
  </conditionalFormatting>
  <conditionalFormatting sqref="J49:L50">
    <cfRule type="cellIs" dxfId="35" priority="3" operator="equal">
      <formula>0</formula>
    </cfRule>
  </conditionalFormatting>
  <conditionalFormatting sqref="J53:L54">
    <cfRule type="cellIs" dxfId="34" priority="2" operator="equal">
      <formula>0</formula>
    </cfRule>
  </conditionalFormatting>
  <conditionalFormatting sqref="H65:L67">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589</v>
      </c>
      <c r="F4" s="586">
        <f>Draft!$D$11/2</f>
        <v>113</v>
      </c>
      <c r="G4" s="5"/>
      <c r="H4" s="587"/>
      <c r="I4" s="587"/>
      <c r="J4" s="587"/>
      <c r="K4" s="587"/>
      <c r="M4" s="585"/>
      <c r="N4" s="585"/>
      <c r="O4" s="585"/>
      <c r="P4" s="293" t="s">
        <v>589</v>
      </c>
      <c r="Q4" s="586">
        <f>Draft!$D$11/2</f>
        <v>113</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6.1590749999999996</v>
      </c>
      <c r="D6" s="588" t="str">
        <f>IF(C7="m","",INT(C6))</f>
        <v/>
      </c>
      <c r="E6" s="590" t="str">
        <f>IF(C7="m","",(C6-INT(C6))*12)</f>
        <v/>
      </c>
      <c r="F6" s="588"/>
      <c r="G6" s="587"/>
      <c r="H6" s="587"/>
      <c r="I6" s="587"/>
      <c r="J6" s="587"/>
      <c r="K6" s="587"/>
      <c r="M6" s="441"/>
      <c r="N6" s="589">
        <f>Draft!$AC$31</f>
        <v>13.3668625</v>
      </c>
      <c r="O6" s="588" t="str">
        <f>IF(N7="m","",INT(N6))</f>
        <v/>
      </c>
      <c r="P6" s="590" t="str">
        <f>IF(N7="m","",(N6-INT(N6))*12)</f>
        <v/>
      </c>
      <c r="Q6" s="588"/>
      <c r="R6" s="587"/>
      <c r="S6" s="587"/>
      <c r="T6" s="587"/>
      <c r="U6" s="587"/>
      <c r="V6" s="587"/>
    </row>
    <row r="7" spans="2:22" ht="15.75" x14ac:dyDescent="0.25">
      <c r="B7" s="441"/>
      <c r="C7" s="588" t="s">
        <v>602</v>
      </c>
      <c r="D7" s="588" t="str">
        <f>IF(C7="m","","feet")</f>
        <v/>
      </c>
      <c r="E7" s="588" t="str">
        <f>IF(C7="m","","in")</f>
        <v/>
      </c>
      <c r="F7" s="588"/>
      <c r="G7" s="587"/>
      <c r="H7" s="587"/>
      <c r="I7" s="587"/>
      <c r="J7" s="587"/>
      <c r="K7" s="587"/>
      <c r="M7" s="441"/>
      <c r="N7" s="588" t="s">
        <v>602</v>
      </c>
      <c r="O7" s="588" t="str">
        <f>IF(N7="m","","feet")</f>
        <v/>
      </c>
      <c r="P7" s="588" t="str">
        <f>IF(N7="m","","in")</f>
        <v/>
      </c>
      <c r="Q7" s="588"/>
      <c r="R7" s="587"/>
      <c r="S7" s="587"/>
      <c r="T7" s="587"/>
      <c r="U7" s="587"/>
      <c r="V7" s="587"/>
    </row>
    <row r="8" spans="2:22" ht="19.5" thickBot="1" x14ac:dyDescent="0.3">
      <c r="B8" s="591"/>
      <c r="C8" s="588"/>
      <c r="D8" s="588"/>
      <c r="E8" s="592" t="s">
        <v>9</v>
      </c>
      <c r="F8" s="593">
        <f>Draft!$M$35</f>
        <v>0.15994437845408491</v>
      </c>
      <c r="G8" s="594" t="s">
        <v>590</v>
      </c>
      <c r="H8" s="587"/>
      <c r="I8" s="587"/>
      <c r="J8" s="587"/>
      <c r="K8" s="587"/>
      <c r="M8" s="591"/>
      <c r="N8" s="588"/>
      <c r="O8" s="588"/>
      <c r="P8" s="592" t="s">
        <v>9</v>
      </c>
      <c r="Q8" s="593">
        <f>Draft!$M$35</f>
        <v>0.15994437845408491</v>
      </c>
      <c r="R8" s="594" t="s">
        <v>590</v>
      </c>
      <c r="S8" s="587"/>
      <c r="T8" s="587"/>
      <c r="U8" s="587"/>
      <c r="V8" s="587"/>
    </row>
    <row r="9" spans="2:22" ht="17.25" thickTop="1" thickBot="1" x14ac:dyDescent="0.3">
      <c r="B9" s="595" t="s">
        <v>591</v>
      </c>
      <c r="C9" s="595" t="s">
        <v>372</v>
      </c>
      <c r="D9" s="588"/>
      <c r="E9" s="592" t="str">
        <f>Draft!$P$35</f>
        <v>P</v>
      </c>
      <c r="F9" s="596">
        <f>Draft!$G$35</f>
        <v>9</v>
      </c>
      <c r="G9" s="587" t="s">
        <v>603</v>
      </c>
      <c r="H9" s="587"/>
      <c r="I9" s="587"/>
      <c r="J9" s="587"/>
      <c r="K9" s="587"/>
      <c r="M9" s="595" t="s">
        <v>591</v>
      </c>
      <c r="N9" s="595" t="s">
        <v>372</v>
      </c>
      <c r="O9" s="588"/>
      <c r="P9" s="592" t="str">
        <f>Draft!$P$35</f>
        <v>P</v>
      </c>
      <c r="Q9" s="596">
        <f>Draft!$G$35</f>
        <v>9</v>
      </c>
      <c r="R9" s="587" t="s">
        <v>603</v>
      </c>
      <c r="S9" s="587"/>
      <c r="T9" s="587"/>
      <c r="U9" s="587"/>
      <c r="V9" s="587"/>
    </row>
    <row r="10" spans="2:22" ht="16.5" thickTop="1" x14ac:dyDescent="0.25">
      <c r="B10" s="591" t="s">
        <v>592</v>
      </c>
      <c r="C10" s="597">
        <f>Draft!$H$41</f>
        <v>6.15</v>
      </c>
      <c r="D10" s="598">
        <f>INT(C6*100)</f>
        <v>615</v>
      </c>
      <c r="E10" s="592"/>
      <c r="F10" s="587"/>
      <c r="G10" s="587"/>
      <c r="H10" s="587"/>
      <c r="I10" s="587"/>
      <c r="J10" s="587"/>
      <c r="K10" s="587"/>
      <c r="M10" s="591" t="s">
        <v>592</v>
      </c>
      <c r="N10" s="597">
        <f>Draft!$Z$41</f>
        <v>13.35</v>
      </c>
      <c r="O10" s="598">
        <f>INT(N6*100)</f>
        <v>1336</v>
      </c>
      <c r="P10" s="592"/>
      <c r="Q10" s="587"/>
      <c r="R10" s="587"/>
      <c r="S10" s="587"/>
      <c r="T10" s="587"/>
      <c r="U10" s="587"/>
      <c r="V10" s="587"/>
    </row>
    <row r="11" spans="2:22" ht="15.75" x14ac:dyDescent="0.25">
      <c r="B11" s="591" t="s">
        <v>593</v>
      </c>
      <c r="C11" s="597">
        <f>Draft!$H$42</f>
        <v>6.2</v>
      </c>
      <c r="D11" s="588"/>
      <c r="E11" s="592"/>
      <c r="F11" s="588"/>
      <c r="G11" s="587"/>
      <c r="H11" s="587"/>
      <c r="I11" s="587"/>
      <c r="J11" s="587"/>
      <c r="K11" s="587"/>
      <c r="M11" s="591" t="s">
        <v>593</v>
      </c>
      <c r="N11" s="597">
        <f>Draft!$Z$42</f>
        <v>13.4</v>
      </c>
      <c r="O11" s="588"/>
      <c r="P11" s="592"/>
      <c r="Q11" s="588"/>
      <c r="R11" s="587"/>
      <c r="S11" s="587"/>
      <c r="T11" s="587"/>
      <c r="U11" s="587"/>
      <c r="V11" s="587"/>
    </row>
    <row r="12" spans="2:22" ht="15.75" x14ac:dyDescent="0.25">
      <c r="B12" s="599" t="s">
        <v>594</v>
      </c>
      <c r="C12" s="600">
        <f>Draft!$J$41</f>
        <v>37945</v>
      </c>
      <c r="D12" s="601"/>
      <c r="E12" s="602" t="s">
        <v>595</v>
      </c>
      <c r="F12" s="5"/>
      <c r="G12" s="5"/>
      <c r="H12" s="587"/>
      <c r="I12" s="587"/>
      <c r="J12" s="587" t="s">
        <v>596</v>
      </c>
      <c r="K12" s="587"/>
      <c r="M12" s="599" t="s">
        <v>594</v>
      </c>
      <c r="N12" s="600">
        <f>Draft!$AB$41</f>
        <v>87073</v>
      </c>
      <c r="O12" s="601"/>
      <c r="P12" s="602" t="s">
        <v>595</v>
      </c>
      <c r="Q12" s="5"/>
      <c r="R12" s="5"/>
      <c r="S12" s="587"/>
      <c r="T12" s="587"/>
      <c r="U12" s="587" t="s">
        <v>596</v>
      </c>
      <c r="V12" s="587"/>
    </row>
    <row r="13" spans="2:22" ht="15.75" x14ac:dyDescent="0.25">
      <c r="B13" s="603" t="s">
        <v>597</v>
      </c>
      <c r="C13" s="604">
        <f>Draft!$J$42</f>
        <v>38267</v>
      </c>
      <c r="D13" s="605">
        <f>IF(E13=0,K13,E13)</f>
        <v>38003.4</v>
      </c>
      <c r="E13" s="606">
        <v>0</v>
      </c>
      <c r="F13" s="5"/>
      <c r="G13" s="5"/>
      <c r="H13" s="587"/>
      <c r="I13" s="587"/>
      <c r="J13" s="587"/>
      <c r="K13" s="607">
        <f>ROUND((IF(E13=0,IF(C11=0,0,IF(C10=0,C13,IF(C7="m",(C6-C10)*(C13-C12)/(C11-C10)+C12,(E6-C10)*(C13-C12)/(C11-C10)+C12))),E13)),1)</f>
        <v>38003.4</v>
      </c>
      <c r="M13" s="603" t="s">
        <v>597</v>
      </c>
      <c r="N13" s="604">
        <f>Draft!$AB$42</f>
        <v>87428</v>
      </c>
      <c r="O13" s="605">
        <f>IF(P13=0,V13,P13)</f>
        <v>87192.7</v>
      </c>
      <c r="P13" s="606">
        <v>0</v>
      </c>
      <c r="Q13" s="5"/>
      <c r="R13" s="5"/>
      <c r="S13" s="587"/>
      <c r="T13" s="587"/>
      <c r="U13" s="587"/>
      <c r="V13" s="607">
        <f>ROUND((IF(P13=0,IF(N11=0,0,IF(N10=0,N13,IF(N7="m",(N6-N10)*(N13-N12)/(N11-N10)+N12,(P6-N10)*(N13-N12)/(N11-N10)+N12))),P13)),1)</f>
        <v>87192.7</v>
      </c>
    </row>
    <row r="14" spans="2:22" ht="15.75" x14ac:dyDescent="0.25">
      <c r="B14" s="599" t="s">
        <v>598</v>
      </c>
      <c r="C14" s="608">
        <f>Draft!$J$45</f>
        <v>64.400000000000006</v>
      </c>
      <c r="D14" s="609"/>
      <c r="E14" s="293"/>
      <c r="F14" s="5"/>
      <c r="G14" s="5"/>
      <c r="H14" s="587"/>
      <c r="I14" s="587"/>
      <c r="J14" s="587" t="s">
        <v>137</v>
      </c>
      <c r="K14" s="587"/>
      <c r="M14" s="599" t="s">
        <v>598</v>
      </c>
      <c r="N14" s="608">
        <f>Draft!$AB$45</f>
        <v>71.099999999999994</v>
      </c>
      <c r="O14" s="609"/>
      <c r="P14" s="293"/>
      <c r="Q14" s="5"/>
      <c r="R14" s="5"/>
      <c r="S14" s="587"/>
      <c r="T14" s="587"/>
      <c r="U14" s="587" t="s">
        <v>137</v>
      </c>
      <c r="V14" s="587"/>
    </row>
    <row r="15" spans="2:22" ht="15.75" x14ac:dyDescent="0.25">
      <c r="B15" s="591" t="s">
        <v>599</v>
      </c>
      <c r="C15" s="608">
        <f>Draft!$J$46</f>
        <v>64.5</v>
      </c>
      <c r="D15" s="610">
        <f>IF(E15=0,K15,E15)</f>
        <v>64.418199999999999</v>
      </c>
      <c r="E15" s="611">
        <v>0</v>
      </c>
      <c r="F15" s="5"/>
      <c r="G15" s="5"/>
      <c r="H15" s="587"/>
      <c r="I15" s="587"/>
      <c r="J15" s="587"/>
      <c r="K15" s="612">
        <f>ROUND((IF(E15=0,IF(C11=0,0,IF(C10=0,C15,IF(C7="m",(C6-C10)*(C15-C14)/(C11-C10)+C14,(E6-C10)*(C15-C14)/(C11-C10)+C14))),E15)),4)</f>
        <v>64.418199999999999</v>
      </c>
      <c r="M15" s="591" t="s">
        <v>599</v>
      </c>
      <c r="N15" s="608">
        <f>Draft!$AB$46</f>
        <v>71.099999999999994</v>
      </c>
      <c r="O15" s="610">
        <f>IF(P15=0,V15,P15)</f>
        <v>71.099999999999994</v>
      </c>
      <c r="P15" s="611">
        <v>0</v>
      </c>
      <c r="Q15" s="5"/>
      <c r="R15" s="5"/>
      <c r="S15" s="587"/>
      <c r="T15" s="587"/>
      <c r="U15" s="587"/>
      <c r="V15" s="612">
        <f>ROUND((IF(P15=0,IF(N11=0,0,IF(N10=0,N15,IF(N7="m",(N6-N10)*(N15-N14)/(N11-N10)+N14,(P6-N10)*(N15-N14)/(N11-N10)+N14))),P15)),4)</f>
        <v>71.099999999999994</v>
      </c>
    </row>
    <row r="16" spans="2:22" ht="15.75" x14ac:dyDescent="0.25">
      <c r="B16" s="613" t="s">
        <v>600</v>
      </c>
      <c r="C16" s="614">
        <f>Draft!$J$49</f>
        <v>-7.6</v>
      </c>
      <c r="D16" s="615"/>
      <c r="E16" s="293"/>
      <c r="F16" s="5"/>
      <c r="G16" s="5"/>
      <c r="H16" s="587"/>
      <c r="I16" s="587"/>
      <c r="J16" s="587" t="s">
        <v>293</v>
      </c>
      <c r="K16" s="612">
        <f>IF(F4*0.75&gt;K17,K17,F4-K17)</f>
        <v>-7.5945999999999998</v>
      </c>
      <c r="M16" s="613" t="s">
        <v>600</v>
      </c>
      <c r="N16" s="614">
        <f>Draft!$AB$49</f>
        <v>2.19</v>
      </c>
      <c r="O16" s="615"/>
      <c r="P16" s="293"/>
      <c r="Q16" s="5"/>
      <c r="R16" s="5"/>
      <c r="S16" s="587"/>
      <c r="T16" s="587"/>
      <c r="U16" s="587" t="s">
        <v>293</v>
      </c>
      <c r="V16" s="612">
        <f>IF(Q4*0.75&gt;V17,V17,Q4-V17)</f>
        <v>2.19</v>
      </c>
    </row>
    <row r="17" spans="2:22" ht="15.75" x14ac:dyDescent="0.25">
      <c r="B17" s="616" t="s">
        <v>601</v>
      </c>
      <c r="C17" s="617">
        <f>Draft!$J$50</f>
        <v>-7.57</v>
      </c>
      <c r="D17" s="610">
        <f>IF(E17=0,K16,E17)</f>
        <v>-7.5945999999999998</v>
      </c>
      <c r="E17" s="611">
        <v>0</v>
      </c>
      <c r="F17" s="5"/>
      <c r="G17" s="5"/>
      <c r="H17" s="587"/>
      <c r="I17" s="587"/>
      <c r="J17" s="587"/>
      <c r="K17" s="587">
        <f>ROUND((IF(E17=0,IF(C11=0,0,IF(C10=0,C17,IF(C7="m",(C6-C10)*(C17-C16)/(C11-C10)+C16,(E6-C10)*(C17-C16)/(C11-C10)+C16))),E17)),4)</f>
        <v>-7.5945999999999998</v>
      </c>
      <c r="M17" s="616" t="s">
        <v>601</v>
      </c>
      <c r="N17" s="617">
        <f>Draft!$AB$50</f>
        <v>2.19</v>
      </c>
      <c r="O17" s="610">
        <f>IF(P17=0,V16,P17)</f>
        <v>2.19</v>
      </c>
      <c r="P17" s="611">
        <v>0</v>
      </c>
      <c r="Q17" s="5"/>
      <c r="R17" s="5"/>
      <c r="S17" s="587"/>
      <c r="T17" s="587"/>
      <c r="U17" s="587"/>
      <c r="V17" s="587">
        <f>ROUND((IF(P17=0,IF(N11=0,0,IF(N10=0,N17,IF(N7="m",(N6-N10)*(N17-N16)/(N11-N10)+N16,(P6-N10)*(N17-N16)/(N11-N10)+N16))),P17)),4)</f>
        <v>2.19</v>
      </c>
    </row>
    <row r="21" spans="2:22" ht="15.75" x14ac:dyDescent="0.25">
      <c r="B21" s="585"/>
      <c r="C21" s="585"/>
      <c r="D21" s="585"/>
      <c r="E21" s="293" t="s">
        <v>589</v>
      </c>
      <c r="F21" s="586">
        <f>Draft!$D$11/2</f>
        <v>113</v>
      </c>
      <c r="G21" s="5"/>
      <c r="H21" s="587"/>
      <c r="I21" s="587"/>
      <c r="J21" s="587"/>
      <c r="K21" s="587"/>
      <c r="M21" s="585"/>
      <c r="N21" s="585"/>
      <c r="O21" s="585"/>
      <c r="P21" s="293" t="s">
        <v>589</v>
      </c>
      <c r="Q21" s="586">
        <f>Draft!$D$11/2</f>
        <v>113</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6.1647725616767355</v>
      </c>
      <c r="D23" s="588" t="str">
        <f>IF(C24="m","",INT(C23))</f>
        <v/>
      </c>
      <c r="E23" s="590" t="str">
        <f>IF(C24="m","",(C23-INT(C23))*12)</f>
        <v/>
      </c>
      <c r="F23" s="588"/>
      <c r="G23" s="587"/>
      <c r="H23" s="587"/>
      <c r="I23" s="587"/>
      <c r="J23" s="587"/>
      <c r="K23" s="587"/>
      <c r="M23" s="441"/>
      <c r="N23" s="589">
        <f>Draft!$AE$39</f>
        <v>13.353356874786929</v>
      </c>
      <c r="O23" s="588" t="str">
        <f>IF(N24="m","",INT(N23))</f>
        <v/>
      </c>
      <c r="P23" s="590" t="str">
        <f>IF(N24="m","",(N23-INT(N23))*12)</f>
        <v/>
      </c>
      <c r="Q23" s="588"/>
      <c r="R23" s="587"/>
      <c r="S23" s="587"/>
      <c r="T23" s="587"/>
      <c r="U23" s="587"/>
      <c r="V23" s="587"/>
    </row>
    <row r="24" spans="2:22" ht="15.75" x14ac:dyDescent="0.25">
      <c r="B24" s="441"/>
      <c r="C24" s="588" t="s">
        <v>602</v>
      </c>
      <c r="D24" s="588" t="str">
        <f>IF(C24="m","","feet")</f>
        <v/>
      </c>
      <c r="E24" s="588" t="str">
        <f>IF(C24="m","","in")</f>
        <v/>
      </c>
      <c r="F24" s="588"/>
      <c r="G24" s="587"/>
      <c r="H24" s="587"/>
      <c r="I24" s="587"/>
      <c r="J24" s="587"/>
      <c r="K24" s="587"/>
      <c r="M24" s="441"/>
      <c r="N24" s="588" t="s">
        <v>602</v>
      </c>
      <c r="O24" s="588" t="str">
        <f>IF(N24="m","","feet")</f>
        <v/>
      </c>
      <c r="P24" s="588" t="str">
        <f>IF(N24="m","","in")</f>
        <v/>
      </c>
      <c r="Q24" s="588"/>
      <c r="R24" s="587"/>
      <c r="S24" s="587"/>
      <c r="T24" s="587"/>
      <c r="U24" s="587"/>
      <c r="V24" s="587"/>
    </row>
    <row r="25" spans="2:22" ht="19.5" thickBot="1" x14ac:dyDescent="0.3">
      <c r="B25" s="591"/>
      <c r="C25" s="588"/>
      <c r="D25" s="588"/>
      <c r="E25" s="592" t="s">
        <v>9</v>
      </c>
      <c r="F25" s="593">
        <f>Draft!$M$35</f>
        <v>0.15994437845408491</v>
      </c>
      <c r="G25" s="594" t="s">
        <v>590</v>
      </c>
      <c r="H25" s="587"/>
      <c r="I25" s="587"/>
      <c r="J25" s="587"/>
      <c r="K25" s="587"/>
      <c r="M25" s="591"/>
      <c r="N25" s="588"/>
      <c r="O25" s="588"/>
      <c r="P25" s="592" t="s">
        <v>9</v>
      </c>
      <c r="Q25" s="593">
        <f>Draft!$M$35</f>
        <v>0.15994437845408491</v>
      </c>
      <c r="R25" s="594" t="s">
        <v>590</v>
      </c>
      <c r="S25" s="587"/>
      <c r="T25" s="587"/>
      <c r="U25" s="587"/>
      <c r="V25" s="587"/>
    </row>
    <row r="26" spans="2:22" ht="17.25" thickTop="1" thickBot="1" x14ac:dyDescent="0.3">
      <c r="B26" s="595" t="s">
        <v>591</v>
      </c>
      <c r="C26" s="595" t="s">
        <v>372</v>
      </c>
      <c r="D26" s="588"/>
      <c r="E26" s="592" t="str">
        <f>Draft!$P35</f>
        <v>P</v>
      </c>
      <c r="F26" s="596">
        <f>Draft!$G$35</f>
        <v>9</v>
      </c>
      <c r="G26" s="587" t="s">
        <v>603</v>
      </c>
      <c r="H26" s="587"/>
      <c r="I26" s="587"/>
      <c r="J26" s="587"/>
      <c r="K26" s="587"/>
      <c r="M26" s="595" t="s">
        <v>591</v>
      </c>
      <c r="N26" s="595" t="s">
        <v>372</v>
      </c>
      <c r="O26" s="588"/>
      <c r="P26" s="592" t="str">
        <f>Draft!$P35</f>
        <v>P</v>
      </c>
      <c r="Q26" s="596">
        <f>Draft!$G$35</f>
        <v>9</v>
      </c>
      <c r="R26" s="587" t="s">
        <v>603</v>
      </c>
      <c r="S26" s="587"/>
      <c r="T26" s="587"/>
      <c r="U26" s="587"/>
      <c r="V26" s="587"/>
    </row>
    <row r="27" spans="2:22" ht="16.5" thickTop="1" x14ac:dyDescent="0.25">
      <c r="B27" s="591" t="s">
        <v>592</v>
      </c>
      <c r="C27" s="597">
        <f>Draft!$H$41</f>
        <v>6.15</v>
      </c>
      <c r="D27" s="598">
        <f>INT(C23*100)</f>
        <v>616</v>
      </c>
      <c r="E27" s="592"/>
      <c r="F27" s="587"/>
      <c r="G27" s="587"/>
      <c r="H27" s="587"/>
      <c r="I27" s="587"/>
      <c r="J27" s="587"/>
      <c r="K27" s="587"/>
      <c r="M27" s="591" t="s">
        <v>592</v>
      </c>
      <c r="N27" s="597">
        <f>Draft!$Z$41</f>
        <v>13.35</v>
      </c>
      <c r="O27" s="598">
        <f>INT(N23*100)</f>
        <v>1335</v>
      </c>
      <c r="P27" s="592"/>
      <c r="Q27" s="587"/>
      <c r="R27" s="587"/>
      <c r="S27" s="587"/>
      <c r="T27" s="587"/>
      <c r="U27" s="587"/>
      <c r="V27" s="587"/>
    </row>
    <row r="28" spans="2:22" ht="15.75" x14ac:dyDescent="0.25">
      <c r="B28" s="591" t="s">
        <v>593</v>
      </c>
      <c r="C28" s="597">
        <f>Draft!$H$42</f>
        <v>6.2</v>
      </c>
      <c r="D28" s="588"/>
      <c r="E28" s="592"/>
      <c r="F28" s="588"/>
      <c r="G28" s="587"/>
      <c r="H28" s="587"/>
      <c r="I28" s="587"/>
      <c r="J28" s="587"/>
      <c r="K28" s="587"/>
      <c r="M28" s="591" t="s">
        <v>593</v>
      </c>
      <c r="N28" s="597">
        <f>Draft!$Z$42</f>
        <v>13.4</v>
      </c>
      <c r="O28" s="588"/>
      <c r="P28" s="592"/>
      <c r="Q28" s="588"/>
      <c r="R28" s="587"/>
      <c r="S28" s="587"/>
      <c r="T28" s="587"/>
      <c r="U28" s="587"/>
      <c r="V28" s="587"/>
    </row>
    <row r="29" spans="2:22" ht="15.75" x14ac:dyDescent="0.25">
      <c r="B29" s="599" t="s">
        <v>594</v>
      </c>
      <c r="C29" s="600">
        <f>Draft!$J$41</f>
        <v>37945</v>
      </c>
      <c r="D29" s="601"/>
      <c r="E29" s="602" t="s">
        <v>595</v>
      </c>
      <c r="F29" s="5"/>
      <c r="G29" s="5"/>
      <c r="H29" s="587"/>
      <c r="I29" s="587"/>
      <c r="J29" s="587" t="s">
        <v>596</v>
      </c>
      <c r="K29" s="587"/>
      <c r="M29" s="599" t="s">
        <v>594</v>
      </c>
      <c r="N29" s="600">
        <f>Draft!$AB$41</f>
        <v>87073</v>
      </c>
      <c r="O29" s="601"/>
      <c r="P29" s="602" t="s">
        <v>595</v>
      </c>
      <c r="Q29" s="5"/>
      <c r="R29" s="5"/>
      <c r="S29" s="587"/>
      <c r="T29" s="587"/>
      <c r="U29" s="587" t="s">
        <v>596</v>
      </c>
      <c r="V29" s="587"/>
    </row>
    <row r="30" spans="2:22" ht="15.75" x14ac:dyDescent="0.25">
      <c r="B30" s="603" t="s">
        <v>597</v>
      </c>
      <c r="C30" s="604">
        <f>Draft!$J$42</f>
        <v>38267</v>
      </c>
      <c r="D30" s="605">
        <f>IF(E30=0,K30,E30)</f>
        <v>38040.1</v>
      </c>
      <c r="E30" s="606">
        <v>0</v>
      </c>
      <c r="F30" s="5"/>
      <c r="G30" s="5"/>
      <c r="H30" s="587"/>
      <c r="I30" s="587"/>
      <c r="J30" s="587"/>
      <c r="K30" s="607">
        <f>ROUND((IF(E30=0,IF(C28=0,0,IF(C27=0,C30,IF(C24="m",(C23-C27)*(C30-C29)/(C28-C27)+C29,(E23-C27)*(C30-C29)/(C28-C27)+C29))),E30)),1)</f>
        <v>38040.1</v>
      </c>
      <c r="M30" s="603" t="s">
        <v>597</v>
      </c>
      <c r="N30" s="604">
        <f>Draft!$AB$42</f>
        <v>87428</v>
      </c>
      <c r="O30" s="605">
        <f>IF(P30=0,V30,P30)</f>
        <v>87096.8</v>
      </c>
      <c r="P30" s="606">
        <v>0</v>
      </c>
      <c r="Q30" s="5"/>
      <c r="R30" s="5"/>
      <c r="S30" s="587"/>
      <c r="T30" s="587"/>
      <c r="U30" s="587"/>
      <c r="V30" s="607">
        <f>ROUND((IF(P30=0,IF(N28=0,0,IF(N27=0,N30,IF(N24="m",(N23-N27)*(N30-N29)/(N28-N27)+N29,(P23-N27)*(N30-N29)/(N28-N27)+N29))),P30)),1)</f>
        <v>87096.8</v>
      </c>
    </row>
    <row r="31" spans="2:22" ht="15.75" x14ac:dyDescent="0.25">
      <c r="B31" s="599" t="s">
        <v>598</v>
      </c>
      <c r="C31" s="608">
        <f>Draft!$J$45</f>
        <v>64.400000000000006</v>
      </c>
      <c r="D31" s="609"/>
      <c r="E31" s="293"/>
      <c r="F31" s="5"/>
      <c r="G31" s="5"/>
      <c r="H31" s="587"/>
      <c r="I31" s="587"/>
      <c r="J31" s="587" t="s">
        <v>137</v>
      </c>
      <c r="K31" s="587"/>
      <c r="M31" s="599" t="s">
        <v>598</v>
      </c>
      <c r="N31" s="608">
        <f>Draft!$AB$45</f>
        <v>71.099999999999994</v>
      </c>
      <c r="O31" s="609"/>
      <c r="P31" s="293"/>
      <c r="Q31" s="5"/>
      <c r="R31" s="5"/>
      <c r="S31" s="587"/>
      <c r="T31" s="587"/>
      <c r="U31" s="587" t="s">
        <v>137</v>
      </c>
      <c r="V31" s="587"/>
    </row>
    <row r="32" spans="2:22" ht="15.75" x14ac:dyDescent="0.25">
      <c r="B32" s="591" t="s">
        <v>599</v>
      </c>
      <c r="C32" s="608">
        <f>Draft!$J$46</f>
        <v>64.5</v>
      </c>
      <c r="D32" s="610">
        <f>IF(E32=0,K32,E32)</f>
        <v>64.429500000000004</v>
      </c>
      <c r="E32" s="611">
        <v>0</v>
      </c>
      <c r="F32" s="5"/>
      <c r="G32" s="5"/>
      <c r="H32" s="587"/>
      <c r="I32" s="587"/>
      <c r="J32" s="587"/>
      <c r="K32" s="612">
        <f>ROUND((IF(E32=0,IF(C28=0,0,IF(C27=0,C32,IF(C24="m",(C23-C27)*(C32-C31)/(C28-C27)+C31,(E23-C27)*(C32-C31)/(C28-C27)+C31))),E32)),4)</f>
        <v>64.429500000000004</v>
      </c>
      <c r="M32" s="591" t="s">
        <v>599</v>
      </c>
      <c r="N32" s="608">
        <f>Draft!$AB$46</f>
        <v>71.099999999999994</v>
      </c>
      <c r="O32" s="610">
        <f>IF(P32=0,V32,P32)</f>
        <v>71.099999999999994</v>
      </c>
      <c r="P32" s="611">
        <v>0</v>
      </c>
      <c r="Q32" s="5"/>
      <c r="R32" s="5"/>
      <c r="S32" s="587"/>
      <c r="T32" s="587"/>
      <c r="U32" s="587"/>
      <c r="V32" s="612">
        <f>ROUND((IF(P32=0,IF(N28=0,0,IF(N27=0,N32,IF(N24="m",(N23-N27)*(N32-N31)/(N28-N27)+N31,(P23-N27)*(N32-N31)/(N28-N27)+N31))),P32)),4)</f>
        <v>71.099999999999994</v>
      </c>
    </row>
    <row r="33" spans="2:22" ht="15.75" x14ac:dyDescent="0.25">
      <c r="B33" s="613" t="s">
        <v>600</v>
      </c>
      <c r="C33" s="614">
        <f>Draft!$J$49</f>
        <v>-7.6</v>
      </c>
      <c r="D33" s="615"/>
      <c r="E33" s="293"/>
      <c r="F33" s="5"/>
      <c r="G33" s="5"/>
      <c r="H33" s="587"/>
      <c r="I33" s="587"/>
      <c r="J33" s="587" t="s">
        <v>293</v>
      </c>
      <c r="K33" s="612">
        <f>IF(F21*0.75&gt;K34,K34,F21-K34)</f>
        <v>-7.5911</v>
      </c>
      <c r="M33" s="613" t="s">
        <v>600</v>
      </c>
      <c r="N33" s="614">
        <f>Draft!$AB$49</f>
        <v>2.19</v>
      </c>
      <c r="O33" s="615"/>
      <c r="P33" s="293"/>
      <c r="Q33" s="5"/>
      <c r="R33" s="5"/>
      <c r="S33" s="587"/>
      <c r="T33" s="587"/>
      <c r="U33" s="587" t="s">
        <v>293</v>
      </c>
      <c r="V33" s="612">
        <f>IF(Q21*0.75&gt;V34,V34,Q21-V34)</f>
        <v>2.19</v>
      </c>
    </row>
    <row r="34" spans="2:22" ht="15.75" x14ac:dyDescent="0.25">
      <c r="B34" s="616" t="s">
        <v>601</v>
      </c>
      <c r="C34" s="617">
        <f>Draft!$J$50</f>
        <v>-7.57</v>
      </c>
      <c r="D34" s="610">
        <f>IF(E34=0,K33,E34)</f>
        <v>-7.5911</v>
      </c>
      <c r="E34" s="611">
        <v>0</v>
      </c>
      <c r="F34" s="5"/>
      <c r="G34" s="5"/>
      <c r="H34" s="587"/>
      <c r="I34" s="587"/>
      <c r="J34" s="587"/>
      <c r="K34" s="587">
        <f>ROUND((IF(E34=0,IF(C28=0,0,IF(C27=0,C34,IF(C24="m",(C23-C27)*(C34-C33)/(C28-C27)+C33,(E23-C27)*(C34-C33)/(C28-C27)+C33))),E34)),4)</f>
        <v>-7.5911</v>
      </c>
      <c r="M34" s="616" t="s">
        <v>601</v>
      </c>
      <c r="N34" s="617">
        <f>Draft!$AB$50</f>
        <v>2.19</v>
      </c>
      <c r="O34" s="610">
        <f>IF(P34=0,V33,P34)</f>
        <v>2.19</v>
      </c>
      <c r="P34" s="611">
        <v>0</v>
      </c>
      <c r="Q34" s="5"/>
      <c r="R34" s="5"/>
      <c r="S34" s="587"/>
      <c r="T34" s="587"/>
      <c r="U34" s="587"/>
      <c r="V34" s="587">
        <f>ROUND((IF(P34=0,IF(N28=0,0,IF(N27=0,N34,IF(N24="m",(N23-N27)*(N34-N33)/(N28-N27)+N33,(P23-N27)*(N34-N33)/(N28-N27)+N33))),P34)),4)</f>
        <v>2.19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0" sqref="O2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Relato!A168</f>
        <v>PGUA/DS/060/26</v>
      </c>
    </row>
    <row r="4" spans="1:14" ht="15.75" x14ac:dyDescent="0.25">
      <c r="A4" s="630" t="s">
        <v>335</v>
      </c>
      <c r="B4" s="1147" t="str">
        <f>CAPA!$B$8</f>
        <v>Stella Navis</v>
      </c>
      <c r="C4" s="1147"/>
      <c r="D4" s="1147"/>
      <c r="E4" s="18"/>
      <c r="F4" s="18"/>
      <c r="G4" s="18"/>
      <c r="H4" s="18"/>
      <c r="I4" s="18"/>
      <c r="J4" s="18"/>
      <c r="K4" s="18"/>
      <c r="L4" s="631"/>
      <c r="M4" s="631"/>
      <c r="N4" s="631"/>
    </row>
    <row r="5" spans="1:14" ht="15.75" x14ac:dyDescent="0.25">
      <c r="A5" s="630" t="s">
        <v>336</v>
      </c>
      <c r="B5" s="1147" t="str">
        <f>CAPA!$A$41</f>
        <v>AGÊNCIA MARITIMA CARGONAVE LTDA</v>
      </c>
      <c r="C5" s="1147"/>
      <c r="D5" s="1147"/>
      <c r="E5" s="18"/>
      <c r="F5" s="18"/>
      <c r="G5" s="18"/>
      <c r="H5" s="18"/>
      <c r="I5" s="18"/>
      <c r="J5" s="18"/>
      <c r="K5" s="18"/>
      <c r="L5" s="631"/>
      <c r="M5" s="631"/>
      <c r="N5" s="631"/>
    </row>
    <row r="6" spans="1:14" ht="15.75" x14ac:dyDescent="0.25">
      <c r="A6" s="630" t="s">
        <v>337</v>
      </c>
      <c r="B6" s="1147" t="str">
        <f>CAPA!$A$43</f>
        <v>AGÊNCIA MARITIMA CARGONAVE LTDA</v>
      </c>
      <c r="C6" s="1147"/>
      <c r="D6" s="1147"/>
      <c r="E6" s="18"/>
      <c r="F6" s="18"/>
      <c r="G6" s="18"/>
      <c r="H6" s="18"/>
      <c r="I6" s="18"/>
      <c r="J6" s="18"/>
      <c r="K6" s="18"/>
      <c r="L6" s="631"/>
      <c r="M6" s="631"/>
      <c r="N6" s="631"/>
    </row>
    <row r="7" spans="1:14" ht="15.75" x14ac:dyDescent="0.25">
      <c r="A7" s="630" t="s">
        <v>338</v>
      </c>
      <c r="B7" s="1148">
        <f>Draft!$X$4</f>
        <v>46083</v>
      </c>
      <c r="C7" s="1148"/>
      <c r="D7" s="1148"/>
      <c r="E7" s="18"/>
      <c r="F7" s="18"/>
      <c r="G7" s="18"/>
      <c r="H7" s="18"/>
      <c r="I7" s="18"/>
      <c r="J7" s="18"/>
      <c r="K7" s="18"/>
      <c r="L7" s="631"/>
      <c r="M7" s="1136" t="s">
        <v>290</v>
      </c>
      <c r="N7" s="1137"/>
    </row>
    <row r="8" spans="1:14" ht="15.75" x14ac:dyDescent="0.25">
      <c r="A8" s="630" t="s">
        <v>339</v>
      </c>
      <c r="B8" s="1144">
        <f>($I$27)</f>
        <v>70736.695000000007</v>
      </c>
      <c r="C8" s="1144"/>
      <c r="D8" s="1144"/>
      <c r="E8" s="18"/>
      <c r="F8" s="18"/>
      <c r="G8" s="18"/>
      <c r="H8" s="18"/>
      <c r="I8" s="18"/>
      <c r="J8" s="18"/>
      <c r="K8" s="18"/>
      <c r="L8" s="631"/>
      <c r="M8" s="1138"/>
      <c r="N8" s="1139"/>
    </row>
    <row r="9" spans="1:14" ht="15.75" x14ac:dyDescent="0.25">
      <c r="A9" s="630" t="s">
        <v>340</v>
      </c>
      <c r="B9" s="1144">
        <f>IF($M$9="SIM",Draft!$AF$77,Draft!$Z$77)</f>
        <v>70761.046875879998</v>
      </c>
      <c r="C9" s="1144"/>
      <c r="D9" s="1144"/>
      <c r="E9" s="18"/>
      <c r="F9" s="18"/>
      <c r="G9" s="18"/>
      <c r="H9" s="18"/>
      <c r="I9" s="18"/>
      <c r="J9" s="18"/>
      <c r="K9" s="18"/>
      <c r="L9" s="631"/>
      <c r="M9" s="1140" t="s">
        <v>583</v>
      </c>
      <c r="N9" s="1141"/>
    </row>
    <row r="10" spans="1:14" ht="15.75" x14ac:dyDescent="0.25">
      <c r="A10" s="630" t="s">
        <v>341</v>
      </c>
      <c r="B10" s="1144">
        <f>(-$B$8+$B$9)</f>
        <v>24.351875879990985</v>
      </c>
      <c r="C10" s="1144"/>
      <c r="D10" s="1144"/>
      <c r="E10" s="18"/>
      <c r="F10" s="18"/>
      <c r="G10" s="18"/>
      <c r="H10" s="18"/>
      <c r="I10" s="18"/>
      <c r="J10" s="18"/>
      <c r="K10" s="18"/>
      <c r="L10" s="631"/>
      <c r="M10" s="1142"/>
      <c r="N10" s="1143"/>
    </row>
    <row r="11" spans="1:14" ht="15.75" x14ac:dyDescent="0.25">
      <c r="A11" s="630" t="s">
        <v>342</v>
      </c>
      <c r="B11" s="1145">
        <f>($B$10/$B$8)</f>
        <v>3.4426086601856338E-4</v>
      </c>
      <c r="C11" s="1145"/>
      <c r="D11" s="1145"/>
      <c r="E11" s="18"/>
      <c r="F11" s="18"/>
      <c r="G11" s="18"/>
      <c r="H11" s="18"/>
      <c r="I11" s="18"/>
      <c r="J11" s="18"/>
      <c r="K11" s="18"/>
      <c r="L11" s="631"/>
      <c r="M11" s="631"/>
      <c r="N11" s="631"/>
    </row>
    <row r="12" spans="1:14" ht="15.75" x14ac:dyDescent="0.25">
      <c r="A12" s="630" t="s">
        <v>343</v>
      </c>
      <c r="B12" s="1146" t="s">
        <v>344</v>
      </c>
      <c r="C12" s="1146"/>
      <c r="D12" s="1146"/>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345</v>
      </c>
      <c r="B14" s="709">
        <v>1</v>
      </c>
      <c r="C14" s="709">
        <v>2</v>
      </c>
      <c r="D14" s="709">
        <v>3</v>
      </c>
      <c r="E14" s="709">
        <v>4</v>
      </c>
      <c r="F14" s="709">
        <v>5</v>
      </c>
      <c r="G14" s="709">
        <v>6</v>
      </c>
      <c r="H14" s="709">
        <v>7</v>
      </c>
      <c r="I14" s="709" t="s">
        <v>16</v>
      </c>
      <c r="J14" s="18"/>
      <c r="K14" s="18"/>
      <c r="L14" s="631"/>
      <c r="M14" s="631"/>
      <c r="N14" s="631"/>
    </row>
    <row r="15" spans="1:14" ht="15.75" x14ac:dyDescent="0.25">
      <c r="A15" s="630" t="s">
        <v>346</v>
      </c>
      <c r="B15" s="710" t="s">
        <v>790</v>
      </c>
      <c r="C15" s="710" t="s">
        <v>790</v>
      </c>
      <c r="D15" s="710" t="s">
        <v>790</v>
      </c>
      <c r="E15" s="710" t="s">
        <v>790</v>
      </c>
      <c r="F15" s="710" t="s">
        <v>790</v>
      </c>
      <c r="G15" s="710" t="s">
        <v>790</v>
      </c>
      <c r="H15" s="710" t="s">
        <v>790</v>
      </c>
      <c r="I15" s="710"/>
      <c r="J15" s="18"/>
      <c r="K15" s="18"/>
      <c r="L15" s="631"/>
      <c r="M15" s="631"/>
      <c r="N15" s="631"/>
    </row>
    <row r="16" spans="1:14" ht="15.75" x14ac:dyDescent="0.25">
      <c r="A16" s="630" t="s">
        <v>347</v>
      </c>
      <c r="B16" s="710"/>
      <c r="C16" s="710"/>
      <c r="D16" s="710"/>
      <c r="E16" s="710"/>
      <c r="F16" s="710"/>
      <c r="G16" s="710"/>
      <c r="H16" s="710"/>
      <c r="I16" s="710">
        <f t="shared" ref="I16:I26" si="0">SUM(B16:H16)</f>
        <v>0</v>
      </c>
      <c r="J16" s="18"/>
      <c r="K16" s="18"/>
      <c r="L16" s="631"/>
      <c r="M16" s="631"/>
      <c r="N16" s="631"/>
    </row>
    <row r="17" spans="1:14" ht="15.75" x14ac:dyDescent="0.25">
      <c r="A17" s="630" t="s">
        <v>739</v>
      </c>
      <c r="B17" s="710"/>
      <c r="C17" s="710"/>
      <c r="D17" s="710"/>
      <c r="E17" s="710"/>
      <c r="F17" s="710"/>
      <c r="G17" s="710"/>
      <c r="H17" s="710"/>
      <c r="I17" s="710">
        <f t="shared" si="0"/>
        <v>0</v>
      </c>
      <c r="J17" s="18"/>
      <c r="K17" s="18"/>
      <c r="L17" s="631"/>
      <c r="M17" s="631"/>
      <c r="N17" s="631"/>
    </row>
    <row r="18" spans="1:14" ht="15.75" x14ac:dyDescent="0.25">
      <c r="A18" s="630" t="s">
        <v>740</v>
      </c>
      <c r="B18" s="710"/>
      <c r="C18" s="710"/>
      <c r="D18" s="710"/>
      <c r="E18" s="710"/>
      <c r="F18" s="710"/>
      <c r="G18" s="710"/>
      <c r="H18" s="710"/>
      <c r="I18" s="710">
        <f t="shared" si="0"/>
        <v>0</v>
      </c>
      <c r="J18" s="18"/>
      <c r="K18" s="18"/>
      <c r="L18" s="631"/>
      <c r="M18" s="631"/>
      <c r="N18" s="631"/>
    </row>
    <row r="19" spans="1:14" ht="15.75" x14ac:dyDescent="0.25">
      <c r="A19" s="630" t="s">
        <v>741</v>
      </c>
      <c r="B19" s="710"/>
      <c r="C19" s="710"/>
      <c r="D19" s="710"/>
      <c r="E19" s="710"/>
      <c r="F19" s="710"/>
      <c r="G19" s="710"/>
      <c r="H19" s="710"/>
      <c r="I19" s="710">
        <f t="shared" si="0"/>
        <v>0</v>
      </c>
      <c r="J19" s="18"/>
      <c r="K19" s="18"/>
      <c r="L19" s="631"/>
      <c r="M19" s="631"/>
      <c r="N19" s="631"/>
    </row>
    <row r="20" spans="1:14" ht="15.75" x14ac:dyDescent="0.25">
      <c r="A20" s="630" t="s">
        <v>742</v>
      </c>
      <c r="B20" s="710"/>
      <c r="C20" s="710"/>
      <c r="D20" s="710"/>
      <c r="E20" s="710"/>
      <c r="F20" s="710"/>
      <c r="G20" s="710"/>
      <c r="H20" s="710"/>
      <c r="I20" s="710">
        <f t="shared" si="0"/>
        <v>0</v>
      </c>
      <c r="J20" s="18"/>
      <c r="K20" s="18"/>
      <c r="L20" s="631"/>
      <c r="M20" s="631"/>
      <c r="N20" s="631"/>
    </row>
    <row r="21" spans="1:14" ht="15.75" x14ac:dyDescent="0.25">
      <c r="A21" s="630" t="s">
        <v>348</v>
      </c>
      <c r="B21" s="710"/>
      <c r="C21" s="710"/>
      <c r="D21" s="710"/>
      <c r="E21" s="710"/>
      <c r="F21" s="710"/>
      <c r="G21" s="710"/>
      <c r="H21" s="710"/>
      <c r="I21" s="710">
        <f t="shared" si="0"/>
        <v>0</v>
      </c>
      <c r="J21" s="18"/>
      <c r="K21" s="18"/>
      <c r="L21" s="631"/>
      <c r="M21" s="631"/>
      <c r="N21" s="631"/>
    </row>
    <row r="22" spans="1:14" ht="15.75" x14ac:dyDescent="0.25">
      <c r="A22" s="630" t="s">
        <v>350</v>
      </c>
      <c r="B22" s="710"/>
      <c r="C22" s="710"/>
      <c r="D22" s="710"/>
      <c r="E22" s="710"/>
      <c r="F22" s="710"/>
      <c r="G22" s="710"/>
      <c r="H22" s="710"/>
      <c r="I22" s="710">
        <f t="shared" si="0"/>
        <v>0</v>
      </c>
      <c r="J22" s="18"/>
      <c r="K22" s="18"/>
      <c r="L22" s="631"/>
      <c r="M22" s="631"/>
      <c r="N22" s="631"/>
    </row>
    <row r="23" spans="1:14" ht="15.75" x14ac:dyDescent="0.25">
      <c r="A23" s="630" t="s">
        <v>351</v>
      </c>
      <c r="B23" s="710"/>
      <c r="C23" s="710"/>
      <c r="D23" s="710"/>
      <c r="E23" s="710"/>
      <c r="F23" s="710"/>
      <c r="G23" s="710"/>
      <c r="H23" s="710"/>
      <c r="I23" s="710">
        <f t="shared" si="0"/>
        <v>0</v>
      </c>
      <c r="J23" s="18"/>
      <c r="K23" s="18"/>
      <c r="L23" s="631"/>
      <c r="M23" s="631"/>
      <c r="N23" s="631"/>
    </row>
    <row r="24" spans="1:14" ht="15.75" x14ac:dyDescent="0.25">
      <c r="A24" s="726" t="s">
        <v>354</v>
      </c>
      <c r="B24" s="727">
        <v>6013.58</v>
      </c>
      <c r="C24" s="727">
        <f>5403.145+697.31</f>
        <v>6100.4549999999999</v>
      </c>
      <c r="D24" s="727">
        <f>3672.69+3000+3002.69</f>
        <v>9675.380000000001</v>
      </c>
      <c r="E24" s="727">
        <v>4910.585</v>
      </c>
      <c r="F24" s="727"/>
      <c r="G24" s="727"/>
      <c r="H24" s="727"/>
      <c r="I24" s="727">
        <f t="shared" si="0"/>
        <v>26700</v>
      </c>
      <c r="J24" s="18"/>
      <c r="K24" s="18"/>
      <c r="L24" s="631"/>
      <c r="M24" s="631"/>
      <c r="N24" s="631"/>
    </row>
    <row r="25" spans="1:14" ht="15.75" x14ac:dyDescent="0.25">
      <c r="A25" s="726" t="s">
        <v>355</v>
      </c>
      <c r="B25" s="727">
        <v>3351.375</v>
      </c>
      <c r="C25" s="727">
        <v>1716.4349999999999</v>
      </c>
      <c r="D25" s="727">
        <v>980.36500000000001</v>
      </c>
      <c r="E25" s="727">
        <v>5222.26</v>
      </c>
      <c r="F25" s="727">
        <f>2010.23+4000</f>
        <v>6010.23</v>
      </c>
      <c r="G25" s="727"/>
      <c r="H25" s="727">
        <v>3119.335</v>
      </c>
      <c r="I25" s="727">
        <f t="shared" si="0"/>
        <v>20400</v>
      </c>
      <c r="J25" s="18"/>
      <c r="K25" s="18"/>
      <c r="L25" s="631"/>
      <c r="M25" s="631"/>
      <c r="N25" s="631"/>
    </row>
    <row r="26" spans="1:14" ht="15.75" x14ac:dyDescent="0.25">
      <c r="A26" s="726" t="s">
        <v>357</v>
      </c>
      <c r="B26" s="727"/>
      <c r="C26" s="727">
        <v>2300.2849999999999</v>
      </c>
      <c r="D26" s="727"/>
      <c r="E26" s="727"/>
      <c r="F26" s="727">
        <v>4684.07</v>
      </c>
      <c r="G26" s="727">
        <f>5493.285+5612.035</f>
        <v>11105.32</v>
      </c>
      <c r="H26" s="727">
        <f>2506.715+3040.305</f>
        <v>5547.02</v>
      </c>
      <c r="I26" s="727">
        <f t="shared" si="0"/>
        <v>23636.695</v>
      </c>
      <c r="J26" s="18"/>
      <c r="K26" s="18"/>
      <c r="L26" s="631"/>
      <c r="M26" s="631"/>
      <c r="N26" s="631"/>
    </row>
    <row r="27" spans="1:14" ht="15.75" x14ac:dyDescent="0.25">
      <c r="A27" s="630" t="s">
        <v>16</v>
      </c>
      <c r="B27" s="710">
        <f t="shared" ref="B27:H27" si="1">SUM(B16:B26)</f>
        <v>9364.9549999999999</v>
      </c>
      <c r="C27" s="710">
        <f t="shared" si="1"/>
        <v>10117.174999999999</v>
      </c>
      <c r="D27" s="710">
        <f t="shared" si="1"/>
        <v>10655.745000000001</v>
      </c>
      <c r="E27" s="710">
        <f t="shared" si="1"/>
        <v>10132.845000000001</v>
      </c>
      <c r="F27" s="710">
        <f t="shared" si="1"/>
        <v>10694.3</v>
      </c>
      <c r="G27" s="710">
        <f t="shared" si="1"/>
        <v>11105.32</v>
      </c>
      <c r="H27" s="710">
        <f t="shared" si="1"/>
        <v>8666.3549999999996</v>
      </c>
      <c r="I27" s="710">
        <f>SUM(I15:I26)</f>
        <v>70736.695000000007</v>
      </c>
      <c r="J27" s="18"/>
      <c r="K27" s="18"/>
      <c r="L27" s="631"/>
      <c r="M27" s="631"/>
      <c r="N27" s="631"/>
    </row>
    <row r="28" spans="1:14" ht="15.75" x14ac:dyDescent="0.25">
      <c r="A28" s="630" t="s">
        <v>358</v>
      </c>
      <c r="B28" s="711">
        <v>450645</v>
      </c>
      <c r="C28" s="711">
        <v>526814</v>
      </c>
      <c r="D28" s="711">
        <v>507440</v>
      </c>
      <c r="E28" s="711">
        <v>483336</v>
      </c>
      <c r="F28" s="711">
        <v>506840</v>
      </c>
      <c r="G28" s="711">
        <v>528048</v>
      </c>
      <c r="H28" s="711">
        <v>449300</v>
      </c>
      <c r="I28" s="709"/>
      <c r="J28" s="18"/>
      <c r="K28" s="18"/>
      <c r="L28" s="631"/>
      <c r="M28" s="631"/>
      <c r="N28" s="631"/>
    </row>
    <row r="29" spans="1:14" ht="15.75" x14ac:dyDescent="0.25">
      <c r="A29" s="630" t="s">
        <v>359</v>
      </c>
      <c r="B29" s="712">
        <f>(B28/B27)</f>
        <v>48.120359361043377</v>
      </c>
      <c r="C29" s="712">
        <f t="shared" ref="C29:H29" si="2">(C28/C27)</f>
        <v>52.071255068732135</v>
      </c>
      <c r="D29" s="712">
        <f t="shared" si="2"/>
        <v>47.621259705445276</v>
      </c>
      <c r="E29" s="712">
        <f t="shared" si="2"/>
        <v>47.699930276245212</v>
      </c>
      <c r="F29" s="712">
        <f t="shared" si="2"/>
        <v>47.393471288443379</v>
      </c>
      <c r="G29" s="712">
        <f t="shared" si="2"/>
        <v>47.54910259227109</v>
      </c>
      <c r="H29" s="712">
        <f t="shared" si="2"/>
        <v>51.844172088496265</v>
      </c>
      <c r="I29" s="709"/>
      <c r="J29" s="18"/>
      <c r="K29" s="18"/>
      <c r="L29" s="631"/>
      <c r="M29" s="631"/>
      <c r="N29" s="631"/>
    </row>
    <row r="30" spans="1:14" ht="15.75" x14ac:dyDescent="0.25">
      <c r="A30" s="713" t="s">
        <v>360</v>
      </c>
      <c r="B30" s="711" t="s">
        <v>787</v>
      </c>
      <c r="C30" s="711" t="s">
        <v>788</v>
      </c>
      <c r="D30" s="711" t="s">
        <v>787</v>
      </c>
      <c r="E30" s="711" t="s">
        <v>787</v>
      </c>
      <c r="F30" s="711" t="s">
        <v>787</v>
      </c>
      <c r="G30" s="711" t="s">
        <v>787</v>
      </c>
      <c r="H30" s="711" t="s">
        <v>788</v>
      </c>
      <c r="I30" s="711"/>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4" t="s">
        <v>361</v>
      </c>
      <c r="B32" s="715"/>
      <c r="C32" s="715"/>
      <c r="D32" s="715"/>
      <c r="E32" s="715"/>
      <c r="F32" s="715"/>
      <c r="G32" s="715"/>
      <c r="H32" s="715"/>
      <c r="I32" s="716"/>
      <c r="J32" s="18"/>
      <c r="K32" s="18"/>
      <c r="L32" s="631"/>
      <c r="M32" s="631"/>
      <c r="N32" s="631"/>
    </row>
    <row r="33" spans="1:14" ht="15.75" x14ac:dyDescent="0.25">
      <c r="A33" s="717"/>
      <c r="B33" s="718"/>
      <c r="C33" s="718"/>
      <c r="D33" s="718"/>
      <c r="E33" s="718"/>
      <c r="F33" s="718"/>
      <c r="G33" s="718"/>
      <c r="H33" s="718"/>
      <c r="I33" s="719"/>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0.73399999999999999</v>
      </c>
      <c r="G3" s="112"/>
      <c r="H3" s="113" t="s">
        <v>372</v>
      </c>
      <c r="I3" s="114"/>
      <c r="K3" s="107"/>
      <c r="L3" s="108" t="s">
        <v>370</v>
      </c>
      <c r="M3" s="109" t="s">
        <v>371</v>
      </c>
      <c r="N3" s="110">
        <v>1</v>
      </c>
      <c r="O3" s="110">
        <v>2</v>
      </c>
      <c r="P3" s="111">
        <f>Draft!$AH$29</f>
        <v>-5.3000000000000824E-3</v>
      </c>
      <c r="Q3" s="112"/>
      <c r="R3" s="113" t="s">
        <v>372</v>
      </c>
    </row>
    <row r="4" spans="1:18" ht="12.75" customHeight="1" thickTop="1" thickBot="1" x14ac:dyDescent="0.3">
      <c r="A4" s="115" t="str">
        <f>Relato!$A$225</f>
        <v>F.PK</v>
      </c>
      <c r="B4" s="1149">
        <f>Relato!$G$225</f>
        <v>13.54</v>
      </c>
      <c r="C4" s="116">
        <f>ROUNDDOWN(B4,1)</f>
        <v>13.5</v>
      </c>
      <c r="D4" s="117"/>
      <c r="E4" s="117"/>
      <c r="F4" s="118">
        <f>IF(E4="",D4,ROUND((((E6-D6)/($E$3-$D$3))*($F$3-$D$3))+D6,1))</f>
        <v>0</v>
      </c>
      <c r="G4" s="119">
        <v>1.0249999999999999</v>
      </c>
      <c r="H4" s="120">
        <f>ROUND(F4*G4,1)</f>
        <v>0</v>
      </c>
      <c r="K4" s="115" t="str">
        <f>Relato!$A$225</f>
        <v>F.PK</v>
      </c>
      <c r="L4" s="1149">
        <f>Relato!$D$248</f>
        <v>7.0000000000000007E-2</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13.6</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Relato!$A$226</f>
        <v>1 WBT (P)</v>
      </c>
      <c r="B7" s="1149">
        <f>Relato!$G$226</f>
        <v>20.250680000000003</v>
      </c>
      <c r="C7" s="116">
        <f>ROUNDDOWN(B7,1)</f>
        <v>20.2</v>
      </c>
      <c r="D7" s="130"/>
      <c r="E7" s="130"/>
      <c r="F7" s="131">
        <f>ROUND((((E9-D9)/($E$3-$D$3))*($F$3-$D$3))+D9,1)</f>
        <v>0</v>
      </c>
      <c r="G7" s="132">
        <f>G4</f>
        <v>1.0249999999999999</v>
      </c>
      <c r="H7" s="133">
        <f>ROUND(F7*G7,1)</f>
        <v>0</v>
      </c>
      <c r="I7" s="121"/>
      <c r="K7" s="129" t="str">
        <f>Relato!$A$226</f>
        <v>1 WBT (P)</v>
      </c>
      <c r="L7" s="1149">
        <f>Relato!$D$249</f>
        <v>7.0000000000000007E-2</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20.3</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Relato!$A$227</f>
        <v>1 WBT (S)</v>
      </c>
      <c r="B10" s="1149">
        <f>Relato!$G$227</f>
        <v>20.373059999999999</v>
      </c>
      <c r="C10" s="135">
        <f>ROUNDDOWN(B10,1)</f>
        <v>20.3</v>
      </c>
      <c r="D10" s="130"/>
      <c r="E10" s="130"/>
      <c r="F10" s="131">
        <f>ROUND((((E12-D12)/($E$3-$D$3))*($F$3-$D$3))+D12,1)</f>
        <v>0</v>
      </c>
      <c r="G10" s="132">
        <f>G7</f>
        <v>1.0249999999999999</v>
      </c>
      <c r="H10" s="133">
        <f>ROUND(F10*G10,1)</f>
        <v>0</v>
      </c>
      <c r="I10" s="121"/>
      <c r="K10" s="129" t="str">
        <f>Relato!$A$227</f>
        <v>1 WBT (S)</v>
      </c>
      <c r="L10" s="1149">
        <f>Relato!$D$250</f>
        <v>0.05</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20.400000000000002</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Relato!$A$228</f>
        <v>2 WBT (P)</v>
      </c>
      <c r="B13" s="1149">
        <f>Relato!$G$228</f>
        <v>20.482839999999999</v>
      </c>
      <c r="C13" s="135">
        <f>ROUNDDOWN(B13,1)</f>
        <v>20.399999999999999</v>
      </c>
      <c r="D13" s="130"/>
      <c r="E13" s="130"/>
      <c r="F13" s="131">
        <f>ROUND((((E15-D15)/($E$3-$D$3))*($F$3-$D$3))+D15,1)</f>
        <v>0</v>
      </c>
      <c r="G13" s="132">
        <f>G10</f>
        <v>1.0249999999999999</v>
      </c>
      <c r="H13" s="133">
        <f>ROUND(F13*G13,1)</f>
        <v>0</v>
      </c>
      <c r="I13" s="121"/>
      <c r="K13" s="129" t="str">
        <f>Relato!$A$228</f>
        <v>2 WBT (P)</v>
      </c>
      <c r="L13" s="1149">
        <f>Relato!$D$251</f>
        <v>0.06</v>
      </c>
      <c r="M13" s="135">
        <f>ROUNDDOWN(L13,1)</f>
        <v>0</v>
      </c>
      <c r="N13" s="130"/>
      <c r="O13" s="130"/>
      <c r="P13" s="131">
        <f>ROUND((((O15-N15)/($E$3-$D$3))*($F$3-$D$3))+N15,1)</f>
        <v>0</v>
      </c>
      <c r="Q13" s="132">
        <f>Q10</f>
        <v>1.0249999999999999</v>
      </c>
      <c r="R13" s="133">
        <f>ROUND(P13*Q13,1)</f>
        <v>0</v>
      </c>
    </row>
    <row r="14" spans="1:18" ht="12.75" customHeight="1" x14ac:dyDescent="0.25">
      <c r="A14" s="115"/>
      <c r="B14" s="1149"/>
      <c r="C14" s="116">
        <f>IF(ROUNDUP(B13,1)=C13,"",ROUNDUP(B13,1))</f>
        <v>20.5</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Relato!$A$229</f>
        <v>2 WBT (S)</v>
      </c>
      <c r="B16" s="1149">
        <f>Relato!$G$229</f>
        <v>20.399139999999999</v>
      </c>
      <c r="C16" s="135">
        <f>ROUNDDOWN(B16,1)</f>
        <v>20.3</v>
      </c>
      <c r="D16" s="130"/>
      <c r="E16" s="130"/>
      <c r="F16" s="131">
        <f>ROUND((((E18-D18)/($E$3-$D$3))*($F$3-$D$3))+D18,1)</f>
        <v>0</v>
      </c>
      <c r="G16" s="132">
        <f>G13</f>
        <v>1.0249999999999999</v>
      </c>
      <c r="H16" s="133">
        <f>ROUND(F16*G16,1)</f>
        <v>0</v>
      </c>
      <c r="I16" s="121"/>
      <c r="K16" s="129" t="str">
        <f>Relato!$A$229</f>
        <v>2 WBT (S)</v>
      </c>
      <c r="L16" s="1149">
        <f>Relato!$D$252</f>
        <v>0.01</v>
      </c>
      <c r="M16" s="135">
        <f>ROUNDDOWN(L16,1)</f>
        <v>0</v>
      </c>
      <c r="N16" s="130"/>
      <c r="O16" s="130"/>
      <c r="P16" s="131">
        <f>ROUND((((O18-N18)/($E$3-$D$3))*($F$3-$D$3))+N18,1)</f>
        <v>0</v>
      </c>
      <c r="Q16" s="132">
        <f>Q13</f>
        <v>1.0249999999999999</v>
      </c>
      <c r="R16" s="133">
        <f>ROUND(P16*Q16,1)</f>
        <v>0</v>
      </c>
    </row>
    <row r="17" spans="1:18" ht="12.75" customHeight="1" x14ac:dyDescent="0.25">
      <c r="A17" s="115"/>
      <c r="B17" s="1149"/>
      <c r="C17" s="116">
        <f>IF(ROUNDUP(B16,1)=C16,"",ROUNDUP(B16,1))</f>
        <v>20.400000000000002</v>
      </c>
      <c r="D17" s="134"/>
      <c r="E17" s="134"/>
      <c r="F17" s="118"/>
      <c r="G17" s="118"/>
      <c r="H17" s="120"/>
      <c r="K17" s="115"/>
      <c r="L17" s="114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Relato!$A$230</f>
        <v>3 WBT (P)</v>
      </c>
      <c r="B19" s="1149">
        <f>Relato!$G$230</f>
        <v>20.186400000000003</v>
      </c>
      <c r="C19" s="135">
        <f>ROUNDDOWN(B19,1)</f>
        <v>20.100000000000001</v>
      </c>
      <c r="D19" s="130"/>
      <c r="E19" s="130"/>
      <c r="F19" s="131">
        <f>ROUND((((E21-D21)/($E$3-$D$3))*($F$3-$D$3))+D21,1)</f>
        <v>0</v>
      </c>
      <c r="G19" s="132">
        <f>G16</f>
        <v>1.0249999999999999</v>
      </c>
      <c r="H19" s="133">
        <f>ROUND(F19*G19,1)</f>
        <v>0</v>
      </c>
      <c r="I19" s="121"/>
      <c r="K19" s="129" t="str">
        <f>Relato!$A$230</f>
        <v>3 WBT (P)</v>
      </c>
      <c r="L19" s="1149">
        <f>Relato!$D$253</f>
        <v>0.02</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20.200000000000003</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Relato!$A$231</f>
        <v>3 WBT (S)</v>
      </c>
      <c r="B22" s="1149">
        <f>Relato!$G$231</f>
        <v>20.241316000000001</v>
      </c>
      <c r="C22" s="135">
        <f>ROUNDDOWN(B22,1)</f>
        <v>20.2</v>
      </c>
      <c r="D22" s="130"/>
      <c r="E22" s="130"/>
      <c r="F22" s="131">
        <f>ROUND((((E24-D24)/($E$3-$D$3))*($F$3-$D$3))+D24,1)</f>
        <v>0</v>
      </c>
      <c r="G22" s="132">
        <f>G19</f>
        <v>1.0249999999999999</v>
      </c>
      <c r="H22" s="133">
        <f>ROUND(F22*G22,1)</f>
        <v>0</v>
      </c>
      <c r="I22" s="121"/>
      <c r="K22" s="129" t="str">
        <f>Relato!$A$231</f>
        <v>3 WBT (S)</v>
      </c>
      <c r="L22" s="1149">
        <f>Relato!$D$254</f>
        <v>0.02</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20.3</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Relato!$A$232</f>
        <v>4 WBT (P)</v>
      </c>
      <c r="B25" s="1149">
        <f>Relato!$G$232</f>
        <v>20.405820000000002</v>
      </c>
      <c r="C25" s="135">
        <f>ROUNDDOWN(B25,1)</f>
        <v>20.399999999999999</v>
      </c>
      <c r="D25" s="130"/>
      <c r="E25" s="130"/>
      <c r="F25" s="131">
        <f>ROUND((((E27-D27)/($E$3-$D$3))*($F$3-$D$3))+D27,1)</f>
        <v>0</v>
      </c>
      <c r="G25" s="132">
        <f>G22</f>
        <v>1.0249999999999999</v>
      </c>
      <c r="H25" s="133">
        <f>ROUND(F25*G25,1)</f>
        <v>0</v>
      </c>
      <c r="I25" s="121"/>
      <c r="K25" s="129" t="str">
        <f>Relato!$A$232</f>
        <v>4 WBT (P)</v>
      </c>
      <c r="L25" s="1149">
        <f>Relato!$D$255</f>
        <v>0.01</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20.5</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Relato!$A$233</f>
        <v>4 WBT (S)</v>
      </c>
      <c r="B28" s="1149">
        <f>Relato!$G$233</f>
        <v>20.455949999999998</v>
      </c>
      <c r="C28" s="135">
        <f>ROUNDDOWN(B28,1)</f>
        <v>20.399999999999999</v>
      </c>
      <c r="D28" s="130"/>
      <c r="E28" s="130"/>
      <c r="F28" s="131">
        <f>ROUND((((E30-D30)/($E$3-$D$3))*($F$3-$D$3))+D30,1)</f>
        <v>0</v>
      </c>
      <c r="G28" s="132">
        <f>G25</f>
        <v>1.0249999999999999</v>
      </c>
      <c r="H28" s="133">
        <f>ROUND(F28*G28,1)</f>
        <v>0</v>
      </c>
      <c r="I28" s="121"/>
      <c r="K28" s="129" t="str">
        <f>Relato!$A$233</f>
        <v>4 WBT (S)</v>
      </c>
      <c r="L28" s="1149">
        <f>Relato!$D$256</f>
        <v>0.01</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20.5</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Relato!$A$234</f>
        <v>5 DB (P)</v>
      </c>
      <c r="B31" s="1149">
        <f>Relato!$G$234</f>
        <v>14.9376</v>
      </c>
      <c r="C31" s="135">
        <f>ROUNDDOWN(B31,1)</f>
        <v>14.9</v>
      </c>
      <c r="D31" s="130"/>
      <c r="E31" s="130"/>
      <c r="F31" s="131">
        <f>ROUND((((E33-D33)/($E$3-$D$3))*($F$3-$D$3))+D33,1)</f>
        <v>0</v>
      </c>
      <c r="G31" s="132">
        <f>G28</f>
        <v>1.0249999999999999</v>
      </c>
      <c r="H31" s="133">
        <f>ROUND(F31*G31,1)</f>
        <v>0</v>
      </c>
      <c r="I31" s="121"/>
      <c r="K31" s="129" t="str">
        <f>Relato!$A$234</f>
        <v>5 DB (P)</v>
      </c>
      <c r="L31" s="1149">
        <f>Relato!$D$257</f>
        <v>0.02</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15</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Relato!$A$235</f>
        <v>5 DB (S)</v>
      </c>
      <c r="B34" s="1149">
        <f>Relato!$G$235</f>
        <v>7.7373399999999997</v>
      </c>
      <c r="C34" s="135">
        <f>ROUNDDOWN(B34,1)</f>
        <v>7.7</v>
      </c>
      <c r="D34" s="130"/>
      <c r="E34" s="130"/>
      <c r="F34" s="131">
        <f>ROUND((((E36-D36)/($E$3-$D$3))*($F$3-$D$3))+D36,1)</f>
        <v>0</v>
      </c>
      <c r="G34" s="132">
        <f>G31</f>
        <v>1.0249999999999999</v>
      </c>
      <c r="H34" s="133">
        <f>ROUND(F34*G34,1)</f>
        <v>0</v>
      </c>
      <c r="I34" s="121"/>
      <c r="K34" s="129" t="str">
        <f>Relato!$A$235</f>
        <v>5 DB (S)</v>
      </c>
      <c r="L34" s="1149">
        <f>Relato!$D$258</f>
        <v>0.17</v>
      </c>
      <c r="M34" s="135">
        <f>ROUNDDOWN(L34,1)</f>
        <v>0.1</v>
      </c>
      <c r="N34" s="130"/>
      <c r="O34" s="130"/>
      <c r="P34" s="131">
        <f>ROUND((((O36-N36)/($E$3-$D$3))*($F$3-$D$3))+N36,1)</f>
        <v>0</v>
      </c>
      <c r="Q34" s="132">
        <f>Q31</f>
        <v>1.0249999999999999</v>
      </c>
      <c r="R34" s="133">
        <f>ROUND(P34*Q34,1)</f>
        <v>0</v>
      </c>
    </row>
    <row r="35" spans="1:18" ht="12.75" customHeight="1" x14ac:dyDescent="0.25">
      <c r="A35" s="115"/>
      <c r="B35" s="1149"/>
      <c r="C35" s="136">
        <f>ROUNDUP(B34,1)</f>
        <v>7.8</v>
      </c>
      <c r="D35" s="134"/>
      <c r="E35" s="134"/>
      <c r="F35" s="118"/>
      <c r="G35" s="118"/>
      <c r="H35" s="120"/>
      <c r="K35" s="115"/>
      <c r="L35" s="1149"/>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Relato!$A$236</f>
        <v>6 DB (P)</v>
      </c>
      <c r="B37" s="1149">
        <f>Relato!$G$236</f>
        <v>0</v>
      </c>
      <c r="C37" s="135">
        <f>ROUNDDOWN(B37,1)</f>
        <v>0</v>
      </c>
      <c r="D37" s="130"/>
      <c r="E37" s="130"/>
      <c r="F37" s="131" t="e">
        <f>ROUND((((E39-D39)/($E$3-$D$3))*($F$3-$D$3))+D39,1)</f>
        <v>#VALUE!</v>
      </c>
      <c r="G37" s="132">
        <f>G34</f>
        <v>1.0249999999999999</v>
      </c>
      <c r="H37" s="133" t="e">
        <f>ROUND(F37*G37,1)</f>
        <v>#VALUE!</v>
      </c>
      <c r="I37" s="121"/>
      <c r="K37" s="129" t="str">
        <f>Relato!$A$236</f>
        <v>6 DB (P)</v>
      </c>
      <c r="L37" s="1149">
        <f>Relato!$D$259</f>
        <v>0.17</v>
      </c>
      <c r="M37" s="135">
        <f>ROUNDDOWN(L37,1)</f>
        <v>0.1</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f>IF(ROUNDUP(L37,1)=M37,"",ROUNDUP(L37,1))</f>
        <v>0.2</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Relato!$A$237</f>
        <v>6 DB (S)</v>
      </c>
      <c r="B40" s="1149">
        <f>Relato!$G$237</f>
        <v>7.0000000000000007E-2</v>
      </c>
      <c r="C40" s="135">
        <f>ROUNDDOWN(B40,1)</f>
        <v>0</v>
      </c>
      <c r="D40" s="130"/>
      <c r="E40" s="130"/>
      <c r="F40" s="131">
        <f>ROUND((((E42-D42)/($E$3-$D$3))*($F$3-$D$3))+D42,1)</f>
        <v>0</v>
      </c>
      <c r="G40" s="132">
        <f>G37</f>
        <v>1.0249999999999999</v>
      </c>
      <c r="H40" s="133">
        <f>ROUND(F40*G40,1)</f>
        <v>0</v>
      </c>
      <c r="I40" s="121"/>
      <c r="K40" s="129" t="str">
        <f>Relato!$A$237</f>
        <v>6 DB (S)</v>
      </c>
      <c r="L40" s="1149">
        <f>Relato!$D$260</f>
        <v>1.27</v>
      </c>
      <c r="M40" s="135">
        <f>ROUNDDOWN(L40,1)</f>
        <v>1.2</v>
      </c>
      <c r="N40" s="130"/>
      <c r="O40" s="130"/>
      <c r="P40" s="131">
        <f>ROUND((((O42-N42)/($E$3-$D$3))*($F$3-$D$3))+N42,1)</f>
        <v>0</v>
      </c>
      <c r="Q40" s="132">
        <f>Q37</f>
        <v>1.0249999999999999</v>
      </c>
      <c r="R40" s="133">
        <f>ROUND(P40*Q40,1)</f>
        <v>0</v>
      </c>
    </row>
    <row r="41" spans="1:18" ht="12.75" customHeight="1" x14ac:dyDescent="0.25">
      <c r="A41" s="115"/>
      <c r="B41" s="1149"/>
      <c r="C41" s="116">
        <f>ROUNDUP(B40,1)</f>
        <v>0.1</v>
      </c>
      <c r="D41" s="134"/>
      <c r="E41" s="134"/>
      <c r="F41" s="118"/>
      <c r="G41" s="118"/>
      <c r="H41" s="120"/>
      <c r="K41" s="115"/>
      <c r="L41" s="1149"/>
      <c r="M41" s="116">
        <f>ROUNDUP(L40,1)</f>
        <v>1.3</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Relato!$A$238</f>
        <v>Collect (P)</v>
      </c>
      <c r="B43" s="1149">
        <f>Relato!$G$238</f>
        <v>0.91742000000000001</v>
      </c>
      <c r="C43" s="135">
        <f>ROUNDDOWN(B43,1)</f>
        <v>0.9</v>
      </c>
      <c r="D43" s="130"/>
      <c r="E43" s="130"/>
      <c r="F43" s="131">
        <f>ROUND((((E45-D45)/($E$3-$D$3))*($F$3-$D$3))+D45,1)</f>
        <v>0</v>
      </c>
      <c r="G43" s="132">
        <f>G40</f>
        <v>1.0249999999999999</v>
      </c>
      <c r="H43" s="133">
        <f>ROUND(F43*G43,1)</f>
        <v>0</v>
      </c>
      <c r="I43" s="121"/>
      <c r="K43" s="129" t="str">
        <f>Relato!$A$238</f>
        <v>Collect (P)</v>
      </c>
      <c r="L43" s="1149">
        <f>Relato!$D$261</f>
        <v>1.02</v>
      </c>
      <c r="M43" s="135">
        <f>ROUNDDOWN(L43,1)</f>
        <v>1</v>
      </c>
      <c r="N43" s="130"/>
      <c r="O43" s="130"/>
      <c r="P43" s="131">
        <f>ROUND((((O45-N45)/($E$3-$D$3))*($F$3-$D$3))+N45,1)</f>
        <v>0</v>
      </c>
      <c r="Q43" s="132">
        <f>Q40</f>
        <v>1.0249999999999999</v>
      </c>
      <c r="R43" s="133">
        <f>ROUND(P43*Q43,1)</f>
        <v>0</v>
      </c>
    </row>
    <row r="44" spans="1:18" ht="12.75" customHeight="1" x14ac:dyDescent="0.25">
      <c r="A44" s="115"/>
      <c r="B44" s="1149"/>
      <c r="C44" s="116">
        <f>ROUNDUP(B43,1)</f>
        <v>1</v>
      </c>
      <c r="D44" s="138"/>
      <c r="E44" s="138"/>
      <c r="F44" s="118"/>
      <c r="G44" s="118"/>
      <c r="H44" s="120"/>
      <c r="K44" s="115"/>
      <c r="L44" s="1149"/>
      <c r="M44" s="116">
        <f>ROUNDUP(L43,1)</f>
        <v>1.1000000000000001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Relato!$A$239</f>
        <v>Collect (S)</v>
      </c>
      <c r="B46" s="1149">
        <f>Relato!$G$239</f>
        <v>0.67667999999999995</v>
      </c>
      <c r="C46" s="135">
        <f>ROUNDDOWN(B46,1)</f>
        <v>0.6</v>
      </c>
      <c r="D46" s="130"/>
      <c r="E46" s="130"/>
      <c r="F46" s="131">
        <f>ROUND((((E48-D48)/($E$3-$D$3))*($F$3-$D$3))+D48,1)</f>
        <v>0</v>
      </c>
      <c r="G46" s="132">
        <f>G43</f>
        <v>1.0249999999999999</v>
      </c>
      <c r="H46" s="133">
        <f>ROUND(F46*G46,1)</f>
        <v>0</v>
      </c>
      <c r="I46" s="121"/>
      <c r="K46" s="129" t="str">
        <f>Relato!$A$239</f>
        <v>Collect (S)</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f>ROUNDUP(B46,1)</f>
        <v>0.7</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Relato!$D$262</f>
        <v>0.12</v>
      </c>
      <c r="M88" s="135">
        <f>ROUNDDOWN(L88,1)</f>
        <v>0.1</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Relato!$A$240</f>
        <v>A.PK</v>
      </c>
      <c r="B91" s="1149">
        <f>Relato!$G$240</f>
        <v>0.1</v>
      </c>
      <c r="C91" s="135">
        <f>ROUNDDOWN(B91,1)</f>
        <v>0.1</v>
      </c>
      <c r="D91" s="130"/>
      <c r="E91" s="130"/>
      <c r="F91" s="131" t="e">
        <f>ROUND((((E93-D93)/($E$3-$D$3))*($F$3-$D$3))+D93,1)</f>
        <v>#DIV/0!</v>
      </c>
      <c r="G91" s="132">
        <f>G88</f>
        <v>1.0249999999999999</v>
      </c>
      <c r="H91" s="133" t="e">
        <f>ROUND(F91*G91,1)</f>
        <v>#DIV/0!</v>
      </c>
      <c r="I91" s="121"/>
      <c r="K91" s="129" t="str">
        <f>Relato!$A$240</f>
        <v>A.PK</v>
      </c>
      <c r="L91" s="1149">
        <f>Relato!$D$263</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0.1</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0.73399999999999999</v>
      </c>
      <c r="G97" s="158"/>
      <c r="H97" s="152" t="s">
        <v>372</v>
      </c>
      <c r="K97" s="152"/>
      <c r="L97" s="153" t="s">
        <v>370</v>
      </c>
      <c r="M97" s="152" t="s">
        <v>371</v>
      </c>
      <c r="N97" s="156">
        <f>N3</f>
        <v>1</v>
      </c>
      <c r="O97" s="156">
        <f>O3</f>
        <v>2</v>
      </c>
      <c r="P97" s="157">
        <f>P3</f>
        <v>-5.3000000000000824E-3</v>
      </c>
      <c r="Q97" s="158"/>
      <c r="R97" s="152" t="s">
        <v>372</v>
      </c>
    </row>
    <row r="98" spans="1:18" ht="12.75" customHeight="1" x14ac:dyDescent="0.25">
      <c r="A98" s="159" t="str">
        <f>Relato!$A$270</f>
        <v>FWT (P)</v>
      </c>
      <c r="B98" s="1150">
        <f>Relato!$G$270</f>
        <v>0</v>
      </c>
      <c r="C98" s="135">
        <f>ROUNDDOWN(B98,1)</f>
        <v>0</v>
      </c>
      <c r="D98" s="160"/>
      <c r="E98" s="160"/>
      <c r="F98" s="161" t="e">
        <f>ROUND((((E100-D100)/($E$3-$D$3))*($F$3-$D$3))+D100,1)</f>
        <v>#DIV/0!</v>
      </c>
      <c r="G98" s="162">
        <v>1</v>
      </c>
      <c r="H98" s="163" t="e">
        <f>F98*G98</f>
        <v>#DIV/0!</v>
      </c>
      <c r="K98" s="159" t="str">
        <f>Relato!$A$270</f>
        <v>FWT (P)</v>
      </c>
      <c r="L98" s="1150">
        <f>Relato!D278</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50" t="e">
        <f>Relato!#REF!</f>
        <v>#REF!</v>
      </c>
      <c r="C101" s="135" t="e">
        <f>ROUNDDOWN(B101,1)</f>
        <v>#REF!</v>
      </c>
      <c r="D101" s="160"/>
      <c r="E101" s="160"/>
      <c r="F101" s="161" t="e">
        <f>ROUND((((E103-D103)/($E$3-$D$3))*($F$3-$D$3))+D103,1)</f>
        <v>#REF!</v>
      </c>
      <c r="G101" s="162">
        <v>1</v>
      </c>
      <c r="H101" s="163" t="e">
        <f>F101*G101</f>
        <v>#REF!</v>
      </c>
      <c r="K101" s="159" t="e">
        <f>Relato!#REF!</f>
        <v>#REF!</v>
      </c>
      <c r="L101" s="1150"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51"/>
      <c r="C102" s="116" t="e">
        <f>ROUNDUP(B101,1)</f>
        <v>#REF!</v>
      </c>
      <c r="D102" s="165"/>
      <c r="E102" s="165"/>
      <c r="F102" s="166"/>
      <c r="G102" s="166"/>
      <c r="H102" s="167"/>
      <c r="K102" s="164"/>
      <c r="L102" s="1151"/>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Relato!$A$271</f>
        <v>DWT (S)</v>
      </c>
      <c r="B107" s="1150">
        <f>Relato!$G$271</f>
        <v>0</v>
      </c>
      <c r="C107" s="135">
        <f>ROUNDDOWN(B107,1)</f>
        <v>0</v>
      </c>
      <c r="D107" s="160"/>
      <c r="E107" s="160"/>
      <c r="F107" s="161" t="e">
        <f>ROUND((((E109-D109)/($E$3-$D$3))*($F$3-$D$3))+D109,1)</f>
        <v>#DIV/0!</v>
      </c>
      <c r="G107" s="162">
        <v>1</v>
      </c>
      <c r="H107" s="163" t="e">
        <f>F107*G107</f>
        <v>#DIV/0!</v>
      </c>
      <c r="K107" s="159" t="str">
        <f>Relato!$A$271</f>
        <v>DWT (S)</v>
      </c>
      <c r="L107" s="1150">
        <f>Relato!D279</f>
        <v>0</v>
      </c>
      <c r="M107" s="135">
        <f>ROUNDDOWN(L107,1)</f>
        <v>0</v>
      </c>
      <c r="N107" s="160"/>
      <c r="O107" s="160"/>
      <c r="P107" s="161" t="e">
        <f>ROUND((((O109-N109)/($E$3-$D$3))*($F$3-$D$3))+N109,1)</f>
        <v>#DIV/0!</v>
      </c>
      <c r="Q107" s="162">
        <v>1</v>
      </c>
      <c r="R107" s="163" t="e">
        <f>P107*Q107</f>
        <v>#DIV/0!</v>
      </c>
    </row>
    <row r="108" spans="1:18" ht="12.75" customHeight="1" x14ac:dyDescent="0.25">
      <c r="A108" s="174"/>
      <c r="B108" s="1151"/>
      <c r="C108" s="116">
        <f>ROUNDUP(B107,1)</f>
        <v>0</v>
      </c>
      <c r="D108" s="165"/>
      <c r="E108" s="165"/>
      <c r="F108" s="166"/>
      <c r="G108" s="166"/>
      <c r="H108" s="167"/>
      <c r="K108" s="174"/>
      <c r="L108" s="115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#DIV/0!</v>
      </c>
      <c r="G110" s="179" t="s">
        <v>374</v>
      </c>
      <c r="H110" s="176"/>
      <c r="K110" s="176"/>
      <c r="L110" s="176"/>
      <c r="M110" s="176"/>
      <c r="N110" s="176"/>
      <c r="O110" s="177" t="s">
        <v>81</v>
      </c>
      <c r="P110" s="178" t="e">
        <f>SUM(P98:P109)</f>
        <v>#DIV/0!</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468</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469</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472</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473</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474</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52" t="s">
        <v>497</v>
      </c>
      <c r="B78" s="1152"/>
      <c r="C78" s="1152"/>
      <c r="D78" s="1152"/>
      <c r="E78" s="1152"/>
      <c r="F78" s="1152"/>
      <c r="G78" s="1152"/>
      <c r="H78" s="1152"/>
      <c r="I78" s="1152"/>
      <c r="J78" s="1152"/>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4" t="s">
        <v>504</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505</v>
      </c>
      <c r="B102" s="1153"/>
      <c r="C102" s="1153"/>
      <c r="D102" s="1153"/>
      <c r="E102" s="1153"/>
      <c r="F102" s="1153"/>
      <c r="G102" s="1153"/>
      <c r="H102" s="1153"/>
      <c r="I102" s="1153"/>
      <c r="J102" s="1153"/>
      <c r="K102" s="1153"/>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8" t="s">
        <v>508</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468</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509</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64.418000000000006</v>
      </c>
      <c r="J10" s="217"/>
      <c r="L10" s="20" t="s">
        <v>513</v>
      </c>
      <c r="M10" s="225">
        <f>Draft!AB$47</f>
        <v>71.099999999999994</v>
      </c>
    </row>
    <row r="11" spans="1:16" ht="15" x14ac:dyDescent="0.25">
      <c r="A11" s="222">
        <f t="shared" si="0"/>
        <v>0.745</v>
      </c>
      <c r="B11" s="221">
        <v>0.67</v>
      </c>
      <c r="D11" s="20" t="s">
        <v>514</v>
      </c>
      <c r="E11" s="225">
        <f>Draft!D$11</f>
        <v>226</v>
      </c>
      <c r="G11" s="224" t="s">
        <v>515</v>
      </c>
      <c r="H11" s="224">
        <f>E10*97.545/(E11*E12)</f>
        <v>0.86240005956432952</v>
      </c>
      <c r="J11" s="217"/>
      <c r="L11" s="20" t="s">
        <v>514</v>
      </c>
      <c r="M11" s="225">
        <f>Draft!V$11</f>
        <v>226</v>
      </c>
      <c r="O11" s="224" t="s">
        <v>515</v>
      </c>
      <c r="P11" s="224">
        <f>M10*97.545/(M11*M12)</f>
        <v>0.95185575825116919</v>
      </c>
    </row>
    <row r="12" spans="1:16" ht="15" x14ac:dyDescent="0.25">
      <c r="A12" s="222">
        <f t="shared" si="0"/>
        <v>0.74</v>
      </c>
      <c r="B12" s="221">
        <v>0.68</v>
      </c>
      <c r="D12" s="20" t="s">
        <v>516</v>
      </c>
      <c r="E12" s="225">
        <f>Draft!L$11</f>
        <v>32.24</v>
      </c>
      <c r="J12" s="217"/>
      <c r="L12" s="20" t="s">
        <v>516</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6.2012999999999998</v>
      </c>
      <c r="J18" s="217"/>
      <c r="L18" s="20" t="s">
        <v>519</v>
      </c>
      <c r="M18" s="20">
        <f>(Draft!$AH$25+Draft!$AH$27)/2</f>
        <v>13.297450000000001</v>
      </c>
    </row>
    <row r="19" spans="1:16" ht="19.5" thickBot="1" x14ac:dyDescent="0.35">
      <c r="A19" s="222">
        <f t="shared" si="0"/>
        <v>0.70499999999999996</v>
      </c>
      <c r="B19" s="226">
        <v>0.75</v>
      </c>
      <c r="D19" s="227" t="s">
        <v>520</v>
      </c>
      <c r="E19" s="221">
        <f>(($H$11-$B$4)*(0.15)/(0.3))-0.78</f>
        <v>-0.64879997021783531</v>
      </c>
      <c r="G19" s="228" t="s">
        <v>521</v>
      </c>
      <c r="H19" s="229">
        <f>$E$18+($E$19*$E$20)</f>
        <v>6.1647725616767355</v>
      </c>
      <c r="J19" s="217"/>
      <c r="L19" s="227" t="s">
        <v>520</v>
      </c>
      <c r="M19" s="221">
        <f>(($P$11-$B$4)*(0.15)/(0.3))-0.78</f>
        <v>-0.60407212087441542</v>
      </c>
      <c r="O19" s="228" t="s">
        <v>521</v>
      </c>
      <c r="P19" s="229">
        <f>$M$18+($M$19*$M$20)</f>
        <v>13.353356874786929</v>
      </c>
    </row>
    <row r="20" spans="1:16" ht="15" x14ac:dyDescent="0.25">
      <c r="A20" s="222">
        <f t="shared" si="0"/>
        <v>0.7</v>
      </c>
      <c r="B20" s="226">
        <v>0.76</v>
      </c>
      <c r="D20" s="20" t="s">
        <v>522</v>
      </c>
      <c r="E20" s="20">
        <f>((Draft!$P$25+Draft!$P$27))/2-Draft!$P$26</f>
        <v>5.6300000000000239E-2</v>
      </c>
      <c r="J20" s="217"/>
      <c r="L20" s="20" t="s">
        <v>522</v>
      </c>
      <c r="M20" s="20">
        <f>(Draft!$AH$25+Draft!$AH$27)/2-(Draft!$AH$26)</f>
        <v>-9.2549999999999244E-2</v>
      </c>
    </row>
    <row r="21" spans="1:16" ht="15" x14ac:dyDescent="0.25">
      <c r="A21" s="222">
        <f t="shared" si="0"/>
        <v>0.69499999999999995</v>
      </c>
      <c r="B21" s="226">
        <v>0.77</v>
      </c>
      <c r="J21" s="217"/>
    </row>
    <row r="22" spans="1:16" ht="15" x14ac:dyDescent="0.25">
      <c r="A22" s="222">
        <f t="shared" si="0"/>
        <v>0.69</v>
      </c>
      <c r="B22" s="226">
        <v>0.78</v>
      </c>
      <c r="D22" s="1160" t="s">
        <v>588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386</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387</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170</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640</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44</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641</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642</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643</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view="pageBreakPreview" topLeftCell="A214" zoomScaleNormal="93" zoomScaleSheetLayoutView="100" workbookViewId="0">
      <selection activeCell="L234" sqref="L23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5" t="str">
        <f>_xlfn.CONCAT("M/V"," """,CAPA!B8,""" ")</f>
        <v xml:space="preserve">M/V "Stella Navis"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PGUA/DS/060/26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81" t="s">
        <v>19</v>
      </c>
    </row>
    <row r="10" spans="1:10" ht="19.5" x14ac:dyDescent="0.4">
      <c r="A10" s="260" t="s">
        <v>20</v>
      </c>
      <c r="B10" s="259"/>
      <c r="C10" s="259"/>
      <c r="D10" s="259"/>
      <c r="E10" s="259"/>
      <c r="F10" s="259"/>
      <c r="G10" s="259"/>
      <c r="H10" s="261"/>
      <c r="I10" s="581" t="s">
        <v>21</v>
      </c>
    </row>
    <row r="11" spans="1:10" ht="19.5" x14ac:dyDescent="0.4">
      <c r="A11" s="260" t="s">
        <v>22</v>
      </c>
      <c r="B11" s="259"/>
      <c r="C11" s="259"/>
      <c r="D11" s="259"/>
      <c r="E11" s="259"/>
      <c r="F11" s="259"/>
      <c r="G11" s="259"/>
      <c r="H11" s="261"/>
      <c r="I11" s="581" t="s">
        <v>21</v>
      </c>
    </row>
    <row r="12" spans="1:10" ht="19.5" x14ac:dyDescent="0.4">
      <c r="A12" s="262" t="s">
        <v>700</v>
      </c>
      <c r="B12" s="259"/>
      <c r="C12" s="259"/>
      <c r="D12" s="259"/>
      <c r="E12" s="259"/>
      <c r="F12" s="259"/>
      <c r="G12" s="259"/>
      <c r="H12" s="261"/>
      <c r="I12" s="581" t="s">
        <v>21</v>
      </c>
    </row>
    <row r="13" spans="1:10" ht="19.5" x14ac:dyDescent="0.4">
      <c r="A13" s="260" t="s">
        <v>23</v>
      </c>
      <c r="B13" s="259"/>
      <c r="C13" s="259"/>
      <c r="D13" s="259"/>
      <c r="E13" s="259"/>
      <c r="F13" s="259"/>
      <c r="G13" s="259"/>
      <c r="H13" s="261"/>
      <c r="I13" s="581" t="s">
        <v>24</v>
      </c>
    </row>
    <row r="14" spans="1:10" ht="19.5" x14ac:dyDescent="0.4">
      <c r="A14" s="260" t="s">
        <v>704</v>
      </c>
      <c r="B14" s="259"/>
      <c r="C14" s="259"/>
      <c r="D14" s="259"/>
      <c r="E14" s="259"/>
      <c r="F14" s="259"/>
      <c r="G14" s="259"/>
      <c r="H14" s="261"/>
      <c r="I14" s="581" t="s">
        <v>24</v>
      </c>
    </row>
    <row r="15" spans="1:10" ht="19.5" x14ac:dyDescent="0.4">
      <c r="A15" s="260" t="s">
        <v>705</v>
      </c>
      <c r="B15" s="259"/>
      <c r="C15" s="259"/>
      <c r="D15" s="259"/>
      <c r="E15" s="259"/>
      <c r="F15" s="259"/>
      <c r="G15" s="259"/>
      <c r="H15" s="261"/>
      <c r="I15" s="581" t="s">
        <v>24</v>
      </c>
    </row>
    <row r="16" spans="1:10" ht="19.5" x14ac:dyDescent="0.4">
      <c r="A16" s="260" t="s">
        <v>25</v>
      </c>
      <c r="B16" s="259"/>
      <c r="C16" s="259"/>
      <c r="D16" s="259"/>
      <c r="E16" s="259"/>
      <c r="F16" s="259"/>
      <c r="G16" s="259"/>
      <c r="H16" s="261"/>
      <c r="I16" s="581" t="s">
        <v>24</v>
      </c>
    </row>
    <row r="17" spans="1:16" ht="19.5" x14ac:dyDescent="0.4">
      <c r="A17" s="260" t="s">
        <v>696</v>
      </c>
      <c r="B17" s="259"/>
      <c r="C17" s="259"/>
      <c r="D17" s="259"/>
      <c r="E17" s="259"/>
      <c r="F17" s="259"/>
      <c r="G17" s="259"/>
      <c r="H17" s="261"/>
      <c r="I17" s="581" t="s">
        <v>26</v>
      </c>
    </row>
    <row r="18" spans="1:16" ht="19.5" x14ac:dyDescent="0.4">
      <c r="A18" s="260" t="s">
        <v>27</v>
      </c>
      <c r="B18" s="259"/>
      <c r="C18" s="259"/>
      <c r="D18" s="259"/>
      <c r="E18" s="259"/>
      <c r="F18" s="259"/>
      <c r="G18" s="259"/>
      <c r="H18" s="261"/>
      <c r="I18" s="581" t="s">
        <v>28</v>
      </c>
    </row>
    <row r="19" spans="1:16" ht="20.25" x14ac:dyDescent="0.4">
      <c r="A19" s="260" t="s">
        <v>29</v>
      </c>
      <c r="B19" s="259"/>
      <c r="C19" s="259"/>
      <c r="D19" s="259"/>
      <c r="E19" s="259"/>
      <c r="F19" s="259"/>
      <c r="G19" s="259"/>
      <c r="H19" s="261"/>
      <c r="I19" s="581">
        <v>6</v>
      </c>
      <c r="L19" s="432" t="s">
        <v>584</v>
      </c>
    </row>
    <row r="20" spans="1:16" ht="19.5" x14ac:dyDescent="0.4">
      <c r="A20" s="260" t="s">
        <v>30</v>
      </c>
      <c r="B20" s="259"/>
      <c r="C20" s="259"/>
      <c r="D20" s="259"/>
      <c r="E20" s="259"/>
      <c r="F20" s="259"/>
      <c r="G20" s="259"/>
      <c r="H20" s="261"/>
      <c r="I20" s="581">
        <f>I19+1</f>
        <v>7</v>
      </c>
    </row>
    <row r="21" spans="1:16" ht="19.5" x14ac:dyDescent="0.4">
      <c r="A21" s="260" t="s">
        <v>31</v>
      </c>
      <c r="B21" s="259"/>
      <c r="C21" s="259"/>
      <c r="D21" s="259"/>
      <c r="E21" s="259"/>
      <c r="F21" s="259"/>
      <c r="G21" s="259"/>
      <c r="H21" s="261"/>
      <c r="I21" s="581">
        <f>$I$20</f>
        <v>7</v>
      </c>
    </row>
    <row r="22" spans="1:16" ht="19.5" x14ac:dyDescent="0.4">
      <c r="A22" s="260" t="s">
        <v>697</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623</v>
      </c>
      <c r="B33" s="260"/>
      <c r="C33" s="260"/>
      <c r="D33" s="260"/>
      <c r="E33" s="260"/>
      <c r="F33" s="260"/>
      <c r="G33" s="260"/>
      <c r="H33" s="260"/>
      <c r="I33" s="260"/>
      <c r="L33" s="461"/>
      <c r="M33" s="461"/>
      <c r="N33" s="461"/>
      <c r="O33" s="461"/>
      <c r="P33" s="461"/>
    </row>
    <row r="34" spans="1:16" ht="23.25" x14ac:dyDescent="0.35">
      <c r="A34" s="857" t="str">
        <f>$A$1</f>
        <v xml:space="preserve">M/V "Stella Navis" </v>
      </c>
      <c r="B34" s="857"/>
      <c r="C34" s="857"/>
      <c r="D34" s="857"/>
      <c r="E34" s="857"/>
      <c r="F34" s="857"/>
      <c r="G34" s="857"/>
      <c r="H34" s="857"/>
      <c r="I34" s="857"/>
      <c r="J34" s="857"/>
      <c r="L34" s="461"/>
      <c r="M34" s="461"/>
      <c r="N34" s="461"/>
      <c r="O34" s="461"/>
      <c r="P34" s="461"/>
    </row>
    <row r="35" spans="1:16" ht="15.75" x14ac:dyDescent="0.25">
      <c r="A35" s="851" t="str">
        <f>$G$3</f>
        <v>PGUA/DS/060/26</v>
      </c>
      <c r="B35" s="851"/>
      <c r="C35" s="851"/>
      <c r="D35" s="851"/>
      <c r="E35" s="851"/>
      <c r="F35" s="851"/>
      <c r="G35" s="851"/>
      <c r="H35" s="851"/>
      <c r="I35" s="851"/>
      <c r="J35" s="851"/>
      <c r="L35" s="461"/>
      <c r="M35" s="461"/>
      <c r="N35" s="461"/>
      <c r="O35" s="461"/>
      <c r="P35" s="461"/>
    </row>
    <row r="36" spans="1:16" ht="15.75" x14ac:dyDescent="0.25">
      <c r="A36" s="851" t="str">
        <f>A3</f>
        <v>DRAUGHT SURVEY REPORT</v>
      </c>
      <c r="B36" s="851"/>
      <c r="C36" s="851"/>
      <c r="D36" s="851"/>
      <c r="E36" s="851"/>
      <c r="F36" s="851"/>
      <c r="G36" s="851"/>
      <c r="H36" s="851"/>
      <c r="I36" s="851"/>
      <c r="J36" s="85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8" t="s">
        <v>41</v>
      </c>
      <c r="B38" s="858"/>
      <c r="C38" s="858"/>
      <c r="D38" s="858"/>
      <c r="E38" s="858"/>
      <c r="F38" s="858"/>
      <c r="G38" s="858"/>
      <c r="H38" s="858"/>
      <c r="I38" s="858"/>
      <c r="J38" s="858"/>
      <c r="L38" s="461"/>
      <c r="M38" s="461"/>
      <c r="N38" s="461"/>
      <c r="O38" s="461"/>
      <c r="P38" s="461"/>
    </row>
    <row r="39" spans="1:16" ht="15" customHeight="1" x14ac:dyDescent="0.25">
      <c r="A39" s="858"/>
      <c r="B39" s="858"/>
      <c r="C39" s="858"/>
      <c r="D39" s="858"/>
      <c r="E39" s="858"/>
      <c r="F39" s="858"/>
      <c r="G39" s="858"/>
      <c r="H39" s="858"/>
      <c r="I39" s="858"/>
      <c r="J39" s="858"/>
      <c r="L39" s="461"/>
      <c r="M39" s="461"/>
      <c r="N39" s="461"/>
      <c r="O39" s="461"/>
      <c r="P39" s="461"/>
    </row>
    <row r="40" spans="1:16" ht="54" x14ac:dyDescent="0.25">
      <c r="A40" s="1172" t="str">
        <f>_xlfn.CONCAT(CAPA!$E$46:$E$55,".")</f>
        <v>Messrs. Cotriguaçu Cooperativa Central Regional Iguaçu Ltda., Messrs. Interalli Administração e Participações S.A.,  Messrs. Rocha Terminais Portuários e Logística .</v>
      </c>
      <c r="B40" s="1172"/>
      <c r="C40" s="1172"/>
      <c r="D40" s="1172"/>
      <c r="E40" s="1172"/>
      <c r="F40" s="1172"/>
      <c r="G40" s="1172"/>
      <c r="H40" s="1172"/>
      <c r="I40" s="1172"/>
      <c r="J40" s="1172"/>
      <c r="L40" s="632"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861" t="str">
        <f>$L$41</f>
        <v>Attend on board the referenced vessel on  February 26th, 2026 from 9:00 until 11:30 hours, whilst she was anchored at inner roads area 9,2, and on  March 2nd, 2026 from 19:50 until 22:00 hours, whilst she was berthed alongside wharf 213 at port of Paranaguá, Br - Brazil, with views to perform the initial and final draft surveys, ascertaining the following figures:</v>
      </c>
      <c r="B41" s="861"/>
      <c r="C41" s="861"/>
      <c r="D41" s="861"/>
      <c r="E41" s="861"/>
      <c r="F41" s="861"/>
      <c r="G41" s="861"/>
      <c r="H41" s="861"/>
      <c r="I41" s="861"/>
      <c r="J41" s="86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26th, 2026 from 9:00 until 11:30 hours, whilst she was anchored at inner roads area 9,2, and on  March 2nd, 2026 from 19:50 until 22:00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"Stella Navis" </v>
      </c>
      <c r="B48" s="13"/>
      <c r="C48" s="13"/>
      <c r="D48" s="13"/>
      <c r="E48" s="13"/>
      <c r="F48" s="14" t="str">
        <f>_xlfn.CONCAT("Mr. ",CAPA!$B$30,", ",$L$48)</f>
        <v>Mr. Nguyen Thanh Luat, the Master</v>
      </c>
      <c r="H48" s="14"/>
      <c r="I48" s="14"/>
      <c r="J48" s="13"/>
      <c r="K48" s="13"/>
      <c r="L48" s="462" t="s">
        <v>561</v>
      </c>
      <c r="M48" s="462"/>
      <c r="N48" s="461"/>
      <c r="O48" s="461"/>
      <c r="P48" s="461"/>
    </row>
    <row r="49" spans="1:16" ht="15.75" x14ac:dyDescent="0.25">
      <c r="A49" s="13"/>
      <c r="B49" s="13"/>
      <c r="C49" s="13"/>
      <c r="D49" s="13"/>
      <c r="E49" s="13"/>
      <c r="F49" s="14" t="str">
        <f>_xlfn.CONCAT("Mr. ",CAPA!$B$31,", ",$L$49)</f>
        <v>Mr. Trang Quang Duy,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Pham Ngoc Bach, the Chief Engineer</v>
      </c>
      <c r="H50" s="13"/>
      <c r="I50" s="13"/>
      <c r="J50" s="13"/>
      <c r="K50" s="13"/>
      <c r="L50" s="463" t="s">
        <v>563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44</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43</v>
      </c>
      <c r="B59" s="5"/>
      <c r="C59" s="5"/>
      <c r="D59" s="5"/>
      <c r="E59" s="5"/>
      <c r="F59" s="285" t="str">
        <f>Clients!$D$182</f>
        <v>Mr. Willian Cordeiro</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45</v>
      </c>
      <c r="B62" s="5"/>
      <c r="C62" s="5"/>
      <c r="D62" s="5"/>
      <c r="E62" s="5"/>
      <c r="F62" s="442" t="s">
        <v>778</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46</v>
      </c>
      <c r="B65" s="13"/>
      <c r="C65" s="13"/>
      <c r="D65" s="13"/>
      <c r="E65" s="13"/>
      <c r="F65" s="266" t="s">
        <v>574</v>
      </c>
      <c r="H65" s="266"/>
      <c r="I65" s="13"/>
      <c r="J65" s="443"/>
      <c r="L65" s="461"/>
      <c r="M65" s="461"/>
      <c r="N65" s="461"/>
      <c r="O65" s="461"/>
      <c r="P65" s="461"/>
    </row>
    <row r="66" spans="1:16" ht="15.75" x14ac:dyDescent="0.25">
      <c r="A66" s="266" t="s">
        <v>47</v>
      </c>
      <c r="B66" s="13"/>
      <c r="C66" s="13"/>
      <c r="D66" s="13"/>
      <c r="E66" s="13"/>
      <c r="F66" s="13" t="s">
        <v>48</v>
      </c>
      <c r="H66" s="13"/>
      <c r="I66" s="13"/>
      <c r="J66" s="13"/>
      <c r="L66" s="461"/>
      <c r="M66" s="461"/>
      <c r="N66" s="461"/>
      <c r="O66" s="461"/>
      <c r="P66" s="461"/>
    </row>
    <row r="67" spans="1:16" ht="15.75" x14ac:dyDescent="0.25">
      <c r="A67" s="13"/>
      <c r="B67" s="13"/>
      <c r="C67" s="13"/>
      <c r="D67" s="13"/>
      <c r="E67" s="13"/>
      <c r="F67" s="859" t="str">
        <f>_xlfn.CONCAT("Mr. ",CAPA!$A$97)</f>
        <v>Mr. Haroldo Fernandes Alves Junior</v>
      </c>
      <c r="G67" s="859"/>
      <c r="H67" s="859"/>
      <c r="I67" s="859"/>
      <c r="J67" s="859"/>
      <c r="L67" s="461"/>
      <c r="M67" s="461"/>
      <c r="N67" s="461"/>
      <c r="O67" s="461"/>
      <c r="P67" s="461"/>
    </row>
    <row r="68" spans="1:16" ht="15.75" x14ac:dyDescent="0.25">
      <c r="A68" s="267" t="s">
        <v>49</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50</v>
      </c>
      <c r="B70" s="13"/>
      <c r="C70" s="13"/>
      <c r="D70" s="13"/>
      <c r="E70" s="860" t="str">
        <f>CAPA!$B$8</f>
        <v>Stella Navis</v>
      </c>
      <c r="F70" s="860"/>
      <c r="G70" s="860"/>
      <c r="H70" s="860"/>
      <c r="I70" s="860"/>
      <c r="J70" s="860"/>
      <c r="L70" s="461"/>
      <c r="M70" s="461"/>
      <c r="N70" s="461"/>
      <c r="O70" s="461"/>
      <c r="P70" s="461"/>
    </row>
    <row r="71" spans="1:16" ht="15.75" x14ac:dyDescent="0.25">
      <c r="A71" s="266" t="s">
        <v>51</v>
      </c>
      <c r="B71" s="13"/>
      <c r="C71" s="13"/>
      <c r="D71" s="13"/>
      <c r="E71" s="860" t="str">
        <f>CAPA!$B$12</f>
        <v>V7A4546</v>
      </c>
      <c r="F71" s="860"/>
      <c r="G71" s="5"/>
      <c r="H71" s="5"/>
      <c r="I71" s="13"/>
      <c r="L71" s="461"/>
      <c r="M71" s="461"/>
      <c r="N71" s="461"/>
      <c r="O71" s="461"/>
      <c r="P71" s="461"/>
    </row>
    <row r="72" spans="1:16" ht="15.75" x14ac:dyDescent="0.25">
      <c r="A72" s="266" t="s">
        <v>52</v>
      </c>
      <c r="B72" s="13"/>
      <c r="C72" s="13"/>
      <c r="D72" s="13"/>
      <c r="E72" s="860" t="str">
        <f>CAPA!$B$13</f>
        <v>Majuro</v>
      </c>
      <c r="F72" s="860"/>
      <c r="G72" s="860"/>
      <c r="H72" s="5"/>
      <c r="I72" s="13"/>
      <c r="L72" s="461"/>
      <c r="M72" s="461"/>
      <c r="N72" s="461"/>
      <c r="O72" s="461"/>
      <c r="P72" s="461"/>
    </row>
    <row r="73" spans="1:16" ht="15.75" x14ac:dyDescent="0.25">
      <c r="A73" s="266" t="s">
        <v>53</v>
      </c>
      <c r="B73" s="13"/>
      <c r="C73" s="13"/>
      <c r="D73" s="13"/>
      <c r="E73" s="860" t="str">
        <f>CAPA!$B$14</f>
        <v>Marshallese</v>
      </c>
      <c r="F73" s="860"/>
      <c r="G73" s="860"/>
      <c r="H73" s="860"/>
      <c r="I73" s="860"/>
      <c r="J73" s="860"/>
      <c r="L73" s="461"/>
      <c r="M73" s="461"/>
      <c r="N73" s="461"/>
      <c r="O73" s="461"/>
      <c r="P73" s="461"/>
    </row>
    <row r="74" spans="1:16" ht="15.75" x14ac:dyDescent="0.25">
      <c r="A74" s="266" t="s">
        <v>54</v>
      </c>
      <c r="B74" s="13"/>
      <c r="C74" s="13"/>
      <c r="D74" s="13"/>
      <c r="E74" s="860">
        <f>CAPA!$B$10</f>
        <v>9909039</v>
      </c>
      <c r="F74" s="860"/>
      <c r="G74" s="5"/>
      <c r="H74" s="5"/>
      <c r="I74" s="13"/>
      <c r="L74" s="461"/>
      <c r="M74" s="461"/>
      <c r="N74" s="461"/>
      <c r="O74" s="461"/>
      <c r="P74" s="461"/>
    </row>
    <row r="75" spans="1:16" ht="15.75" x14ac:dyDescent="0.25">
      <c r="A75" s="266" t="s">
        <v>55</v>
      </c>
      <c r="B75" s="13"/>
      <c r="C75" s="13"/>
      <c r="D75" s="13"/>
      <c r="E75" s="268">
        <f>CAPA!$B$15</f>
        <v>228.9</v>
      </c>
      <c r="F75" s="268"/>
      <c r="G75" s="5"/>
      <c r="H75" s="5"/>
      <c r="I75" s="13"/>
      <c r="L75" s="461"/>
      <c r="M75" s="461"/>
      <c r="N75" s="461"/>
      <c r="O75" s="461"/>
      <c r="P75" s="461"/>
    </row>
    <row r="76" spans="1:16" ht="15.75" x14ac:dyDescent="0.25">
      <c r="A76" s="266" t="s">
        <v>56</v>
      </c>
      <c r="B76" s="13"/>
      <c r="C76" s="13"/>
      <c r="D76" s="13"/>
      <c r="E76" s="268">
        <f>CAPA!$B$16</f>
        <v>226</v>
      </c>
      <c r="F76" s="268"/>
      <c r="G76" s="5"/>
      <c r="H76" s="5"/>
      <c r="I76" s="13"/>
      <c r="L76" s="461"/>
      <c r="M76" s="461"/>
      <c r="N76" s="461"/>
      <c r="O76" s="461"/>
      <c r="P76" s="461"/>
    </row>
    <row r="77" spans="1:16" ht="15.75" x14ac:dyDescent="0.25">
      <c r="A77" s="266" t="s">
        <v>57</v>
      </c>
      <c r="B77" s="13"/>
      <c r="C77" s="13"/>
      <c r="D77" s="13"/>
      <c r="E77" s="268">
        <f>CAPA!$B$17</f>
        <v>20.2</v>
      </c>
      <c r="F77" s="268"/>
      <c r="G77" s="5"/>
      <c r="H77" s="5"/>
      <c r="I77" s="13"/>
      <c r="L77" s="461"/>
      <c r="M77" s="461"/>
      <c r="N77" s="461"/>
      <c r="O77" s="461"/>
      <c r="P77" s="461"/>
    </row>
    <row r="78" spans="1:16" ht="15.75" x14ac:dyDescent="0.25">
      <c r="A78" s="266" t="s">
        <v>58</v>
      </c>
      <c r="B78" s="13"/>
      <c r="C78" s="13"/>
      <c r="D78" s="13"/>
      <c r="E78" s="268">
        <f>CAPA!$B$18</f>
        <v>32.24</v>
      </c>
      <c r="F78" s="268"/>
      <c r="G78" s="5"/>
      <c r="H78" s="5"/>
      <c r="I78" s="13"/>
      <c r="L78" s="461"/>
      <c r="M78" s="461"/>
      <c r="N78" s="461"/>
      <c r="O78" s="461"/>
      <c r="P78" s="461"/>
    </row>
    <row r="79" spans="1:16" ht="15.75" x14ac:dyDescent="0.25">
      <c r="A79" s="266" t="s">
        <v>59</v>
      </c>
      <c r="B79" s="13"/>
      <c r="C79" s="13"/>
      <c r="D79" s="13"/>
      <c r="E79" s="853">
        <f>CAPA!$B$20</f>
        <v>43987</v>
      </c>
      <c r="F79" s="853"/>
      <c r="G79" s="853"/>
      <c r="H79" s="853"/>
      <c r="I79" s="853"/>
      <c r="J79" s="853"/>
      <c r="L79" s="461"/>
      <c r="M79" s="461"/>
      <c r="N79" s="461"/>
      <c r="O79" s="461"/>
      <c r="P79" s="461"/>
    </row>
    <row r="80" spans="1:16" ht="15.75" x14ac:dyDescent="0.25">
      <c r="A80" s="266" t="s">
        <v>60</v>
      </c>
      <c r="B80" s="13"/>
      <c r="C80" s="13"/>
      <c r="D80" s="13"/>
      <c r="E80" s="853">
        <f>CAPA!$B$21</f>
        <v>27425</v>
      </c>
      <c r="F80" s="853"/>
      <c r="G80" s="853"/>
      <c r="H80" s="853"/>
      <c r="I80" s="853"/>
      <c r="J80" s="853"/>
      <c r="L80" s="461"/>
      <c r="M80" s="461"/>
      <c r="N80" s="461"/>
      <c r="O80" s="461"/>
      <c r="P80" s="461"/>
    </row>
    <row r="81" spans="1:16" ht="83.25" customHeight="1" x14ac:dyDescent="0.25">
      <c r="A81" s="440" t="s">
        <v>61</v>
      </c>
      <c r="B81" s="13"/>
      <c r="C81" s="13"/>
      <c r="D81" s="13"/>
      <c r="E81" s="854" t="str">
        <f>CAPA!$B$23</f>
        <v>NKK: NS(CSR, BC-A, BC-XII, GRAB 30, PSPC-WBT, NC, 1C) (ESP) (HCM-GBS) (IWS) (PSCM) (IHM) MNS, Strengthened for heavy cargoloading where hold nos. 2,4 &amp; 6 may be empty, CHG, MPP, LSA, RCF, M0, AFS, BWM</v>
      </c>
      <c r="F81" s="854"/>
      <c r="G81" s="854"/>
      <c r="H81" s="854"/>
      <c r="I81" s="854"/>
      <c r="J81" s="854"/>
      <c r="L81" s="461"/>
      <c r="M81" s="464" t="str">
        <f>CAPA!$B$23</f>
        <v>NKK: NS(CSR, BC-A, BC-XII, GRAB 30, PSPC-WBT, NC, 1C) (ESP) (HCM-GBS) (IWS) (PSCM) (IHM) MNS, Strengthened for heavy cargoloading where hold nos. 2,4 &amp; 6 may be empty, CHG, MPP, LSA, RCF, M0, AFS, BWM</v>
      </c>
      <c r="N81" s="461"/>
      <c r="O81" s="461"/>
      <c r="P81" s="461"/>
    </row>
    <row r="82" spans="1:16" ht="15.75" x14ac:dyDescent="0.25">
      <c r="A82" s="266" t="s">
        <v>62</v>
      </c>
      <c r="B82" s="13"/>
      <c r="C82" s="13"/>
      <c r="D82" s="13"/>
      <c r="E82" s="853">
        <f>CAPA!$B$19</f>
        <v>13441</v>
      </c>
      <c r="F82" s="853"/>
      <c r="G82" s="5"/>
      <c r="H82" s="5"/>
      <c r="I82" s="13"/>
      <c r="L82" s="461"/>
      <c r="M82" s="465"/>
      <c r="N82" s="461"/>
      <c r="O82" s="461"/>
      <c r="P82" s="461"/>
    </row>
    <row r="83" spans="1:16" ht="15.75" x14ac:dyDescent="0.25">
      <c r="A83" s="266" t="s">
        <v>63</v>
      </c>
      <c r="B83" s="13"/>
      <c r="C83" s="13"/>
      <c r="D83" s="13"/>
      <c r="E83" s="853" t="str">
        <f>_xlfn.CONCAT(TEXT($I$118,"#,##0.0")," on ",TEXT(F118,"#,##0.00")," m")</f>
        <v>81,965.0 on 14.52 m</v>
      </c>
      <c r="F83" s="853"/>
      <c r="G83" s="853"/>
      <c r="H83" s="853"/>
      <c r="I83" s="853"/>
      <c r="J83" s="853"/>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64</v>
      </c>
      <c r="B85" s="13"/>
      <c r="C85" s="13"/>
      <c r="D85" s="13"/>
      <c r="E85" s="14" t="str">
        <f>CAPA!$B$11</f>
        <v>Nantong Cosco KHI Shipbuilding Engineering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65</v>
      </c>
      <c r="B87" s="13"/>
      <c r="C87" s="13"/>
      <c r="D87" s="13"/>
      <c r="E87" s="859" t="str">
        <f>CAPA!$B$24</f>
        <v>Far Wind Marshall S.A. - Marshall Islands</v>
      </c>
      <c r="F87" s="859"/>
      <c r="G87" s="859"/>
      <c r="H87" s="859"/>
      <c r="I87" s="859"/>
      <c r="J87" s="859"/>
      <c r="L87" s="461"/>
      <c r="M87" s="461"/>
      <c r="N87" s="461"/>
      <c r="O87" s="461"/>
      <c r="P87" s="461"/>
    </row>
    <row r="88" spans="1:16" ht="15.75" x14ac:dyDescent="0.25">
      <c r="A88" s="266" t="s">
        <v>66</v>
      </c>
      <c r="B88" s="13"/>
      <c r="C88" s="13"/>
      <c r="D88" s="13"/>
      <c r="E88" s="859" t="str">
        <f>CAPA!$B$25</f>
        <v>B&amp;S Enterprise Co., Ltd.</v>
      </c>
      <c r="F88" s="859"/>
      <c r="G88" s="859"/>
      <c r="H88" s="859"/>
      <c r="I88" s="859"/>
      <c r="J88" s="859"/>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22</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67</v>
      </c>
      <c r="B92" s="850" t="s">
        <v>68</v>
      </c>
      <c r="C92" s="850"/>
      <c r="D92" s="852" t="s">
        <v>69</v>
      </c>
      <c r="E92" s="852"/>
      <c r="F92" s="851" t="s">
        <v>70</v>
      </c>
      <c r="G92" s="851"/>
      <c r="H92" s="851"/>
      <c r="I92" s="851"/>
      <c r="J92" s="270" t="s">
        <v>71</v>
      </c>
      <c r="L92" s="461"/>
      <c r="M92" s="461"/>
      <c r="N92" s="461"/>
      <c r="O92" s="461"/>
      <c r="P92" s="461"/>
    </row>
    <row r="93" spans="1:16" ht="15.75" x14ac:dyDescent="0.25">
      <c r="A93" s="3"/>
      <c r="B93" s="850" t="s">
        <v>72</v>
      </c>
      <c r="C93" s="850"/>
      <c r="D93" s="271"/>
      <c r="F93" s="851" t="s">
        <v>73</v>
      </c>
      <c r="G93" s="851"/>
      <c r="H93" s="851"/>
      <c r="I93" s="851"/>
      <c r="J93" s="13"/>
      <c r="L93" s="461"/>
      <c r="M93" s="461"/>
      <c r="N93" s="461"/>
      <c r="O93" s="461"/>
      <c r="P93" s="461"/>
    </row>
    <row r="94" spans="1:16" ht="15.75" x14ac:dyDescent="0.25">
      <c r="A94" s="265" t="s">
        <v>74</v>
      </c>
      <c r="B94" s="844">
        <f>DCP!$B$28</f>
        <v>450645</v>
      </c>
      <c r="C94" s="844"/>
      <c r="D94" s="845" t="str">
        <f>DCP!$B$15</f>
        <v>SOYBEANS</v>
      </c>
      <c r="E94" s="845"/>
      <c r="F94" s="846">
        <f>DCP!$B$27</f>
        <v>9364.9549999999999</v>
      </c>
      <c r="G94" s="846"/>
      <c r="H94" s="846"/>
      <c r="I94" s="846"/>
      <c r="J94" s="272">
        <f>IF(DCP!$B$30="FULL",DCP!$B$29,"SLACK")</f>
        <v>48.120359361043377</v>
      </c>
      <c r="L94" s="461"/>
      <c r="M94" s="461"/>
      <c r="N94" s="461"/>
      <c r="O94" s="461"/>
      <c r="P94" s="461"/>
    </row>
    <row r="95" spans="1:16" ht="15.75" x14ac:dyDescent="0.25">
      <c r="A95" s="265" t="s">
        <v>75</v>
      </c>
      <c r="B95" s="844">
        <f>DCP!$C$28</f>
        <v>526814</v>
      </c>
      <c r="C95" s="844"/>
      <c r="D95" s="845" t="str">
        <f>DCP!$C$15</f>
        <v>SOYBEANS</v>
      </c>
      <c r="E95" s="845"/>
      <c r="F95" s="846">
        <f>DCP!$C$27</f>
        <v>10117.174999999999</v>
      </c>
      <c r="G95" s="846"/>
      <c r="H95" s="846"/>
      <c r="I95" s="846" t="e">
        <f>C95/H95</f>
        <v>#DIV/0!</v>
      </c>
      <c r="J95" s="272" t="str">
        <f>IF(DCP!$C$30="FULL",DCP!$C$29,"SLACK")</f>
        <v>SLACK</v>
      </c>
      <c r="L95" s="461"/>
      <c r="M95" s="461"/>
      <c r="N95" s="461"/>
      <c r="O95" s="461"/>
      <c r="P95" s="461"/>
    </row>
    <row r="96" spans="1:16" ht="15.75" x14ac:dyDescent="0.25">
      <c r="A96" s="265" t="s">
        <v>76</v>
      </c>
      <c r="B96" s="844">
        <f>DCP!$D$28</f>
        <v>507440</v>
      </c>
      <c r="C96" s="844"/>
      <c r="D96" s="845" t="str">
        <f>DCP!$D$15</f>
        <v>SOYBEANS</v>
      </c>
      <c r="E96" s="845"/>
      <c r="F96" s="846">
        <f>DCP!$D$27</f>
        <v>10655.745000000001</v>
      </c>
      <c r="G96" s="846"/>
      <c r="H96" s="846"/>
      <c r="I96" s="846" t="e">
        <f>D96/H96</f>
        <v>#VALUE!</v>
      </c>
      <c r="J96" s="272">
        <f>IF(DCP!$D$30="FULL",DCP!$D$29,"SLACK")</f>
        <v>47.621259705445276</v>
      </c>
      <c r="L96" s="461"/>
      <c r="M96" s="461"/>
      <c r="N96" s="461"/>
      <c r="O96" s="461"/>
      <c r="P96" s="461"/>
    </row>
    <row r="97" spans="1:16" ht="15.75" x14ac:dyDescent="0.25">
      <c r="A97" s="265" t="s">
        <v>77</v>
      </c>
      <c r="B97" s="844">
        <f>DCP!$E$28</f>
        <v>483336</v>
      </c>
      <c r="C97" s="844"/>
      <c r="D97" s="845" t="str">
        <f>DCP!$E$15</f>
        <v>SOYBEANS</v>
      </c>
      <c r="E97" s="845"/>
      <c r="F97" s="846">
        <f>DCP!$E$27</f>
        <v>10132.845000000001</v>
      </c>
      <c r="G97" s="846"/>
      <c r="H97" s="846"/>
      <c r="I97" s="846" t="e">
        <f>D97/H97</f>
        <v>#VALUE!</v>
      </c>
      <c r="J97" s="272">
        <f>IF(DCP!$E$30="FULL",DCP!$E$29,"SLACK")</f>
        <v>47.699930276245212</v>
      </c>
      <c r="L97" s="461"/>
      <c r="M97" s="461"/>
      <c r="N97" s="461"/>
      <c r="O97" s="461"/>
      <c r="P97" s="461"/>
    </row>
    <row r="98" spans="1:16" ht="15.75" x14ac:dyDescent="0.25">
      <c r="A98" s="265" t="s">
        <v>78</v>
      </c>
      <c r="B98" s="844">
        <f>DCP!$F$28</f>
        <v>506840</v>
      </c>
      <c r="C98" s="844"/>
      <c r="D98" s="845" t="str">
        <f>DCP!$F$15</f>
        <v>SOYBEANS</v>
      </c>
      <c r="E98" s="845"/>
      <c r="F98" s="846">
        <f>DCP!$F$27</f>
        <v>10694.3</v>
      </c>
      <c r="G98" s="846"/>
      <c r="H98" s="846"/>
      <c r="I98" s="846" t="e">
        <f>D98/H98</f>
        <v>#VALUE!</v>
      </c>
      <c r="J98" s="272">
        <f>IF(DCP!$F$30="FULL",DCP!$F$29,"SLACK")</f>
        <v>47.393471288443379</v>
      </c>
      <c r="L98" s="461"/>
      <c r="M98" s="461"/>
      <c r="N98" s="461"/>
      <c r="O98" s="461"/>
      <c r="P98" s="461"/>
    </row>
    <row r="99" spans="1:16" ht="15.75" x14ac:dyDescent="0.25">
      <c r="A99" s="265" t="s">
        <v>79</v>
      </c>
      <c r="B99" s="844">
        <f>DCP!$G$28</f>
        <v>528048</v>
      </c>
      <c r="C99" s="844"/>
      <c r="D99" s="845" t="str">
        <f>DCP!$G$15</f>
        <v>SOYBEANS</v>
      </c>
      <c r="E99" s="845"/>
      <c r="F99" s="846">
        <f>DCP!$G$27</f>
        <v>11105.32</v>
      </c>
      <c r="G99" s="846"/>
      <c r="H99" s="846"/>
      <c r="I99" s="846" t="e">
        <f>D99/H99</f>
        <v>#VALUE!</v>
      </c>
      <c r="J99" s="272">
        <f>IF(DCP!$G$30="FULL",DCP!$G$29,"SLACK")</f>
        <v>47.54910259227109</v>
      </c>
      <c r="L99" s="461"/>
      <c r="M99" s="461"/>
      <c r="N99" s="461"/>
      <c r="O99" s="461"/>
      <c r="P99" s="461"/>
    </row>
    <row r="100" spans="1:16" ht="15.75" x14ac:dyDescent="0.25">
      <c r="A100" s="265" t="s">
        <v>80</v>
      </c>
      <c r="B100" s="844">
        <f>DCP!$H$28</f>
        <v>449300</v>
      </c>
      <c r="C100" s="844"/>
      <c r="D100" s="845" t="str">
        <f>DCP!$H$15</f>
        <v>SOYBEANS</v>
      </c>
      <c r="E100" s="845"/>
      <c r="F100" s="846">
        <f>DCP!$H$27</f>
        <v>8666.3549999999996</v>
      </c>
      <c r="G100" s="846"/>
      <c r="H100" s="846"/>
      <c r="I100" s="846" t="e">
        <f>D100/H100</f>
        <v>#VALUE!</v>
      </c>
      <c r="J100" s="272" t="str">
        <f>IF(DCP!$H$30="FULL",DCP!$H$29,"SLACK")</f>
        <v>SLACK</v>
      </c>
      <c r="L100" s="461"/>
      <c r="M100" s="461"/>
      <c r="N100" s="461"/>
      <c r="O100" s="461"/>
      <c r="P100" s="461"/>
    </row>
    <row r="101" spans="1:16" ht="15.75" x14ac:dyDescent="0.25">
      <c r="A101" s="3" t="s">
        <v>81</v>
      </c>
      <c r="B101" s="847">
        <f>SUM(B94:B100)</f>
        <v>3452423</v>
      </c>
      <c r="C101" s="847"/>
      <c r="D101" s="13"/>
      <c r="F101" s="848">
        <f>SUM(F94:F100)</f>
        <v>70736.695000000007</v>
      </c>
      <c r="G101" s="848"/>
      <c r="H101" s="848"/>
      <c r="I101" s="848"/>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699</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82</v>
      </c>
      <c r="B106" s="13"/>
      <c r="C106" s="13"/>
      <c r="D106" s="13"/>
      <c r="E106" s="13" t="str">
        <f>_xlfn.CONCAT("Issued by ",CAPA!$B$67)</f>
        <v>Issued by Nantong Cosco KHI Shipbuilding Engineering</v>
      </c>
      <c r="G106" s="13"/>
      <c r="H106" s="13"/>
      <c r="I106" s="13"/>
      <c r="L106" s="461"/>
      <c r="M106" s="461"/>
      <c r="N106" s="461"/>
      <c r="O106" s="461"/>
      <c r="P106" s="461"/>
    </row>
    <row r="107" spans="1:16" ht="15.75" x14ac:dyDescent="0.25">
      <c r="A107" s="266"/>
      <c r="B107" s="13"/>
      <c r="C107" s="13"/>
      <c r="D107" s="13"/>
      <c r="E107" s="13" t="str">
        <f>_xlfn.CONCAT("on ",CAPA!$B$68,", Dwg. No. ",CAPA!$B$69)</f>
        <v>on 2020, Dwg. No. H-11</v>
      </c>
      <c r="G107" s="13"/>
      <c r="H107" s="13"/>
      <c r="I107" s="13"/>
      <c r="L107" s="461"/>
      <c r="M107" s="461"/>
      <c r="N107" s="461"/>
      <c r="O107" s="461"/>
      <c r="P107" s="461"/>
    </row>
    <row r="108" spans="1:16" ht="15.75" x14ac:dyDescent="0.25">
      <c r="A108" s="266"/>
      <c r="B108" s="13"/>
      <c r="C108" s="13"/>
      <c r="D108" s="13"/>
      <c r="E108" s="13" t="str">
        <f>_xlfn.CONCAT("Approved by  ",CAPA!$B$70," on  ",CAPA!$B$71)</f>
        <v>Approved by  LRS on  22.03.2021</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83</v>
      </c>
      <c r="B110" s="13"/>
      <c r="C110" s="13"/>
      <c r="D110" s="13"/>
      <c r="E110" s="13" t="str">
        <f>$E$106</f>
        <v>Issued by Nantong Cosco KHI Shipbuilding Engineering</v>
      </c>
      <c r="G110" s="13"/>
      <c r="H110" s="13"/>
      <c r="I110" s="13"/>
      <c r="L110" s="461"/>
      <c r="M110" s="461"/>
      <c r="N110" s="461"/>
      <c r="O110" s="461"/>
      <c r="P110" s="461"/>
    </row>
    <row r="111" spans="1:16" ht="15.75" x14ac:dyDescent="0.25">
      <c r="A111" s="13"/>
      <c r="B111" s="13"/>
      <c r="C111" s="13"/>
      <c r="D111" s="13"/>
      <c r="E111" s="13" t="str">
        <f>_xlfn.CONCAT("on ",CAPA!$B$73," Dwg. no. ",CAPA!$B$74)</f>
        <v>on 2020 Dwg. no. H-14</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23</v>
      </c>
      <c r="B113" s="13"/>
      <c r="C113" s="13"/>
      <c r="D113" s="13"/>
      <c r="E113" s="13"/>
      <c r="F113" s="13"/>
      <c r="G113" s="13"/>
      <c r="H113" s="13"/>
      <c r="I113" s="13"/>
      <c r="L113" s="461"/>
      <c r="M113" s="461"/>
      <c r="N113" s="461"/>
      <c r="O113" s="461"/>
      <c r="P113" s="461"/>
    </row>
    <row r="114" spans="1:16" ht="15.75" x14ac:dyDescent="0.25">
      <c r="A114" s="266"/>
      <c r="B114" s="13"/>
      <c r="E114" s="707" t="s">
        <v>84</v>
      </c>
      <c r="F114" s="708" t="s">
        <v>701</v>
      </c>
      <c r="G114" s="849" t="s">
        <v>86</v>
      </c>
      <c r="H114" s="849"/>
      <c r="I114" s="849" t="s">
        <v>87</v>
      </c>
      <c r="J114" s="849"/>
      <c r="K114" s="276"/>
      <c r="L114" s="466"/>
      <c r="M114" s="467"/>
      <c r="N114" s="461"/>
      <c r="O114" s="461"/>
      <c r="P114" s="461"/>
    </row>
    <row r="115" spans="1:16" ht="15.75" x14ac:dyDescent="0.25">
      <c r="A115" s="266" t="s">
        <v>88</v>
      </c>
      <c r="B115" s="10"/>
      <c r="E115" s="277">
        <f>CAPA!$L$78</f>
        <v>5.0880000000000001</v>
      </c>
      <c r="F115" s="277">
        <f>CAPA!$M$78</f>
        <v>15.16</v>
      </c>
      <c r="G115" s="843">
        <f>CAPA!$N$78</f>
        <v>97493</v>
      </c>
      <c r="H115" s="843"/>
      <c r="I115" s="843">
        <f>CAPA!$O$78</f>
        <v>84052</v>
      </c>
      <c r="J115" s="843"/>
      <c r="K115" s="278"/>
      <c r="L115" s="468"/>
      <c r="M115" s="469"/>
      <c r="N115" s="461"/>
      <c r="O115" s="461"/>
      <c r="P115" s="461"/>
    </row>
    <row r="116" spans="1:16" ht="15.75" x14ac:dyDescent="0.25">
      <c r="A116" s="266" t="s">
        <v>89</v>
      </c>
      <c r="B116" s="10"/>
      <c r="E116" s="277">
        <f>CAPA!$L$79</f>
        <v>5.39</v>
      </c>
      <c r="F116" s="277">
        <f>CAPA!$M$79</f>
        <v>14.858000000000001</v>
      </c>
      <c r="G116" s="843">
        <f>CAPA!$N$79</f>
        <v>95406</v>
      </c>
      <c r="H116" s="843"/>
      <c r="I116" s="843">
        <f>CAPA!$O$79</f>
        <v>81965</v>
      </c>
      <c r="J116" s="843"/>
      <c r="K116" s="278"/>
      <c r="L116" s="468"/>
      <c r="M116" s="469"/>
      <c r="N116" s="461"/>
      <c r="O116" s="461"/>
      <c r="P116" s="461"/>
    </row>
    <row r="117" spans="1:16" ht="15.75" x14ac:dyDescent="0.25">
      <c r="A117" s="266" t="s">
        <v>90</v>
      </c>
      <c r="B117" s="10"/>
      <c r="E117" s="277">
        <f>CAPA!$L$80</f>
        <v>5.423</v>
      </c>
      <c r="F117" s="277">
        <f>CAPA!$M$80</f>
        <v>14.824999999999999</v>
      </c>
      <c r="G117" s="843">
        <f>CAPA!$N$80</f>
        <v>97557</v>
      </c>
      <c r="H117" s="843"/>
      <c r="I117" s="843">
        <f>CAPA!$O$80</f>
        <v>84116</v>
      </c>
      <c r="J117" s="843"/>
      <c r="K117" s="278"/>
      <c r="L117" s="468"/>
      <c r="M117" s="469"/>
      <c r="N117" s="461"/>
      <c r="O117" s="461"/>
      <c r="P117" s="461"/>
    </row>
    <row r="118" spans="1:16" ht="15.75" x14ac:dyDescent="0.25">
      <c r="A118" s="266" t="s">
        <v>91</v>
      </c>
      <c r="B118" s="10"/>
      <c r="E118" s="277">
        <f>CAPA!$L$81</f>
        <v>5.7249999999999996</v>
      </c>
      <c r="F118" s="277">
        <f>CAPA!$M$81</f>
        <v>14.523</v>
      </c>
      <c r="G118" s="843">
        <f>CAPA!$N$81</f>
        <v>95406</v>
      </c>
      <c r="H118" s="843"/>
      <c r="I118" s="843">
        <f>CAPA!$O$81</f>
        <v>81965</v>
      </c>
      <c r="J118" s="843"/>
      <c r="K118" s="278"/>
      <c r="L118" s="468"/>
      <c r="M118" s="469"/>
      <c r="N118" s="461"/>
      <c r="O118" s="461"/>
      <c r="P118" s="461"/>
    </row>
    <row r="119" spans="1:16" ht="15.75" x14ac:dyDescent="0.25">
      <c r="A119" s="266" t="s">
        <v>92</v>
      </c>
      <c r="B119" s="10"/>
      <c r="E119" s="277">
        <f>CAPA!$L$82</f>
        <v>6.0270000000000001</v>
      </c>
      <c r="F119" s="277">
        <f>CAPA!$M$82</f>
        <v>14.221</v>
      </c>
      <c r="G119" s="843">
        <f>CAPA!$N$82</f>
        <v>93256</v>
      </c>
      <c r="H119" s="843"/>
      <c r="I119" s="843">
        <f>CAPA!$O$82</f>
        <v>79815</v>
      </c>
      <c r="J119" s="843"/>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702</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93</v>
      </c>
      <c r="B124" s="10"/>
      <c r="C124" s="10"/>
      <c r="D124" s="10"/>
      <c r="E124" s="395" t="str">
        <f>_xlfn.CONCAT(OrdinalDate(Draft!$E$4),", ",YEAR(Draft!$E$4)," from ",TEXT(Draft!$O$4,"h:mm;@")," until ",TEXT(Draft!$O$6,"h:mm;@")," hrs")</f>
        <v xml:space="preserve"> February 26th, 2026 from 9:00 until 11:30 hrs</v>
      </c>
      <c r="G124" s="280"/>
      <c r="H124" s="280"/>
      <c r="I124" s="10"/>
      <c r="L124" s="461" t="str">
        <f>_xlfn.CONCAT(TEXT(Draft!$E$4,"[$-en-US]mmmm d, aaaa;@")," from ",TEXT(Draft!$O$4,"h:mm;@")," until ",TEXT(Draft!$O$6,"h:mm;@")," hrs")</f>
        <v>February 26, 2026 from 9:00 until 11:30 hrs</v>
      </c>
      <c r="M124" s="461"/>
      <c r="N124" s="461"/>
      <c r="O124" s="461"/>
      <c r="P124" s="461"/>
    </row>
    <row r="125" spans="1:16" ht="15.75" x14ac:dyDescent="0.25">
      <c r="A125" s="266" t="s">
        <v>94</v>
      </c>
      <c r="B125" s="10"/>
      <c r="C125" s="10"/>
      <c r="D125" s="10"/>
      <c r="E125" s="14" t="str">
        <f>CONCATENATE(Draft!$E$5," (",Draft!$AN$4," ",Draft!H6,")")</f>
        <v>Paranaguá, Br - Brazil (inner roads 9.2)</v>
      </c>
      <c r="G125" s="13"/>
      <c r="H125" s="13"/>
      <c r="I125" s="10"/>
      <c r="L125" s="461"/>
      <c r="M125" s="461"/>
      <c r="N125" s="461"/>
      <c r="O125" s="461"/>
      <c r="P125" s="461"/>
    </row>
    <row r="126" spans="1:16" ht="15.75" x14ac:dyDescent="0.25">
      <c r="A126" s="266" t="s">
        <v>95</v>
      </c>
      <c r="B126" s="10"/>
      <c r="C126" s="10"/>
      <c r="D126" s="10"/>
      <c r="E126" s="396">
        <f>Draft!$O$7</f>
        <v>0.1</v>
      </c>
      <c r="G126" s="13"/>
      <c r="H126" s="13"/>
      <c r="I126" s="10"/>
      <c r="L126" s="461"/>
      <c r="M126" s="461"/>
      <c r="N126" s="461"/>
      <c r="O126" s="461"/>
      <c r="P126" s="461"/>
    </row>
    <row r="127" spans="1:16" ht="15.75" x14ac:dyDescent="0.25">
      <c r="A127" s="266" t="s">
        <v>604</v>
      </c>
      <c r="B127" s="10"/>
      <c r="C127" s="10"/>
      <c r="D127" s="10"/>
      <c r="E127" s="627">
        <f>Draft!$O$8</f>
        <v>2</v>
      </c>
      <c r="F127" s="394"/>
      <c r="G127" s="281"/>
      <c r="H127" s="281"/>
      <c r="I127" s="281"/>
      <c r="L127" s="461"/>
      <c r="M127" s="461"/>
      <c r="N127" s="461"/>
      <c r="O127" s="461"/>
      <c r="P127" s="461"/>
    </row>
    <row r="128" spans="1:16" ht="15.75" x14ac:dyDescent="0.25">
      <c r="A128" s="266" t="s">
        <v>96</v>
      </c>
      <c r="B128" s="10"/>
      <c r="C128" s="10"/>
      <c r="D128" s="10"/>
      <c r="E128" s="14" t="str">
        <f>Draft!$E$8</f>
        <v>Flood tide, &lt; 1knot</v>
      </c>
      <c r="G128" s="13"/>
      <c r="H128" s="13"/>
      <c r="I128" s="10"/>
      <c r="L128" s="461"/>
      <c r="M128" s="461"/>
      <c r="N128" s="461"/>
      <c r="O128" s="461"/>
      <c r="P128" s="461"/>
    </row>
    <row r="129" spans="1:16" ht="15.75" x14ac:dyDescent="0.25">
      <c r="A129" s="266" t="s">
        <v>97</v>
      </c>
      <c r="B129" s="10"/>
      <c r="C129" s="10"/>
      <c r="D129" s="10"/>
      <c r="E129" s="14" t="str">
        <f>Draft!$E$7</f>
        <v>Rainy</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703</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93</v>
      </c>
      <c r="B134" s="10"/>
      <c r="C134" s="10"/>
      <c r="D134" s="10"/>
      <c r="E134" s="1173" t="str">
        <f>_xlfn.CONCAT(OrdinalDate(Draft!$X$4),", ",YEAR(Draft!$X$4)," from ",TEXT(Draft!$AH$4,"h:mm;@")," until ",TEXT(Draft!$AH$6,"h:mm;@")," hrs")</f>
        <v xml:space="preserve"> March 2nd, 2026 from 19:50 until 22:00 hrs</v>
      </c>
      <c r="F134" s="1173"/>
      <c r="G134" s="1173"/>
      <c r="H134" s="1173"/>
      <c r="I134" s="1173"/>
      <c r="J134" s="1173"/>
      <c r="L134" s="461"/>
      <c r="M134" s="461"/>
      <c r="N134" s="461"/>
      <c r="O134" s="461"/>
      <c r="P134" s="461"/>
    </row>
    <row r="135" spans="1:16" ht="15.75" x14ac:dyDescent="0.25">
      <c r="A135" s="266" t="s">
        <v>94</v>
      </c>
      <c r="B135" s="10"/>
      <c r="C135" s="10"/>
      <c r="D135" s="10"/>
      <c r="E135" s="14" t="str">
        <f>CONCATENATE(Draft!$X$5," (",Draft!$AO$4," ",Draft!$AA$6,")")</f>
        <v>Paranaguá, Br - Brazil (wharf 213)</v>
      </c>
      <c r="G135" s="13"/>
      <c r="H135" s="13"/>
      <c r="I135" s="10"/>
      <c r="L135" s="461"/>
      <c r="M135" s="461"/>
      <c r="N135" s="461"/>
      <c r="O135" s="461"/>
      <c r="P135" s="461"/>
    </row>
    <row r="136" spans="1:16" ht="15.75" x14ac:dyDescent="0.25">
      <c r="A136" s="266" t="s">
        <v>95</v>
      </c>
      <c r="B136" s="10"/>
      <c r="C136" s="10"/>
      <c r="D136" s="10"/>
      <c r="E136" s="396">
        <f>Draft!$AH$7</f>
        <v>0.1</v>
      </c>
      <c r="G136" s="13"/>
      <c r="H136" s="13"/>
      <c r="I136" s="10"/>
      <c r="L136" s="461"/>
      <c r="M136" s="461"/>
      <c r="N136" s="461"/>
      <c r="O136" s="461"/>
      <c r="P136" s="461"/>
    </row>
    <row r="137" spans="1:16" ht="15.75" x14ac:dyDescent="0.25">
      <c r="A137" s="266" t="s">
        <v>604</v>
      </c>
      <c r="B137" s="10"/>
      <c r="C137" s="10"/>
      <c r="D137" s="10"/>
      <c r="E137" s="627">
        <f>Draft!$AH$8</f>
        <v>1</v>
      </c>
      <c r="G137" s="282"/>
      <c r="H137" s="282"/>
      <c r="I137" s="10"/>
      <c r="L137" s="457"/>
      <c r="M137" s="457"/>
      <c r="N137" s="457"/>
      <c r="O137" s="457"/>
      <c r="P137" s="457"/>
    </row>
    <row r="138" spans="1:16" ht="15.75" x14ac:dyDescent="0.25">
      <c r="A138" s="266" t="s">
        <v>96</v>
      </c>
      <c r="B138" s="10"/>
      <c r="C138" s="10"/>
      <c r="D138" s="10"/>
      <c r="E138" s="14" t="str">
        <f>Draft!$X$8</f>
        <v>No tide flow</v>
      </c>
      <c r="G138" s="13"/>
      <c r="H138" s="13"/>
      <c r="I138" s="10"/>
      <c r="L138" s="457"/>
      <c r="M138" s="457"/>
      <c r="N138" s="457"/>
      <c r="O138" s="457"/>
      <c r="P138" s="457"/>
    </row>
    <row r="139" spans="1:16" ht="15.75" x14ac:dyDescent="0.25">
      <c r="A139" s="266" t="s">
        <v>97</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98</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99</v>
      </c>
      <c r="B144" s="10"/>
      <c r="C144" s="10"/>
      <c r="D144" s="10"/>
      <c r="E144" s="14" t="str">
        <f>CAPA!$B$6</f>
        <v>Soybeans in bulk</v>
      </c>
      <c r="G144" s="13"/>
      <c r="H144" s="13"/>
      <c r="I144" s="10"/>
      <c r="L144" s="457"/>
      <c r="M144" s="457"/>
      <c r="N144" s="457"/>
      <c r="O144" s="457"/>
      <c r="P144" s="457"/>
    </row>
    <row r="145" spans="1:21" ht="15.75" x14ac:dyDescent="0.25">
      <c r="A145" s="266" t="s">
        <v>100</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101</v>
      </c>
      <c r="B146" s="10"/>
      <c r="C146" s="10"/>
      <c r="D146" s="10"/>
      <c r="E146" s="14" t="str">
        <f>CAPA!$B$38</f>
        <v>One China Port</v>
      </c>
      <c r="G146" s="13"/>
      <c r="H146" s="13"/>
      <c r="I146" s="10"/>
      <c r="L146" s="457"/>
      <c r="M146" s="457"/>
      <c r="N146" s="457"/>
      <c r="O146" s="457"/>
      <c r="P146" s="457"/>
    </row>
    <row r="147" spans="1:21" ht="15.75" x14ac:dyDescent="0.25">
      <c r="A147" s="266" t="s">
        <v>102</v>
      </c>
      <c r="B147" s="10"/>
      <c r="C147" s="10"/>
      <c r="D147" s="10"/>
      <c r="E147" s="14" t="str">
        <f>CAPA!$B$36</f>
        <v>Iron Ore in bulk</v>
      </c>
      <c r="G147" s="13"/>
      <c r="H147" s="13"/>
      <c r="I147" s="10"/>
      <c r="L147" s="457"/>
      <c r="M147" s="458" t="s">
        <v>564</v>
      </c>
      <c r="N147" s="459" t="s">
        <v>322</v>
      </c>
      <c r="O147" s="460"/>
      <c r="P147" s="460"/>
      <c r="Q147" s="10"/>
      <c r="R147" s="10"/>
      <c r="S147" s="10"/>
      <c r="T147" s="10"/>
      <c r="U147" s="10"/>
    </row>
    <row r="148" spans="1:21" ht="15.75" x14ac:dyDescent="0.25">
      <c r="A148" s="266" t="s">
        <v>103</v>
      </c>
      <c r="B148" s="10"/>
      <c r="C148" s="10"/>
      <c r="D148" s="10"/>
      <c r="E148" s="14" t="str">
        <f>CAPA!$B$37</f>
        <v>Hazira, India</v>
      </c>
      <c r="G148" s="13"/>
      <c r="H148" s="13"/>
      <c r="I148" s="10"/>
      <c r="L148" s="457"/>
      <c r="M148" s="458" t="s">
        <v>565</v>
      </c>
      <c r="N148" s="459" t="s">
        <v>324</v>
      </c>
      <c r="O148" s="460"/>
      <c r="P148" s="460"/>
      <c r="Q148" s="10"/>
      <c r="R148" s="10"/>
      <c r="S148" s="10"/>
      <c r="T148" s="10"/>
      <c r="U148" s="10"/>
    </row>
    <row r="149" spans="1:21" ht="15.75" x14ac:dyDescent="0.25">
      <c r="A149" s="266"/>
      <c r="B149" s="10"/>
      <c r="C149" s="10"/>
      <c r="D149" s="10"/>
      <c r="E149" s="10"/>
      <c r="F149" s="13"/>
      <c r="G149" s="13"/>
      <c r="H149" s="13"/>
      <c r="I149" s="10"/>
      <c r="L149" s="457"/>
      <c r="M149" s="458" t="s">
        <v>566</v>
      </c>
      <c r="N149" s="459" t="s">
        <v>325</v>
      </c>
      <c r="O149" s="460"/>
      <c r="P149" s="460"/>
      <c r="Q149" s="10"/>
      <c r="R149" s="10"/>
      <c r="S149" s="10"/>
      <c r="T149" s="10"/>
      <c r="U149" s="10"/>
    </row>
    <row r="150" spans="1:21" ht="15.75" x14ac:dyDescent="0.25">
      <c r="A150" s="266"/>
      <c r="B150" s="10"/>
      <c r="C150" s="10"/>
      <c r="D150" s="10"/>
      <c r="E150" s="10"/>
      <c r="F150" s="10"/>
      <c r="G150" s="10"/>
      <c r="H150" s="10"/>
      <c r="I150" s="10"/>
      <c r="L150" s="457"/>
      <c r="M150" s="458" t="s">
        <v>567</v>
      </c>
      <c r="N150" s="459" t="s">
        <v>327</v>
      </c>
      <c r="O150" s="460"/>
      <c r="P150" s="460"/>
      <c r="Q150" s="10"/>
      <c r="R150" s="10"/>
      <c r="S150" s="10"/>
      <c r="T150" s="10"/>
      <c r="U150" s="10"/>
    </row>
    <row r="151" spans="1:21" ht="15.75" x14ac:dyDescent="0.25">
      <c r="A151" s="283" t="s">
        <v>104</v>
      </c>
      <c r="B151" s="283"/>
      <c r="C151" s="10"/>
      <c r="D151" s="10"/>
      <c r="E151" s="10"/>
      <c r="F151" s="10"/>
      <c r="G151" s="17"/>
      <c r="H151" s="842">
        <f>$I$211</f>
        <v>70736.695000000007</v>
      </c>
      <c r="I151" s="842"/>
      <c r="J151" s="10" t="s">
        <v>105</v>
      </c>
      <c r="L151" s="457"/>
      <c r="M151" s="458" t="s">
        <v>568</v>
      </c>
      <c r="N151" s="459" t="s">
        <v>328</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566</v>
      </c>
      <c r="N152" s="459" t="s">
        <v>329</v>
      </c>
      <c r="O152" s="460"/>
      <c r="P152" s="460"/>
      <c r="Q152" s="10"/>
      <c r="R152" s="10"/>
      <c r="S152" s="10"/>
      <c r="T152" s="10"/>
      <c r="U152" s="10"/>
    </row>
    <row r="153" spans="1:21" ht="15.75" x14ac:dyDescent="0.25">
      <c r="A153" s="283" t="s">
        <v>706</v>
      </c>
      <c r="B153" s="283"/>
      <c r="C153" s="13"/>
      <c r="D153" s="13" t="s">
        <v>106</v>
      </c>
      <c r="E153" s="10"/>
      <c r="G153" s="17"/>
      <c r="H153" s="842">
        <f>$I$212</f>
        <v>70892.275054654427</v>
      </c>
      <c r="I153" s="842"/>
      <c r="J153" s="10" t="s">
        <v>105</v>
      </c>
      <c r="L153" s="457"/>
      <c r="M153" s="458" t="s">
        <v>569</v>
      </c>
      <c r="N153" s="459" t="s">
        <v>330</v>
      </c>
      <c r="O153" s="460"/>
      <c r="P153" s="460"/>
      <c r="Q153" s="10"/>
      <c r="R153" s="10"/>
      <c r="S153" s="10"/>
      <c r="T153" s="10"/>
      <c r="U153" s="10"/>
    </row>
    <row r="154" spans="1:21" ht="15.75" x14ac:dyDescent="0.25">
      <c r="A154" s="284"/>
      <c r="B154" s="284"/>
      <c r="C154" s="14"/>
      <c r="D154" s="14" t="s">
        <v>107</v>
      </c>
      <c r="E154" s="10"/>
      <c r="G154" s="17"/>
      <c r="H154" s="842">
        <f>$H$216</f>
        <v>70750.23</v>
      </c>
      <c r="I154" s="842"/>
      <c r="J154" s="10" t="s">
        <v>105</v>
      </c>
      <c r="L154" s="457"/>
      <c r="M154" s="457" t="s">
        <v>615</v>
      </c>
      <c r="N154" s="75" t="s">
        <v>65</v>
      </c>
      <c r="O154" s="457"/>
      <c r="P154" s="457"/>
    </row>
    <row r="155" spans="1:21" ht="15.75" x14ac:dyDescent="0.25">
      <c r="A155" s="284"/>
      <c r="B155" s="284"/>
      <c r="C155" s="13"/>
      <c r="D155" s="13" t="s">
        <v>108</v>
      </c>
      <c r="E155" s="13"/>
      <c r="G155" s="17"/>
      <c r="H155" s="842">
        <f>$H$217</f>
        <v>70750.547000000006</v>
      </c>
      <c r="I155" s="842"/>
      <c r="J155" s="10" t="s">
        <v>105</v>
      </c>
      <c r="L155" s="457"/>
      <c r="M155" s="457" t="s">
        <v>616</v>
      </c>
      <c r="N155" s="75" t="s">
        <v>614</v>
      </c>
      <c r="O155" s="457"/>
      <c r="P155" s="457"/>
    </row>
    <row r="156" spans="1:21" ht="15.75" x14ac:dyDescent="0.25">
      <c r="A156" s="284"/>
      <c r="B156" s="284"/>
      <c r="C156" s="15"/>
      <c r="D156" s="15" t="str">
        <f>IFERROR(_xlfn.IFS(Draft!U84=N147,M147,Draft!U84=N148,M148,Draft!U84=N149,M149,Draft!U84=N150,M150,Draft!U84=N151,M151,Draft!U84=N152,M152,Draft!U84=N153,M153,Draft!U84=N154,M154,Draft!U84=N155,M155),"")</f>
        <v/>
      </c>
      <c r="E156" s="15"/>
      <c r="G156" s="17"/>
      <c r="H156" s="842">
        <f>Draft!$X$84</f>
        <v>0</v>
      </c>
      <c r="I156" s="842"/>
      <c r="J156" s="10" t="s">
        <v>105</v>
      </c>
      <c r="L156" s="457"/>
      <c r="M156" s="457"/>
      <c r="N156" s="457"/>
      <c r="O156" s="457"/>
      <c r="P156" s="457"/>
    </row>
    <row r="157" spans="1:21" ht="15.75" x14ac:dyDescent="0.25">
      <c r="A157" s="284"/>
      <c r="B157" s="284"/>
      <c r="C157" s="15"/>
      <c r="D157" s="15" t="str">
        <f>IFERROR(_xlfn.IFS(Draft!U85=N147,M147,Draft!U85=N148,M148,Draft!U85=N149,M149,Draft!U85=N150,M150,Draft!U85=N151,M151,Draft!U85=N152,M152,Draft!U85=N153,M153,Draft!U85=N154,M154,Draft!U85=N155,M155),"")</f>
        <v/>
      </c>
      <c r="E157" s="15"/>
      <c r="G157" s="17"/>
      <c r="H157" s="842">
        <f>Draft!$X$85</f>
        <v>0</v>
      </c>
      <c r="I157" s="842"/>
      <c r="J157" s="10" t="s">
        <v>105</v>
      </c>
      <c r="L157" s="457"/>
      <c r="M157" s="457"/>
      <c r="N157" s="457"/>
      <c r="O157" s="457"/>
      <c r="P157" s="457"/>
    </row>
    <row r="158" spans="1:21" ht="15.75" x14ac:dyDescent="0.25">
      <c r="A158" s="284"/>
      <c r="B158" s="284"/>
      <c r="C158" s="15"/>
      <c r="D158" s="15" t="str">
        <f>IFERROR(_xlfn.IFS(Draft!U86=N147,M147,Draft!U86=N148,M148,Draft!U86=N149,M149,Draft!U86=N150,M150,Draft!U86=N151,M151,Draft!U86=N152,M152,Draft!U86=N153,M153,Draft!U86=N154,M154,Draft!U86=N155,M155),"")</f>
        <v/>
      </c>
      <c r="E158" s="15"/>
      <c r="G158" s="17"/>
      <c r="H158" s="842">
        <f>Draft!$X$86</f>
        <v>0</v>
      </c>
      <c r="I158" s="842"/>
      <c r="J158" s="10" t="s">
        <v>105</v>
      </c>
      <c r="L158" s="457"/>
      <c r="M158" s="457"/>
      <c r="N158" s="457"/>
      <c r="O158" s="457"/>
      <c r="P158" s="457"/>
    </row>
    <row r="159" spans="1:21" ht="15.75" x14ac:dyDescent="0.25">
      <c r="A159" s="284"/>
      <c r="B159" s="284"/>
      <c r="C159" s="15"/>
      <c r="D159" s="15" t="str">
        <f>IFERROR(_xlfn.IFS(Draft!U87=N147,M147,Draft!U87=N148,M148,Draft!U87=N149,M149,Draft!U87=N150,M150,Draft!U87=N151,M151,Draft!U87=N152,M152,Draft!U87=N153,M153,Draft!U87=N154,M154,Draft!U87=N155,M155),"")</f>
        <v/>
      </c>
      <c r="E159" s="15"/>
      <c r="G159" s="17"/>
      <c r="H159" s="842">
        <f>Draft!$X$87</f>
        <v>0</v>
      </c>
      <c r="I159" s="842"/>
      <c r="J159" s="10" t="s">
        <v>105</v>
      </c>
      <c r="L159" s="457"/>
      <c r="M159" s="457"/>
      <c r="N159" s="457"/>
      <c r="O159" s="457"/>
      <c r="P159" s="457"/>
    </row>
    <row r="160" spans="1:21" ht="15.75" x14ac:dyDescent="0.25">
      <c r="A160" s="284"/>
      <c r="B160" s="284"/>
      <c r="C160" s="285"/>
      <c r="D160" s="285"/>
      <c r="E160" s="285"/>
      <c r="F160" s="285"/>
      <c r="G160" s="11"/>
      <c r="H160" s="10"/>
      <c r="I160" s="10"/>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820" t="s">
        <v>109</v>
      </c>
      <c r="H162" s="821"/>
      <c r="I162" s="822" t="s">
        <v>110</v>
      </c>
      <c r="J162" s="823"/>
      <c r="L162" s="457"/>
      <c r="M162" s="457"/>
      <c r="N162" s="457"/>
      <c r="O162" s="457"/>
      <c r="P162" s="457"/>
    </row>
    <row r="163" spans="1:16" ht="14.1" customHeight="1" x14ac:dyDescent="0.25">
      <c r="A163" s="824" t="str">
        <f>$A$1</f>
        <v xml:space="preserve">M/V "Stella Navis" </v>
      </c>
      <c r="B163" s="825"/>
      <c r="C163" s="825"/>
      <c r="D163" s="825"/>
      <c r="E163" s="825"/>
      <c r="F163" s="826"/>
      <c r="G163" s="833" t="str">
        <f>_xlfn.CONCAT(Draft!$E$6," ",Draft!$H$6)</f>
        <v>Inner roads 9.2</v>
      </c>
      <c r="H163" s="833"/>
      <c r="I163" s="834" t="str">
        <f>_xlfn.CONCAT(Draft!$X$6," ",Draft!$AA$6)</f>
        <v>Wharf 213</v>
      </c>
      <c r="J163" s="835"/>
      <c r="L163" s="457"/>
      <c r="M163" s="457"/>
      <c r="N163" s="457"/>
      <c r="O163" s="457"/>
      <c r="P163" s="457"/>
    </row>
    <row r="164" spans="1:16" ht="14.1" customHeight="1" x14ac:dyDescent="0.25">
      <c r="A164" s="827"/>
      <c r="B164" s="828"/>
      <c r="C164" s="828"/>
      <c r="D164" s="828"/>
      <c r="E164" s="828"/>
      <c r="F164" s="829"/>
      <c r="G164" s="839" t="str">
        <f>_xlfn.CONCAT(TEXT(Draft!$E$4,"dd.mm.aaaa")," - ",TEXT(Draft!$O$5,"hh:mm")," h")</f>
        <v>26.02.2026 - 09:10 h</v>
      </c>
      <c r="H164" s="841"/>
      <c r="I164" s="839" t="str">
        <f>_xlfn.CONCAT(TEXT(Draft!$X$4,"dd.mm.aaaa")," - ",TEXT(Draft!$AH$5,"hh:mm")," h")</f>
        <v>02.03.2026 - 20:00 h</v>
      </c>
      <c r="J164" s="840"/>
      <c r="L164" s="457" t="str">
        <f>_xlfn.CONCAT(OrdinalDate(Draft!$X$4),", ",YEAR(Draft!$X$4))</f>
        <v xml:space="preserve"> March 2nd, 2026</v>
      </c>
      <c r="M164" s="457"/>
      <c r="N164" s="457"/>
      <c r="O164" s="457"/>
      <c r="P164" s="457"/>
    </row>
    <row r="165" spans="1:16" ht="14.1" customHeight="1" x14ac:dyDescent="0.25">
      <c r="A165" s="830"/>
      <c r="B165" s="831"/>
      <c r="C165" s="831"/>
      <c r="D165" s="831"/>
      <c r="E165" s="831"/>
      <c r="F165" s="832"/>
      <c r="G165" s="836">
        <f>Draft!$O$7</f>
        <v>0.1</v>
      </c>
      <c r="H165" s="837"/>
      <c r="I165" s="836">
        <f>Draft!$AH$7</f>
        <v>0.1</v>
      </c>
      <c r="J165" s="838"/>
      <c r="L165" s="457"/>
      <c r="M165" s="457"/>
      <c r="N165" s="457"/>
      <c r="O165" s="457"/>
      <c r="P165" s="457"/>
    </row>
    <row r="166" spans="1:16" ht="14.1" customHeight="1" x14ac:dyDescent="0.25">
      <c r="A166" s="808" t="str">
        <f>_xlfn.CONCAT("IMO NO.  ",CAPA!$B$10)</f>
        <v>IMO NO.  9909039</v>
      </c>
      <c r="B166" s="809"/>
      <c r="C166" s="809" t="str">
        <f>_xlfn.CONCAT("FLAG:  ",CAPA!$B$14)</f>
        <v>FLAG:  Marshallese</v>
      </c>
      <c r="D166" s="809"/>
      <c r="E166" s="809" t="str">
        <f>_xlfn.CONCAT("BUILD:  ",CAPA!$B$9)</f>
        <v>BUILD:  2021</v>
      </c>
      <c r="F166" s="810"/>
      <c r="G166" s="811" t="str">
        <f>CONCATENATE("Wind force ",TEXT(Draft!$O$8,"00"))</f>
        <v>Wind force 02</v>
      </c>
      <c r="H166" s="812"/>
      <c r="I166" s="811" t="str">
        <f>CONCATENATE("Wind force ",TEXT(Draft!$AH$8,"00"))</f>
        <v>Wind force 01</v>
      </c>
      <c r="J166" s="812"/>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811" t="str">
        <f>Draft!$E$8</f>
        <v>Flood tide, &lt; 1knot</v>
      </c>
      <c r="H167" s="812"/>
      <c r="I167" s="811" t="str">
        <f>Draft!$X$8</f>
        <v>No tide flow</v>
      </c>
      <c r="J167" s="813"/>
      <c r="L167" s="457"/>
      <c r="M167" s="457"/>
      <c r="N167" s="457"/>
      <c r="O167" s="457"/>
      <c r="P167" s="457"/>
    </row>
    <row r="168" spans="1:16" ht="14.1" customHeight="1" thickBot="1" x14ac:dyDescent="0.3">
      <c r="A168" s="445" t="str">
        <f>$G$3</f>
        <v>PGUA/DS/060/26</v>
      </c>
      <c r="B168" s="304"/>
      <c r="C168" s="304"/>
      <c r="D168" s="304"/>
      <c r="E168" s="304"/>
      <c r="F168" s="305"/>
      <c r="G168" s="816" t="str">
        <f>_xlfn.CONCAT("Weather:   ",Draft!$E$7)</f>
        <v>Weather:   Rainy</v>
      </c>
      <c r="H168" s="817"/>
      <c r="I168" s="816" t="str">
        <f>_xlfn.CONCAT("Weather:   ",Draft!$X$7)</f>
        <v>Weather:   Fine</v>
      </c>
      <c r="J168" s="1174"/>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707</v>
      </c>
      <c r="B170" s="336"/>
      <c r="C170" s="336"/>
      <c r="D170" s="336"/>
      <c r="E170" s="336"/>
      <c r="F170" s="337"/>
      <c r="G170" s="788" t="s">
        <v>111</v>
      </c>
      <c r="H170" s="789"/>
      <c r="I170" s="814" t="s">
        <v>112</v>
      </c>
      <c r="J170" s="815"/>
      <c r="L170" s="457"/>
      <c r="M170" s="457"/>
      <c r="N170" s="457"/>
      <c r="O170" s="457"/>
      <c r="P170" s="457"/>
    </row>
    <row r="171" spans="1:16" ht="12.95" customHeight="1" x14ac:dyDescent="0.25">
      <c r="A171" s="338" t="s">
        <v>113</v>
      </c>
      <c r="B171" s="312"/>
      <c r="C171" s="312"/>
      <c r="D171" s="312"/>
      <c r="E171" s="312"/>
      <c r="F171" s="313"/>
      <c r="G171" s="803">
        <f>Draft!$C$25</f>
        <v>5.87</v>
      </c>
      <c r="H171" s="804"/>
      <c r="I171" s="805">
        <f>Draft!$U$25</f>
        <v>13.3</v>
      </c>
      <c r="J171" s="806"/>
      <c r="L171" s="457"/>
      <c r="M171" s="457"/>
      <c r="N171" s="457"/>
      <c r="O171" s="457"/>
      <c r="P171" s="457"/>
    </row>
    <row r="172" spans="1:16" ht="12.95" customHeight="1" x14ac:dyDescent="0.25">
      <c r="A172" s="449" t="s">
        <v>114</v>
      </c>
      <c r="B172" s="315"/>
      <c r="C172" s="315"/>
      <c r="D172" s="315"/>
      <c r="E172" s="315"/>
      <c r="F172" s="316"/>
      <c r="G172" s="792">
        <f>Draft!$G$25</f>
        <v>5.83</v>
      </c>
      <c r="H172" s="793"/>
      <c r="I172" s="807">
        <f>Draft!$Y$25</f>
        <v>13.3</v>
      </c>
      <c r="J172" s="794"/>
      <c r="L172" s="457"/>
      <c r="M172" s="457"/>
      <c r="N172" s="457"/>
      <c r="O172" s="457"/>
      <c r="P172" s="457"/>
    </row>
    <row r="173" spans="1:16" ht="12.95" customHeight="1" x14ac:dyDescent="0.25">
      <c r="A173" s="339" t="s">
        <v>115</v>
      </c>
      <c r="B173" s="315"/>
      <c r="C173" s="315"/>
      <c r="D173" s="315"/>
      <c r="E173" s="315"/>
      <c r="F173" s="316"/>
      <c r="G173" s="792">
        <f>($G$171+$G$172)/2</f>
        <v>5.85</v>
      </c>
      <c r="H173" s="793"/>
      <c r="I173" s="792">
        <f>($I$171+$I$172)/2</f>
        <v>13.3</v>
      </c>
      <c r="J173" s="794"/>
      <c r="L173" s="457"/>
      <c r="M173" s="457"/>
      <c r="N173" s="457"/>
      <c r="O173" s="457"/>
      <c r="P173" s="457"/>
    </row>
    <row r="174" spans="1:16" ht="12.95" customHeight="1" x14ac:dyDescent="0.25">
      <c r="A174" s="449" t="s">
        <v>116</v>
      </c>
      <c r="B174" s="314"/>
      <c r="C174" s="314"/>
      <c r="D174" s="314"/>
      <c r="E174" s="314"/>
      <c r="F174" s="317"/>
      <c r="G174" s="795">
        <f>Draft!$M$25</f>
        <v>-1.5699999999999825E-2</v>
      </c>
      <c r="H174" s="796"/>
      <c r="I174" s="797">
        <f>Draft!$AE$25</f>
        <v>9.9999999999766942E-5</v>
      </c>
      <c r="J174" s="798"/>
      <c r="L174" s="457"/>
      <c r="M174" s="457"/>
      <c r="N174" s="457"/>
      <c r="O174" s="457"/>
      <c r="P174" s="457"/>
    </row>
    <row r="175" spans="1:16" ht="12.95" customHeight="1" x14ac:dyDescent="0.25">
      <c r="A175" s="330" t="s">
        <v>708</v>
      </c>
      <c r="B175" s="310"/>
      <c r="C175" s="310"/>
      <c r="D175" s="310"/>
      <c r="E175" s="310"/>
      <c r="F175" s="311"/>
      <c r="G175" s="799">
        <f>Draft!$P$25</f>
        <v>5.8342999999999998</v>
      </c>
      <c r="H175" s="800"/>
      <c r="I175" s="801">
        <f>Draft!$AH$25</f>
        <v>13.3001</v>
      </c>
      <c r="J175" s="802"/>
      <c r="L175" s="457"/>
      <c r="M175" s="457"/>
      <c r="N175" s="457"/>
      <c r="O175" s="457"/>
      <c r="P175" s="457"/>
    </row>
    <row r="176" spans="1:16" ht="12.95" customHeight="1" x14ac:dyDescent="0.25">
      <c r="A176" s="338" t="s">
        <v>117</v>
      </c>
      <c r="B176" s="312"/>
      <c r="C176" s="312"/>
      <c r="D176" s="312"/>
      <c r="E176" s="312"/>
      <c r="F176" s="313"/>
      <c r="G176" s="803">
        <f>Draft!$C$26</f>
        <v>6.19</v>
      </c>
      <c r="H176" s="804"/>
      <c r="I176" s="805">
        <f>Draft!$U$26</f>
        <v>13.38</v>
      </c>
      <c r="J176" s="806"/>
      <c r="L176" s="457"/>
      <c r="M176" s="457"/>
      <c r="N176" s="457"/>
      <c r="O176" s="457"/>
      <c r="P176" s="457"/>
    </row>
    <row r="177" spans="1:16" ht="12.95" customHeight="1" x14ac:dyDescent="0.25">
      <c r="A177" s="449" t="s">
        <v>118</v>
      </c>
      <c r="B177" s="315"/>
      <c r="C177" s="315"/>
      <c r="D177" s="315"/>
      <c r="E177" s="315"/>
      <c r="F177" s="316"/>
      <c r="G177" s="792">
        <f>Draft!$G$26</f>
        <v>6.1</v>
      </c>
      <c r="H177" s="793"/>
      <c r="I177" s="807">
        <f>Draft!$Y$26</f>
        <v>13.4</v>
      </c>
      <c r="J177" s="794"/>
      <c r="L177" s="457"/>
      <c r="M177" s="457"/>
      <c r="N177" s="457"/>
      <c r="O177" s="457"/>
      <c r="P177" s="457"/>
    </row>
    <row r="178" spans="1:16" ht="12.95" customHeight="1" x14ac:dyDescent="0.25">
      <c r="A178" s="339" t="s">
        <v>119</v>
      </c>
      <c r="B178" s="315"/>
      <c r="C178" s="315"/>
      <c r="D178" s="315"/>
      <c r="E178" s="315"/>
      <c r="F178" s="316"/>
      <c r="G178" s="792">
        <f>($G$176+$G$177)/2</f>
        <v>6.1449999999999996</v>
      </c>
      <c r="H178" s="793"/>
      <c r="I178" s="792">
        <f>($I$176+$I$177)/2</f>
        <v>13.39</v>
      </c>
      <c r="J178" s="794"/>
      <c r="L178" s="457"/>
      <c r="M178" s="457"/>
      <c r="N178" s="457"/>
      <c r="O178" s="457"/>
      <c r="P178" s="457"/>
    </row>
    <row r="179" spans="1:16" ht="12.95" customHeight="1" x14ac:dyDescent="0.25">
      <c r="A179" s="449" t="s">
        <v>120</v>
      </c>
      <c r="B179" s="314"/>
      <c r="C179" s="314"/>
      <c r="D179" s="314"/>
      <c r="E179" s="314"/>
      <c r="F179" s="317"/>
      <c r="G179" s="795">
        <f>Draft!$M$26</f>
        <v>0</v>
      </c>
      <c r="H179" s="796"/>
      <c r="I179" s="797">
        <f>Draft!$AE$26</f>
        <v>0</v>
      </c>
      <c r="J179" s="798"/>
      <c r="L179" s="457"/>
      <c r="M179" s="457"/>
      <c r="N179" s="457"/>
      <c r="O179" s="457"/>
      <c r="P179" s="457"/>
    </row>
    <row r="180" spans="1:16" ht="12.95" customHeight="1" x14ac:dyDescent="0.25">
      <c r="A180" s="330" t="s">
        <v>709</v>
      </c>
      <c r="B180" s="310"/>
      <c r="C180" s="310"/>
      <c r="D180" s="310"/>
      <c r="E180" s="310"/>
      <c r="F180" s="311"/>
      <c r="G180" s="799">
        <f>Draft!$P$26</f>
        <v>6.1449999999999996</v>
      </c>
      <c r="H180" s="800"/>
      <c r="I180" s="801">
        <f>Draft!$AH$26</f>
        <v>13.39</v>
      </c>
      <c r="J180" s="802"/>
      <c r="L180" s="457"/>
      <c r="M180" s="457"/>
      <c r="N180" s="457"/>
      <c r="O180" s="457"/>
      <c r="P180" s="457"/>
    </row>
    <row r="181" spans="1:16" ht="12.95" customHeight="1" x14ac:dyDescent="0.25">
      <c r="A181" s="338" t="s">
        <v>121</v>
      </c>
      <c r="B181" s="312"/>
      <c r="C181" s="312"/>
      <c r="D181" s="312"/>
      <c r="E181" s="312"/>
      <c r="F181" s="313"/>
      <c r="G181" s="803">
        <f>Draft!$C$27</f>
        <v>6.54</v>
      </c>
      <c r="H181" s="804"/>
      <c r="I181" s="805">
        <f>Draft!$U$27</f>
        <v>13.29</v>
      </c>
      <c r="J181" s="806"/>
      <c r="L181" s="457"/>
      <c r="M181" s="457"/>
      <c r="N181" s="457"/>
      <c r="O181" s="457"/>
      <c r="P181" s="457"/>
    </row>
    <row r="182" spans="1:16" ht="12.95" customHeight="1" x14ac:dyDescent="0.25">
      <c r="A182" s="339" t="s">
        <v>122</v>
      </c>
      <c r="B182" s="315"/>
      <c r="C182" s="315"/>
      <c r="D182" s="315"/>
      <c r="E182" s="315"/>
      <c r="F182" s="316"/>
      <c r="G182" s="792">
        <f>Draft!$G$27</f>
        <v>6.53</v>
      </c>
      <c r="H182" s="793"/>
      <c r="I182" s="807">
        <f>Draft!$Y$27</f>
        <v>13.3</v>
      </c>
      <c r="J182" s="794"/>
      <c r="L182" s="457"/>
      <c r="M182" s="457"/>
      <c r="N182" s="457"/>
      <c r="O182" s="457"/>
      <c r="P182" s="457"/>
    </row>
    <row r="183" spans="1:16" ht="12.95" customHeight="1" x14ac:dyDescent="0.25">
      <c r="A183" s="339" t="s">
        <v>123</v>
      </c>
      <c r="B183" s="315"/>
      <c r="C183" s="315"/>
      <c r="D183" s="315"/>
      <c r="E183" s="315"/>
      <c r="F183" s="316"/>
      <c r="G183" s="792">
        <f>($G$181+$G$182)/2</f>
        <v>6.5350000000000001</v>
      </c>
      <c r="H183" s="793"/>
      <c r="I183" s="792">
        <f>($I$181+$I$182)/2</f>
        <v>13.295</v>
      </c>
      <c r="J183" s="794"/>
      <c r="L183" s="457"/>
      <c r="M183" s="457"/>
      <c r="N183" s="457"/>
      <c r="O183" s="457"/>
      <c r="P183" s="457"/>
    </row>
    <row r="184" spans="1:16" ht="12.95" customHeight="1" x14ac:dyDescent="0.25">
      <c r="A184" s="449" t="s">
        <v>124</v>
      </c>
      <c r="B184" s="314"/>
      <c r="C184" s="314"/>
      <c r="D184" s="314"/>
      <c r="E184" s="314"/>
      <c r="F184" s="317"/>
      <c r="G184" s="795">
        <f>Draft!$M$27</f>
        <v>3.3299999999999663E-2</v>
      </c>
      <c r="H184" s="796"/>
      <c r="I184" s="797">
        <f>Draft!$AE$27</f>
        <v>-1.9999999999953388E-4</v>
      </c>
      <c r="J184" s="798"/>
      <c r="L184" s="457"/>
      <c r="M184" s="457"/>
      <c r="N184" s="457"/>
      <c r="O184" s="457"/>
      <c r="P184" s="457"/>
    </row>
    <row r="185" spans="1:16" ht="12.95" customHeight="1" x14ac:dyDescent="0.25">
      <c r="A185" s="330" t="s">
        <v>710</v>
      </c>
      <c r="B185" s="310"/>
      <c r="C185" s="310"/>
      <c r="D185" s="310"/>
      <c r="E185" s="310"/>
      <c r="F185" s="311"/>
      <c r="G185" s="799">
        <f>Draft!$P$27</f>
        <v>6.5682999999999998</v>
      </c>
      <c r="H185" s="800"/>
      <c r="I185" s="801">
        <f>Draft!$AH$27</f>
        <v>13.2948</v>
      </c>
      <c r="J185" s="802"/>
      <c r="L185" s="457"/>
      <c r="M185" s="457"/>
      <c r="N185" s="457"/>
      <c r="O185" s="457"/>
      <c r="P185" s="457"/>
    </row>
    <row r="186" spans="1:16" ht="12.95" customHeight="1" thickBot="1" x14ac:dyDescent="0.3">
      <c r="A186" s="450" t="s">
        <v>125</v>
      </c>
      <c r="B186" s="318"/>
      <c r="C186" s="318"/>
      <c r="D186" s="318"/>
      <c r="E186" s="318"/>
      <c r="F186" s="319"/>
      <c r="G186" s="781">
        <f>Draft!$O$20+Draft!$H$18</f>
        <v>0</v>
      </c>
      <c r="H186" s="782"/>
      <c r="I186" s="783">
        <f>$G$186</f>
        <v>0</v>
      </c>
      <c r="J186" s="784"/>
      <c r="L186" s="457"/>
      <c r="M186" s="457"/>
      <c r="N186" s="457"/>
      <c r="O186" s="457"/>
      <c r="P186" s="457"/>
    </row>
    <row r="187" spans="1:16" ht="12.95" customHeight="1" thickBot="1" x14ac:dyDescent="0.3">
      <c r="A187" s="451" t="s">
        <v>126</v>
      </c>
      <c r="B187" s="320"/>
      <c r="C187" s="320"/>
      <c r="D187" s="320"/>
      <c r="E187" s="320"/>
      <c r="F187" s="321"/>
      <c r="G187" s="785">
        <f>Draft!$K$31</f>
        <v>6.1590749999999996</v>
      </c>
      <c r="H187" s="786"/>
      <c r="I187" s="785">
        <f>Draft!$AC$31</f>
        <v>13.3668625</v>
      </c>
      <c r="J187" s="787"/>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127</v>
      </c>
      <c r="B189" s="327"/>
      <c r="C189" s="327"/>
      <c r="D189" s="327"/>
      <c r="E189" s="327"/>
      <c r="F189" s="328"/>
      <c r="G189" s="329" t="str">
        <f>IF(G185=0,"",IF(G185&gt;G175,"BY STERN","BY HEAD"))</f>
        <v>BY STERN</v>
      </c>
      <c r="H189" s="397">
        <f>Draft!$P$29</f>
        <v>0.73399999999999999</v>
      </c>
      <c r="I189" s="329" t="str">
        <f>IF(I185=0,"",IF(I185&gt;I175,"BY STERN","BY HEAD"))</f>
        <v>BY HEAD</v>
      </c>
      <c r="J189" s="446">
        <f>Draft!$AH$29</f>
        <v>-5.3000000000000824E-3</v>
      </c>
      <c r="L189" s="457"/>
      <c r="M189" s="457"/>
      <c r="N189" s="457"/>
      <c r="O189" s="457"/>
      <c r="P189" s="457"/>
    </row>
    <row r="190" spans="1:16" ht="12.95" customHeight="1" x14ac:dyDescent="0.25">
      <c r="A190" s="330" t="s">
        <v>128</v>
      </c>
      <c r="B190" s="331"/>
      <c r="C190" s="331"/>
      <c r="D190" s="331"/>
      <c r="E190" s="331"/>
      <c r="F190" s="332"/>
      <c r="G190" s="333" t="str">
        <f>_xlfn.CONCAT(Draft!$P$35," ",TEXT(Draft!$M$35,"0.00")," º")</f>
        <v>P 0.16 º</v>
      </c>
      <c r="H190" s="398">
        <f>Draft!$G$35</f>
        <v>9</v>
      </c>
      <c r="I190" s="333" t="str">
        <f>_xlfn.CONCAT(Draft!$AH$35," ",TEXT(Draft!$AE$35,"0.00")," º")</f>
        <v>S 0.04 º</v>
      </c>
      <c r="J190" s="447">
        <f>Draft!$Y$35</f>
        <v>2</v>
      </c>
      <c r="L190" s="457"/>
      <c r="M190" s="457"/>
      <c r="N190" s="457"/>
      <c r="O190" s="457"/>
      <c r="P190" s="457"/>
    </row>
    <row r="191" spans="1:16" ht="12.95" customHeight="1" thickBot="1" x14ac:dyDescent="0.3">
      <c r="A191" s="334" t="s">
        <v>130</v>
      </c>
      <c r="B191" s="299"/>
      <c r="C191" s="299"/>
      <c r="D191" s="299"/>
      <c r="E191" s="299"/>
      <c r="F191" s="335"/>
      <c r="G191" s="400" t="str">
        <f>Draft!$M$33</f>
        <v>HOGGING</v>
      </c>
      <c r="H191" s="399">
        <f>Draft!$G$33</f>
        <v>5.6300000000000239</v>
      </c>
      <c r="I191" s="400" t="str">
        <f>Draft!$AE$33</f>
        <v>SAGGING</v>
      </c>
      <c r="J191" s="448">
        <f>Draft!$Y$33</f>
        <v>9.2549999999999244</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131</v>
      </c>
      <c r="B193" s="336"/>
      <c r="C193" s="336"/>
      <c r="D193" s="336"/>
      <c r="E193" s="336"/>
      <c r="F193" s="337"/>
      <c r="G193" s="788" t="s">
        <v>111</v>
      </c>
      <c r="H193" s="789"/>
      <c r="I193" s="790" t="s">
        <v>112</v>
      </c>
      <c r="J193" s="791"/>
      <c r="L193" s="457"/>
      <c r="M193" s="457"/>
      <c r="N193" s="457"/>
      <c r="O193" s="457"/>
      <c r="P193" s="457"/>
    </row>
    <row r="194" spans="1:16" ht="12.95" customHeight="1" x14ac:dyDescent="0.25">
      <c r="A194" s="338" t="s">
        <v>132</v>
      </c>
      <c r="B194" s="312"/>
      <c r="C194" s="312"/>
      <c r="D194" s="312"/>
      <c r="E194" s="312"/>
      <c r="F194" s="313"/>
      <c r="G194" s="775">
        <f>Draft!$J$43</f>
        <v>38003.440000000002</v>
      </c>
      <c r="H194" s="776"/>
      <c r="I194" s="775">
        <f>Draft!$AB$43</f>
        <v>87192.72</v>
      </c>
      <c r="J194" s="777"/>
      <c r="L194" s="457"/>
      <c r="M194" s="457"/>
      <c r="N194" s="457"/>
      <c r="O194" s="457"/>
      <c r="P194" s="457"/>
    </row>
    <row r="195" spans="1:16" ht="12.95" customHeight="1" x14ac:dyDescent="0.25">
      <c r="A195" s="339" t="s">
        <v>133</v>
      </c>
      <c r="B195" s="315"/>
      <c r="C195" s="315"/>
      <c r="D195" s="315"/>
      <c r="E195" s="315"/>
      <c r="F195" s="316"/>
      <c r="G195" s="778">
        <f>Draft!$H$57</f>
        <v>-158.8911699182301</v>
      </c>
      <c r="H195" s="779"/>
      <c r="I195" s="778">
        <f>Draft!$Z$57</f>
        <v>-0.36515827433628884</v>
      </c>
      <c r="J195" s="780"/>
      <c r="L195" s="457"/>
      <c r="M195" s="457"/>
      <c r="N195" s="457"/>
      <c r="O195" s="457"/>
      <c r="P195" s="457"/>
    </row>
    <row r="196" spans="1:16" ht="12.95" customHeight="1" x14ac:dyDescent="0.25">
      <c r="A196" s="339" t="s">
        <v>134</v>
      </c>
      <c r="B196" s="315"/>
      <c r="C196" s="315"/>
      <c r="D196" s="315"/>
      <c r="E196" s="315"/>
      <c r="F196" s="316"/>
      <c r="G196" s="778">
        <f>Draft!$H$58</f>
        <v>2.5865055752212309</v>
      </c>
      <c r="H196" s="779"/>
      <c r="I196" s="778">
        <f>Draft!$Z$58</f>
        <v>1.9265265486727111E-5</v>
      </c>
      <c r="J196" s="780"/>
      <c r="L196" s="457"/>
      <c r="M196" s="457"/>
      <c r="N196" s="457"/>
      <c r="O196" s="457"/>
      <c r="P196" s="457"/>
    </row>
    <row r="197" spans="1:16" ht="12.95" customHeight="1" x14ac:dyDescent="0.25">
      <c r="A197" s="339" t="s">
        <v>135</v>
      </c>
      <c r="B197" s="315"/>
      <c r="C197" s="315"/>
      <c r="D197" s="315"/>
      <c r="E197" s="315"/>
      <c r="F197" s="316"/>
      <c r="G197" s="769">
        <f>Draft!$H$61</f>
        <v>37847.135335656996</v>
      </c>
      <c r="H197" s="770"/>
      <c r="I197" s="769">
        <f>Draft!$Z$61</f>
        <v>87192.354860990934</v>
      </c>
      <c r="J197" s="771"/>
      <c r="L197" s="457"/>
      <c r="M197" s="457"/>
      <c r="N197" s="457"/>
      <c r="O197" s="457"/>
      <c r="P197" s="457"/>
    </row>
    <row r="198" spans="1:16" ht="12.95" customHeight="1" x14ac:dyDescent="0.25">
      <c r="A198" s="339" t="s">
        <v>136</v>
      </c>
      <c r="B198" s="315"/>
      <c r="C198" s="315"/>
      <c r="D198" s="315"/>
      <c r="E198" s="315"/>
      <c r="F198" s="316"/>
      <c r="G198" s="772">
        <f>Draft!$H$62</f>
        <v>1.0145</v>
      </c>
      <c r="H198" s="773"/>
      <c r="I198" s="772">
        <f>Draft!$Z$62</f>
        <v>1.014</v>
      </c>
      <c r="J198" s="774"/>
      <c r="L198" s="457"/>
      <c r="M198" s="457"/>
      <c r="N198" s="457"/>
      <c r="O198" s="457"/>
      <c r="P198" s="457"/>
    </row>
    <row r="199" spans="1:16" ht="12.95" customHeight="1" x14ac:dyDescent="0.25">
      <c r="A199" s="339" t="s">
        <v>711</v>
      </c>
      <c r="B199" s="315"/>
      <c r="C199" s="315"/>
      <c r="D199" s="315"/>
      <c r="E199" s="315"/>
      <c r="F199" s="316"/>
      <c r="G199" s="769">
        <f>Draft!$H$63</f>
        <v>37459.432973681978</v>
      </c>
      <c r="H199" s="770"/>
      <c r="I199" s="769">
        <f>Draft!$Z$63</f>
        <v>86256.632028336404</v>
      </c>
      <c r="J199" s="771"/>
      <c r="L199" s="457"/>
      <c r="M199" s="457"/>
      <c r="N199" s="457"/>
      <c r="O199" s="457"/>
      <c r="P199" s="457"/>
    </row>
    <row r="200" spans="1:16" ht="12.95" customHeight="1" thickBot="1" x14ac:dyDescent="0.3">
      <c r="A200" s="340" t="s">
        <v>712</v>
      </c>
      <c r="B200" s="341"/>
      <c r="C200" s="341"/>
      <c r="D200" s="341"/>
      <c r="E200" s="341"/>
      <c r="F200" s="342"/>
      <c r="G200" s="759">
        <f>Draft!$H$72</f>
        <v>23626.395999999997</v>
      </c>
      <c r="H200" s="760"/>
      <c r="I200" s="759">
        <f>Draft!$AF$72</f>
        <v>1507.42</v>
      </c>
      <c r="J200" s="761"/>
      <c r="L200" s="457"/>
      <c r="M200" s="457"/>
      <c r="N200" s="457"/>
      <c r="O200" s="457"/>
      <c r="P200" s="457"/>
    </row>
    <row r="201" spans="1:16" ht="12.95" customHeight="1" thickBot="1" x14ac:dyDescent="0.3">
      <c r="A201" s="620" t="s">
        <v>713</v>
      </c>
      <c r="B201" s="621"/>
      <c r="C201" s="621"/>
      <c r="D201" s="621"/>
      <c r="E201" s="621"/>
      <c r="F201" s="621"/>
      <c r="G201" s="762">
        <f>Draft!$H$74</f>
        <v>13833.036973681981</v>
      </c>
      <c r="H201" s="763"/>
      <c r="I201" s="762">
        <f>Draft!$Z$74</f>
        <v>84749.212028336406</v>
      </c>
      <c r="J201" s="764"/>
      <c r="K201" s="452"/>
      <c r="L201" s="457"/>
      <c r="M201" s="457"/>
      <c r="N201" s="457"/>
      <c r="O201" s="457"/>
      <c r="P201" s="457"/>
    </row>
    <row r="202" spans="1:16" ht="12.95" customHeight="1" x14ac:dyDescent="0.25">
      <c r="A202" s="343" t="s">
        <v>618</v>
      </c>
      <c r="B202" s="344"/>
      <c r="C202" s="344"/>
      <c r="D202" s="344"/>
      <c r="E202" s="344"/>
      <c r="F202" s="345"/>
      <c r="G202" s="765">
        <f>Draft!$H$75</f>
        <v>13441</v>
      </c>
      <c r="H202" s="766"/>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767">
        <f>Draft!$H$77</f>
        <v>415.93697368198082</v>
      </c>
      <c r="H203" s="768"/>
      <c r="I203" s="325"/>
      <c r="J203" s="351"/>
      <c r="L203" s="457"/>
      <c r="M203" s="457"/>
      <c r="N203" s="457"/>
      <c r="O203" s="457"/>
      <c r="P203" s="457"/>
    </row>
    <row r="204" spans="1:16" ht="12.95" customHeight="1" x14ac:dyDescent="0.25">
      <c r="A204" s="352" t="s">
        <v>714</v>
      </c>
      <c r="B204" s="353"/>
      <c r="C204" s="353"/>
      <c r="D204" s="353"/>
      <c r="E204" s="353"/>
      <c r="F204" s="354"/>
      <c r="G204" s="749">
        <f>Draft!$H$76</f>
        <v>23.9</v>
      </c>
      <c r="H204" s="750"/>
      <c r="I204" s="749">
        <f>Draft!$Z$76</f>
        <v>0</v>
      </c>
      <c r="J204" s="751"/>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752">
        <f>Draft!$Z$77</f>
        <v>70892.275054654427</v>
      </c>
      <c r="J205" s="753"/>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CT, IT, RO, .</v>
      </c>
      <c r="B207" s="360"/>
      <c r="C207" s="360"/>
      <c r="D207" s="360"/>
      <c r="E207" s="360"/>
      <c r="F207" s="633"/>
      <c r="G207" s="9" t="s">
        <v>137</v>
      </c>
      <c r="H207" s="404">
        <f>Draft!$J$47</f>
        <v>64.418000000000006</v>
      </c>
      <c r="I207" s="9" t="s">
        <v>137</v>
      </c>
      <c r="J207" s="453">
        <f>Draft!$AB$47</f>
        <v>71.099999999999994</v>
      </c>
      <c r="L207" s="457"/>
      <c r="M207" s="457"/>
      <c r="N207" s="457"/>
      <c r="O207" s="457"/>
      <c r="P207" s="457"/>
    </row>
    <row r="208" spans="1:16" ht="12.95" customHeight="1" x14ac:dyDescent="0.25">
      <c r="A208" s="401" t="str">
        <f>_xlfn.CONCAT("Cargo: ",CAPA!B6)</f>
        <v>Cargo: Soybeans in bulk</v>
      </c>
      <c r="B208" s="403"/>
      <c r="C208" s="403"/>
      <c r="D208" s="403"/>
      <c r="E208" s="403"/>
      <c r="F208" s="402"/>
      <c r="G208" s="361" t="s">
        <v>143</v>
      </c>
      <c r="H208" s="405">
        <f>Draft!$J$53</f>
        <v>935.4</v>
      </c>
      <c r="I208" s="361" t="s">
        <v>143</v>
      </c>
      <c r="J208" s="454">
        <f>Draft!$AB$53</f>
        <v>1230.9000000000001</v>
      </c>
      <c r="L208" s="457"/>
      <c r="M208" s="457"/>
      <c r="N208" s="457"/>
      <c r="O208" s="457"/>
      <c r="P208" s="457"/>
    </row>
    <row r="209" spans="1:16" ht="12.95" customHeight="1" thickBot="1" x14ac:dyDescent="0.3">
      <c r="A209" s="1175" t="str">
        <f>CONCATENATE(Draft!$E$5,". ",$L$164)</f>
        <v>Paranaguá, Br - Brazil.  March 2nd, 2026</v>
      </c>
      <c r="B209" s="1176"/>
      <c r="C209" s="1176"/>
      <c r="D209" s="1176"/>
      <c r="E209" s="1176"/>
      <c r="F209" s="1177"/>
      <c r="G209" s="362" t="s">
        <v>144</v>
      </c>
      <c r="H209" s="406">
        <f>Draft!$J$54</f>
        <v>913.7</v>
      </c>
      <c r="I209" s="362" t="s">
        <v>144</v>
      </c>
      <c r="J209" s="455">
        <f>Draft!$AB$54</f>
        <v>1227.8</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757">
        <f>Draft!$Z$78</f>
        <v>70736.695000000007</v>
      </c>
      <c r="J211" s="758"/>
      <c r="L211" s="457"/>
      <c r="M211" s="457"/>
      <c r="N211" s="457"/>
      <c r="O211" s="457"/>
      <c r="P211" s="457"/>
    </row>
    <row r="212" spans="1:16" ht="12.95" customHeight="1" x14ac:dyDescent="0.25">
      <c r="A212" s="370" t="str">
        <f>A205</f>
        <v>Total cargo loaded on board as per draught survey</v>
      </c>
      <c r="B212" s="622"/>
      <c r="C212" s="622"/>
      <c r="D212" s="622"/>
      <c r="E212" s="622"/>
      <c r="F212" s="622"/>
      <c r="G212" s="623"/>
      <c r="H212" s="624"/>
      <c r="I212" s="744">
        <f>Draft!$Z$77</f>
        <v>70892.275054654427</v>
      </c>
      <c r="J212" s="745"/>
      <c r="L212" s="457"/>
      <c r="M212" s="457"/>
      <c r="N212" s="457"/>
      <c r="O212" s="457"/>
      <c r="P212" s="457"/>
    </row>
    <row r="213" spans="1:16" ht="12.95" customHeight="1" thickBot="1" x14ac:dyDescent="0.3">
      <c r="A213" s="625" t="str">
        <f>IF($G$213&gt;0,"Surplus","Shortage")</f>
        <v>Surplus</v>
      </c>
      <c r="B213" s="371"/>
      <c r="C213" s="371"/>
      <c r="D213" s="371"/>
      <c r="E213" s="371"/>
      <c r="F213" s="371"/>
      <c r="G213" s="746">
        <f>$I$212-$I$211</f>
        <v>155.58005465441965</v>
      </c>
      <c r="H213" s="746"/>
      <c r="I213" s="747">
        <f>($G$213/$I$211)*100</f>
        <v>0.21994249894544782</v>
      </c>
      <c r="J213" s="748"/>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139</v>
      </c>
      <c r="B216" s="414"/>
      <c r="C216" s="414"/>
      <c r="D216" s="414"/>
      <c r="E216" s="414"/>
      <c r="F216" s="415"/>
      <c r="G216" s="416" t="s">
        <v>140</v>
      </c>
      <c r="H216" s="583">
        <f>Draft!$X$82</f>
        <v>70750.23</v>
      </c>
      <c r="I216" s="584">
        <f>H216-I211</f>
        <v>13.534999999988941</v>
      </c>
      <c r="J216" s="626">
        <f>IFERROR((I216/I211)*100,"")</f>
        <v>1.9134340387247296E-2</v>
      </c>
      <c r="L216" s="457"/>
      <c r="M216" s="457"/>
      <c r="N216" s="457"/>
      <c r="O216" s="457"/>
      <c r="P216" s="457"/>
    </row>
    <row r="217" spans="1:16" ht="12.95" customHeight="1" x14ac:dyDescent="0.25">
      <c r="A217" s="417" t="str">
        <f>_xlfn.CONCAT("José Antonio Machado Gomes Pereira"," / ",CAPA!A97)</f>
        <v>José Antonio Machado Gomes Pereira / Haroldo Fernandes Alves Junior</v>
      </c>
      <c r="B217" s="417"/>
      <c r="C217" s="417"/>
      <c r="D217" s="417"/>
      <c r="E217" s="417"/>
      <c r="F217" s="415"/>
      <c r="G217" s="416" t="s">
        <v>141</v>
      </c>
      <c r="H217" s="583">
        <f>Draft!$X$83</f>
        <v>70750.547000000006</v>
      </c>
      <c r="I217" s="584">
        <f>H217-I211</f>
        <v>13.851999999998952</v>
      </c>
      <c r="J217" s="626">
        <f>IFERROR((I217/I211)*100,"")</f>
        <v>1.9582481200173335E-2</v>
      </c>
      <c r="L217" s="457"/>
      <c r="M217" s="457"/>
      <c r="N217" s="457"/>
      <c r="O217" s="457"/>
      <c r="P217" s="457"/>
    </row>
    <row r="218" spans="1:16" ht="12.95" customHeight="1" x14ac:dyDescent="0.25">
      <c r="A218" s="417" t="s">
        <v>142</v>
      </c>
      <c r="B218" s="417"/>
      <c r="C218" s="417"/>
      <c r="D218" s="417"/>
      <c r="E218" s="417"/>
      <c r="F218" s="418"/>
      <c r="G218" s="419"/>
      <c r="H218" s="583"/>
      <c r="I218" s="584"/>
      <c r="J218" s="626"/>
      <c r="L218" s="457"/>
      <c r="M218" s="457"/>
      <c r="N218" s="457"/>
      <c r="O218" s="457"/>
      <c r="P218" s="457"/>
    </row>
    <row r="219" spans="1:16" ht="12.95" customHeight="1" x14ac:dyDescent="0.25">
      <c r="A219" s="10"/>
      <c r="B219" s="417"/>
      <c r="C219" s="417"/>
      <c r="D219" s="417"/>
      <c r="E219" s="417"/>
      <c r="F219" s="418"/>
      <c r="G219" s="419"/>
      <c r="H219" s="583"/>
      <c r="I219" s="584"/>
      <c r="J219" s="626"/>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2.95" customHeight="1" x14ac:dyDescent="0.25">
      <c r="A221" s="308"/>
      <c r="B221" s="373"/>
      <c r="C221" s="373"/>
      <c r="D221" s="373"/>
      <c r="E221" s="373"/>
      <c r="F221" s="373"/>
      <c r="G221" s="308"/>
      <c r="H221" s="308"/>
      <c r="I221" s="308"/>
      <c r="J221" s="309"/>
      <c r="L221" s="457"/>
      <c r="M221" s="457"/>
      <c r="N221" s="457"/>
      <c r="O221" s="457"/>
      <c r="P221" s="457"/>
    </row>
    <row r="222" spans="1:16" ht="15.75" x14ac:dyDescent="0.25">
      <c r="A222" s="3" t="s">
        <v>545</v>
      </c>
      <c r="B222" s="16"/>
      <c r="C222" s="16"/>
      <c r="D222" s="16"/>
      <c r="E222" s="16"/>
      <c r="F222" s="292" t="s">
        <v>546</v>
      </c>
      <c r="G222" s="411">
        <f>Draft!$E$4</f>
        <v>46079</v>
      </c>
      <c r="H222" s="378">
        <v>0.3923611111111111</v>
      </c>
      <c r="I222" s="379" t="s">
        <v>547</v>
      </c>
      <c r="J222" s="380">
        <f>IFERROR(ROUND(Draft!$P$29,2),"")</f>
        <v>0.73</v>
      </c>
      <c r="L222" s="457"/>
      <c r="M222" s="457"/>
      <c r="N222" s="457"/>
      <c r="O222" s="457"/>
      <c r="P222" s="457"/>
    </row>
    <row r="223" spans="1:16" x14ac:dyDescent="0.25">
      <c r="A223" s="286" t="s">
        <v>0</v>
      </c>
      <c r="B223" s="286" t="s">
        <v>1</v>
      </c>
      <c r="C223" s="286" t="s">
        <v>2</v>
      </c>
      <c r="D223" s="286" t="s">
        <v>1</v>
      </c>
      <c r="E223" s="738" t="s">
        <v>573</v>
      </c>
      <c r="F223" s="738"/>
      <c r="G223" s="286" t="s">
        <v>3</v>
      </c>
      <c r="H223" s="286" t="s">
        <v>1</v>
      </c>
      <c r="I223" s="286" t="s">
        <v>1</v>
      </c>
      <c r="J223" s="286" t="s">
        <v>4</v>
      </c>
      <c r="L223" s="457"/>
      <c r="M223" s="457"/>
      <c r="N223" s="457"/>
      <c r="O223" s="457"/>
      <c r="P223" s="457"/>
    </row>
    <row r="224" spans="1:16" x14ac:dyDescent="0.25">
      <c r="A224" s="287" t="s">
        <v>715</v>
      </c>
      <c r="B224" s="287" t="s">
        <v>5</v>
      </c>
      <c r="C224" s="287" t="s">
        <v>6</v>
      </c>
      <c r="D224" s="287" t="s">
        <v>7</v>
      </c>
      <c r="E224" s="288" t="s">
        <v>8</v>
      </c>
      <c r="F224" s="288" t="s">
        <v>9</v>
      </c>
      <c r="G224" s="287" t="s">
        <v>7</v>
      </c>
      <c r="H224" s="287" t="s">
        <v>544</v>
      </c>
      <c r="I224" s="287" t="s">
        <v>10</v>
      </c>
      <c r="J224" s="287" t="s">
        <v>11</v>
      </c>
      <c r="L224" s="457"/>
      <c r="M224" s="457"/>
      <c r="N224" s="457"/>
      <c r="O224" s="457"/>
      <c r="P224" s="457"/>
    </row>
    <row r="225" spans="1:16" x14ac:dyDescent="0.25">
      <c r="A225" s="377" t="s">
        <v>12</v>
      </c>
      <c r="B225" s="526">
        <v>21.36</v>
      </c>
      <c r="C225" s="526">
        <v>0.57999999999999996</v>
      </c>
      <c r="D225" s="526">
        <v>13.54</v>
      </c>
      <c r="E225" s="526">
        <v>0</v>
      </c>
      <c r="F225" s="526">
        <v>0</v>
      </c>
      <c r="G225" s="579">
        <f>IFERROR(D225+(E225+F225),D225)</f>
        <v>13.54</v>
      </c>
      <c r="H225" s="526">
        <v>1259</v>
      </c>
      <c r="I225" s="527">
        <v>1.0209999999999999</v>
      </c>
      <c r="J225" s="528">
        <f>ROUND(H225*I225,1)</f>
        <v>1285.4000000000001</v>
      </c>
      <c r="L225" s="457"/>
      <c r="M225" s="457"/>
      <c r="N225" s="457"/>
      <c r="O225" s="457"/>
      <c r="P225" s="457"/>
    </row>
    <row r="226" spans="1:16" x14ac:dyDescent="0.25">
      <c r="A226" s="374" t="s">
        <v>767</v>
      </c>
      <c r="B226" s="1">
        <v>20.91</v>
      </c>
      <c r="C226" s="1">
        <v>0.19</v>
      </c>
      <c r="D226" s="1">
        <v>20.28</v>
      </c>
      <c r="E226" s="1">
        <v>-4.2119999999999998E-2</v>
      </c>
      <c r="F226" s="1">
        <v>1.2800000000000001E-2</v>
      </c>
      <c r="G226" s="675">
        <f>IFERROR(D226+(E226+F226),D226)</f>
        <v>20.250680000000003</v>
      </c>
      <c r="H226" s="1">
        <v>1541.7</v>
      </c>
      <c r="I226" s="530">
        <v>1.02</v>
      </c>
      <c r="J226" s="529">
        <f>IFERROR(ROUND(H226*I226,1),"")</f>
        <v>1572.5</v>
      </c>
      <c r="L226" s="457"/>
      <c r="M226" s="457"/>
      <c r="N226" s="457"/>
      <c r="O226" s="457"/>
      <c r="P226" s="457"/>
    </row>
    <row r="227" spans="1:16" x14ac:dyDescent="0.25">
      <c r="A227" s="374" t="s">
        <v>768</v>
      </c>
      <c r="B227" s="1">
        <v>20.92</v>
      </c>
      <c r="C227" s="1">
        <v>0.19</v>
      </c>
      <c r="D227" s="1">
        <v>20.43</v>
      </c>
      <c r="E227" s="1">
        <v>-4.3700000000000003E-2</v>
      </c>
      <c r="F227" s="1">
        <v>-1.324E-2</v>
      </c>
      <c r="G227" s="675">
        <f t="shared" ref="G227:G239" si="0">IFERROR(D227+(E227+F227),D227)</f>
        <v>20.373059999999999</v>
      </c>
      <c r="H227" s="1">
        <v>1576.84</v>
      </c>
      <c r="I227" s="530">
        <v>1.02</v>
      </c>
      <c r="J227" s="529">
        <f t="shared" ref="J227:J240" si="1">IFERROR(ROUND(H227*I227,1),"")</f>
        <v>1608.4</v>
      </c>
      <c r="L227" s="457"/>
      <c r="M227" s="457"/>
      <c r="N227" s="457"/>
      <c r="O227" s="457"/>
      <c r="P227" s="457"/>
    </row>
    <row r="228" spans="1:16" x14ac:dyDescent="0.25">
      <c r="A228" s="374" t="s">
        <v>769</v>
      </c>
      <c r="B228" s="1">
        <v>21</v>
      </c>
      <c r="C228" s="1">
        <v>0.17</v>
      </c>
      <c r="D228" s="1">
        <v>20.52</v>
      </c>
      <c r="E228" s="1">
        <v>-4.6600000000000003E-2</v>
      </c>
      <c r="F228" s="1">
        <v>9.4400000000000005E-3</v>
      </c>
      <c r="G228" s="675">
        <f t="shared" si="0"/>
        <v>20.482839999999999</v>
      </c>
      <c r="H228" s="1">
        <v>1655.19</v>
      </c>
      <c r="I228" s="530">
        <v>1.02</v>
      </c>
      <c r="J228" s="529">
        <f t="shared" si="1"/>
        <v>1688.3</v>
      </c>
      <c r="L228" s="457"/>
      <c r="M228" s="457"/>
      <c r="N228" s="457"/>
      <c r="O228" s="457"/>
      <c r="P228" s="457"/>
    </row>
    <row r="229" spans="1:16" x14ac:dyDescent="0.25">
      <c r="A229" s="374" t="s">
        <v>770</v>
      </c>
      <c r="B229" s="1">
        <v>20.99</v>
      </c>
      <c r="C229" s="1">
        <v>0.16</v>
      </c>
      <c r="D229" s="1">
        <v>20.46</v>
      </c>
      <c r="E229" s="1">
        <v>-4.6620000000000002E-2</v>
      </c>
      <c r="F229" s="1">
        <v>-1.4239999999999999E-2</v>
      </c>
      <c r="G229" s="675">
        <f t="shared" si="0"/>
        <v>20.399139999999999</v>
      </c>
      <c r="H229" s="1">
        <v>1645.2</v>
      </c>
      <c r="I229" s="530">
        <v>1.0209999999999999</v>
      </c>
      <c r="J229" s="529">
        <f t="shared" si="1"/>
        <v>1679.7</v>
      </c>
      <c r="L229" s="457"/>
      <c r="M229" s="457"/>
      <c r="N229" s="457"/>
      <c r="O229" s="457"/>
      <c r="P229" s="457"/>
    </row>
    <row r="230" spans="1:16" x14ac:dyDescent="0.25">
      <c r="A230" s="374" t="s">
        <v>771</v>
      </c>
      <c r="B230" s="1">
        <v>20.93</v>
      </c>
      <c r="C230" s="1">
        <v>0.18</v>
      </c>
      <c r="D230" s="1">
        <v>20.260000000000002</v>
      </c>
      <c r="E230" s="1">
        <v>-8.8800000000000004E-2</v>
      </c>
      <c r="F230" s="1">
        <v>1.52E-2</v>
      </c>
      <c r="G230" s="675">
        <f t="shared" si="0"/>
        <v>20.186400000000003</v>
      </c>
      <c r="H230" s="1">
        <v>3453.04</v>
      </c>
      <c r="I230" s="530">
        <v>1.0209999999999999</v>
      </c>
      <c r="J230" s="529">
        <f t="shared" si="1"/>
        <v>3525.6</v>
      </c>
      <c r="L230" s="457"/>
      <c r="M230" s="457"/>
      <c r="N230" s="457"/>
      <c r="O230" s="457"/>
      <c r="P230" s="457"/>
    </row>
    <row r="231" spans="1:16" x14ac:dyDescent="0.25">
      <c r="A231" s="374" t="s">
        <v>772</v>
      </c>
      <c r="B231" s="1">
        <v>20.95</v>
      </c>
      <c r="C231" s="1">
        <v>0.18</v>
      </c>
      <c r="D231" s="1">
        <v>20.350000000000001</v>
      </c>
      <c r="E231" s="1">
        <v>-9.2060000000000003E-2</v>
      </c>
      <c r="F231" s="1">
        <v>-1.6624E-2</v>
      </c>
      <c r="G231" s="675">
        <f t="shared" si="0"/>
        <v>20.241316000000001</v>
      </c>
      <c r="H231" s="1">
        <v>3516.38</v>
      </c>
      <c r="I231" s="530">
        <v>1.0209999999999999</v>
      </c>
      <c r="J231" s="529">
        <f t="shared" si="1"/>
        <v>3590.2</v>
      </c>
      <c r="L231" s="457"/>
      <c r="M231" s="457"/>
      <c r="N231" s="457"/>
      <c r="O231" s="457"/>
      <c r="P231" s="457"/>
    </row>
    <row r="232" spans="1:16" x14ac:dyDescent="0.25">
      <c r="A232" s="374" t="s">
        <v>773</v>
      </c>
      <c r="B232" s="1">
        <v>21</v>
      </c>
      <c r="C232" s="1">
        <v>0.17</v>
      </c>
      <c r="D232" s="1">
        <v>20.53</v>
      </c>
      <c r="E232" s="1">
        <v>-0.13394</v>
      </c>
      <c r="F232" s="1">
        <v>9.7599999999999996E-3</v>
      </c>
      <c r="G232" s="675">
        <f t="shared" si="0"/>
        <v>20.405820000000002</v>
      </c>
      <c r="H232" s="1">
        <v>2651.18</v>
      </c>
      <c r="I232" s="530">
        <v>1.02</v>
      </c>
      <c r="J232" s="529">
        <f t="shared" si="1"/>
        <v>2704.2</v>
      </c>
      <c r="L232" s="457"/>
      <c r="M232" s="457"/>
      <c r="N232" s="457"/>
      <c r="O232" s="457"/>
      <c r="P232" s="457"/>
    </row>
    <row r="233" spans="1:16" x14ac:dyDescent="0.25">
      <c r="A233" s="374" t="s">
        <v>774</v>
      </c>
      <c r="B233" s="1">
        <v>21.01</v>
      </c>
      <c r="C233" s="1">
        <v>0.17</v>
      </c>
      <c r="D233" s="1">
        <v>20.58</v>
      </c>
      <c r="E233" s="1">
        <v>-0.1125</v>
      </c>
      <c r="F233" s="1">
        <v>-1.155E-2</v>
      </c>
      <c r="G233" s="675">
        <f t="shared" si="0"/>
        <v>20.455949999999998</v>
      </c>
      <c r="H233" s="1">
        <v>2683.16</v>
      </c>
      <c r="I233" s="530">
        <v>1.02</v>
      </c>
      <c r="J233" s="529">
        <f t="shared" si="1"/>
        <v>2736.8</v>
      </c>
      <c r="L233" s="457"/>
      <c r="M233" s="457"/>
      <c r="N233" s="457"/>
      <c r="O233" s="457"/>
      <c r="P233" s="457"/>
    </row>
    <row r="234" spans="1:16" x14ac:dyDescent="0.25">
      <c r="A234" s="374" t="s">
        <v>13</v>
      </c>
      <c r="B234" s="1">
        <v>20.95</v>
      </c>
      <c r="C234" s="1">
        <v>0.18</v>
      </c>
      <c r="D234" s="1">
        <v>14.9</v>
      </c>
      <c r="E234" s="1">
        <v>0</v>
      </c>
      <c r="F234" s="1">
        <v>3.7600000000000001E-2</v>
      </c>
      <c r="G234" s="675">
        <f t="shared" si="0"/>
        <v>14.9376</v>
      </c>
      <c r="H234" s="1">
        <v>1145.28</v>
      </c>
      <c r="I234" s="530">
        <v>1.02</v>
      </c>
      <c r="J234" s="529">
        <f t="shared" si="1"/>
        <v>1168.2</v>
      </c>
      <c r="L234" s="457"/>
      <c r="M234" s="457"/>
      <c r="N234" s="457"/>
      <c r="O234" s="457"/>
      <c r="P234" s="457"/>
    </row>
    <row r="235" spans="1:16" x14ac:dyDescent="0.25">
      <c r="A235" s="374" t="s">
        <v>14</v>
      </c>
      <c r="B235" s="1">
        <v>20.95</v>
      </c>
      <c r="C235" s="1">
        <v>0.18</v>
      </c>
      <c r="D235" s="1">
        <v>7.79</v>
      </c>
      <c r="E235" s="1">
        <v>-2.29E-2</v>
      </c>
      <c r="F235" s="1">
        <v>-2.9760000000000002E-2</v>
      </c>
      <c r="G235" s="675">
        <f t="shared" si="0"/>
        <v>7.7373399999999997</v>
      </c>
      <c r="H235" s="1">
        <v>1045.42</v>
      </c>
      <c r="I235" s="530">
        <v>1.02</v>
      </c>
      <c r="J235" s="529">
        <f t="shared" si="1"/>
        <v>1066.3</v>
      </c>
      <c r="L235" s="457"/>
      <c r="M235" s="457"/>
      <c r="N235" s="457"/>
      <c r="O235" s="457"/>
      <c r="P235" s="457"/>
    </row>
    <row r="236" spans="1:16" x14ac:dyDescent="0.25">
      <c r="A236" s="374" t="s">
        <v>542</v>
      </c>
      <c r="B236" s="1">
        <v>14.39</v>
      </c>
      <c r="C236" s="1">
        <v>0.18</v>
      </c>
      <c r="D236" s="1">
        <v>0</v>
      </c>
      <c r="E236" s="1">
        <v>0</v>
      </c>
      <c r="F236" s="1">
        <v>0</v>
      </c>
      <c r="G236" s="675">
        <f t="shared" si="0"/>
        <v>0</v>
      </c>
      <c r="H236" s="1">
        <v>0.1</v>
      </c>
      <c r="I236" s="530">
        <v>1.02</v>
      </c>
      <c r="J236" s="529">
        <f t="shared" si="1"/>
        <v>0.1</v>
      </c>
      <c r="L236" s="457"/>
      <c r="M236" s="457"/>
      <c r="N236" s="457"/>
      <c r="O236" s="457"/>
      <c r="P236" s="457"/>
    </row>
    <row r="237" spans="1:16" x14ac:dyDescent="0.25">
      <c r="A237" s="374" t="s">
        <v>543</v>
      </c>
      <c r="B237" s="1">
        <v>14.39</v>
      </c>
      <c r="C237" s="1">
        <v>0.17</v>
      </c>
      <c r="D237" s="1">
        <v>7.0000000000000007E-2</v>
      </c>
      <c r="E237" s="1">
        <v>0</v>
      </c>
      <c r="F237" s="1">
        <v>0</v>
      </c>
      <c r="G237" s="675">
        <f t="shared" si="0"/>
        <v>7.0000000000000007E-2</v>
      </c>
      <c r="H237" s="1">
        <v>0.2</v>
      </c>
      <c r="I237" s="530">
        <v>1.02</v>
      </c>
      <c r="J237" s="529">
        <f t="shared" si="1"/>
        <v>0.2</v>
      </c>
      <c r="L237" s="457"/>
      <c r="M237" s="457"/>
      <c r="N237" s="457"/>
      <c r="O237" s="457"/>
      <c r="P237" s="457"/>
    </row>
    <row r="238" spans="1:16" x14ac:dyDescent="0.25">
      <c r="A238" s="375" t="s">
        <v>775</v>
      </c>
      <c r="B238" s="1">
        <v>5.6</v>
      </c>
      <c r="C238" s="1">
        <v>0.17</v>
      </c>
      <c r="D238" s="1">
        <v>0.93</v>
      </c>
      <c r="E238" s="1">
        <v>-1.2579999999999999E-2</v>
      </c>
      <c r="F238" s="1">
        <v>0</v>
      </c>
      <c r="G238" s="675">
        <f t="shared" si="0"/>
        <v>0.91742000000000001</v>
      </c>
      <c r="H238" s="1">
        <v>20.8</v>
      </c>
      <c r="I238" s="530">
        <v>1</v>
      </c>
      <c r="J238" s="529">
        <f t="shared" si="1"/>
        <v>20.8</v>
      </c>
      <c r="L238" s="457"/>
      <c r="M238" s="457"/>
      <c r="N238" s="457"/>
      <c r="O238" s="457"/>
      <c r="P238" s="457"/>
    </row>
    <row r="239" spans="1:16" x14ac:dyDescent="0.25">
      <c r="A239" s="375" t="s">
        <v>776</v>
      </c>
      <c r="B239" s="1">
        <v>5.6</v>
      </c>
      <c r="C239" s="1">
        <v>0.17</v>
      </c>
      <c r="D239" s="1">
        <v>0.69</v>
      </c>
      <c r="E239" s="1">
        <v>-1.332E-2</v>
      </c>
      <c r="F239" s="1">
        <v>0</v>
      </c>
      <c r="G239" s="675">
        <f t="shared" si="0"/>
        <v>0.67667999999999995</v>
      </c>
      <c r="H239" s="1">
        <v>12.2</v>
      </c>
      <c r="I239" s="530">
        <v>1</v>
      </c>
      <c r="J239" s="529">
        <f t="shared" si="1"/>
        <v>12.2</v>
      </c>
      <c r="L239" s="457"/>
      <c r="M239" s="457"/>
      <c r="N239" s="457"/>
      <c r="O239" s="457"/>
      <c r="P239" s="457"/>
    </row>
    <row r="240" spans="1:16" x14ac:dyDescent="0.25">
      <c r="A240" s="376" t="s">
        <v>15</v>
      </c>
      <c r="B240" s="1">
        <v>7.76</v>
      </c>
      <c r="C240" s="2">
        <v>0.57999999999999996</v>
      </c>
      <c r="D240" s="2">
        <v>0.1</v>
      </c>
      <c r="E240" s="2">
        <v>0</v>
      </c>
      <c r="F240" s="2">
        <v>0</v>
      </c>
      <c r="G240" s="580">
        <f>IFERROR(D240+(E240+F240),D240)</f>
        <v>0.1</v>
      </c>
      <c r="H240" s="2">
        <v>0.5</v>
      </c>
      <c r="I240" s="531">
        <v>1.022</v>
      </c>
      <c r="J240" s="532">
        <f t="shared" si="1"/>
        <v>0.5</v>
      </c>
      <c r="L240" s="457"/>
      <c r="M240" s="457"/>
      <c r="N240" s="457"/>
      <c r="O240" s="457"/>
      <c r="P240" s="457"/>
    </row>
    <row r="241" spans="1:16" x14ac:dyDescent="0.25">
      <c r="A241" s="289" t="s">
        <v>16</v>
      </c>
      <c r="B241" s="290"/>
      <c r="C241" s="290"/>
      <c r="D241" s="290"/>
      <c r="E241" s="290"/>
      <c r="F241" s="290"/>
      <c r="G241" s="291"/>
      <c r="H241" s="533">
        <f>SUM($H$225:$H$240)</f>
        <v>22206.19</v>
      </c>
      <c r="I241" s="534"/>
      <c r="J241" s="533">
        <f>SUM($J$225:$J$240)</f>
        <v>22659.399999999998</v>
      </c>
      <c r="L241" s="457"/>
      <c r="M241" s="457"/>
      <c r="N241" s="457"/>
      <c r="O241" s="457"/>
      <c r="P241" s="457"/>
    </row>
    <row r="242" spans="1:16" x14ac:dyDescent="0.25">
      <c r="L242" s="457"/>
      <c r="M242" s="457"/>
      <c r="N242" s="457"/>
      <c r="O242" s="457"/>
      <c r="P242" s="457"/>
    </row>
    <row r="243" spans="1:16" x14ac:dyDescent="0.25">
      <c r="L243" s="457"/>
      <c r="M243" s="457"/>
      <c r="N243" s="457"/>
      <c r="O243" s="457"/>
      <c r="P243" s="457"/>
    </row>
    <row r="244" spans="1:16" ht="15.75" x14ac:dyDescent="0.25">
      <c r="A244" s="3" t="s">
        <v>548</v>
      </c>
      <c r="F244" s="292" t="s">
        <v>546</v>
      </c>
      <c r="G244" s="411">
        <f>Draft!$X$4</f>
        <v>46083</v>
      </c>
      <c r="H244" s="378"/>
      <c r="I244" s="379" t="s">
        <v>547</v>
      </c>
      <c r="J244" s="380">
        <f>IFERROR(ROUND(Draft!$AH$29,2),"")</f>
        <v>-0.01</v>
      </c>
      <c r="L244" s="457"/>
      <c r="M244" s="457"/>
      <c r="N244" s="457"/>
      <c r="O244" s="457"/>
      <c r="P244" s="457"/>
    </row>
    <row r="245" spans="1:16" x14ac:dyDescent="0.25">
      <c r="A245" s="286" t="s">
        <v>0</v>
      </c>
      <c r="B245" s="286" t="s">
        <v>1</v>
      </c>
      <c r="C245" s="286" t="s">
        <v>2</v>
      </c>
      <c r="D245" s="286" t="s">
        <v>1</v>
      </c>
      <c r="E245" s="738" t="s">
        <v>573</v>
      </c>
      <c r="F245" s="738"/>
      <c r="G245" s="286" t="s">
        <v>3</v>
      </c>
      <c r="H245" s="286" t="s">
        <v>1</v>
      </c>
      <c r="I245" s="286" t="s">
        <v>1</v>
      </c>
      <c r="J245" s="286" t="s">
        <v>4</v>
      </c>
      <c r="L245" s="457"/>
      <c r="M245" s="457"/>
      <c r="N245" s="457"/>
      <c r="O245" s="457"/>
      <c r="P245" s="457"/>
    </row>
    <row r="246" spans="1:16" x14ac:dyDescent="0.25">
      <c r="A246" s="287" t="s">
        <v>715</v>
      </c>
      <c r="B246" s="287" t="s">
        <v>5</v>
      </c>
      <c r="C246" s="287" t="s">
        <v>6</v>
      </c>
      <c r="D246" s="287" t="s">
        <v>7</v>
      </c>
      <c r="E246" s="288" t="s">
        <v>8</v>
      </c>
      <c r="F246" s="288" t="s">
        <v>9</v>
      </c>
      <c r="G246" s="287" t="s">
        <v>7</v>
      </c>
      <c r="H246" s="287" t="s">
        <v>544</v>
      </c>
      <c r="I246" s="287" t="s">
        <v>10</v>
      </c>
      <c r="J246" s="287" t="s">
        <v>11</v>
      </c>
      <c r="L246" s="457"/>
      <c r="M246" s="457"/>
      <c r="N246" s="457"/>
      <c r="O246" s="457"/>
      <c r="P246" s="457"/>
    </row>
    <row r="247" spans="1:16" x14ac:dyDescent="0.25">
      <c r="A247" s="377" t="str">
        <f t="shared" ref="A247:C262" si="2">A225</f>
        <v>F.PK</v>
      </c>
      <c r="B247" s="526">
        <f t="shared" si="2"/>
        <v>21.36</v>
      </c>
      <c r="C247" s="526">
        <f t="shared" si="2"/>
        <v>0.57999999999999996</v>
      </c>
      <c r="D247" s="576">
        <v>0.16</v>
      </c>
      <c r="E247" s="576"/>
      <c r="F247" s="576"/>
      <c r="G247" s="579">
        <f>IFERROR(D247+(E247+F247),D247)</f>
        <v>0.16</v>
      </c>
      <c r="H247" s="576">
        <v>4</v>
      </c>
      <c r="I247" s="527">
        <f t="shared" ref="I247:I262" si="3">I225</f>
        <v>1.0209999999999999</v>
      </c>
      <c r="J247" s="528">
        <f>ROUND(H247*I247,1)</f>
        <v>4.0999999999999996</v>
      </c>
      <c r="L247" s="457"/>
      <c r="M247" s="457"/>
      <c r="N247" s="457"/>
      <c r="O247" s="457"/>
      <c r="P247" s="457"/>
    </row>
    <row r="248" spans="1:16" x14ac:dyDescent="0.25">
      <c r="A248" s="374" t="str">
        <f t="shared" si="2"/>
        <v>1 WBT (P)</v>
      </c>
      <c r="B248" s="1">
        <f t="shared" si="2"/>
        <v>20.91</v>
      </c>
      <c r="C248" s="1">
        <f t="shared" si="2"/>
        <v>0.19</v>
      </c>
      <c r="D248" s="577">
        <v>7.0000000000000007E-2</v>
      </c>
      <c r="E248" s="577"/>
      <c r="F248" s="577"/>
      <c r="G248" s="675">
        <f>IFERROR(D248+(E248+F248),D248)</f>
        <v>7.0000000000000007E-2</v>
      </c>
      <c r="H248" s="577">
        <v>20.22</v>
      </c>
      <c r="I248" s="530">
        <f t="shared" si="3"/>
        <v>1.02</v>
      </c>
      <c r="J248" s="529">
        <f>IFERROR(ROUND(H248*I248,1),"")</f>
        <v>20.6</v>
      </c>
      <c r="L248" s="457"/>
      <c r="M248" s="457"/>
      <c r="N248" s="457"/>
      <c r="O248" s="457"/>
      <c r="P248" s="457"/>
    </row>
    <row r="249" spans="1:16" x14ac:dyDescent="0.25">
      <c r="A249" s="374" t="str">
        <f t="shared" si="2"/>
        <v>1 WBT (S)</v>
      </c>
      <c r="B249" s="1">
        <f t="shared" si="2"/>
        <v>20.92</v>
      </c>
      <c r="C249" s="1">
        <f t="shared" si="2"/>
        <v>0.19</v>
      </c>
      <c r="D249" s="577">
        <v>7.0000000000000007E-2</v>
      </c>
      <c r="E249" s="577"/>
      <c r="F249" s="577"/>
      <c r="G249" s="675">
        <f t="shared" ref="G249:G261" si="4">IFERROR(D249+(E249+F249),D249)</f>
        <v>7.0000000000000007E-2</v>
      </c>
      <c r="H249" s="577">
        <v>20.22</v>
      </c>
      <c r="I249" s="530">
        <f t="shared" si="3"/>
        <v>1.02</v>
      </c>
      <c r="J249" s="529">
        <f t="shared" ref="J249:J262" si="5">IFERROR(ROUND(H249*I249,1),"")</f>
        <v>20.6</v>
      </c>
      <c r="L249" s="457"/>
      <c r="M249" s="457"/>
      <c r="N249" s="457"/>
      <c r="O249" s="457"/>
      <c r="P249" s="457"/>
    </row>
    <row r="250" spans="1:16" x14ac:dyDescent="0.25">
      <c r="A250" s="374" t="str">
        <f t="shared" si="2"/>
        <v>2 WBT (P)</v>
      </c>
      <c r="B250" s="1">
        <f t="shared" si="2"/>
        <v>21</v>
      </c>
      <c r="C250" s="1">
        <f t="shared" si="2"/>
        <v>0.17</v>
      </c>
      <c r="D250" s="577">
        <v>0.05</v>
      </c>
      <c r="E250" s="577"/>
      <c r="F250" s="577"/>
      <c r="G250" s="675">
        <f t="shared" si="4"/>
        <v>0.05</v>
      </c>
      <c r="H250" s="577">
        <v>28</v>
      </c>
      <c r="I250" s="530">
        <f t="shared" si="3"/>
        <v>1.02</v>
      </c>
      <c r="J250" s="529">
        <f t="shared" si="5"/>
        <v>28.6</v>
      </c>
      <c r="L250" s="457"/>
      <c r="M250" s="457"/>
      <c r="N250" s="457"/>
      <c r="O250" s="457"/>
      <c r="P250" s="457"/>
    </row>
    <row r="251" spans="1:16" x14ac:dyDescent="0.25">
      <c r="A251" s="374" t="str">
        <f t="shared" si="2"/>
        <v>2 WBT (S)</v>
      </c>
      <c r="B251" s="1">
        <f t="shared" si="2"/>
        <v>20.99</v>
      </c>
      <c r="C251" s="1">
        <f t="shared" si="2"/>
        <v>0.16</v>
      </c>
      <c r="D251" s="577">
        <v>0.06</v>
      </c>
      <c r="E251" s="577"/>
      <c r="F251" s="577"/>
      <c r="G251" s="675">
        <f t="shared" si="4"/>
        <v>0.06</v>
      </c>
      <c r="H251" s="577">
        <v>37.020000000000003</v>
      </c>
      <c r="I251" s="530">
        <f t="shared" si="3"/>
        <v>1.0209999999999999</v>
      </c>
      <c r="J251" s="529">
        <f t="shared" si="5"/>
        <v>37.799999999999997</v>
      </c>
      <c r="L251" s="457"/>
      <c r="M251" s="457"/>
      <c r="N251" s="457"/>
      <c r="O251" s="457"/>
      <c r="P251" s="457"/>
    </row>
    <row r="252" spans="1:16" x14ac:dyDescent="0.25">
      <c r="A252" s="374" t="str">
        <f t="shared" si="2"/>
        <v>3 WBT (P)</v>
      </c>
      <c r="B252" s="1">
        <f t="shared" si="2"/>
        <v>20.93</v>
      </c>
      <c r="C252" s="1">
        <f t="shared" si="2"/>
        <v>0.18</v>
      </c>
      <c r="D252" s="577">
        <v>0.01</v>
      </c>
      <c r="E252" s="577"/>
      <c r="F252" s="577"/>
      <c r="G252" s="675">
        <f t="shared" si="4"/>
        <v>0.01</v>
      </c>
      <c r="H252" s="577">
        <v>34.159999999999997</v>
      </c>
      <c r="I252" s="530">
        <f t="shared" si="3"/>
        <v>1.0209999999999999</v>
      </c>
      <c r="J252" s="529">
        <f t="shared" si="5"/>
        <v>34.9</v>
      </c>
      <c r="L252" s="457"/>
      <c r="M252" s="457"/>
      <c r="N252" s="457"/>
      <c r="O252" s="457"/>
      <c r="P252" s="457"/>
    </row>
    <row r="253" spans="1:16" x14ac:dyDescent="0.25">
      <c r="A253" s="374" t="str">
        <f t="shared" si="2"/>
        <v>3 WBT (S)</v>
      </c>
      <c r="B253" s="1">
        <f t="shared" si="2"/>
        <v>20.95</v>
      </c>
      <c r="C253" s="1">
        <f t="shared" si="2"/>
        <v>0.18</v>
      </c>
      <c r="D253" s="577">
        <v>0.02</v>
      </c>
      <c r="E253" s="577"/>
      <c r="F253" s="577"/>
      <c r="G253" s="675">
        <f t="shared" si="4"/>
        <v>0.02</v>
      </c>
      <c r="H253" s="577">
        <v>41.72</v>
      </c>
      <c r="I253" s="530">
        <f t="shared" si="3"/>
        <v>1.0209999999999999</v>
      </c>
      <c r="J253" s="529">
        <f t="shared" si="5"/>
        <v>42.6</v>
      </c>
      <c r="L253" s="457"/>
      <c r="M253" s="457"/>
      <c r="N253" s="457"/>
      <c r="O253" s="457"/>
      <c r="P253" s="457"/>
    </row>
    <row r="254" spans="1:16" x14ac:dyDescent="0.25">
      <c r="A254" s="374" t="str">
        <f t="shared" si="2"/>
        <v>4 WBT (P)</v>
      </c>
      <c r="B254" s="1">
        <f t="shared" si="2"/>
        <v>21</v>
      </c>
      <c r="C254" s="1">
        <f t="shared" si="2"/>
        <v>0.17</v>
      </c>
      <c r="D254" s="577">
        <v>0.02</v>
      </c>
      <c r="E254" s="577"/>
      <c r="F254" s="577"/>
      <c r="G254" s="675">
        <f t="shared" si="4"/>
        <v>0.02</v>
      </c>
      <c r="H254" s="577">
        <v>40.1</v>
      </c>
      <c r="I254" s="530">
        <f t="shared" si="3"/>
        <v>1.02</v>
      </c>
      <c r="J254" s="529">
        <f t="shared" si="5"/>
        <v>40.9</v>
      </c>
      <c r="L254" s="457"/>
      <c r="M254" s="457"/>
      <c r="N254" s="457"/>
      <c r="O254" s="457"/>
      <c r="P254" s="457"/>
    </row>
    <row r="255" spans="1:16" x14ac:dyDescent="0.25">
      <c r="A255" s="374" t="str">
        <f t="shared" si="2"/>
        <v>4 WBT (S)</v>
      </c>
      <c r="B255" s="1">
        <f t="shared" si="2"/>
        <v>21.01</v>
      </c>
      <c r="C255" s="1">
        <f t="shared" si="2"/>
        <v>0.17</v>
      </c>
      <c r="D255" s="577">
        <v>0.01</v>
      </c>
      <c r="E255" s="577"/>
      <c r="F255" s="577"/>
      <c r="G255" s="675">
        <f t="shared" si="4"/>
        <v>0.01</v>
      </c>
      <c r="H255" s="577">
        <v>30.86</v>
      </c>
      <c r="I255" s="530">
        <f t="shared" si="3"/>
        <v>1.02</v>
      </c>
      <c r="J255" s="529">
        <f t="shared" si="5"/>
        <v>31.5</v>
      </c>
      <c r="L255" s="457"/>
      <c r="M255" s="457"/>
      <c r="N255" s="457"/>
      <c r="O255" s="457"/>
      <c r="P255" s="457"/>
    </row>
    <row r="256" spans="1:16" x14ac:dyDescent="0.25">
      <c r="A256" s="374" t="str">
        <f t="shared" si="2"/>
        <v>5 DB (P)</v>
      </c>
      <c r="B256" s="1">
        <f t="shared" si="2"/>
        <v>20.95</v>
      </c>
      <c r="C256" s="1">
        <f t="shared" si="2"/>
        <v>0.18</v>
      </c>
      <c r="D256" s="577">
        <v>0.01</v>
      </c>
      <c r="E256" s="577"/>
      <c r="F256" s="577"/>
      <c r="G256" s="675">
        <f t="shared" si="4"/>
        <v>0.01</v>
      </c>
      <c r="H256" s="577">
        <v>4.76</v>
      </c>
      <c r="I256" s="530">
        <f t="shared" si="3"/>
        <v>1.02</v>
      </c>
      <c r="J256" s="529">
        <f t="shared" si="5"/>
        <v>4.9000000000000004</v>
      </c>
      <c r="L256" s="457"/>
      <c r="M256" s="457"/>
      <c r="N256" s="457"/>
      <c r="O256" s="457"/>
      <c r="P256" s="457"/>
    </row>
    <row r="257" spans="1:16" x14ac:dyDescent="0.25">
      <c r="A257" s="374" t="str">
        <f t="shared" si="2"/>
        <v>5 DB (S)</v>
      </c>
      <c r="B257" s="1">
        <f t="shared" si="2"/>
        <v>20.95</v>
      </c>
      <c r="C257" s="1">
        <f t="shared" si="2"/>
        <v>0.18</v>
      </c>
      <c r="D257" s="577">
        <v>0.02</v>
      </c>
      <c r="E257" s="577"/>
      <c r="F257" s="577"/>
      <c r="G257" s="675">
        <f t="shared" si="4"/>
        <v>0.02</v>
      </c>
      <c r="H257" s="577">
        <v>7.02</v>
      </c>
      <c r="I257" s="530">
        <f t="shared" si="3"/>
        <v>1.02</v>
      </c>
      <c r="J257" s="529">
        <f t="shared" si="5"/>
        <v>7.2</v>
      </c>
      <c r="L257" s="457"/>
      <c r="M257" s="457"/>
      <c r="N257" s="457"/>
      <c r="O257" s="457"/>
      <c r="P257" s="457"/>
    </row>
    <row r="258" spans="1:16" x14ac:dyDescent="0.25">
      <c r="A258" s="374" t="str">
        <f t="shared" si="2"/>
        <v>6 DB (P)</v>
      </c>
      <c r="B258" s="1">
        <f t="shared" si="2"/>
        <v>14.39</v>
      </c>
      <c r="C258" s="1">
        <f t="shared" si="2"/>
        <v>0.18</v>
      </c>
      <c r="D258" s="577">
        <v>0.17</v>
      </c>
      <c r="E258" s="577"/>
      <c r="F258" s="577"/>
      <c r="G258" s="675">
        <f t="shared" si="4"/>
        <v>0.17</v>
      </c>
      <c r="H258" s="577">
        <v>0.3</v>
      </c>
      <c r="I258" s="530">
        <f t="shared" si="3"/>
        <v>1.02</v>
      </c>
      <c r="J258" s="529">
        <f t="shared" si="5"/>
        <v>0.3</v>
      </c>
      <c r="L258" s="457"/>
      <c r="M258" s="457"/>
      <c r="N258" s="457"/>
      <c r="O258" s="457"/>
      <c r="P258" s="457"/>
    </row>
    <row r="259" spans="1:16" x14ac:dyDescent="0.25">
      <c r="A259" s="374" t="str">
        <f t="shared" si="2"/>
        <v>6 DB (S)</v>
      </c>
      <c r="B259" s="1">
        <f t="shared" si="2"/>
        <v>14.39</v>
      </c>
      <c r="C259" s="1">
        <f t="shared" si="2"/>
        <v>0.17</v>
      </c>
      <c r="D259" s="577">
        <v>0.17</v>
      </c>
      <c r="E259" s="577"/>
      <c r="F259" s="577"/>
      <c r="G259" s="675">
        <f t="shared" si="4"/>
        <v>0.17</v>
      </c>
      <c r="H259" s="577">
        <v>0.3</v>
      </c>
      <c r="I259" s="530">
        <f t="shared" si="3"/>
        <v>1.02</v>
      </c>
      <c r="J259" s="529">
        <f t="shared" si="5"/>
        <v>0.3</v>
      </c>
      <c r="L259" s="457"/>
      <c r="M259" s="457"/>
      <c r="N259" s="457"/>
      <c r="O259" s="457"/>
      <c r="P259" s="457"/>
    </row>
    <row r="260" spans="1:16" x14ac:dyDescent="0.25">
      <c r="A260" s="375" t="str">
        <f t="shared" si="2"/>
        <v>Collect (P)</v>
      </c>
      <c r="B260" s="1">
        <f t="shared" si="2"/>
        <v>5.6</v>
      </c>
      <c r="C260" s="1">
        <f t="shared" si="2"/>
        <v>0.17</v>
      </c>
      <c r="D260" s="577">
        <v>1.27</v>
      </c>
      <c r="E260" s="577"/>
      <c r="F260" s="577"/>
      <c r="G260" s="675">
        <f t="shared" si="4"/>
        <v>1.27</v>
      </c>
      <c r="H260" s="577">
        <v>34.299999999999997</v>
      </c>
      <c r="I260" s="530">
        <f t="shared" si="3"/>
        <v>1</v>
      </c>
      <c r="J260" s="529">
        <f t="shared" si="5"/>
        <v>34.299999999999997</v>
      </c>
      <c r="L260" s="457"/>
      <c r="M260" s="457"/>
      <c r="N260" s="457"/>
      <c r="O260" s="457"/>
      <c r="P260" s="457"/>
    </row>
    <row r="261" spans="1:16" x14ac:dyDescent="0.25">
      <c r="A261" s="375" t="str">
        <f t="shared" si="2"/>
        <v>Collect (S)</v>
      </c>
      <c r="B261" s="1">
        <f t="shared" si="2"/>
        <v>5.6</v>
      </c>
      <c r="C261" s="1">
        <f t="shared" si="2"/>
        <v>0.17</v>
      </c>
      <c r="D261" s="577">
        <v>1.02</v>
      </c>
      <c r="E261" s="577"/>
      <c r="F261" s="577"/>
      <c r="G261" s="675">
        <f t="shared" si="4"/>
        <v>1.02</v>
      </c>
      <c r="H261" s="577">
        <v>24.6</v>
      </c>
      <c r="I261" s="530">
        <f t="shared" si="3"/>
        <v>1</v>
      </c>
      <c r="J261" s="529">
        <f t="shared" si="5"/>
        <v>24.6</v>
      </c>
      <c r="L261" s="457"/>
      <c r="M261" s="457"/>
      <c r="N261" s="457"/>
      <c r="O261" s="457"/>
      <c r="P261" s="457"/>
    </row>
    <row r="262" spans="1:16" x14ac:dyDescent="0.25">
      <c r="A262" s="376" t="str">
        <f t="shared" si="2"/>
        <v>A.PK</v>
      </c>
      <c r="B262" s="2">
        <f t="shared" si="2"/>
        <v>7.76</v>
      </c>
      <c r="C262" s="2">
        <f t="shared" si="2"/>
        <v>0.57999999999999996</v>
      </c>
      <c r="D262" s="577">
        <v>0.12</v>
      </c>
      <c r="E262" s="578"/>
      <c r="F262" s="578"/>
      <c r="G262" s="580">
        <f>IFERROR(D262+(E262+F262),D262)</f>
        <v>0.12</v>
      </c>
      <c r="H262" s="578">
        <v>0.6</v>
      </c>
      <c r="I262" s="531">
        <f t="shared" si="3"/>
        <v>1.022</v>
      </c>
      <c r="J262" s="532">
        <f t="shared" si="5"/>
        <v>0.6</v>
      </c>
      <c r="L262" s="457"/>
      <c r="M262" s="457"/>
      <c r="N262" s="457"/>
      <c r="O262" s="457"/>
      <c r="P262" s="457"/>
    </row>
    <row r="263" spans="1:16" x14ac:dyDescent="0.25">
      <c r="A263" s="289" t="s">
        <v>16</v>
      </c>
      <c r="B263" s="290"/>
      <c r="C263" s="290"/>
      <c r="D263" s="290"/>
      <c r="E263" s="290"/>
      <c r="F263" s="290"/>
      <c r="G263" s="291"/>
      <c r="H263" s="533">
        <f>SUM($H$247:$H$262)</f>
        <v>328.18000000000006</v>
      </c>
      <c r="I263" s="534"/>
      <c r="J263" s="533">
        <f>SUM($J$247:$J$262)</f>
        <v>333.80000000000007</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81" t="s">
        <v>549</v>
      </c>
      <c r="L267" s="457"/>
      <c r="M267" s="457"/>
      <c r="N267" s="457"/>
      <c r="O267" s="457"/>
      <c r="P267" s="457"/>
    </row>
    <row r="268" spans="1:16" x14ac:dyDescent="0.25">
      <c r="A268" s="286" t="s">
        <v>0</v>
      </c>
      <c r="B268" s="286" t="s">
        <v>1</v>
      </c>
      <c r="C268" s="286" t="s">
        <v>2</v>
      </c>
      <c r="D268" s="286" t="s">
        <v>1</v>
      </c>
      <c r="E268" s="738" t="s">
        <v>573</v>
      </c>
      <c r="F268" s="738"/>
      <c r="G268" s="286" t="s">
        <v>3</v>
      </c>
      <c r="H268" s="286" t="s">
        <v>1</v>
      </c>
      <c r="I268" s="286" t="s">
        <v>1</v>
      </c>
      <c r="J268" s="286" t="s">
        <v>4</v>
      </c>
      <c r="L268" s="457"/>
      <c r="M268" s="457"/>
      <c r="N268" s="457"/>
      <c r="O268" s="457"/>
      <c r="P268" s="457"/>
    </row>
    <row r="269" spans="1:16" x14ac:dyDescent="0.25">
      <c r="A269" s="287" t="s">
        <v>715</v>
      </c>
      <c r="B269" s="413" t="s">
        <v>5</v>
      </c>
      <c r="C269" s="413" t="s">
        <v>6</v>
      </c>
      <c r="D269" s="287" t="s">
        <v>7</v>
      </c>
      <c r="E269" s="288" t="s">
        <v>8</v>
      </c>
      <c r="F269" s="288" t="s">
        <v>9</v>
      </c>
      <c r="G269" s="413" t="s">
        <v>7</v>
      </c>
      <c r="H269" s="287" t="s">
        <v>544</v>
      </c>
      <c r="I269" s="287" t="s">
        <v>10</v>
      </c>
      <c r="J269" s="413" t="s">
        <v>11</v>
      </c>
      <c r="L269" s="457"/>
      <c r="M269" s="457"/>
      <c r="N269" s="457"/>
      <c r="O269" s="457"/>
      <c r="P269" s="457"/>
    </row>
    <row r="270" spans="1:16" x14ac:dyDescent="0.25">
      <c r="A270" s="377" t="s">
        <v>551</v>
      </c>
      <c r="B270" s="1" t="s">
        <v>777</v>
      </c>
      <c r="C270" s="1"/>
      <c r="D270" s="725"/>
      <c r="E270" s="725"/>
      <c r="F270" s="725"/>
      <c r="G270" s="1">
        <f>IFERROR(D270+(E270+F270),"GAUGE")</f>
        <v>0</v>
      </c>
      <c r="H270" s="526">
        <v>68</v>
      </c>
      <c r="I270" s="527">
        <v>1</v>
      </c>
      <c r="J270" s="529">
        <f t="shared" ref="J270:J271" si="6">IFERROR(ROUND(H270*I270,1),"")</f>
        <v>68</v>
      </c>
      <c r="L270" s="457"/>
      <c r="M270" s="457"/>
      <c r="N270" s="457"/>
      <c r="O270" s="457"/>
      <c r="P270" s="457"/>
    </row>
    <row r="271" spans="1:16" x14ac:dyDescent="0.25">
      <c r="A271" s="383" t="s">
        <v>552</v>
      </c>
      <c r="B271" s="2"/>
      <c r="C271" s="2"/>
      <c r="D271" s="535"/>
      <c r="E271" s="535"/>
      <c r="F271" s="535"/>
      <c r="G271" s="2">
        <f t="shared" ref="G271" si="7">IFERROR(D271+(E271+F271),"GAUGE")</f>
        <v>0</v>
      </c>
      <c r="H271" s="2">
        <v>21.5</v>
      </c>
      <c r="I271" s="531">
        <v>1</v>
      </c>
      <c r="J271" s="532">
        <f t="shared" si="6"/>
        <v>21.5</v>
      </c>
      <c r="L271" s="457"/>
      <c r="M271" s="457"/>
      <c r="N271" s="457"/>
      <c r="O271" s="457"/>
      <c r="P271" s="457"/>
    </row>
    <row r="272" spans="1:16" x14ac:dyDescent="0.25">
      <c r="A272" s="382" t="s">
        <v>16</v>
      </c>
      <c r="B272" s="291"/>
      <c r="C272" s="291"/>
      <c r="D272" s="291"/>
      <c r="E272" s="291"/>
      <c r="F272" s="291"/>
      <c r="G272" s="291"/>
      <c r="H272" s="535">
        <f>SUM($H$270:$H$271)</f>
        <v>89.5</v>
      </c>
      <c r="I272" s="536"/>
      <c r="J272" s="535">
        <f>SUM($J$270:$J$271)</f>
        <v>89.5</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 t="s">
        <v>550</v>
      </c>
      <c r="L275" s="457"/>
      <c r="M275" s="457"/>
      <c r="N275" s="457"/>
      <c r="O275" s="457"/>
      <c r="P275" s="457"/>
    </row>
    <row r="276" spans="1:16" x14ac:dyDescent="0.25">
      <c r="A276" s="286" t="s">
        <v>0</v>
      </c>
      <c r="B276" s="286" t="s">
        <v>1</v>
      </c>
      <c r="C276" s="286" t="s">
        <v>2</v>
      </c>
      <c r="D276" s="286" t="s">
        <v>1</v>
      </c>
      <c r="E276" s="738" t="s">
        <v>573</v>
      </c>
      <c r="F276" s="738"/>
      <c r="G276" s="286" t="s">
        <v>3</v>
      </c>
      <c r="H276" s="286" t="s">
        <v>1</v>
      </c>
      <c r="I276" s="286" t="s">
        <v>1</v>
      </c>
      <c r="J276" s="286" t="s">
        <v>4</v>
      </c>
      <c r="L276" s="457"/>
      <c r="M276" s="457"/>
      <c r="N276" s="457"/>
      <c r="O276" s="457"/>
      <c r="P276" s="457"/>
    </row>
    <row r="277" spans="1:16" x14ac:dyDescent="0.25">
      <c r="A277" s="287" t="s">
        <v>715</v>
      </c>
      <c r="B277" s="287" t="s">
        <v>5</v>
      </c>
      <c r="C277" s="287" t="s">
        <v>6</v>
      </c>
      <c r="D277" s="287" t="s">
        <v>7</v>
      </c>
      <c r="E277" s="288" t="s">
        <v>8</v>
      </c>
      <c r="F277" s="288" t="s">
        <v>9</v>
      </c>
      <c r="G277" s="413" t="s">
        <v>7</v>
      </c>
      <c r="H277" s="287" t="s">
        <v>544</v>
      </c>
      <c r="I277" s="287" t="s">
        <v>10</v>
      </c>
      <c r="J277" s="413" t="s">
        <v>11</v>
      </c>
      <c r="L277" s="457"/>
      <c r="M277" s="457"/>
      <c r="N277" s="457"/>
      <c r="O277" s="457"/>
      <c r="P277" s="457"/>
    </row>
    <row r="278" spans="1:16" x14ac:dyDescent="0.25">
      <c r="A278" s="377" t="s">
        <v>551</v>
      </c>
      <c r="B278" s="526" t="str">
        <f>$B$270</f>
        <v>GAUGE</v>
      </c>
      <c r="C278" s="526">
        <f>$C$270</f>
        <v>0</v>
      </c>
      <c r="D278" s="526"/>
      <c r="E278" s="526"/>
      <c r="F278" s="526"/>
      <c r="G278" s="1">
        <f>IFERROR(D278+(E278+F278),"GAUGE")</f>
        <v>0</v>
      </c>
      <c r="H278" s="526">
        <v>45</v>
      </c>
      <c r="I278" s="527">
        <v>1</v>
      </c>
      <c r="J278" s="529">
        <f t="shared" ref="J278:J279" si="8">IFERROR(ROUND(H278*I278,1),"")</f>
        <v>45</v>
      </c>
      <c r="L278" s="457"/>
      <c r="M278" s="457"/>
      <c r="N278" s="457"/>
      <c r="O278" s="457"/>
      <c r="P278" s="457"/>
    </row>
    <row r="279" spans="1:16" x14ac:dyDescent="0.25">
      <c r="A279" s="383" t="s">
        <v>552</v>
      </c>
      <c r="B279" s="2">
        <f>$B$271</f>
        <v>0</v>
      </c>
      <c r="C279" s="2">
        <f>$C$271</f>
        <v>0</v>
      </c>
      <c r="D279" s="2"/>
      <c r="E279" s="2"/>
      <c r="F279" s="2"/>
      <c r="G279" s="2">
        <f t="shared" ref="G279" si="9">IFERROR(D279+(E279+F279),"GAUGE")</f>
        <v>0</v>
      </c>
      <c r="H279" s="2">
        <v>20</v>
      </c>
      <c r="I279" s="531">
        <v>1</v>
      </c>
      <c r="J279" s="532">
        <f t="shared" si="8"/>
        <v>20</v>
      </c>
      <c r="L279" s="457"/>
      <c r="M279" s="457"/>
      <c r="N279" s="457"/>
      <c r="O279" s="457"/>
      <c r="P279" s="457"/>
    </row>
    <row r="280" spans="1:16" x14ac:dyDescent="0.25">
      <c r="A280" s="382" t="s">
        <v>16</v>
      </c>
      <c r="B280" s="291"/>
      <c r="C280" s="291"/>
      <c r="D280" s="291"/>
      <c r="E280" s="291"/>
      <c r="F280" s="291"/>
      <c r="G280" s="291"/>
      <c r="H280" s="535">
        <f>SUM($H$278:$H$279)</f>
        <v>65</v>
      </c>
      <c r="I280" s="536"/>
      <c r="J280" s="535">
        <f>SUM($J$278:$J$279)</f>
        <v>65</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697</v>
      </c>
      <c r="B283" s="7"/>
      <c r="C283" s="7"/>
      <c r="D283" s="7"/>
      <c r="E283" s="7"/>
      <c r="F283" s="7"/>
      <c r="G283" s="7"/>
      <c r="H283" s="7"/>
      <c r="I283" s="7"/>
      <c r="J283" s="7"/>
      <c r="L283" s="457"/>
      <c r="M283" s="457"/>
      <c r="N283" s="457"/>
      <c r="O283" s="457"/>
      <c r="P283" s="457"/>
    </row>
    <row r="284" spans="1:16" x14ac:dyDescent="0.25">
      <c r="A284" s="384"/>
      <c r="B284" s="8"/>
      <c r="C284" s="8"/>
      <c r="D284" s="389"/>
      <c r="E284" s="8"/>
      <c r="F284" s="739" t="s">
        <v>553</v>
      </c>
      <c r="G284" s="739"/>
      <c r="H284" s="385"/>
      <c r="I284" s="740" t="s">
        <v>554</v>
      </c>
      <c r="J284" s="741"/>
      <c r="L284" s="457"/>
      <c r="M284" s="457"/>
      <c r="N284" s="457"/>
      <c r="O284" s="457"/>
      <c r="P284" s="457"/>
    </row>
    <row r="285" spans="1:16" ht="15.75" x14ac:dyDescent="0.25">
      <c r="A285" s="390" t="s">
        <v>555</v>
      </c>
      <c r="B285" s="391"/>
      <c r="C285" s="391"/>
      <c r="D285" s="420"/>
      <c r="E285" s="391"/>
      <c r="F285" s="742">
        <f>Draft!$H$65</f>
        <v>615.30600000000004</v>
      </c>
      <c r="G285" s="742"/>
      <c r="H285" s="407"/>
      <c r="I285" s="742">
        <f>Draft!$Z$65</f>
        <v>846.83</v>
      </c>
      <c r="J285" s="743"/>
      <c r="L285" s="457"/>
      <c r="M285" s="457"/>
      <c r="N285" s="457"/>
      <c r="O285" s="457"/>
      <c r="P285" s="457"/>
    </row>
    <row r="286" spans="1:16" ht="15.75" x14ac:dyDescent="0.25">
      <c r="A286" s="386" t="s">
        <v>556</v>
      </c>
      <c r="D286" s="421"/>
      <c r="F286" s="736">
        <f>Draft!$H$66</f>
        <v>230.97</v>
      </c>
      <c r="G286" s="736"/>
      <c r="H286" s="408"/>
      <c r="I286" s="736">
        <f>Draft!$Z$66</f>
        <v>230.57</v>
      </c>
      <c r="J286" s="737"/>
      <c r="L286" s="457"/>
      <c r="M286" s="457"/>
      <c r="N286" s="457"/>
      <c r="O286" s="457"/>
      <c r="P286" s="457"/>
    </row>
    <row r="287" spans="1:16" ht="15.75" x14ac:dyDescent="0.25">
      <c r="A287" s="386" t="s">
        <v>557</v>
      </c>
      <c r="D287" s="421"/>
      <c r="F287" s="736">
        <f>Draft!$H$67</f>
        <v>31.22</v>
      </c>
      <c r="G287" s="736"/>
      <c r="H287" s="408"/>
      <c r="I287" s="736">
        <f>Draft!$Z$67</f>
        <v>31.22</v>
      </c>
      <c r="J287" s="737"/>
      <c r="L287" s="457"/>
      <c r="M287" s="457"/>
      <c r="N287" s="457"/>
      <c r="O287" s="457"/>
      <c r="P287" s="457"/>
    </row>
    <row r="288" spans="1:16" ht="15.75" x14ac:dyDescent="0.25">
      <c r="A288" s="386" t="s">
        <v>558</v>
      </c>
      <c r="D288" s="421"/>
      <c r="F288" s="736">
        <f>$J$272</f>
        <v>89.5</v>
      </c>
      <c r="G288" s="736"/>
      <c r="H288" s="408"/>
      <c r="I288" s="736">
        <f>$J$280</f>
        <v>65</v>
      </c>
      <c r="J288" s="737"/>
      <c r="L288" s="457"/>
      <c r="M288" s="457"/>
      <c r="N288" s="457"/>
      <c r="O288" s="457"/>
      <c r="P288" s="457"/>
    </row>
    <row r="289" spans="1:16" ht="15.75" x14ac:dyDescent="0.25">
      <c r="A289" s="386" t="s">
        <v>559</v>
      </c>
      <c r="D289" s="421"/>
      <c r="F289" s="736">
        <f>$J$241</f>
        <v>22659.399999999998</v>
      </c>
      <c r="G289" s="736"/>
      <c r="H289" s="408"/>
      <c r="I289" s="736">
        <f>$J$263</f>
        <v>333.80000000000007</v>
      </c>
      <c r="J289" s="737"/>
      <c r="L289" s="457"/>
      <c r="M289" s="457"/>
      <c r="N289" s="457"/>
      <c r="O289" s="457"/>
      <c r="P289" s="457"/>
    </row>
    <row r="290" spans="1:16" ht="15.75" x14ac:dyDescent="0.25">
      <c r="A290" s="392" t="s">
        <v>560</v>
      </c>
      <c r="B290" s="393"/>
      <c r="C290" s="393"/>
      <c r="D290" s="422"/>
      <c r="E290" s="393"/>
      <c r="F290" s="730">
        <f>Draft!$H$71</f>
        <v>0</v>
      </c>
      <c r="G290" s="730"/>
      <c r="H290" s="409"/>
      <c r="I290" s="730">
        <f>Draft!$Z$71</f>
        <v>0</v>
      </c>
      <c r="J290" s="731"/>
      <c r="L290" s="457"/>
      <c r="M290" s="457"/>
      <c r="N290" s="457"/>
      <c r="O290" s="457"/>
      <c r="P290" s="457"/>
    </row>
    <row r="291" spans="1:16" ht="15.75" x14ac:dyDescent="0.25">
      <c r="A291" s="387" t="s">
        <v>16</v>
      </c>
      <c r="B291" s="8"/>
      <c r="C291" s="8"/>
      <c r="D291" s="388"/>
      <c r="E291" s="8"/>
      <c r="F291" s="732">
        <f>SUM($F$285:$G$290)</f>
        <v>23626.395999999997</v>
      </c>
      <c r="G291" s="732"/>
      <c r="H291" s="410"/>
      <c r="I291" s="730">
        <f>SUM($I$285:$J$290)</f>
        <v>1507.42</v>
      </c>
      <c r="J291" s="730"/>
      <c r="L291" s="457"/>
      <c r="M291" s="457"/>
      <c r="N291" s="457"/>
      <c r="O291" s="457"/>
      <c r="P291" s="457"/>
    </row>
    <row r="292" spans="1:16" x14ac:dyDescent="0.25">
      <c r="L292" s="457"/>
      <c r="M292" s="457"/>
      <c r="N292" s="457"/>
      <c r="O292" s="457"/>
      <c r="P292" s="457"/>
    </row>
  </sheetData>
  <mergeCells count="172">
    <mergeCell ref="G201:H201"/>
    <mergeCell ref="I201:J201"/>
    <mergeCell ref="G183:H183"/>
    <mergeCell ref="G184:H184"/>
    <mergeCell ref="E87:J87"/>
    <mergeCell ref="E88:J88"/>
    <mergeCell ref="F67:J67"/>
    <mergeCell ref="E82:F82"/>
    <mergeCell ref="E74:F74"/>
    <mergeCell ref="E70:J70"/>
    <mergeCell ref="E71:F71"/>
    <mergeCell ref="E72:G72"/>
    <mergeCell ref="E73:J73"/>
    <mergeCell ref="E83:J83"/>
    <mergeCell ref="G179:H179"/>
    <mergeCell ref="G180:H180"/>
    <mergeCell ref="G181:H181"/>
    <mergeCell ref="I179:J179"/>
    <mergeCell ref="I180:J180"/>
    <mergeCell ref="I181:J181"/>
    <mergeCell ref="I182:J182"/>
    <mergeCell ref="I183:J183"/>
    <mergeCell ref="G182:H182"/>
    <mergeCell ref="G175:H175"/>
    <mergeCell ref="E245:F245"/>
    <mergeCell ref="E268:F268"/>
    <mergeCell ref="E276:F276"/>
    <mergeCell ref="I285:J285"/>
    <mergeCell ref="F284:G284"/>
    <mergeCell ref="I284:J284"/>
    <mergeCell ref="F285:G285"/>
    <mergeCell ref="A209:F209"/>
    <mergeCell ref="I211:J211"/>
    <mergeCell ref="I212:J212"/>
    <mergeCell ref="I213:J213"/>
    <mergeCell ref="G213:H213"/>
    <mergeCell ref="G199:H199"/>
    <mergeCell ref="I184:J184"/>
    <mergeCell ref="I185:J185"/>
    <mergeCell ref="I186:J186"/>
    <mergeCell ref="I187:J187"/>
    <mergeCell ref="G193:H193"/>
    <mergeCell ref="I193:J193"/>
    <mergeCell ref="G185:H185"/>
    <mergeCell ref="G186:H186"/>
    <mergeCell ref="G187:H187"/>
    <mergeCell ref="F291:G291"/>
    <mergeCell ref="I286:J286"/>
    <mergeCell ref="I287:J287"/>
    <mergeCell ref="I288:J288"/>
    <mergeCell ref="I289:J289"/>
    <mergeCell ref="I290:J290"/>
    <mergeCell ref="I291:J291"/>
    <mergeCell ref="F286:G286"/>
    <mergeCell ref="F287:G287"/>
    <mergeCell ref="F288:G288"/>
    <mergeCell ref="F289:G289"/>
    <mergeCell ref="F290:G290"/>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H157:I157"/>
    <mergeCell ref="H158:I158"/>
    <mergeCell ref="I115:J115"/>
    <mergeCell ref="I116:J116"/>
    <mergeCell ref="I117:J117"/>
    <mergeCell ref="I118:J118"/>
    <mergeCell ref="I119:J119"/>
    <mergeCell ref="G173:H173"/>
    <mergeCell ref="G174:H174"/>
    <mergeCell ref="G115:H115"/>
    <mergeCell ref="G170:H170"/>
    <mergeCell ref="I170:J170"/>
    <mergeCell ref="H159:I159"/>
    <mergeCell ref="G164:H164"/>
    <mergeCell ref="I164:J164"/>
    <mergeCell ref="G168:H168"/>
    <mergeCell ref="I168:J168"/>
    <mergeCell ref="D99:E99"/>
    <mergeCell ref="D100:E100"/>
    <mergeCell ref="F99:I99"/>
    <mergeCell ref="F100:I100"/>
    <mergeCell ref="F101:I101"/>
    <mergeCell ref="H155:I155"/>
    <mergeCell ref="H156:I156"/>
    <mergeCell ref="F93:I93"/>
    <mergeCell ref="F94:I94"/>
    <mergeCell ref="F95:I95"/>
    <mergeCell ref="G117:H117"/>
    <mergeCell ref="E134:J134"/>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B100:C100"/>
    <mergeCell ref="B101:C101"/>
    <mergeCell ref="I114:J114"/>
    <mergeCell ref="G114:H114"/>
    <mergeCell ref="G118:H118"/>
    <mergeCell ref="G119:H119"/>
    <mergeCell ref="E223:F223"/>
    <mergeCell ref="A1:J1"/>
    <mergeCell ref="G162:H162"/>
    <mergeCell ref="I162:J162"/>
    <mergeCell ref="H153:I153"/>
    <mergeCell ref="H154:I154"/>
    <mergeCell ref="H151:I151"/>
    <mergeCell ref="F96:I96"/>
    <mergeCell ref="A36:J36"/>
    <mergeCell ref="A34:J34"/>
    <mergeCell ref="A35:J35"/>
    <mergeCell ref="G3:I3"/>
    <mergeCell ref="G194:H194"/>
    <mergeCell ref="G195:H195"/>
    <mergeCell ref="G196:H196"/>
    <mergeCell ref="G197:H197"/>
    <mergeCell ref="G198:H198"/>
    <mergeCell ref="B92:C92"/>
    <mergeCell ref="A38:J39"/>
    <mergeCell ref="A40:J40"/>
    <mergeCell ref="A41:J41"/>
    <mergeCell ref="F92:I92"/>
    <mergeCell ref="E79:J79"/>
    <mergeCell ref="E80:J80"/>
    <mergeCell ref="E81:J81"/>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16:H116"/>
    <mergeCell ref="B99:C99"/>
  </mergeCells>
  <conditionalFormatting sqref="B94">
    <cfRule type="cellIs" dxfId="31" priority="34" operator="equal">
      <formula>0</formula>
    </cfRule>
  </conditionalFormatting>
  <conditionalFormatting sqref="F94">
    <cfRule type="cellIs" dxfId="30" priority="32" operator="equal">
      <formula>0</formula>
    </cfRule>
  </conditionalFormatting>
  <conditionalFormatting sqref="F95:F100">
    <cfRule type="cellIs" dxfId="29" priority="30" operator="equal">
      <formula>0</formula>
    </cfRule>
  </conditionalFormatting>
  <conditionalFormatting sqref="B95:B100">
    <cfRule type="cellIs" dxfId="28" priority="27" operator="equal">
      <formula>0</formula>
    </cfRule>
  </conditionalFormatting>
  <conditionalFormatting sqref="D94">
    <cfRule type="cellIs" dxfId="27" priority="29" operator="equal">
      <formula>0</formula>
    </cfRule>
  </conditionalFormatting>
  <conditionalFormatting sqref="D95:D100">
    <cfRule type="cellIs" dxfId="26" priority="28" operator="equal">
      <formula>0</formula>
    </cfRule>
  </conditionalFormatting>
  <conditionalFormatting sqref="G219:I219">
    <cfRule type="expression" dxfId="25" priority="40">
      <formula>$G$219=0</formula>
    </cfRule>
  </conditionalFormatting>
  <conditionalFormatting sqref="F219">
    <cfRule type="expression" dxfId="24" priority="41">
      <formula>#REF!=0</formula>
    </cfRule>
  </conditionalFormatting>
  <conditionalFormatting sqref="G218:I218">
    <cfRule type="expression" dxfId="23" priority="15">
      <formula>$G$218=0</formula>
    </cfRule>
  </conditionalFormatting>
  <conditionalFormatting sqref="H156:I156">
    <cfRule type="cellIs" dxfId="22" priority="12" operator="equal">
      <formula>0</formula>
    </cfRule>
  </conditionalFormatting>
  <conditionalFormatting sqref="H157:I159">
    <cfRule type="cellIs" dxfId="21" priority="11" operator="equal">
      <formula>0</formula>
    </cfRule>
  </conditionalFormatting>
  <conditionalFormatting sqref="J156">
    <cfRule type="expression" dxfId="20" priority="10">
      <formula>$D$156=""</formula>
    </cfRule>
  </conditionalFormatting>
  <conditionalFormatting sqref="J157">
    <cfRule type="expression" dxfId="19" priority="9">
      <formula>$D$157=""</formula>
    </cfRule>
  </conditionalFormatting>
  <conditionalFormatting sqref="J158">
    <cfRule type="expression" dxfId="18" priority="8">
      <formula>$D$158=""</formula>
    </cfRule>
  </conditionalFormatting>
  <conditionalFormatting sqref="J159">
    <cfRule type="expression" dxfId="17" priority="7">
      <formula>$D$159=""</formula>
    </cfRule>
  </conditionalFormatting>
  <conditionalFormatting sqref="H222">
    <cfRule type="cellIs" dxfId="16" priority="6" operator="equal">
      <formula>0</formula>
    </cfRule>
  </conditionalFormatting>
  <conditionalFormatting sqref="H244">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&amp;RPGUA/DS/060/26</oddHeader>
    <oddFooter>&amp;C&amp;P</oddFooter>
  </headerFooter>
  <rowBreaks count="6" manualBreakCount="6">
    <brk id="33" max="9" man="1"/>
    <brk id="67" max="9" man="1"/>
    <brk id="111" max="9" man="1"/>
    <brk id="160" max="9" man="1"/>
    <brk id="219" max="9" man="1"/>
    <brk id="26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52" zoomScale="93" zoomScaleNormal="93" zoomScaleSheetLayoutView="93" workbookViewId="0">
      <selection activeCell="L273" sqref="L27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5" t="str">
        <f>_xlfn.CONCAT("MV"," """,CAPA!B8,""" ")</f>
        <v xml:space="preserve">MV "Stella Navis"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PGUA/DS/060/26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700</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704</v>
      </c>
      <c r="B14" s="259"/>
      <c r="C14" s="259"/>
      <c r="D14" s="259"/>
      <c r="E14" s="259"/>
      <c r="F14" s="259"/>
      <c r="G14" s="259"/>
      <c r="H14" s="261"/>
      <c r="I14" s="261" t="s">
        <v>24</v>
      </c>
    </row>
    <row r="15" spans="1:10" ht="19.5" x14ac:dyDescent="0.4">
      <c r="A15" s="260" t="s">
        <v>705</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696</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577</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57" t="str">
        <f>$A$1</f>
        <v xml:space="preserve">MV "Stella Navis" </v>
      </c>
      <c r="B34" s="857"/>
      <c r="C34" s="857"/>
      <c r="D34" s="857"/>
      <c r="E34" s="857"/>
      <c r="F34" s="857"/>
      <c r="G34" s="857"/>
      <c r="H34" s="857"/>
      <c r="I34" s="857"/>
      <c r="J34" s="857"/>
      <c r="L34" s="461"/>
      <c r="M34" s="461"/>
      <c r="N34" s="461"/>
      <c r="O34" s="461"/>
      <c r="P34" s="461"/>
    </row>
    <row r="35" spans="1:16" ht="15.75" x14ac:dyDescent="0.25">
      <c r="A35" s="851" t="str">
        <f>$G$3</f>
        <v>PGUA/DS/060/26</v>
      </c>
      <c r="B35" s="851"/>
      <c r="C35" s="851"/>
      <c r="D35" s="851"/>
      <c r="E35" s="851"/>
      <c r="F35" s="851"/>
      <c r="G35" s="851"/>
      <c r="H35" s="851"/>
      <c r="I35" s="851"/>
      <c r="J35" s="851"/>
      <c r="L35" s="461"/>
      <c r="M35" s="461"/>
      <c r="N35" s="461"/>
      <c r="O35" s="461"/>
      <c r="P35" s="461"/>
    </row>
    <row r="36" spans="1:16" ht="15.75" x14ac:dyDescent="0.25">
      <c r="A36" s="851" t="str">
        <f>A3</f>
        <v>DRAUGHT SURVEY REPORT</v>
      </c>
      <c r="B36" s="851"/>
      <c r="C36" s="851"/>
      <c r="D36" s="851"/>
      <c r="E36" s="851"/>
      <c r="F36" s="851"/>
      <c r="G36" s="851"/>
      <c r="H36" s="851"/>
      <c r="I36" s="851"/>
      <c r="J36" s="85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8" t="s">
        <v>41</v>
      </c>
      <c r="B38" s="858"/>
      <c r="C38" s="858"/>
      <c r="D38" s="858"/>
      <c r="E38" s="858"/>
      <c r="F38" s="858"/>
      <c r="G38" s="858"/>
      <c r="H38" s="858"/>
      <c r="I38" s="858"/>
      <c r="J38" s="858"/>
      <c r="L38" s="461"/>
      <c r="M38" s="461"/>
      <c r="N38" s="461"/>
      <c r="O38" s="461"/>
      <c r="P38" s="461"/>
    </row>
    <row r="39" spans="1:16" ht="15" customHeight="1" x14ac:dyDescent="0.25">
      <c r="A39" s="858"/>
      <c r="B39" s="858"/>
      <c r="C39" s="858"/>
      <c r="D39" s="858"/>
      <c r="E39" s="858"/>
      <c r="F39" s="858"/>
      <c r="G39" s="858"/>
      <c r="H39" s="858"/>
      <c r="I39" s="858"/>
      <c r="J39" s="858"/>
      <c r="L39" s="461"/>
      <c r="M39" s="461"/>
      <c r="N39" s="461"/>
      <c r="O39" s="461"/>
      <c r="P39" s="461"/>
    </row>
    <row r="40" spans="1:16" ht="31.5" x14ac:dyDescent="0.25">
      <c r="A40" s="858" t="str">
        <f>_xlfn.CONCAT(CAPA!$E$46:$E$55,".")</f>
        <v>Messrs. Cotriguaçu Cooperativa Central Regional Iguaçu Ltda., Messrs. Interalli Administração e Participações S.A.,  Messrs. Rocha Terminais Portuários e Logística .</v>
      </c>
      <c r="B40" s="858"/>
      <c r="C40" s="858"/>
      <c r="D40" s="858"/>
      <c r="E40" s="858"/>
      <c r="F40" s="858"/>
      <c r="G40" s="858"/>
      <c r="H40" s="858"/>
      <c r="I40" s="858"/>
      <c r="J40" s="858"/>
      <c r="L40" s="629"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861" t="str">
        <f>$L$41</f>
        <v>Attend on board the referenced vessel on  February 26th, 2026 from 9:00 until 11:30 hours, whilst she was anchored at inner roads area 9,2, and on  March 2nd, 2026 from 19:50 until 22:00 hours, whilst she was berthed alongside wharf 213 at port of Paranaguá, Br - Brazil, with views to perform the initial and final draft surveys, ascertaining the following figures:</v>
      </c>
      <c r="B41" s="861"/>
      <c r="C41" s="861"/>
      <c r="D41" s="861"/>
      <c r="E41" s="861"/>
      <c r="F41" s="861"/>
      <c r="G41" s="861"/>
      <c r="H41" s="861"/>
      <c r="I41" s="861"/>
      <c r="J41" s="86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26th, 2026 from 9:00 until 11:30 hours, whilst she was anchored at inner roads area 9,2, and on  March 2nd, 2026 from 19:50 until 22:00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"Stella Navis" </v>
      </c>
      <c r="B48" s="13"/>
      <c r="C48" s="13"/>
      <c r="D48" s="13"/>
      <c r="E48" s="13"/>
      <c r="F48" s="14" t="str">
        <f>_xlfn.CONCAT("Mr. ",CAPA!$B$30,", ",$L$48)</f>
        <v>Mr. Nguyen Thanh Luat, the Master</v>
      </c>
      <c r="H48" s="14"/>
      <c r="I48" s="14"/>
      <c r="J48" s="13"/>
      <c r="K48" s="13"/>
      <c r="L48" s="462" t="s">
        <v>561</v>
      </c>
      <c r="M48" s="462"/>
      <c r="N48" s="461"/>
      <c r="O48" s="461"/>
      <c r="P48" s="461"/>
    </row>
    <row r="49" spans="1:16" ht="15.75" x14ac:dyDescent="0.25">
      <c r="A49" s="13"/>
      <c r="B49" s="13"/>
      <c r="C49" s="13"/>
      <c r="D49" s="13"/>
      <c r="E49" s="13"/>
      <c r="F49" s="14" t="str">
        <f>_xlfn.CONCAT("Mr. ",CAPA!$B$31,", ",$L$49)</f>
        <v>Mr. Trang Quang Duy,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Pham Ngoc Bach, the Chief Engineer</v>
      </c>
      <c r="H50" s="13"/>
      <c r="I50" s="13"/>
      <c r="J50" s="13"/>
      <c r="K50" s="13"/>
      <c r="L50" s="463" t="s">
        <v>563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44</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43</v>
      </c>
      <c r="B59" s="5"/>
      <c r="C59" s="5"/>
      <c r="D59" s="5"/>
      <c r="E59" s="5"/>
      <c r="F59" s="285" t="str">
        <f>Clients!$D$182</f>
        <v>Mr. Willian Cordeiro</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45</v>
      </c>
      <c r="B62" s="5"/>
      <c r="C62" s="5"/>
      <c r="D62" s="5"/>
      <c r="E62" s="5"/>
      <c r="F62" s="442" t="s">
        <v>778</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46</v>
      </c>
      <c r="B65" s="13"/>
      <c r="C65" s="13"/>
      <c r="D65" s="13"/>
      <c r="E65" s="13"/>
      <c r="F65" s="266" t="s">
        <v>574</v>
      </c>
      <c r="H65" s="266"/>
      <c r="I65" s="13"/>
      <c r="J65" s="443"/>
      <c r="L65" s="461"/>
      <c r="M65" s="461"/>
      <c r="N65" s="461"/>
      <c r="O65" s="461"/>
      <c r="P65" s="461"/>
    </row>
    <row r="66" spans="1:16" ht="15.75" x14ac:dyDescent="0.25">
      <c r="A66" s="266" t="s">
        <v>47</v>
      </c>
      <c r="B66" s="13"/>
      <c r="C66" s="13"/>
      <c r="D66" s="13"/>
      <c r="E66" s="13"/>
      <c r="F66" s="13" t="s">
        <v>48</v>
      </c>
      <c r="H66" s="13"/>
      <c r="I66" s="13"/>
      <c r="J66" s="13"/>
      <c r="L66" s="461"/>
      <c r="M66" s="461"/>
      <c r="N66" s="461"/>
      <c r="O66" s="461"/>
      <c r="P66" s="461"/>
    </row>
    <row r="67" spans="1:16" ht="15.75" x14ac:dyDescent="0.25">
      <c r="A67" s="13"/>
      <c r="B67" s="13"/>
      <c r="C67" s="13"/>
      <c r="D67" s="13"/>
      <c r="E67" s="13"/>
      <c r="F67" s="859" t="str">
        <f>_xlfn.CONCAT("Mr. ",CAPA!$A$97)</f>
        <v>Mr. Haroldo Fernandes Alves Junior</v>
      </c>
      <c r="G67" s="859"/>
      <c r="H67" s="859"/>
      <c r="I67" s="859"/>
      <c r="J67" s="859"/>
      <c r="L67" s="461"/>
      <c r="M67" s="461"/>
      <c r="N67" s="461"/>
      <c r="O67" s="461"/>
      <c r="P67" s="461"/>
    </row>
    <row r="68" spans="1:16" ht="15.75" x14ac:dyDescent="0.25">
      <c r="A68" s="267" t="s">
        <v>49</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50</v>
      </c>
      <c r="B70" s="13"/>
      <c r="C70" s="13"/>
      <c r="D70" s="13"/>
      <c r="E70" s="860" t="str">
        <f>CAPA!$B$8</f>
        <v>Stella Navis</v>
      </c>
      <c r="F70" s="860"/>
      <c r="G70" s="860"/>
      <c r="H70" s="860"/>
      <c r="I70" s="860"/>
      <c r="J70" s="860"/>
      <c r="L70" s="461"/>
      <c r="M70" s="461"/>
      <c r="N70" s="461"/>
      <c r="O70" s="461"/>
      <c r="P70" s="461"/>
    </row>
    <row r="71" spans="1:16" ht="15.75" x14ac:dyDescent="0.25">
      <c r="A71" s="266" t="s">
        <v>51</v>
      </c>
      <c r="B71" s="13"/>
      <c r="C71" s="13"/>
      <c r="D71" s="13"/>
      <c r="E71" s="860" t="str">
        <f>CAPA!$B$12</f>
        <v>V7A4546</v>
      </c>
      <c r="F71" s="860"/>
      <c r="G71" s="5"/>
      <c r="H71" s="5"/>
      <c r="I71" s="13"/>
      <c r="L71" s="461"/>
      <c r="M71" s="461"/>
      <c r="N71" s="461"/>
      <c r="O71" s="461"/>
      <c r="P71" s="461"/>
    </row>
    <row r="72" spans="1:16" ht="15.75" x14ac:dyDescent="0.25">
      <c r="A72" s="266" t="s">
        <v>52</v>
      </c>
      <c r="B72" s="13"/>
      <c r="C72" s="13"/>
      <c r="D72" s="13"/>
      <c r="E72" s="860" t="str">
        <f>CAPA!$B$13</f>
        <v>Majuro</v>
      </c>
      <c r="F72" s="860"/>
      <c r="G72" s="860"/>
      <c r="H72" s="5"/>
      <c r="I72" s="13"/>
      <c r="L72" s="461"/>
      <c r="M72" s="461"/>
      <c r="N72" s="461"/>
      <c r="O72" s="461"/>
      <c r="P72" s="461"/>
    </row>
    <row r="73" spans="1:16" ht="15.75" x14ac:dyDescent="0.25">
      <c r="A73" s="266" t="s">
        <v>53</v>
      </c>
      <c r="B73" s="13"/>
      <c r="C73" s="13"/>
      <c r="D73" s="13"/>
      <c r="E73" s="860" t="str">
        <f>CAPA!$B$14</f>
        <v>Marshallese</v>
      </c>
      <c r="F73" s="860"/>
      <c r="G73" s="860"/>
      <c r="H73" s="860"/>
      <c r="I73" s="860"/>
      <c r="J73" s="860"/>
      <c r="L73" s="461"/>
      <c r="M73" s="461"/>
      <c r="N73" s="461"/>
      <c r="O73" s="461"/>
      <c r="P73" s="461"/>
    </row>
    <row r="74" spans="1:16" ht="15.75" x14ac:dyDescent="0.25">
      <c r="A74" s="266" t="s">
        <v>54</v>
      </c>
      <c r="B74" s="13"/>
      <c r="C74" s="13"/>
      <c r="D74" s="13"/>
      <c r="E74" s="860">
        <f>CAPA!$B$10</f>
        <v>9909039</v>
      </c>
      <c r="F74" s="860"/>
      <c r="G74" s="5"/>
      <c r="H74" s="5"/>
      <c r="I74" s="13"/>
      <c r="L74" s="461"/>
      <c r="M74" s="461"/>
      <c r="N74" s="461"/>
      <c r="O74" s="461"/>
      <c r="P74" s="461"/>
    </row>
    <row r="75" spans="1:16" ht="15.75" x14ac:dyDescent="0.25">
      <c r="A75" s="266" t="s">
        <v>55</v>
      </c>
      <c r="B75" s="13"/>
      <c r="C75" s="13"/>
      <c r="D75" s="13"/>
      <c r="E75" s="268">
        <f>CAPA!$B$15</f>
        <v>228.9</v>
      </c>
      <c r="F75" s="268"/>
      <c r="G75" s="5"/>
      <c r="H75" s="5"/>
      <c r="I75" s="13"/>
      <c r="L75" s="461"/>
      <c r="M75" s="461"/>
      <c r="N75" s="461"/>
      <c r="O75" s="461"/>
      <c r="P75" s="461"/>
    </row>
    <row r="76" spans="1:16" ht="15.75" x14ac:dyDescent="0.25">
      <c r="A76" s="266" t="s">
        <v>56</v>
      </c>
      <c r="B76" s="13"/>
      <c r="C76" s="13"/>
      <c r="D76" s="13"/>
      <c r="E76" s="268">
        <f>CAPA!$B$16</f>
        <v>226</v>
      </c>
      <c r="F76" s="268"/>
      <c r="G76" s="5"/>
      <c r="H76" s="5"/>
      <c r="I76" s="13"/>
      <c r="L76" s="461"/>
      <c r="M76" s="461"/>
      <c r="N76" s="461"/>
      <c r="O76" s="461"/>
      <c r="P76" s="461"/>
    </row>
    <row r="77" spans="1:16" ht="15.75" x14ac:dyDescent="0.25">
      <c r="A77" s="266" t="s">
        <v>57</v>
      </c>
      <c r="B77" s="13"/>
      <c r="C77" s="13"/>
      <c r="D77" s="13"/>
      <c r="E77" s="268">
        <f>CAPA!$B$17</f>
        <v>20.2</v>
      </c>
      <c r="F77" s="268"/>
      <c r="G77" s="5"/>
      <c r="H77" s="5"/>
      <c r="I77" s="13"/>
      <c r="L77" s="461"/>
      <c r="M77" s="461"/>
      <c r="N77" s="461"/>
      <c r="O77" s="461"/>
      <c r="P77" s="461"/>
    </row>
    <row r="78" spans="1:16" ht="15.75" x14ac:dyDescent="0.25">
      <c r="A78" s="266" t="s">
        <v>58</v>
      </c>
      <c r="B78" s="13"/>
      <c r="C78" s="13"/>
      <c r="D78" s="13"/>
      <c r="E78" s="268">
        <f>CAPA!$B$18</f>
        <v>32.24</v>
      </c>
      <c r="F78" s="268"/>
      <c r="G78" s="5"/>
      <c r="H78" s="5"/>
      <c r="I78" s="13"/>
      <c r="L78" s="461"/>
      <c r="M78" s="461"/>
      <c r="N78" s="461"/>
      <c r="O78" s="461"/>
      <c r="P78" s="461"/>
    </row>
    <row r="79" spans="1:16" ht="15.75" x14ac:dyDescent="0.25">
      <c r="A79" s="266" t="s">
        <v>59</v>
      </c>
      <c r="B79" s="13"/>
      <c r="C79" s="13"/>
      <c r="D79" s="13"/>
      <c r="E79" s="853">
        <f>CAPA!$B$20</f>
        <v>43987</v>
      </c>
      <c r="F79" s="853"/>
      <c r="G79" s="853"/>
      <c r="H79" s="853"/>
      <c r="I79" s="853"/>
      <c r="J79" s="853"/>
      <c r="L79" s="461"/>
      <c r="M79" s="461"/>
      <c r="N79" s="461"/>
      <c r="O79" s="461"/>
      <c r="P79" s="461"/>
    </row>
    <row r="80" spans="1:16" ht="15.75" x14ac:dyDescent="0.25">
      <c r="A80" s="266" t="s">
        <v>60</v>
      </c>
      <c r="B80" s="13"/>
      <c r="C80" s="13"/>
      <c r="D80" s="13"/>
      <c r="E80" s="853">
        <f>CAPA!$B$21</f>
        <v>27425</v>
      </c>
      <c r="F80" s="853"/>
      <c r="G80" s="853"/>
      <c r="H80" s="853"/>
      <c r="I80" s="853"/>
      <c r="J80" s="853"/>
      <c r="L80" s="461"/>
      <c r="M80" s="461"/>
      <c r="N80" s="461"/>
      <c r="O80" s="461"/>
      <c r="P80" s="461"/>
    </row>
    <row r="81" spans="1:16" ht="81" customHeight="1" x14ac:dyDescent="0.25">
      <c r="A81" s="440" t="s">
        <v>61</v>
      </c>
      <c r="B81" s="13"/>
      <c r="C81" s="13"/>
      <c r="D81" s="13"/>
      <c r="E81" s="854" t="str">
        <f>CAPA!$B$23</f>
        <v>NKK: NS(CSR, BC-A, BC-XII, GRAB 30, PSPC-WBT, NC, 1C) (ESP) (HCM-GBS) (IWS) (PSCM) (IHM) MNS, Strengthened for heavy cargoloading where hold nos. 2,4 &amp; 6 may be empty, CHG, MPP, LSA, RCF, M0, AFS, BWM</v>
      </c>
      <c r="F81" s="854"/>
      <c r="G81" s="854"/>
      <c r="H81" s="854"/>
      <c r="I81" s="854"/>
      <c r="J81" s="854"/>
      <c r="L81" s="461"/>
      <c r="M81" s="464" t="str">
        <f>CAPA!$B$23</f>
        <v>NKK: NS(CSR, BC-A, BC-XII, GRAB 30, PSPC-WBT, NC, 1C) (ESP) (HCM-GBS) (IWS) (PSCM) (IHM) MNS, Strengthened for heavy cargoloading where hold nos. 2,4 &amp; 6 may be empty, CHG, MPP, LSA, RCF, M0, AFS, BWM</v>
      </c>
      <c r="N81" s="461"/>
      <c r="O81" s="461"/>
      <c r="P81" s="461"/>
    </row>
    <row r="82" spans="1:16" ht="15.75" x14ac:dyDescent="0.25">
      <c r="A82" s="266" t="s">
        <v>62</v>
      </c>
      <c r="B82" s="13"/>
      <c r="C82" s="13"/>
      <c r="D82" s="13"/>
      <c r="E82" s="853">
        <f>CAPA!$B$19</f>
        <v>13441</v>
      </c>
      <c r="F82" s="853"/>
      <c r="G82" s="5"/>
      <c r="H82" s="5"/>
      <c r="I82" s="13"/>
      <c r="L82" s="461"/>
      <c r="M82" s="465"/>
      <c r="N82" s="461"/>
      <c r="O82" s="461"/>
      <c r="P82" s="461"/>
    </row>
    <row r="83" spans="1:16" ht="15.75" x14ac:dyDescent="0.25">
      <c r="A83" s="266" t="s">
        <v>63</v>
      </c>
      <c r="B83" s="13"/>
      <c r="C83" s="13"/>
      <c r="D83" s="13"/>
      <c r="E83" s="853" t="str">
        <f>_xlfn.CONCAT(TEXT($I$118,"#,##0.0")," on ",TEXT(F118,"#,##0.00")," m")</f>
        <v>81965,00 on 14,52300 m</v>
      </c>
      <c r="F83" s="853"/>
      <c r="G83" s="853"/>
      <c r="H83" s="853"/>
      <c r="I83" s="853"/>
      <c r="J83" s="853"/>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64</v>
      </c>
      <c r="B85" s="13"/>
      <c r="C85" s="13"/>
      <c r="D85" s="13"/>
      <c r="E85" s="14" t="str">
        <f>CAPA!$B$11</f>
        <v>Nantong Cosco KHI Shipbuilding Engineering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65</v>
      </c>
      <c r="B87" s="13"/>
      <c r="C87" s="13"/>
      <c r="D87" s="13"/>
      <c r="E87" s="859" t="str">
        <f>CAPA!$B$24</f>
        <v>Far Wind Marshall S.A. - Marshall Islands</v>
      </c>
      <c r="F87" s="859"/>
      <c r="G87" s="859"/>
      <c r="H87" s="859"/>
      <c r="I87" s="859"/>
      <c r="J87" s="859"/>
      <c r="L87" s="461"/>
      <c r="M87" s="461"/>
      <c r="N87" s="461"/>
      <c r="O87" s="461"/>
      <c r="P87" s="461"/>
    </row>
    <row r="88" spans="1:16" ht="15.75" x14ac:dyDescent="0.25">
      <c r="A88" s="266" t="s">
        <v>66</v>
      </c>
      <c r="B88" s="13"/>
      <c r="C88" s="13"/>
      <c r="D88" s="13"/>
      <c r="E88" s="859" t="str">
        <f>CAPA!$B$25</f>
        <v>B&amp;S Enterprise Co., Ltd.</v>
      </c>
      <c r="F88" s="859"/>
      <c r="G88" s="859"/>
      <c r="H88" s="859"/>
      <c r="I88" s="859"/>
      <c r="J88" s="859"/>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22</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67</v>
      </c>
      <c r="B92" s="850" t="s">
        <v>68</v>
      </c>
      <c r="C92" s="850"/>
      <c r="D92" s="852" t="s">
        <v>69</v>
      </c>
      <c r="E92" s="852"/>
      <c r="F92" s="851" t="s">
        <v>70</v>
      </c>
      <c r="G92" s="851"/>
      <c r="H92" s="851"/>
      <c r="I92" s="851"/>
      <c r="J92" s="270" t="s">
        <v>71</v>
      </c>
      <c r="L92" s="461"/>
      <c r="M92" s="461"/>
      <c r="N92" s="461"/>
      <c r="O92" s="461"/>
      <c r="P92" s="461"/>
    </row>
    <row r="93" spans="1:16" ht="15.75" x14ac:dyDescent="0.25">
      <c r="A93" s="3"/>
      <c r="B93" s="850" t="s">
        <v>72</v>
      </c>
      <c r="C93" s="850"/>
      <c r="D93" s="271"/>
      <c r="F93" s="851" t="s">
        <v>73</v>
      </c>
      <c r="G93" s="851"/>
      <c r="H93" s="851"/>
      <c r="I93" s="851"/>
      <c r="J93" s="13"/>
      <c r="L93" s="461"/>
      <c r="M93" s="461"/>
      <c r="N93" s="461"/>
      <c r="O93" s="461"/>
      <c r="P93" s="461"/>
    </row>
    <row r="94" spans="1:16" ht="15.75" x14ac:dyDescent="0.25">
      <c r="A94" s="265" t="s">
        <v>74</v>
      </c>
      <c r="B94" s="844">
        <f>DCP!$B$28</f>
        <v>450645</v>
      </c>
      <c r="C94" s="844"/>
      <c r="D94" s="845" t="str">
        <f>DCP!$B$15</f>
        <v>SOYBEANS</v>
      </c>
      <c r="E94" s="845"/>
      <c r="F94" s="846">
        <f>DCP!$B$27</f>
        <v>9364.9549999999999</v>
      </c>
      <c r="G94" s="846"/>
      <c r="H94" s="846"/>
      <c r="I94" s="846"/>
      <c r="J94" s="272">
        <f>Relato!J94</f>
        <v>48.120359361043377</v>
      </c>
      <c r="L94" s="461"/>
      <c r="M94" s="461"/>
      <c r="N94" s="461"/>
      <c r="O94" s="461"/>
      <c r="P94" s="461"/>
    </row>
    <row r="95" spans="1:16" ht="15.75" x14ac:dyDescent="0.25">
      <c r="A95" s="265" t="s">
        <v>75</v>
      </c>
      <c r="B95" s="844">
        <f>DCP!$C$28</f>
        <v>526814</v>
      </c>
      <c r="C95" s="844"/>
      <c r="D95" s="845" t="str">
        <f>DCP!$C$15</f>
        <v>SOYBEANS</v>
      </c>
      <c r="E95" s="845"/>
      <c r="F95" s="846">
        <f>DCP!$C$27</f>
        <v>10117.174999999999</v>
      </c>
      <c r="G95" s="846"/>
      <c r="H95" s="846"/>
      <c r="I95" s="846" t="e">
        <f>C95/H95</f>
        <v>#DIV/0!</v>
      </c>
      <c r="J95" s="272" t="str">
        <f>Relato!J95</f>
        <v>SLACK</v>
      </c>
      <c r="L95" s="461"/>
      <c r="M95" s="461"/>
      <c r="N95" s="461"/>
      <c r="O95" s="461"/>
      <c r="P95" s="461"/>
    </row>
    <row r="96" spans="1:16" ht="15.75" x14ac:dyDescent="0.25">
      <c r="A96" s="265" t="s">
        <v>76</v>
      </c>
      <c r="B96" s="844">
        <f>DCP!$D$28</f>
        <v>507440</v>
      </c>
      <c r="C96" s="844"/>
      <c r="D96" s="845" t="str">
        <f>DCP!$D$15</f>
        <v>SOYBEANS</v>
      </c>
      <c r="E96" s="845"/>
      <c r="F96" s="846">
        <f>DCP!$D$27</f>
        <v>10655.745000000001</v>
      </c>
      <c r="G96" s="846"/>
      <c r="H96" s="846"/>
      <c r="I96" s="846" t="e">
        <f>D96/H96</f>
        <v>#VALUE!</v>
      </c>
      <c r="J96" s="272">
        <f>Relato!J96</f>
        <v>47.621259705445276</v>
      </c>
      <c r="L96" s="461"/>
      <c r="M96" s="461"/>
      <c r="N96" s="461"/>
      <c r="O96" s="461"/>
      <c r="P96" s="461"/>
    </row>
    <row r="97" spans="1:16" ht="15.75" x14ac:dyDescent="0.25">
      <c r="A97" s="265" t="s">
        <v>77</v>
      </c>
      <c r="B97" s="844">
        <f>DCP!$E$28</f>
        <v>483336</v>
      </c>
      <c r="C97" s="844"/>
      <c r="D97" s="845" t="str">
        <f>DCP!$E$15</f>
        <v>SOYBEANS</v>
      </c>
      <c r="E97" s="845"/>
      <c r="F97" s="846">
        <f>DCP!$E$27</f>
        <v>10132.845000000001</v>
      </c>
      <c r="G97" s="846"/>
      <c r="H97" s="846"/>
      <c r="I97" s="846" t="e">
        <f>D97/H97</f>
        <v>#VALUE!</v>
      </c>
      <c r="J97" s="272">
        <f>Relato!J97</f>
        <v>47.699930276245212</v>
      </c>
      <c r="L97" s="461"/>
      <c r="M97" s="461"/>
      <c r="N97" s="461"/>
      <c r="O97" s="461"/>
      <c r="P97" s="461"/>
    </row>
    <row r="98" spans="1:16" ht="15.75" x14ac:dyDescent="0.25">
      <c r="A98" s="265" t="s">
        <v>78</v>
      </c>
      <c r="B98" s="844">
        <f>DCP!$F$28</f>
        <v>506840</v>
      </c>
      <c r="C98" s="844"/>
      <c r="D98" s="845" t="str">
        <f>DCP!$F$15</f>
        <v>SOYBEANS</v>
      </c>
      <c r="E98" s="845"/>
      <c r="F98" s="846">
        <f>DCP!$F$27</f>
        <v>10694.3</v>
      </c>
      <c r="G98" s="846"/>
      <c r="H98" s="846"/>
      <c r="I98" s="846" t="e">
        <f>D98/H98</f>
        <v>#VALUE!</v>
      </c>
      <c r="J98" s="272">
        <f>Relato!J98</f>
        <v>47.393471288443379</v>
      </c>
      <c r="L98" s="461"/>
      <c r="M98" s="461"/>
      <c r="N98" s="461"/>
      <c r="O98" s="461"/>
      <c r="P98" s="461"/>
    </row>
    <row r="99" spans="1:16" ht="15.75" x14ac:dyDescent="0.25">
      <c r="A99" s="265" t="s">
        <v>79</v>
      </c>
      <c r="B99" s="844">
        <f>DCP!$G$28</f>
        <v>528048</v>
      </c>
      <c r="C99" s="844"/>
      <c r="D99" s="845" t="str">
        <f>DCP!$G$15</f>
        <v>SOYBEANS</v>
      </c>
      <c r="E99" s="845"/>
      <c r="F99" s="846">
        <f>DCP!$G$27</f>
        <v>11105.32</v>
      </c>
      <c r="G99" s="846"/>
      <c r="H99" s="846"/>
      <c r="I99" s="846" t="e">
        <f>D99/H99</f>
        <v>#VALUE!</v>
      </c>
      <c r="J99" s="272">
        <f>Relato!J99</f>
        <v>47.54910259227109</v>
      </c>
      <c r="L99" s="461"/>
      <c r="M99" s="461"/>
      <c r="N99" s="461"/>
      <c r="O99" s="461"/>
      <c r="P99" s="461"/>
    </row>
    <row r="100" spans="1:16" ht="15.75" x14ac:dyDescent="0.25">
      <c r="A100" s="265" t="s">
        <v>80</v>
      </c>
      <c r="B100" s="844">
        <f>DCP!$H$28</f>
        <v>449300</v>
      </c>
      <c r="C100" s="844"/>
      <c r="D100" s="845" t="str">
        <f>DCP!$H$15</f>
        <v>SOYBEANS</v>
      </c>
      <c r="E100" s="845"/>
      <c r="F100" s="846">
        <f>DCP!$H$27</f>
        <v>8666.3549999999996</v>
      </c>
      <c r="G100" s="846"/>
      <c r="H100" s="846"/>
      <c r="I100" s="846" t="e">
        <f>D100/H100</f>
        <v>#VALUE!</v>
      </c>
      <c r="J100" s="272" t="str">
        <f>Relato!J100</f>
        <v>SLACK</v>
      </c>
      <c r="L100" s="461"/>
      <c r="M100" s="461"/>
      <c r="N100" s="461"/>
      <c r="O100" s="461"/>
      <c r="P100" s="461"/>
    </row>
    <row r="101" spans="1:16" ht="15.75" x14ac:dyDescent="0.25">
      <c r="A101" s="3" t="s">
        <v>81</v>
      </c>
      <c r="B101" s="847">
        <f>SUM(B94:B100)</f>
        <v>3452423</v>
      </c>
      <c r="C101" s="847"/>
      <c r="D101" s="13"/>
      <c r="F101" s="848">
        <f>SUM(F94:F100)</f>
        <v>70736.695000000007</v>
      </c>
      <c r="G101" s="848"/>
      <c r="H101" s="848"/>
      <c r="I101" s="848"/>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699</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82</v>
      </c>
      <c r="B106" s="13"/>
      <c r="C106" s="13"/>
      <c r="D106" s="13"/>
      <c r="E106" s="13" t="str">
        <f>_xlfn.CONCAT("Issued by ",CAPA!$B$67)</f>
        <v>Issued by Nantong Cosco KHI Shipbuilding Engineering</v>
      </c>
      <c r="G106" s="13"/>
      <c r="H106" s="13"/>
      <c r="I106" s="13"/>
      <c r="L106" s="461"/>
      <c r="M106" s="461"/>
      <c r="N106" s="461"/>
      <c r="O106" s="461"/>
      <c r="P106" s="461"/>
    </row>
    <row r="107" spans="1:16" ht="15.75" x14ac:dyDescent="0.25">
      <c r="A107" s="266"/>
      <c r="B107" s="13"/>
      <c r="C107" s="13"/>
      <c r="D107" s="13"/>
      <c r="E107" s="13" t="str">
        <f>_xlfn.CONCAT("on ",CAPA!$B$68,", Dwg. No. ",CAPA!$B$69)</f>
        <v>on 2020, Dwg. No. H-11</v>
      </c>
      <c r="G107" s="13"/>
      <c r="H107" s="13"/>
      <c r="I107" s="13"/>
      <c r="L107" s="461"/>
      <c r="M107" s="461"/>
      <c r="N107" s="461"/>
      <c r="O107" s="461"/>
      <c r="P107" s="461"/>
    </row>
    <row r="108" spans="1:16" ht="15.75" x14ac:dyDescent="0.25">
      <c r="A108" s="266"/>
      <c r="B108" s="13"/>
      <c r="C108" s="13"/>
      <c r="D108" s="13"/>
      <c r="E108" s="13" t="str">
        <f>_xlfn.CONCAT("Approved by  ",CAPA!$B$70," on  ",CAPA!$B$71)</f>
        <v>Approved by  LRS on  22.03.2021</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83</v>
      </c>
      <c r="B110" s="13"/>
      <c r="C110" s="13"/>
      <c r="D110" s="13"/>
      <c r="E110" s="13" t="str">
        <f>$E$106</f>
        <v>Issued by Nantong Cosco KHI Shipbuilding Engineering</v>
      </c>
      <c r="G110" s="13"/>
      <c r="H110" s="13"/>
      <c r="I110" s="13"/>
      <c r="L110" s="461"/>
      <c r="M110" s="461"/>
      <c r="N110" s="461"/>
      <c r="O110" s="461"/>
      <c r="P110" s="461"/>
    </row>
    <row r="111" spans="1:16" ht="15.75" x14ac:dyDescent="0.25">
      <c r="A111" s="13"/>
      <c r="B111" s="13"/>
      <c r="C111" s="13"/>
      <c r="D111" s="13"/>
      <c r="E111" s="13" t="str">
        <f>_xlfn.CONCAT("on ",CAPA!$B$73," Dwg. no. ",CAPA!$B$74)</f>
        <v>on 2020 Dwg. no. H-14</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23</v>
      </c>
      <c r="B113" s="13"/>
      <c r="C113" s="13"/>
      <c r="D113" s="13"/>
      <c r="E113" s="13"/>
      <c r="F113" s="13"/>
      <c r="G113" s="13"/>
      <c r="H113" s="13"/>
      <c r="I113" s="13"/>
      <c r="L113" s="461"/>
      <c r="M113" s="461"/>
      <c r="N113" s="461"/>
      <c r="O113" s="461"/>
      <c r="P113" s="461"/>
    </row>
    <row r="114" spans="1:16" ht="15.75" x14ac:dyDescent="0.25">
      <c r="A114" s="266"/>
      <c r="B114" s="13"/>
      <c r="E114" s="707" t="s">
        <v>84</v>
      </c>
      <c r="F114" s="708" t="s">
        <v>701</v>
      </c>
      <c r="G114" s="849" t="s">
        <v>86</v>
      </c>
      <c r="H114" s="849"/>
      <c r="I114" s="849" t="s">
        <v>87</v>
      </c>
      <c r="J114" s="849"/>
      <c r="K114" s="276"/>
      <c r="L114" s="466"/>
      <c r="M114" s="467"/>
      <c r="N114" s="461"/>
      <c r="O114" s="461"/>
      <c r="P114" s="461"/>
    </row>
    <row r="115" spans="1:16" ht="15.75" x14ac:dyDescent="0.25">
      <c r="A115" s="266" t="s">
        <v>88</v>
      </c>
      <c r="B115" s="10"/>
      <c r="E115" s="277">
        <f>CAPA!$L$78</f>
        <v>5.0880000000000001</v>
      </c>
      <c r="F115" s="277">
        <f>CAPA!$M$78</f>
        <v>15.16</v>
      </c>
      <c r="G115" s="843">
        <f>CAPA!$N$78</f>
        <v>97493</v>
      </c>
      <c r="H115" s="843"/>
      <c r="I115" s="843">
        <f>CAPA!$O$78</f>
        <v>84052</v>
      </c>
      <c r="J115" s="843"/>
      <c r="K115" s="278"/>
      <c r="L115" s="468"/>
      <c r="M115" s="469"/>
      <c r="N115" s="461"/>
      <c r="O115" s="461"/>
      <c r="P115" s="461"/>
    </row>
    <row r="116" spans="1:16" ht="15.75" x14ac:dyDescent="0.25">
      <c r="A116" s="266" t="s">
        <v>89</v>
      </c>
      <c r="B116" s="10"/>
      <c r="E116" s="277">
        <f>CAPA!$L$79</f>
        <v>5.39</v>
      </c>
      <c r="F116" s="277">
        <f>CAPA!$M$79</f>
        <v>14.858000000000001</v>
      </c>
      <c r="G116" s="843">
        <f>CAPA!$N$79</f>
        <v>95406</v>
      </c>
      <c r="H116" s="843"/>
      <c r="I116" s="843">
        <f>CAPA!$O$79</f>
        <v>81965</v>
      </c>
      <c r="J116" s="843"/>
      <c r="K116" s="278"/>
      <c r="L116" s="468"/>
      <c r="M116" s="469"/>
      <c r="N116" s="461"/>
      <c r="O116" s="461"/>
      <c r="P116" s="461"/>
    </row>
    <row r="117" spans="1:16" ht="15.75" x14ac:dyDescent="0.25">
      <c r="A117" s="266" t="s">
        <v>90</v>
      </c>
      <c r="B117" s="10"/>
      <c r="E117" s="277">
        <f>CAPA!$L$80</f>
        <v>5.423</v>
      </c>
      <c r="F117" s="277">
        <f>CAPA!$M$80</f>
        <v>14.824999999999999</v>
      </c>
      <c r="G117" s="843">
        <f>CAPA!$N$80</f>
        <v>97557</v>
      </c>
      <c r="H117" s="843"/>
      <c r="I117" s="843">
        <f>CAPA!$O$80</f>
        <v>84116</v>
      </c>
      <c r="J117" s="843"/>
      <c r="K117" s="278"/>
      <c r="L117" s="468"/>
      <c r="M117" s="469"/>
      <c r="N117" s="461"/>
      <c r="O117" s="461"/>
      <c r="P117" s="461"/>
    </row>
    <row r="118" spans="1:16" ht="15.75" x14ac:dyDescent="0.25">
      <c r="A118" s="266" t="s">
        <v>91</v>
      </c>
      <c r="B118" s="10"/>
      <c r="E118" s="277">
        <f>CAPA!$L$81</f>
        <v>5.7249999999999996</v>
      </c>
      <c r="F118" s="277">
        <f>CAPA!$M$81</f>
        <v>14.523</v>
      </c>
      <c r="G118" s="843">
        <f>CAPA!$N$81</f>
        <v>95406</v>
      </c>
      <c r="H118" s="843"/>
      <c r="I118" s="843">
        <f>CAPA!$O$81</f>
        <v>81965</v>
      </c>
      <c r="J118" s="843"/>
      <c r="K118" s="278"/>
      <c r="L118" s="468"/>
      <c r="M118" s="469"/>
      <c r="N118" s="461"/>
      <c r="O118" s="461"/>
      <c r="P118" s="461"/>
    </row>
    <row r="119" spans="1:16" ht="15.75" x14ac:dyDescent="0.25">
      <c r="A119" s="266" t="s">
        <v>92</v>
      </c>
      <c r="B119" s="10"/>
      <c r="E119" s="277">
        <f>CAPA!$L$82</f>
        <v>6.0270000000000001</v>
      </c>
      <c r="F119" s="277">
        <f>CAPA!$M$82</f>
        <v>14.221</v>
      </c>
      <c r="G119" s="843">
        <f>CAPA!$N$82</f>
        <v>93256</v>
      </c>
      <c r="H119" s="843"/>
      <c r="I119" s="843">
        <f>CAPA!$O$82</f>
        <v>79815</v>
      </c>
      <c r="J119" s="843"/>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702</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93</v>
      </c>
      <c r="B124" s="10"/>
      <c r="C124" s="10"/>
      <c r="D124" s="10"/>
      <c r="E124" s="395" t="str">
        <f>Relato!$E$124</f>
        <v xml:space="preserve"> February 26th, 2026 from 9:00 until 11:30 hrs</v>
      </c>
      <c r="G124" s="280"/>
      <c r="H124" s="280"/>
      <c r="I124" s="10"/>
      <c r="L124" s="461"/>
      <c r="M124" s="461"/>
      <c r="N124" s="461"/>
      <c r="O124" s="461"/>
      <c r="P124" s="461"/>
    </row>
    <row r="125" spans="1:16" ht="15.75" x14ac:dyDescent="0.25">
      <c r="A125" s="266" t="s">
        <v>94</v>
      </c>
      <c r="B125" s="10"/>
      <c r="C125" s="10"/>
      <c r="D125" s="10"/>
      <c r="E125" s="14" t="str">
        <f>Relato!$E$125</f>
        <v>Paranaguá, Br - Brazil (inner roads 9.2)</v>
      </c>
      <c r="G125" s="13"/>
      <c r="H125" s="13"/>
      <c r="I125" s="10"/>
      <c r="L125" s="461"/>
      <c r="M125" s="461"/>
      <c r="N125" s="461"/>
      <c r="O125" s="461"/>
      <c r="P125" s="461"/>
    </row>
    <row r="126" spans="1:16" ht="15.75" x14ac:dyDescent="0.25">
      <c r="A126" s="266" t="s">
        <v>95</v>
      </c>
      <c r="B126" s="10"/>
      <c r="C126" s="10"/>
      <c r="D126" s="10"/>
      <c r="E126" s="396">
        <f>Draft!$O$7</f>
        <v>0.1</v>
      </c>
      <c r="G126" s="13"/>
      <c r="H126" s="13"/>
      <c r="I126" s="10"/>
      <c r="L126" s="461"/>
      <c r="M126" s="461"/>
      <c r="N126" s="461"/>
      <c r="O126" s="461"/>
      <c r="P126" s="461"/>
    </row>
    <row r="127" spans="1:16" ht="15.75" x14ac:dyDescent="0.25">
      <c r="A127" s="266" t="s">
        <v>604</v>
      </c>
      <c r="B127" s="10"/>
      <c r="C127" s="10"/>
      <c r="D127" s="10"/>
      <c r="E127" s="627">
        <f>Draft!$O$8</f>
        <v>2</v>
      </c>
      <c r="F127" s="394"/>
      <c r="G127" s="281"/>
      <c r="H127" s="281"/>
      <c r="I127" s="281"/>
      <c r="L127" s="461"/>
      <c r="M127" s="461"/>
      <c r="N127" s="461"/>
      <c r="O127" s="461"/>
      <c r="P127" s="461"/>
    </row>
    <row r="128" spans="1:16" ht="15.75" x14ac:dyDescent="0.25">
      <c r="A128" s="266" t="s">
        <v>96</v>
      </c>
      <c r="B128" s="10"/>
      <c r="C128" s="10"/>
      <c r="D128" s="10"/>
      <c r="E128" s="14" t="str">
        <f>Draft!$E$8</f>
        <v>Flood tide, &lt; 1knot</v>
      </c>
      <c r="G128" s="13"/>
      <c r="H128" s="13"/>
      <c r="I128" s="10"/>
      <c r="L128" s="461"/>
      <c r="M128" s="461"/>
      <c r="N128" s="461"/>
      <c r="O128" s="461"/>
      <c r="P128" s="461"/>
    </row>
    <row r="129" spans="1:16" ht="15.75" x14ac:dyDescent="0.25">
      <c r="A129" s="266" t="s">
        <v>97</v>
      </c>
      <c r="B129" s="10"/>
      <c r="C129" s="10"/>
      <c r="D129" s="10"/>
      <c r="E129" s="14" t="str">
        <f>Draft!$E$7</f>
        <v>Rainy</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703</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93</v>
      </c>
      <c r="B134" s="10"/>
      <c r="C134" s="10"/>
      <c r="D134" s="10"/>
      <c r="E134" s="395" t="str">
        <f>Relato!$E$134</f>
        <v xml:space="preserve"> March 2nd, 2026 from 19:50 until 22:00 hrs</v>
      </c>
      <c r="G134" s="13"/>
      <c r="H134" s="13"/>
      <c r="I134" s="10"/>
      <c r="L134" s="461"/>
      <c r="M134" s="461"/>
      <c r="N134" s="461"/>
      <c r="O134" s="461"/>
      <c r="P134" s="461"/>
    </row>
    <row r="135" spans="1:16" ht="15.75" x14ac:dyDescent="0.25">
      <c r="A135" s="266" t="s">
        <v>94</v>
      </c>
      <c r="B135" s="10"/>
      <c r="C135" s="10"/>
      <c r="D135" s="10"/>
      <c r="E135" s="14" t="str">
        <f>Relato!$E$135</f>
        <v>Paranaguá, Br - Brazil (wharf 213)</v>
      </c>
      <c r="G135" s="13"/>
      <c r="H135" s="13"/>
      <c r="I135" s="10"/>
      <c r="L135" s="461"/>
      <c r="M135" s="461"/>
      <c r="N135" s="461"/>
      <c r="O135" s="461"/>
      <c r="P135" s="461"/>
    </row>
    <row r="136" spans="1:16" ht="15.75" x14ac:dyDescent="0.25">
      <c r="A136" s="266" t="s">
        <v>95</v>
      </c>
      <c r="B136" s="10"/>
      <c r="C136" s="10"/>
      <c r="D136" s="10"/>
      <c r="E136" s="396">
        <f>Draft!$AH$7</f>
        <v>0.1</v>
      </c>
      <c r="G136" s="13"/>
      <c r="H136" s="13"/>
      <c r="I136" s="10"/>
      <c r="L136" s="461"/>
      <c r="M136" s="461"/>
      <c r="N136" s="461"/>
      <c r="O136" s="461"/>
      <c r="P136" s="461"/>
    </row>
    <row r="137" spans="1:16" ht="15.75" x14ac:dyDescent="0.25">
      <c r="A137" s="266" t="s">
        <v>604</v>
      </c>
      <c r="B137" s="10"/>
      <c r="C137" s="10"/>
      <c r="D137" s="10"/>
      <c r="E137" s="627">
        <f>Draft!$AH$8</f>
        <v>1</v>
      </c>
      <c r="G137" s="282"/>
      <c r="H137" s="282"/>
      <c r="I137" s="10"/>
      <c r="L137" s="457"/>
      <c r="M137" s="457"/>
      <c r="N137" s="457"/>
      <c r="O137" s="457"/>
      <c r="P137" s="457"/>
    </row>
    <row r="138" spans="1:16" ht="15.75" x14ac:dyDescent="0.25">
      <c r="A138" s="266" t="s">
        <v>96</v>
      </c>
      <c r="B138" s="10"/>
      <c r="C138" s="10"/>
      <c r="D138" s="10"/>
      <c r="E138" s="14" t="str">
        <f>Draft!$X$8</f>
        <v>No tide flow</v>
      </c>
      <c r="G138" s="13"/>
      <c r="H138" s="13"/>
      <c r="I138" s="10"/>
      <c r="L138" s="457"/>
      <c r="M138" s="457"/>
      <c r="N138" s="457"/>
      <c r="O138" s="457"/>
      <c r="P138" s="457"/>
    </row>
    <row r="139" spans="1:16" ht="15.75" x14ac:dyDescent="0.25">
      <c r="A139" s="266" t="s">
        <v>97</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98</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99</v>
      </c>
      <c r="B144" s="10"/>
      <c r="C144" s="10"/>
      <c r="D144" s="10"/>
      <c r="E144" s="14" t="str">
        <f>CAPA!$B$6</f>
        <v>Soybeans in bulk</v>
      </c>
      <c r="G144" s="13"/>
      <c r="H144" s="13"/>
      <c r="I144" s="10"/>
      <c r="L144" s="457"/>
      <c r="M144" s="457"/>
      <c r="N144" s="457"/>
      <c r="O144" s="457"/>
      <c r="P144" s="457"/>
    </row>
    <row r="145" spans="1:21" ht="15.75" x14ac:dyDescent="0.25">
      <c r="A145" s="266" t="s">
        <v>100</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101</v>
      </c>
      <c r="B146" s="10"/>
      <c r="C146" s="10"/>
      <c r="D146" s="10"/>
      <c r="E146" s="14" t="str">
        <f>CAPA!$B$38</f>
        <v>One China Port</v>
      </c>
      <c r="G146" s="13"/>
      <c r="H146" s="13"/>
      <c r="I146" s="10"/>
      <c r="L146" s="457"/>
      <c r="M146" s="457"/>
      <c r="N146" s="457"/>
      <c r="O146" s="457"/>
      <c r="P146" s="457"/>
    </row>
    <row r="147" spans="1:21" ht="15.75" x14ac:dyDescent="0.25">
      <c r="A147" s="266" t="s">
        <v>102</v>
      </c>
      <c r="B147" s="10"/>
      <c r="C147" s="10"/>
      <c r="D147" s="10"/>
      <c r="E147" s="14" t="str">
        <f>CAPA!$B$36</f>
        <v>Iron Ore in bulk</v>
      </c>
      <c r="G147" s="13"/>
      <c r="H147" s="13"/>
      <c r="I147" s="10"/>
      <c r="L147" s="457"/>
      <c r="M147" s="458" t="s">
        <v>564</v>
      </c>
      <c r="N147" s="459" t="s">
        <v>322</v>
      </c>
      <c r="O147" s="460"/>
      <c r="P147" s="460"/>
      <c r="Q147" s="10"/>
      <c r="R147" s="10"/>
      <c r="S147" s="10"/>
      <c r="T147" s="10"/>
      <c r="U147" s="10"/>
    </row>
    <row r="148" spans="1:21" ht="15.75" x14ac:dyDescent="0.25">
      <c r="A148" s="266" t="s">
        <v>103</v>
      </c>
      <c r="B148" s="10"/>
      <c r="C148" s="10"/>
      <c r="D148" s="10"/>
      <c r="E148" s="14" t="str">
        <f>CAPA!$B$37</f>
        <v>Hazira, India</v>
      </c>
      <c r="G148" s="13"/>
      <c r="H148" s="13"/>
      <c r="I148" s="10"/>
      <c r="L148" s="457"/>
      <c r="M148" s="458" t="s">
        <v>565</v>
      </c>
      <c r="N148" s="459" t="s">
        <v>324</v>
      </c>
      <c r="O148" s="460"/>
      <c r="P148" s="460"/>
      <c r="Q148" s="10"/>
      <c r="R148" s="10"/>
      <c r="S148" s="10"/>
      <c r="T148" s="10"/>
      <c r="U148" s="10"/>
    </row>
    <row r="149" spans="1:21" ht="15.75" x14ac:dyDescent="0.25">
      <c r="A149" s="266"/>
      <c r="B149" s="10"/>
      <c r="C149" s="10"/>
      <c r="D149" s="10"/>
      <c r="E149" s="10"/>
      <c r="F149" s="13"/>
      <c r="G149" s="13"/>
      <c r="H149" s="13"/>
      <c r="I149" s="10"/>
      <c r="L149" s="457"/>
      <c r="M149" s="458" t="s">
        <v>566</v>
      </c>
      <c r="N149" s="459" t="s">
        <v>325</v>
      </c>
      <c r="O149" s="460"/>
      <c r="P149" s="460"/>
      <c r="Q149" s="10"/>
      <c r="R149" s="10"/>
      <c r="S149" s="10"/>
      <c r="T149" s="10"/>
      <c r="U149" s="10"/>
    </row>
    <row r="150" spans="1:21" ht="15.75" x14ac:dyDescent="0.25">
      <c r="A150" s="266"/>
      <c r="B150" s="10"/>
      <c r="C150" s="10"/>
      <c r="D150" s="10"/>
      <c r="E150" s="10"/>
      <c r="F150" s="10"/>
      <c r="G150" s="10"/>
      <c r="H150" s="10"/>
      <c r="I150" s="10"/>
      <c r="L150" s="457"/>
      <c r="M150" s="458" t="s">
        <v>567</v>
      </c>
      <c r="N150" s="459" t="s">
        <v>327</v>
      </c>
      <c r="O150" s="460"/>
      <c r="P150" s="460"/>
      <c r="Q150" s="10"/>
      <c r="R150" s="10"/>
      <c r="S150" s="10"/>
      <c r="T150" s="10"/>
      <c r="U150" s="10"/>
    </row>
    <row r="151" spans="1:21" ht="15.75" x14ac:dyDescent="0.25">
      <c r="A151" s="283" t="s">
        <v>104</v>
      </c>
      <c r="B151" s="283"/>
      <c r="C151" s="10"/>
      <c r="D151" s="10"/>
      <c r="E151" s="10"/>
      <c r="F151" s="10"/>
      <c r="G151" s="17"/>
      <c r="H151" s="842">
        <f>$I$207</f>
        <v>70736.695000000007</v>
      </c>
      <c r="I151" s="842"/>
      <c r="J151" s="10" t="s">
        <v>105</v>
      </c>
      <c r="L151" s="457"/>
      <c r="M151" s="458" t="s">
        <v>568</v>
      </c>
      <c r="N151" s="459" t="s">
        <v>328</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566</v>
      </c>
      <c r="N152" s="459" t="s">
        <v>329</v>
      </c>
      <c r="O152" s="460"/>
      <c r="P152" s="460"/>
      <c r="Q152" s="10"/>
      <c r="R152" s="10"/>
      <c r="S152" s="10"/>
      <c r="T152" s="10"/>
      <c r="U152" s="10"/>
    </row>
    <row r="153" spans="1:21" ht="15.75" x14ac:dyDescent="0.25">
      <c r="A153" s="283" t="s">
        <v>706</v>
      </c>
      <c r="B153" s="283"/>
      <c r="C153" s="13"/>
      <c r="D153" s="13" t="s">
        <v>106</v>
      </c>
      <c r="E153" s="10"/>
      <c r="G153" s="17"/>
      <c r="H153" s="842">
        <f>$I$208</f>
        <v>70761.046875879998</v>
      </c>
      <c r="I153" s="842"/>
      <c r="J153" s="10" t="s">
        <v>105</v>
      </c>
      <c r="L153" s="457"/>
      <c r="M153" s="458" t="s">
        <v>569</v>
      </c>
      <c r="N153" s="459" t="s">
        <v>330</v>
      </c>
      <c r="O153" s="460"/>
      <c r="P153" s="460"/>
      <c r="Q153" s="10"/>
      <c r="R153" s="10"/>
      <c r="S153" s="10"/>
      <c r="T153" s="10"/>
      <c r="U153" s="10"/>
    </row>
    <row r="154" spans="1:21" ht="15.75" x14ac:dyDescent="0.25">
      <c r="A154" s="284"/>
      <c r="B154" s="284"/>
      <c r="C154" s="14"/>
      <c r="D154" s="14" t="s">
        <v>107</v>
      </c>
      <c r="E154" s="10"/>
      <c r="G154" s="17"/>
      <c r="H154" s="842">
        <f>$H$212</f>
        <v>70750.23</v>
      </c>
      <c r="I154" s="842"/>
      <c r="J154" s="10" t="s">
        <v>105</v>
      </c>
      <c r="L154" s="457"/>
      <c r="M154" s="457"/>
      <c r="N154" s="457"/>
      <c r="O154" s="457"/>
      <c r="P154" s="457"/>
    </row>
    <row r="155" spans="1:21" ht="15.75" x14ac:dyDescent="0.25">
      <c r="A155" s="284"/>
      <c r="B155" s="284"/>
      <c r="C155" s="13"/>
      <c r="D155" s="13" t="s">
        <v>108</v>
      </c>
      <c r="E155" s="13"/>
      <c r="G155" s="17"/>
      <c r="H155" s="842">
        <f>$H$213</f>
        <v>70750.547000000006</v>
      </c>
      <c r="I155" s="842"/>
      <c r="J155" s="10" t="s">
        <v>105</v>
      </c>
      <c r="L155" s="457"/>
      <c r="M155" s="457"/>
      <c r="N155" s="457"/>
      <c r="O155" s="457"/>
      <c r="P155" s="457"/>
    </row>
    <row r="156" spans="1:21" ht="7.5" customHeight="1" thickBot="1" x14ac:dyDescent="0.3">
      <c r="A156" s="294"/>
      <c r="B156" s="294"/>
      <c r="C156" s="295"/>
      <c r="D156" s="295"/>
      <c r="E156" s="295"/>
      <c r="F156" s="295"/>
      <c r="G156" s="296"/>
      <c r="H156" s="297"/>
      <c r="I156" s="298"/>
      <c r="J156" s="299"/>
      <c r="L156" s="457"/>
      <c r="M156" s="457"/>
      <c r="N156" s="457"/>
      <c r="O156" s="457"/>
      <c r="P156" s="457"/>
    </row>
    <row r="157" spans="1:21" ht="21" customHeight="1" thickBot="1" x14ac:dyDescent="0.45">
      <c r="A157" s="300"/>
      <c r="B157" s="297"/>
      <c r="C157" s="297"/>
      <c r="D157" s="297"/>
      <c r="E157" s="297"/>
      <c r="F157" s="301"/>
      <c r="G157" s="820" t="s">
        <v>109</v>
      </c>
      <c r="H157" s="821"/>
      <c r="I157" s="822" t="s">
        <v>110</v>
      </c>
      <c r="J157" s="823"/>
      <c r="L157" s="457"/>
      <c r="M157" s="457"/>
      <c r="N157" s="457"/>
      <c r="O157" s="457"/>
      <c r="P157" s="457"/>
    </row>
    <row r="158" spans="1:21" ht="14.1" customHeight="1" x14ac:dyDescent="0.25">
      <c r="A158" s="824" t="str">
        <f>$A$1</f>
        <v xml:space="preserve">MV "Stella Navis" </v>
      </c>
      <c r="B158" s="825"/>
      <c r="C158" s="825"/>
      <c r="D158" s="825"/>
      <c r="E158" s="825"/>
      <c r="F158" s="826"/>
      <c r="G158" s="833" t="str">
        <f>Relato!$G$163</f>
        <v>Inner roads 9.2</v>
      </c>
      <c r="H158" s="833"/>
      <c r="I158" s="834" t="str">
        <f>Relato!$I$163</f>
        <v>Wharf 213</v>
      </c>
      <c r="J158" s="835"/>
      <c r="L158" s="457"/>
      <c r="M158" s="457"/>
      <c r="N158" s="457"/>
      <c r="O158" s="457"/>
      <c r="P158" s="457"/>
    </row>
    <row r="159" spans="1:21" ht="14.1" customHeight="1" x14ac:dyDescent="0.25">
      <c r="A159" s="827"/>
      <c r="B159" s="828"/>
      <c r="C159" s="828"/>
      <c r="D159" s="828"/>
      <c r="E159" s="828"/>
      <c r="F159" s="829"/>
      <c r="G159" s="839" t="str">
        <f>Relato!$G$164</f>
        <v>26.02.2026 - 09:10 h</v>
      </c>
      <c r="H159" s="841"/>
      <c r="I159" s="839" t="str">
        <f>Relato!$I$164</f>
        <v>02.03.2026 - 20:00 h</v>
      </c>
      <c r="J159" s="840"/>
      <c r="L159" s="457"/>
      <c r="M159" s="457"/>
      <c r="N159" s="457"/>
      <c r="O159" s="457"/>
      <c r="P159" s="457"/>
    </row>
    <row r="160" spans="1:21" ht="14.1" customHeight="1" x14ac:dyDescent="0.25">
      <c r="A160" s="830"/>
      <c r="B160" s="831"/>
      <c r="C160" s="831"/>
      <c r="D160" s="831"/>
      <c r="E160" s="831"/>
      <c r="F160" s="832"/>
      <c r="G160" s="836">
        <f>Relato!$G$165</f>
        <v>0.1</v>
      </c>
      <c r="H160" s="837"/>
      <c r="I160" s="836">
        <f>Relato!$I$165</f>
        <v>0.1</v>
      </c>
      <c r="J160" s="838"/>
      <c r="L160" s="457"/>
      <c r="M160" s="457"/>
      <c r="N160" s="457"/>
      <c r="O160" s="457"/>
      <c r="P160" s="457"/>
    </row>
    <row r="161" spans="1:16" ht="14.1" customHeight="1" x14ac:dyDescent="0.25">
      <c r="A161" s="808" t="str">
        <f>_xlfn.CONCAT("IMO NO.  ",CAPA!$B$10)</f>
        <v>IMO NO.  9909039</v>
      </c>
      <c r="B161" s="809"/>
      <c r="C161" s="809" t="str">
        <f>_xlfn.CONCAT("FLAG:  ",CAPA!$B$14)</f>
        <v>FLAG:  Marshallese</v>
      </c>
      <c r="D161" s="809"/>
      <c r="E161" s="809" t="str">
        <f>_xlfn.CONCAT("BUILD:  ",CAPA!$B$9)</f>
        <v>BUILD:  2021</v>
      </c>
      <c r="F161" s="810"/>
      <c r="G161" s="811" t="str">
        <f>CONCATENATE("Wind force ",TEXT(Draft!$O$8,"00"))</f>
        <v>Wind force 02</v>
      </c>
      <c r="H161" s="812"/>
      <c r="I161" s="811" t="str">
        <f>Relato!$I$166</f>
        <v>Wind force 01</v>
      </c>
      <c r="J161" s="813"/>
      <c r="L161" s="457"/>
      <c r="M161" s="457"/>
      <c r="N161" s="457"/>
      <c r="O161" s="457"/>
      <c r="P161" s="457"/>
    </row>
    <row r="162" spans="1:16" ht="14.1" customHeight="1" x14ac:dyDescent="0.25">
      <c r="A162" s="444" t="str">
        <f>IF(Draft!H84="NÃO","DRAUGHT SURVEY CERTIFICATE","FULL DISPLACEMENT SURVEY CERTIFICATE")</f>
        <v>DRAUGHT SURVEY CERTIFICATE</v>
      </c>
      <c r="B162" s="302"/>
      <c r="C162" s="302"/>
      <c r="D162" s="302"/>
      <c r="E162" s="302"/>
      <c r="F162" s="303"/>
      <c r="G162" s="811" t="str">
        <f>Draft!$E$8</f>
        <v>Flood tide, &lt; 1knot</v>
      </c>
      <c r="H162" s="812"/>
      <c r="I162" s="811" t="str">
        <f>Relato!$I$167</f>
        <v>No tide flow</v>
      </c>
      <c r="J162" s="813"/>
      <c r="L162" s="457"/>
      <c r="M162" s="457"/>
      <c r="N162" s="457"/>
      <c r="O162" s="457"/>
      <c r="P162" s="457"/>
    </row>
    <row r="163" spans="1:16" ht="14.1" customHeight="1" thickBot="1" x14ac:dyDescent="0.3">
      <c r="A163" s="445" t="str">
        <f>$G$3</f>
        <v>PGUA/DS/060/26</v>
      </c>
      <c r="B163" s="304"/>
      <c r="C163" s="304"/>
      <c r="D163" s="304"/>
      <c r="E163" s="304"/>
      <c r="F163" s="305"/>
      <c r="G163" s="816" t="str">
        <f>Relato!$G$168</f>
        <v>Weather:   Rainy</v>
      </c>
      <c r="H163" s="817"/>
      <c r="I163" s="818" t="str">
        <f>Relato!$I$168</f>
        <v>Weather:   Fine</v>
      </c>
      <c r="J163" s="819"/>
      <c r="L163" s="457"/>
      <c r="M163" s="457"/>
      <c r="N163" s="457"/>
      <c r="O163" s="457"/>
      <c r="P163" s="457"/>
    </row>
    <row r="164" spans="1:16" ht="3.75" customHeight="1" thickBot="1" x14ac:dyDescent="0.3">
      <c r="A164" s="306"/>
      <c r="B164" s="306"/>
      <c r="C164" s="306"/>
      <c r="D164" s="306"/>
      <c r="E164" s="306"/>
      <c r="F164" s="307"/>
      <c r="G164" s="306"/>
      <c r="H164" s="306"/>
      <c r="I164" s="308"/>
      <c r="J164" s="309"/>
      <c r="L164" s="457"/>
      <c r="M164" s="457"/>
      <c r="N164" s="457"/>
      <c r="O164" s="457"/>
      <c r="P164" s="457"/>
    </row>
    <row r="165" spans="1:16" ht="12.95" customHeight="1" x14ac:dyDescent="0.25">
      <c r="A165" s="326" t="s">
        <v>707</v>
      </c>
      <c r="B165" s="336"/>
      <c r="C165" s="336"/>
      <c r="D165" s="336"/>
      <c r="E165" s="336"/>
      <c r="F165" s="337"/>
      <c r="G165" s="788" t="s">
        <v>111</v>
      </c>
      <c r="H165" s="789"/>
      <c r="I165" s="814" t="s">
        <v>112</v>
      </c>
      <c r="J165" s="815"/>
      <c r="L165" s="457"/>
      <c r="M165" s="457"/>
      <c r="N165" s="457"/>
      <c r="O165" s="457"/>
      <c r="P165" s="457"/>
    </row>
    <row r="166" spans="1:16" ht="12.95" customHeight="1" x14ac:dyDescent="0.25">
      <c r="A166" s="338" t="s">
        <v>113</v>
      </c>
      <c r="B166" s="312"/>
      <c r="C166" s="312"/>
      <c r="D166" s="312"/>
      <c r="E166" s="312"/>
      <c r="F166" s="313"/>
      <c r="G166" s="803">
        <f>Draft!$C$25</f>
        <v>5.87</v>
      </c>
      <c r="H166" s="804"/>
      <c r="I166" s="805">
        <f>Draft!$U$25</f>
        <v>13.3</v>
      </c>
      <c r="J166" s="806"/>
      <c r="L166" s="457"/>
      <c r="M166" s="457"/>
      <c r="N166" s="457"/>
      <c r="O166" s="457"/>
      <c r="P166" s="457"/>
    </row>
    <row r="167" spans="1:16" ht="12.95" customHeight="1" x14ac:dyDescent="0.25">
      <c r="A167" s="449" t="s">
        <v>114</v>
      </c>
      <c r="B167" s="315"/>
      <c r="C167" s="315"/>
      <c r="D167" s="315"/>
      <c r="E167" s="315"/>
      <c r="F167" s="316"/>
      <c r="G167" s="792">
        <f>Draft!$G$25</f>
        <v>5.83</v>
      </c>
      <c r="H167" s="793"/>
      <c r="I167" s="807">
        <f>Draft!$Y$25</f>
        <v>13.3</v>
      </c>
      <c r="J167" s="794"/>
      <c r="L167" s="457"/>
      <c r="M167" s="457"/>
      <c r="N167" s="457"/>
      <c r="O167" s="457"/>
      <c r="P167" s="457"/>
    </row>
    <row r="168" spans="1:16" ht="12.95" customHeight="1" x14ac:dyDescent="0.25">
      <c r="A168" s="339" t="s">
        <v>115</v>
      </c>
      <c r="B168" s="315"/>
      <c r="C168" s="315"/>
      <c r="D168" s="315"/>
      <c r="E168" s="315"/>
      <c r="F168" s="316"/>
      <c r="G168" s="792">
        <f>($G$166+$G$167)/2</f>
        <v>5.85</v>
      </c>
      <c r="H168" s="793"/>
      <c r="I168" s="792">
        <f>($I$166+$I$167)/2</f>
        <v>13.3</v>
      </c>
      <c r="J168" s="794"/>
      <c r="L168" s="457"/>
      <c r="M168" s="457"/>
      <c r="N168" s="457"/>
      <c r="O168" s="457"/>
      <c r="P168" s="457"/>
    </row>
    <row r="169" spans="1:16" ht="12.95" customHeight="1" x14ac:dyDescent="0.25">
      <c r="A169" s="449" t="s">
        <v>116</v>
      </c>
      <c r="B169" s="314"/>
      <c r="C169" s="314"/>
      <c r="D169" s="314"/>
      <c r="E169" s="314"/>
      <c r="F169" s="317"/>
      <c r="G169" s="795">
        <f>Draft!$M$25</f>
        <v>-1.5699999999999825E-2</v>
      </c>
      <c r="H169" s="796"/>
      <c r="I169" s="797">
        <f>Draft!$AE$25</f>
        <v>9.9999999999766942E-5</v>
      </c>
      <c r="J169" s="798"/>
      <c r="L169" s="457"/>
      <c r="M169" s="457"/>
      <c r="N169" s="457"/>
      <c r="O169" s="457"/>
      <c r="P169" s="457"/>
    </row>
    <row r="170" spans="1:16" ht="12.95" customHeight="1" x14ac:dyDescent="0.25">
      <c r="A170" s="330" t="s">
        <v>708</v>
      </c>
      <c r="B170" s="310"/>
      <c r="C170" s="310"/>
      <c r="D170" s="310"/>
      <c r="E170" s="310"/>
      <c r="F170" s="311"/>
      <c r="G170" s="799">
        <f>Draft!$P$25</f>
        <v>5.8342999999999998</v>
      </c>
      <c r="H170" s="800"/>
      <c r="I170" s="801">
        <f>Draft!$AH$25</f>
        <v>13.3001</v>
      </c>
      <c r="J170" s="802"/>
      <c r="L170" s="457"/>
      <c r="M170" s="457"/>
      <c r="N170" s="457"/>
      <c r="O170" s="457"/>
      <c r="P170" s="457"/>
    </row>
    <row r="171" spans="1:16" ht="12.95" customHeight="1" x14ac:dyDescent="0.25">
      <c r="A171" s="338" t="s">
        <v>117</v>
      </c>
      <c r="B171" s="312"/>
      <c r="C171" s="312"/>
      <c r="D171" s="312"/>
      <c r="E171" s="312"/>
      <c r="F171" s="313"/>
      <c r="G171" s="803">
        <f>Draft!$C$26</f>
        <v>6.19</v>
      </c>
      <c r="H171" s="804"/>
      <c r="I171" s="805">
        <f>Draft!$U$26</f>
        <v>13.38</v>
      </c>
      <c r="J171" s="806"/>
      <c r="L171" s="457"/>
      <c r="M171" s="457"/>
      <c r="N171" s="457"/>
      <c r="O171" s="457"/>
      <c r="P171" s="457"/>
    </row>
    <row r="172" spans="1:16" ht="12.95" customHeight="1" x14ac:dyDescent="0.25">
      <c r="A172" s="449" t="s">
        <v>118</v>
      </c>
      <c r="B172" s="315"/>
      <c r="C172" s="315"/>
      <c r="D172" s="315"/>
      <c r="E172" s="315"/>
      <c r="F172" s="316"/>
      <c r="G172" s="792">
        <f>Draft!$G$26</f>
        <v>6.1</v>
      </c>
      <c r="H172" s="793"/>
      <c r="I172" s="807">
        <f>Draft!$Y$26</f>
        <v>13.4</v>
      </c>
      <c r="J172" s="794"/>
      <c r="L172" s="457"/>
      <c r="M172" s="457"/>
      <c r="N172" s="457"/>
      <c r="O172" s="457"/>
      <c r="P172" s="457"/>
    </row>
    <row r="173" spans="1:16" ht="12.95" customHeight="1" x14ac:dyDescent="0.25">
      <c r="A173" s="339" t="s">
        <v>119</v>
      </c>
      <c r="B173" s="315"/>
      <c r="C173" s="315"/>
      <c r="D173" s="315"/>
      <c r="E173" s="315"/>
      <c r="F173" s="316"/>
      <c r="G173" s="792">
        <f>($G$171+$G$172)/2</f>
        <v>6.1449999999999996</v>
      </c>
      <c r="H173" s="793"/>
      <c r="I173" s="792">
        <f>($I$171+$I$172)/2</f>
        <v>13.39</v>
      </c>
      <c r="J173" s="794"/>
      <c r="L173" s="457"/>
      <c r="M173" s="457"/>
      <c r="N173" s="457"/>
      <c r="O173" s="457"/>
      <c r="P173" s="457"/>
    </row>
    <row r="174" spans="1:16" ht="12.95" customHeight="1" x14ac:dyDescent="0.25">
      <c r="A174" s="449" t="s">
        <v>120</v>
      </c>
      <c r="B174" s="314"/>
      <c r="C174" s="314"/>
      <c r="D174" s="314"/>
      <c r="E174" s="314"/>
      <c r="F174" s="317"/>
      <c r="G174" s="795">
        <f>Draft!$M$26</f>
        <v>0</v>
      </c>
      <c r="H174" s="796"/>
      <c r="I174" s="797">
        <f>Draft!$AE$26</f>
        <v>0</v>
      </c>
      <c r="J174" s="798"/>
      <c r="L174" s="457"/>
      <c r="M174" s="457"/>
      <c r="N174" s="457"/>
      <c r="O174" s="457"/>
      <c r="P174" s="457"/>
    </row>
    <row r="175" spans="1:16" ht="12.95" customHeight="1" x14ac:dyDescent="0.25">
      <c r="A175" s="330" t="s">
        <v>709</v>
      </c>
      <c r="B175" s="310"/>
      <c r="C175" s="310"/>
      <c r="D175" s="310"/>
      <c r="E175" s="310"/>
      <c r="F175" s="311"/>
      <c r="G175" s="799">
        <f>Draft!$P$26</f>
        <v>6.1449999999999996</v>
      </c>
      <c r="H175" s="800"/>
      <c r="I175" s="801">
        <f>Draft!$AH$26</f>
        <v>13.39</v>
      </c>
      <c r="J175" s="802"/>
      <c r="L175" s="457"/>
      <c r="M175" s="457"/>
      <c r="N175" s="457"/>
      <c r="O175" s="457"/>
      <c r="P175" s="457"/>
    </row>
    <row r="176" spans="1:16" ht="12.95" customHeight="1" x14ac:dyDescent="0.25">
      <c r="A176" s="338" t="s">
        <v>121</v>
      </c>
      <c r="B176" s="312"/>
      <c r="C176" s="312"/>
      <c r="D176" s="312"/>
      <c r="E176" s="312"/>
      <c r="F176" s="313"/>
      <c r="G176" s="803">
        <f>Draft!$C$27</f>
        <v>6.54</v>
      </c>
      <c r="H176" s="804"/>
      <c r="I176" s="805">
        <f>Draft!$U$27</f>
        <v>13.29</v>
      </c>
      <c r="J176" s="806"/>
      <c r="L176" s="457"/>
      <c r="M176" s="457"/>
      <c r="N176" s="457"/>
      <c r="O176" s="457"/>
      <c r="P176" s="457"/>
    </row>
    <row r="177" spans="1:16" ht="12.95" customHeight="1" x14ac:dyDescent="0.25">
      <c r="A177" s="339" t="s">
        <v>122</v>
      </c>
      <c r="B177" s="315"/>
      <c r="C177" s="315"/>
      <c r="D177" s="315"/>
      <c r="E177" s="315"/>
      <c r="F177" s="316"/>
      <c r="G177" s="792">
        <f>Draft!$G$27</f>
        <v>6.53</v>
      </c>
      <c r="H177" s="793"/>
      <c r="I177" s="807">
        <f>Draft!$Y$27</f>
        <v>13.3</v>
      </c>
      <c r="J177" s="794"/>
      <c r="L177" s="457"/>
      <c r="M177" s="457"/>
      <c r="N177" s="457"/>
      <c r="O177" s="457"/>
      <c r="P177" s="457"/>
    </row>
    <row r="178" spans="1:16" ht="12.95" customHeight="1" x14ac:dyDescent="0.25">
      <c r="A178" s="339" t="s">
        <v>123</v>
      </c>
      <c r="B178" s="315"/>
      <c r="C178" s="315"/>
      <c r="D178" s="315"/>
      <c r="E178" s="315"/>
      <c r="F178" s="316"/>
      <c r="G178" s="792">
        <f>($G$176+$G$177)/2</f>
        <v>6.5350000000000001</v>
      </c>
      <c r="H178" s="793"/>
      <c r="I178" s="792">
        <f>($I$176+$I$177)/2</f>
        <v>13.295</v>
      </c>
      <c r="J178" s="794"/>
      <c r="L178" s="457"/>
      <c r="M178" s="457"/>
      <c r="N178" s="457"/>
      <c r="O178" s="457"/>
      <c r="P178" s="457"/>
    </row>
    <row r="179" spans="1:16" ht="12.95" customHeight="1" x14ac:dyDescent="0.25">
      <c r="A179" s="449" t="s">
        <v>124</v>
      </c>
      <c r="B179" s="314"/>
      <c r="C179" s="314"/>
      <c r="D179" s="314"/>
      <c r="E179" s="314"/>
      <c r="F179" s="317"/>
      <c r="G179" s="795">
        <f>Draft!$M$27</f>
        <v>3.3299999999999663E-2</v>
      </c>
      <c r="H179" s="796"/>
      <c r="I179" s="797">
        <f>Draft!$AE$27</f>
        <v>-1.9999999999953388E-4</v>
      </c>
      <c r="J179" s="798"/>
      <c r="L179" s="457"/>
      <c r="M179" s="457"/>
      <c r="N179" s="457"/>
      <c r="O179" s="457"/>
      <c r="P179" s="457"/>
    </row>
    <row r="180" spans="1:16" ht="12.95" customHeight="1" x14ac:dyDescent="0.25">
      <c r="A180" s="330" t="s">
        <v>710</v>
      </c>
      <c r="B180" s="310"/>
      <c r="C180" s="310"/>
      <c r="D180" s="310"/>
      <c r="E180" s="310"/>
      <c r="F180" s="311"/>
      <c r="G180" s="799">
        <f>Draft!$P$27</f>
        <v>6.5682999999999998</v>
      </c>
      <c r="H180" s="800"/>
      <c r="I180" s="801">
        <f>Draft!$AH$27</f>
        <v>13.2948</v>
      </c>
      <c r="J180" s="802"/>
      <c r="L180" s="457"/>
      <c r="M180" s="457"/>
      <c r="N180" s="457"/>
      <c r="O180" s="457"/>
      <c r="P180" s="457"/>
    </row>
    <row r="181" spans="1:16" ht="12.95" customHeight="1" thickBot="1" x14ac:dyDescent="0.3">
      <c r="A181" s="450" t="s">
        <v>125</v>
      </c>
      <c r="B181" s="318"/>
      <c r="C181" s="318"/>
      <c r="D181" s="318"/>
      <c r="E181" s="318"/>
      <c r="F181" s="319"/>
      <c r="G181" s="781">
        <f>Draft!$O$20+Draft!$H$18</f>
        <v>0</v>
      </c>
      <c r="H181" s="782"/>
      <c r="I181" s="783">
        <f>$G$181</f>
        <v>0</v>
      </c>
      <c r="J181" s="784"/>
      <c r="L181" s="457"/>
      <c r="M181" s="457"/>
      <c r="N181" s="457"/>
      <c r="O181" s="457"/>
      <c r="P181" s="457"/>
    </row>
    <row r="182" spans="1:16" ht="12.95" customHeight="1" thickBot="1" x14ac:dyDescent="0.3">
      <c r="A182" s="340" t="s">
        <v>581</v>
      </c>
      <c r="B182" s="341"/>
      <c r="C182" s="341"/>
      <c r="D182" s="341"/>
      <c r="E182" s="341"/>
      <c r="F182" s="342"/>
      <c r="G182" s="734">
        <f>Draft!$M$37</f>
        <v>5.6975616767358517E-3</v>
      </c>
      <c r="H182" s="735"/>
      <c r="I182" s="734">
        <f>Draft!$AE$37</f>
        <v>-1.3505625213070971E-2</v>
      </c>
      <c r="J182" s="735"/>
      <c r="L182" s="457"/>
      <c r="M182" s="457"/>
      <c r="N182" s="457"/>
      <c r="O182" s="457"/>
      <c r="P182" s="457"/>
    </row>
    <row r="183" spans="1:16" ht="12.95" customHeight="1" thickBot="1" x14ac:dyDescent="0.3">
      <c r="A183" s="451" t="s">
        <v>582</v>
      </c>
      <c r="B183" s="320"/>
      <c r="C183" s="320"/>
      <c r="D183" s="320"/>
      <c r="E183" s="320"/>
      <c r="F183" s="321"/>
      <c r="G183" s="785">
        <f>Draft!$M$39</f>
        <v>6.1647725616767355</v>
      </c>
      <c r="H183" s="786"/>
      <c r="I183" s="785">
        <f>Draft!$AE$39</f>
        <v>13.353356874786929</v>
      </c>
      <c r="J183" s="787"/>
      <c r="L183" s="457"/>
      <c r="M183" s="457"/>
      <c r="N183" s="457"/>
      <c r="O183" s="457"/>
      <c r="P183" s="457"/>
    </row>
    <row r="184" spans="1:16" ht="3.75" customHeight="1" thickBot="1" x14ac:dyDescent="0.3">
      <c r="A184" s="456"/>
      <c r="B184" s="322"/>
      <c r="C184" s="322"/>
      <c r="D184" s="322"/>
      <c r="E184" s="322"/>
      <c r="F184" s="322"/>
      <c r="G184" s="323"/>
      <c r="H184" s="324"/>
      <c r="I184" s="325"/>
      <c r="J184" s="351"/>
      <c r="L184" s="457"/>
      <c r="M184" s="457"/>
      <c r="N184" s="457"/>
      <c r="O184" s="457"/>
      <c r="P184" s="457"/>
    </row>
    <row r="185" spans="1:16" ht="12.95" customHeight="1" x14ac:dyDescent="0.25">
      <c r="A185" s="326" t="s">
        <v>127</v>
      </c>
      <c r="B185" s="327"/>
      <c r="C185" s="327"/>
      <c r="D185" s="327"/>
      <c r="E185" s="327"/>
      <c r="F185" s="328"/>
      <c r="G185" s="329" t="str">
        <f>IF(G180=0,"",IF(G180&gt;G170,"BY STERN","BY HEAD"))</f>
        <v>BY STERN</v>
      </c>
      <c r="H185" s="397">
        <f>Draft!$P$29</f>
        <v>0.73399999999999999</v>
      </c>
      <c r="I185" s="329" t="str">
        <f>IF(I180=0,"",IF(I180&gt;I170,"BY STERN","BY HEAD"))</f>
        <v>BY HEAD</v>
      </c>
      <c r="J185" s="446">
        <f>Draft!$AH$29</f>
        <v>-5.3000000000000824E-3</v>
      </c>
      <c r="L185" s="457"/>
      <c r="M185" s="457"/>
      <c r="N185" s="457"/>
      <c r="O185" s="457"/>
      <c r="P185" s="457"/>
    </row>
    <row r="186" spans="1:16" ht="12.95" customHeight="1" x14ac:dyDescent="0.25">
      <c r="A186" s="330" t="s">
        <v>128</v>
      </c>
      <c r="B186" s="331"/>
      <c r="C186" s="331"/>
      <c r="D186" s="331"/>
      <c r="E186" s="331"/>
      <c r="F186" s="332"/>
      <c r="G186" s="333" t="str">
        <f>_xlfn.CONCAT(Draft!$P$35," ",TEXT(Draft!$M$35,"0.00")," º")</f>
        <v>P 000 º</v>
      </c>
      <c r="H186" s="398">
        <f>Draft!$G$35</f>
        <v>9</v>
      </c>
      <c r="I186" s="333" t="str">
        <f>_xlfn.CONCAT(Draft!$AH$35," ",TEXT(Draft!$AE$35,"0.00")," º")</f>
        <v>S 000 º</v>
      </c>
      <c r="J186" s="447">
        <f>Draft!$Y$35</f>
        <v>2</v>
      </c>
      <c r="L186" s="457"/>
      <c r="M186" s="457"/>
      <c r="N186" s="457"/>
      <c r="O186" s="457"/>
      <c r="P186" s="457"/>
    </row>
    <row r="187" spans="1:16" ht="12.95" customHeight="1" thickBot="1" x14ac:dyDescent="0.3">
      <c r="A187" s="334" t="s">
        <v>130</v>
      </c>
      <c r="B187" s="299"/>
      <c r="C187" s="299"/>
      <c r="D187" s="299"/>
      <c r="E187" s="299"/>
      <c r="F187" s="335"/>
      <c r="G187" s="400" t="str">
        <f>Draft!$M$33</f>
        <v>HOGGING</v>
      </c>
      <c r="H187" s="399">
        <f>Draft!$G$33</f>
        <v>5.6300000000000239</v>
      </c>
      <c r="I187" s="400" t="str">
        <f>Draft!$AE$33</f>
        <v>SAGGING</v>
      </c>
      <c r="J187" s="448">
        <f>Draft!$Y$33</f>
        <v>9.2549999999999244</v>
      </c>
      <c r="L187" s="457"/>
      <c r="M187" s="457"/>
      <c r="N187" s="457"/>
      <c r="O187" s="457"/>
      <c r="P187" s="457"/>
    </row>
    <row r="188" spans="1:16" ht="3.75" customHeight="1" thickBot="1" x14ac:dyDescent="0.3">
      <c r="A188" s="314"/>
      <c r="B188" s="314"/>
      <c r="C188" s="314"/>
      <c r="D188" s="314"/>
      <c r="E188" s="314"/>
      <c r="F188" s="314"/>
      <c r="G188" s="314"/>
      <c r="H188" s="314"/>
      <c r="I188" s="325"/>
      <c r="J188" s="309"/>
      <c r="L188" s="457"/>
      <c r="M188" s="457"/>
      <c r="N188" s="457"/>
      <c r="O188" s="457"/>
      <c r="P188" s="457"/>
    </row>
    <row r="189" spans="1:16" ht="12.95" customHeight="1" x14ac:dyDescent="0.25">
      <c r="A189" s="326" t="s">
        <v>131</v>
      </c>
      <c r="B189" s="336"/>
      <c r="C189" s="336"/>
      <c r="D189" s="336"/>
      <c r="E189" s="336"/>
      <c r="F189" s="337"/>
      <c r="G189" s="788" t="s">
        <v>111</v>
      </c>
      <c r="H189" s="789"/>
      <c r="I189" s="790" t="s">
        <v>112</v>
      </c>
      <c r="J189" s="791"/>
      <c r="L189" s="457"/>
      <c r="M189" s="457"/>
      <c r="N189" s="457"/>
      <c r="O189" s="457"/>
      <c r="P189" s="457"/>
    </row>
    <row r="190" spans="1:16" ht="12.95" customHeight="1" x14ac:dyDescent="0.25">
      <c r="A190" s="338" t="s">
        <v>132</v>
      </c>
      <c r="B190" s="312"/>
      <c r="C190" s="312"/>
      <c r="D190" s="312"/>
      <c r="E190" s="312"/>
      <c r="F190" s="313"/>
      <c r="G190" s="775">
        <f>Draft!$M$43</f>
        <v>38040.14</v>
      </c>
      <c r="H190" s="776"/>
      <c r="I190" s="775">
        <f>Draft!$AE$43</f>
        <v>87096.83</v>
      </c>
      <c r="J190" s="777"/>
      <c r="L190" s="457"/>
      <c r="M190" s="457"/>
      <c r="N190" s="457"/>
      <c r="O190" s="457"/>
      <c r="P190" s="457"/>
    </row>
    <row r="191" spans="1:16" ht="12.95" customHeight="1" x14ac:dyDescent="0.25">
      <c r="A191" s="339" t="s">
        <v>133</v>
      </c>
      <c r="B191" s="315"/>
      <c r="C191" s="315"/>
      <c r="D191" s="315"/>
      <c r="E191" s="315"/>
      <c r="F191" s="316"/>
      <c r="G191" s="778">
        <f>Draft!$N$57</f>
        <v>-158.84752946106195</v>
      </c>
      <c r="H191" s="779"/>
      <c r="I191" s="778">
        <f>Draft!$AF$57</f>
        <v>-0.36515827433628884</v>
      </c>
      <c r="J191" s="780"/>
      <c r="L191" s="457"/>
      <c r="M191" s="457"/>
      <c r="N191" s="457"/>
      <c r="O191" s="457"/>
      <c r="P191" s="457"/>
    </row>
    <row r="192" spans="1:16" ht="12.95" customHeight="1" x14ac:dyDescent="0.25">
      <c r="A192" s="339" t="s">
        <v>134</v>
      </c>
      <c r="B192" s="315"/>
      <c r="C192" s="315"/>
      <c r="D192" s="315"/>
      <c r="E192" s="315"/>
      <c r="F192" s="316"/>
      <c r="G192" s="778">
        <f>Draft!$N$58</f>
        <v>2.5865055752212309</v>
      </c>
      <c r="H192" s="779"/>
      <c r="I192" s="778">
        <f>Draft!$AF$58</f>
        <v>1.9265265486727111E-5</v>
      </c>
      <c r="J192" s="780"/>
      <c r="L192" s="457"/>
      <c r="M192" s="457"/>
      <c r="N192" s="457"/>
      <c r="O192" s="457"/>
      <c r="P192" s="457"/>
    </row>
    <row r="193" spans="1:16" ht="12.95" customHeight="1" x14ac:dyDescent="0.25">
      <c r="A193" s="339" t="s">
        <v>135</v>
      </c>
      <c r="B193" s="315"/>
      <c r="C193" s="315"/>
      <c r="D193" s="315"/>
      <c r="E193" s="315"/>
      <c r="F193" s="316"/>
      <c r="G193" s="769">
        <f>Draft!$N$61</f>
        <v>37883.87897611416</v>
      </c>
      <c r="H193" s="770"/>
      <c r="I193" s="769">
        <f>Draft!$AF$61</f>
        <v>87096.464860990935</v>
      </c>
      <c r="J193" s="771"/>
      <c r="L193" s="457"/>
      <c r="M193" s="457"/>
      <c r="N193" s="457"/>
      <c r="O193" s="457"/>
      <c r="P193" s="457"/>
    </row>
    <row r="194" spans="1:16" ht="12.95" customHeight="1" x14ac:dyDescent="0.25">
      <c r="A194" s="339" t="s">
        <v>136</v>
      </c>
      <c r="B194" s="315"/>
      <c r="C194" s="315"/>
      <c r="D194" s="315"/>
      <c r="E194" s="315"/>
      <c r="F194" s="316"/>
      <c r="G194" s="772">
        <f>Draft!$H$62</f>
        <v>1.0145</v>
      </c>
      <c r="H194" s="773"/>
      <c r="I194" s="772">
        <f>Draft!$Z$62</f>
        <v>1.014</v>
      </c>
      <c r="J194" s="774"/>
      <c r="L194" s="457"/>
      <c r="M194" s="457"/>
      <c r="N194" s="457"/>
      <c r="O194" s="457"/>
      <c r="P194" s="457"/>
    </row>
    <row r="195" spans="1:16" ht="12.95" customHeight="1" x14ac:dyDescent="0.25">
      <c r="A195" s="339" t="s">
        <v>711</v>
      </c>
      <c r="B195" s="315"/>
      <c r="C195" s="315"/>
      <c r="D195" s="315"/>
      <c r="E195" s="315"/>
      <c r="F195" s="316"/>
      <c r="G195" s="769">
        <f>Draft!$N$63</f>
        <v>37495.800215871044</v>
      </c>
      <c r="H195" s="770"/>
      <c r="I195" s="769">
        <f>Draft!$AF$63</f>
        <v>86161.771091751041</v>
      </c>
      <c r="J195" s="771"/>
      <c r="L195" s="457"/>
      <c r="M195" s="457"/>
      <c r="N195" s="457"/>
      <c r="O195" s="457"/>
      <c r="P195" s="457"/>
    </row>
    <row r="196" spans="1:16" ht="12.95" customHeight="1" thickBot="1" x14ac:dyDescent="0.3">
      <c r="A196" s="340" t="s">
        <v>712</v>
      </c>
      <c r="B196" s="341"/>
      <c r="C196" s="341"/>
      <c r="D196" s="341"/>
      <c r="E196" s="341"/>
      <c r="F196" s="342"/>
      <c r="G196" s="759">
        <f>Draft!$H$72</f>
        <v>23626.395999999997</v>
      </c>
      <c r="H196" s="760"/>
      <c r="I196" s="759">
        <f>Draft!$AF$72</f>
        <v>1507.42</v>
      </c>
      <c r="J196" s="761"/>
      <c r="L196" s="457"/>
      <c r="M196" s="457"/>
      <c r="N196" s="457"/>
      <c r="O196" s="457"/>
      <c r="P196" s="457"/>
    </row>
    <row r="197" spans="1:16" ht="12.95" customHeight="1" thickBot="1" x14ac:dyDescent="0.3">
      <c r="A197" s="620" t="s">
        <v>713</v>
      </c>
      <c r="B197" s="621"/>
      <c r="C197" s="621"/>
      <c r="D197" s="621"/>
      <c r="E197" s="621"/>
      <c r="F197" s="621"/>
      <c r="G197" s="762">
        <f>Draft!$N$74</f>
        <v>13869.404215871047</v>
      </c>
      <c r="H197" s="763"/>
      <c r="I197" s="762">
        <f>Draft!$AF$74</f>
        <v>84654.351091751043</v>
      </c>
      <c r="J197" s="764"/>
      <c r="K197" s="452"/>
      <c r="L197" s="457"/>
      <c r="M197" s="457"/>
      <c r="N197" s="457"/>
      <c r="O197" s="457"/>
      <c r="P197" s="457"/>
    </row>
    <row r="198" spans="1:16" ht="12.95" customHeight="1" x14ac:dyDescent="0.25">
      <c r="A198" s="343" t="s">
        <v>618</v>
      </c>
      <c r="B198" s="344"/>
      <c r="C198" s="344"/>
      <c r="D198" s="344"/>
      <c r="E198" s="344"/>
      <c r="F198" s="345"/>
      <c r="G198" s="765">
        <f>Draft!$H$75</f>
        <v>13441</v>
      </c>
      <c r="H198" s="766"/>
      <c r="I198" s="346"/>
      <c r="J198" s="347"/>
      <c r="L198" s="457"/>
      <c r="M198" s="457"/>
      <c r="N198" s="457"/>
      <c r="O198" s="457"/>
      <c r="P198" s="457"/>
    </row>
    <row r="199" spans="1:16" ht="12.95" customHeight="1" x14ac:dyDescent="0.25">
      <c r="A199" s="348" t="str">
        <f>IF(Draft!H84="NÃO","Calculated constant","Declared constant")</f>
        <v>Calculated constant</v>
      </c>
      <c r="B199" s="349"/>
      <c r="C199" s="349"/>
      <c r="D199" s="349"/>
      <c r="E199" s="349"/>
      <c r="F199" s="350"/>
      <c r="G199" s="767">
        <f>Draft!$N$77</f>
        <v>452.30421587104684</v>
      </c>
      <c r="H199" s="768"/>
      <c r="I199" s="325"/>
      <c r="J199" s="351"/>
      <c r="L199" s="457"/>
      <c r="M199" s="457"/>
      <c r="N199" s="457"/>
      <c r="O199" s="457"/>
      <c r="P199" s="457"/>
    </row>
    <row r="200" spans="1:16" ht="12.95" customHeight="1" x14ac:dyDescent="0.25">
      <c r="A200" s="352" t="s">
        <v>714</v>
      </c>
      <c r="B200" s="353"/>
      <c r="C200" s="353"/>
      <c r="D200" s="353"/>
      <c r="E200" s="353"/>
      <c r="F200" s="354"/>
      <c r="G200" s="749">
        <f>Draft!$H$76</f>
        <v>23.9</v>
      </c>
      <c r="H200" s="750"/>
      <c r="I200" s="749">
        <f>Draft!$Z$76</f>
        <v>0</v>
      </c>
      <c r="J200" s="751"/>
      <c r="L200" s="457"/>
      <c r="M200" s="457"/>
      <c r="N200" s="457"/>
      <c r="O200" s="457"/>
      <c r="P200" s="457"/>
    </row>
    <row r="201" spans="1:16" ht="12.95" customHeight="1" thickBot="1" x14ac:dyDescent="0.3">
      <c r="A201" s="355" t="str">
        <f>IF(I197=0,"",IF(I197&gt;G197,"Total cargo loaded on board as per draught survey","Total cargo discharged as per draught survey"))</f>
        <v>Total cargo loaded on board as per draught survey</v>
      </c>
      <c r="B201" s="356"/>
      <c r="C201" s="356"/>
      <c r="D201" s="356"/>
      <c r="E201" s="356"/>
      <c r="F201" s="356"/>
      <c r="G201" s="357"/>
      <c r="H201" s="358"/>
      <c r="I201" s="752">
        <f>Draft!$AF$77</f>
        <v>70761.046875879998</v>
      </c>
      <c r="J201" s="753"/>
      <c r="L201" s="470" t="str">
        <f>_xlfn.CONCAT(Draft!$AQ$32,Draft!$AQ$33," on initial draft survey")</f>
        <v xml:space="preserve"> on initial draft survey</v>
      </c>
      <c r="M201" s="470" t="str">
        <f>IF($L$201="sagging on initial draft survey",1,"")</f>
        <v/>
      </c>
      <c r="N201" s="457" t="str">
        <f>IF($L$201="hogging on initial draft survey",1,"")</f>
        <v/>
      </c>
      <c r="O201" s="461" t="str">
        <f>IF(SUM($M$201:$N$201)=1,$L$201,"")</f>
        <v/>
      </c>
      <c r="P201" s="471" t="str">
        <f>IF(O201=1,L201,"")</f>
        <v/>
      </c>
    </row>
    <row r="202" spans="1:16" ht="3.75" customHeight="1" thickBot="1" x14ac:dyDescent="0.3">
      <c r="A202" s="306"/>
      <c r="B202" s="306"/>
      <c r="C202" s="306"/>
      <c r="D202" s="306"/>
      <c r="E202" s="306"/>
      <c r="F202" s="306"/>
      <c r="G202" s="306"/>
      <c r="H202" s="306"/>
      <c r="I202" s="308"/>
      <c r="J202" s="309"/>
      <c r="L202" s="470" t="str">
        <f>IFERROR(IF(SUM(M201:N201,M203:N203)=2," and ",""),"")</f>
        <v/>
      </c>
      <c r="M202" s="457"/>
      <c r="N202" s="457"/>
      <c r="O202" s="461"/>
      <c r="P202" s="461"/>
    </row>
    <row r="203" spans="1:16" ht="12.95" customHeight="1" x14ac:dyDescent="0.25">
      <c r="A203" s="359" t="str">
        <f>_xlfn.CONCAT("Loading terminals: ",CAPA!E58,CAPA!E59,CAPA!E60,CAPA!E61,CAPA!E62,CAPA!E63,CAPA!E64,CAPA!E65,CAPA!E66,CAPA!E67,CAPA!E68,CAPA!E69,CAPA!E70,CAPA!E71,".")</f>
        <v>Loading terminals: CT, IT, RO, .</v>
      </c>
      <c r="B203" s="360"/>
      <c r="C203" s="360"/>
      <c r="D203" s="360"/>
      <c r="E203" s="360"/>
      <c r="F203" s="633"/>
      <c r="G203" s="9" t="s">
        <v>137</v>
      </c>
      <c r="H203" s="404">
        <f>Draft!$M$47</f>
        <v>64.430000000000007</v>
      </c>
      <c r="I203" s="9" t="s">
        <v>137</v>
      </c>
      <c r="J203" s="453">
        <f>Draft!$AE$47</f>
        <v>71.099999999999994</v>
      </c>
      <c r="L203" s="457" t="str">
        <f>_xlfn.CONCAT(Draft!$AQ$35,Draft!$AQ$36," on final draft survey")</f>
        <v>sagging on final draft survey</v>
      </c>
      <c r="M203" s="470" t="str">
        <f>IF($L$203="hogging on final draft survey",1,"")</f>
        <v/>
      </c>
      <c r="N203" s="457">
        <f>IF($L$203="sagging on final draft survey",1,"")</f>
        <v>1</v>
      </c>
      <c r="O203" s="461" t="str">
        <f>IF(SUM($M$203:$N$203)=1,$L$203,"")</f>
        <v>sagging on final draft survey</v>
      </c>
      <c r="P203" s="461" t="str">
        <f>IF(O203=1,L203,"")</f>
        <v/>
      </c>
    </row>
    <row r="204" spans="1:16" ht="12.95" customHeight="1" thickBot="1" x14ac:dyDescent="0.3">
      <c r="A204" s="401" t="str">
        <f>_xlfn.CONCAT("Cargo: ",CAPA!B6)</f>
        <v>Cargo: Soybeans in bulk</v>
      </c>
      <c r="B204" s="403"/>
      <c r="C204" s="403"/>
      <c r="D204" s="403"/>
      <c r="E204" s="403"/>
      <c r="F204" s="402"/>
      <c r="G204" s="361" t="s">
        <v>143</v>
      </c>
      <c r="H204" s="405">
        <f>Draft!$J$53</f>
        <v>935.4</v>
      </c>
      <c r="I204" s="361" t="s">
        <v>143</v>
      </c>
      <c r="J204" s="454">
        <f>Draft!$AB$53</f>
        <v>1230.9000000000001</v>
      </c>
      <c r="L204" s="457" t="s">
        <v>791</v>
      </c>
      <c r="M204" s="457"/>
      <c r="N204" s="457"/>
      <c r="O204" s="461"/>
      <c r="P204" s="461"/>
    </row>
    <row r="205" spans="1:16" ht="12.95" customHeight="1" thickTop="1" thickBot="1" x14ac:dyDescent="0.3">
      <c r="A205" s="754" t="str">
        <f>Relato!A209</f>
        <v>Paranaguá, Br - Brazil.  March 2nd, 2026</v>
      </c>
      <c r="B205" s="755"/>
      <c r="C205" s="755"/>
      <c r="D205" s="755"/>
      <c r="E205" s="755"/>
      <c r="F205" s="756"/>
      <c r="G205" s="362" t="s">
        <v>144</v>
      </c>
      <c r="H205" s="406">
        <f>Draft!$J$54</f>
        <v>913.7</v>
      </c>
      <c r="I205" s="362" t="s">
        <v>144</v>
      </c>
      <c r="J205" s="455">
        <f>Draft!$AB$54</f>
        <v>1227.8</v>
      </c>
      <c r="L205" s="457"/>
      <c r="M205" s="457"/>
      <c r="N205" s="457"/>
      <c r="O205" s="461"/>
      <c r="P205" s="461"/>
    </row>
    <row r="206" spans="1:16" ht="3.75" customHeight="1" thickBot="1" x14ac:dyDescent="0.3">
      <c r="A206" s="363"/>
      <c r="B206" s="364"/>
      <c r="C206" s="364"/>
      <c r="D206" s="364"/>
      <c r="E206" s="364"/>
      <c r="F206" s="365"/>
      <c r="G206" s="365"/>
      <c r="H206" s="365"/>
      <c r="I206" s="365"/>
      <c r="J206" s="309"/>
      <c r="L206" s="457"/>
      <c r="M206" s="457"/>
      <c r="N206" s="457"/>
      <c r="O206" s="457"/>
      <c r="P206" s="457"/>
    </row>
    <row r="207" spans="1:16" ht="12.95" customHeight="1" thickTop="1" x14ac:dyDescent="0.25">
      <c r="A207" s="366" t="str">
        <f>IF(I197=0,"",IF(I197&gt;G197,"Total cargo loaded on board as per shore scales","Total manifested cargo"))</f>
        <v>Total cargo loaded on board as per shore scales</v>
      </c>
      <c r="B207" s="367"/>
      <c r="C207" s="367"/>
      <c r="D207" s="367"/>
      <c r="E207" s="367"/>
      <c r="F207" s="367"/>
      <c r="G207" s="368"/>
      <c r="H207" s="369"/>
      <c r="I207" s="757">
        <f>Draft!$Z$78</f>
        <v>70736.695000000007</v>
      </c>
      <c r="J207" s="758"/>
      <c r="L207" s="457"/>
      <c r="M207" s="457"/>
      <c r="N207" s="457"/>
      <c r="O207" s="457"/>
      <c r="P207" s="457"/>
    </row>
    <row r="208" spans="1:16" ht="12.95" customHeight="1" x14ac:dyDescent="0.25">
      <c r="A208" s="370" t="str">
        <f>A201</f>
        <v>Total cargo loaded on board as per draught survey</v>
      </c>
      <c r="B208" s="622"/>
      <c r="C208" s="622"/>
      <c r="D208" s="622"/>
      <c r="E208" s="622"/>
      <c r="F208" s="622"/>
      <c r="G208" s="623"/>
      <c r="H208" s="624"/>
      <c r="I208" s="744">
        <f>Draft!$AF$77</f>
        <v>70761.046875879998</v>
      </c>
      <c r="J208" s="745"/>
      <c r="L208" s="457"/>
      <c r="M208" s="457"/>
      <c r="N208" s="457"/>
      <c r="O208" s="457"/>
      <c r="P208" s="457"/>
    </row>
    <row r="209" spans="1:16" ht="12.95" customHeight="1" thickBot="1" x14ac:dyDescent="0.3">
      <c r="A209" s="625" t="str">
        <f>IF($G$209&gt;0,"Surplus","Shortage")</f>
        <v>Surplus</v>
      </c>
      <c r="B209" s="371"/>
      <c r="C209" s="371"/>
      <c r="D209" s="371"/>
      <c r="E209" s="371"/>
      <c r="F209" s="371"/>
      <c r="G209" s="746">
        <f>$I$208-$I$207</f>
        <v>24.351875879990985</v>
      </c>
      <c r="H209" s="746"/>
      <c r="I209" s="747">
        <f>($G$209/$I$207)*100</f>
        <v>3.4426086601856337E-2</v>
      </c>
      <c r="J209" s="748"/>
      <c r="L209" s="457"/>
      <c r="M209" s="457"/>
      <c r="N209" s="457"/>
      <c r="O209" s="457"/>
      <c r="P209" s="457"/>
    </row>
    <row r="210" spans="1:16" ht="39" customHeight="1" thickTop="1" x14ac:dyDescent="0.25">
      <c r="A210" s="733" t="str">
        <f>CONCATENATE("Remarks: 1) Due to huge hull deflexion in ",$O$201,$L$202,$O$203,$L$204,Draft!$H$78," t.")</f>
        <v>Remarks: 1) Due to huge hull deflexion in sagging on final draft survey, it was applied the waterplane area coefficient correction for the deflexion formula as per UN/ECE/Energy/19/1992.  2) According to the Master/Chief Officer usual constant would amount to 400 t.</v>
      </c>
      <c r="B210" s="733"/>
      <c r="C210" s="733"/>
      <c r="D210" s="733"/>
      <c r="E210" s="733"/>
      <c r="F210" s="733"/>
      <c r="G210" s="733"/>
      <c r="H210" s="733"/>
      <c r="I210" s="733"/>
      <c r="J210" s="733"/>
      <c r="L210" s="457"/>
      <c r="M210" s="457"/>
      <c r="N210" s="457"/>
      <c r="O210" s="457"/>
      <c r="P210" s="457"/>
    </row>
    <row r="211" spans="1:16" ht="12.95" customHeight="1" x14ac:dyDescent="0.25">
      <c r="A211" s="10"/>
      <c r="B211" s="10"/>
      <c r="C211" s="10"/>
      <c r="D211" s="10"/>
      <c r="E211" s="10"/>
      <c r="F211" s="10"/>
      <c r="G211" s="10"/>
      <c r="H211" s="10"/>
      <c r="I211" s="10"/>
      <c r="L211" s="457"/>
      <c r="M211" s="457"/>
      <c r="N211" s="457"/>
      <c r="O211" s="461"/>
      <c r="P211" s="461"/>
    </row>
    <row r="212" spans="1:16" ht="12.95" customHeight="1" x14ac:dyDescent="0.25">
      <c r="A212" s="414" t="s">
        <v>139</v>
      </c>
      <c r="B212" s="414"/>
      <c r="C212" s="414"/>
      <c r="D212" s="414"/>
      <c r="E212" s="414"/>
      <c r="F212" s="415"/>
      <c r="G212" s="416" t="s">
        <v>140</v>
      </c>
      <c r="H212" s="583">
        <f>Draft!$X$82</f>
        <v>70750.23</v>
      </c>
      <c r="I212" s="584">
        <f>H212-I207</f>
        <v>13.534999999988941</v>
      </c>
      <c r="J212" s="626">
        <f>IFERROR((I212/I207)*100,"")</f>
        <v>1.9134340387247296E-2</v>
      </c>
      <c r="L212" s="457"/>
      <c r="M212" s="457"/>
      <c r="N212" s="457"/>
      <c r="O212" s="461"/>
      <c r="P212" s="461"/>
    </row>
    <row r="213" spans="1:16" ht="12.95" customHeight="1" x14ac:dyDescent="0.25">
      <c r="A213" s="417" t="str">
        <f>_xlfn.CONCAT("José Antonio Machado Gomes Pereira"," / ",CAPA!A97)</f>
        <v>José Antonio Machado Gomes Pereira / Haroldo Fernandes Alves Junior</v>
      </c>
      <c r="B213" s="417"/>
      <c r="C213" s="417"/>
      <c r="D213" s="417"/>
      <c r="E213" s="417"/>
      <c r="F213" s="415"/>
      <c r="G213" s="416" t="s">
        <v>141</v>
      </c>
      <c r="H213" s="583">
        <f>Draft!$X$83</f>
        <v>70750.547000000006</v>
      </c>
      <c r="I213" s="584">
        <f>H213-I207</f>
        <v>13.851999999998952</v>
      </c>
      <c r="J213" s="626">
        <f>IFERROR((I213/I207)*100,"")</f>
        <v>1.9582481200173335E-2</v>
      </c>
    </row>
    <row r="214" spans="1:16" ht="12.95" customHeight="1" x14ac:dyDescent="0.25">
      <c r="A214" s="417" t="s">
        <v>142</v>
      </c>
      <c r="B214" s="417"/>
      <c r="C214" s="417"/>
      <c r="D214" s="417"/>
      <c r="E214" s="417"/>
      <c r="F214" s="418"/>
      <c r="G214" s="419"/>
      <c r="H214" s="583"/>
      <c r="I214" s="584"/>
      <c r="J214" s="626"/>
    </row>
    <row r="215" spans="1:16" ht="12.95" customHeight="1" x14ac:dyDescent="0.25">
      <c r="A215" s="308"/>
      <c r="B215" s="373"/>
      <c r="C215" s="373"/>
      <c r="D215" s="373"/>
      <c r="E215" s="373"/>
      <c r="F215" s="373"/>
      <c r="G215" s="308"/>
      <c r="H215" s="308"/>
      <c r="I215" s="308"/>
      <c r="J215" s="309"/>
      <c r="L215" s="457"/>
      <c r="M215" s="457"/>
      <c r="N215" s="457"/>
      <c r="O215" s="461"/>
      <c r="P215" s="461"/>
    </row>
    <row r="216" spans="1:16" ht="12.95" customHeight="1" x14ac:dyDescent="0.25">
      <c r="A216" s="308"/>
      <c r="B216" s="373"/>
      <c r="C216" s="373"/>
      <c r="D216" s="373"/>
      <c r="E216" s="373"/>
      <c r="F216" s="373"/>
      <c r="G216" s="308"/>
      <c r="H216" s="308"/>
      <c r="I216" s="308"/>
      <c r="J216" s="309"/>
      <c r="L216" s="457"/>
      <c r="M216" s="457"/>
      <c r="N216" s="457"/>
      <c r="O216" s="461"/>
      <c r="P216" s="461"/>
    </row>
    <row r="217" spans="1:16" ht="15.75" x14ac:dyDescent="0.25">
      <c r="A217" s="3" t="s">
        <v>545</v>
      </c>
      <c r="B217" s="16"/>
      <c r="C217" s="16"/>
      <c r="D217" s="16"/>
      <c r="E217" s="16"/>
      <c r="F217" s="292" t="s">
        <v>546</v>
      </c>
      <c r="G217" s="411">
        <f>Draft!$E$4</f>
        <v>46079</v>
      </c>
      <c r="H217" s="378">
        <v>0.3923611111111111</v>
      </c>
      <c r="I217" s="379" t="s">
        <v>547</v>
      </c>
      <c r="J217" s="380">
        <f>IFERROR(ROUND(Draft!$P$29,2),"")</f>
        <v>0.73</v>
      </c>
      <c r="L217" s="457"/>
      <c r="M217" s="457"/>
      <c r="N217" s="457"/>
      <c r="O217" s="461"/>
      <c r="P217" s="461"/>
    </row>
    <row r="218" spans="1:16" x14ac:dyDescent="0.25">
      <c r="A218" s="286" t="s">
        <v>0</v>
      </c>
      <c r="B218" s="286" t="s">
        <v>1</v>
      </c>
      <c r="C218" s="286" t="s">
        <v>2</v>
      </c>
      <c r="D218" s="286" t="s">
        <v>1</v>
      </c>
      <c r="E218" s="738" t="s">
        <v>573</v>
      </c>
      <c r="F218" s="738"/>
      <c r="G218" s="286" t="s">
        <v>3</v>
      </c>
      <c r="H218" s="286" t="s">
        <v>1</v>
      </c>
      <c r="I218" s="286" t="s">
        <v>1</v>
      </c>
      <c r="J218" s="286" t="s">
        <v>4</v>
      </c>
      <c r="L218" s="457"/>
      <c r="M218" s="457"/>
      <c r="N218" s="457"/>
      <c r="O218" s="461"/>
      <c r="P218" s="461"/>
    </row>
    <row r="219" spans="1:16" x14ac:dyDescent="0.25">
      <c r="A219" s="287" t="s">
        <v>715</v>
      </c>
      <c r="B219" s="287" t="s">
        <v>5</v>
      </c>
      <c r="C219" s="287" t="s">
        <v>6</v>
      </c>
      <c r="D219" s="287" t="s">
        <v>7</v>
      </c>
      <c r="E219" s="288" t="s">
        <v>8</v>
      </c>
      <c r="F219" s="288" t="s">
        <v>9</v>
      </c>
      <c r="G219" s="287" t="s">
        <v>7</v>
      </c>
      <c r="H219" s="287" t="s">
        <v>544</v>
      </c>
      <c r="I219" s="287" t="s">
        <v>10</v>
      </c>
      <c r="J219" s="287" t="s">
        <v>11</v>
      </c>
      <c r="L219" s="457"/>
      <c r="M219" s="457"/>
      <c r="N219" s="457"/>
      <c r="O219" s="457"/>
      <c r="P219" s="457"/>
    </row>
    <row r="220" spans="1:16" x14ac:dyDescent="0.25">
      <c r="A220" s="377" t="str">
        <f>Relato!$A$225</f>
        <v>F.PK</v>
      </c>
      <c r="B220" s="526">
        <f>Relato!$B$225</f>
        <v>21.36</v>
      </c>
      <c r="C220" s="526">
        <f>Relato!$C$225</f>
        <v>0.57999999999999996</v>
      </c>
      <c r="D220" s="526">
        <f>Relato!$D$225</f>
        <v>13.54</v>
      </c>
      <c r="E220" s="526">
        <f>Relato!$E$225</f>
        <v>0</v>
      </c>
      <c r="F220" s="526">
        <f>Relato!$F$225</f>
        <v>0</v>
      </c>
      <c r="G220" s="579">
        <f>IFERROR(D220+(E220+F220),D220)</f>
        <v>13.54</v>
      </c>
      <c r="H220" s="526">
        <f>Relato!$H$225</f>
        <v>1259</v>
      </c>
      <c r="I220" s="527">
        <f>Relato!$I$225</f>
        <v>1.0209999999999999</v>
      </c>
      <c r="J220" s="528">
        <f>ROUND(H220*I220,1)</f>
        <v>1285.4000000000001</v>
      </c>
      <c r="L220" s="457"/>
      <c r="M220" s="457"/>
      <c r="N220" s="457"/>
      <c r="O220" s="457"/>
      <c r="P220" s="457"/>
    </row>
    <row r="221" spans="1:16" x14ac:dyDescent="0.25">
      <c r="A221" s="374" t="str">
        <f>Relato!$A$226</f>
        <v>1 WBT (P)</v>
      </c>
      <c r="B221" s="1">
        <f>Relato!$B$226</f>
        <v>20.91</v>
      </c>
      <c r="C221" s="1">
        <f>Relato!$C$226</f>
        <v>0.19</v>
      </c>
      <c r="D221" s="1">
        <f>Relato!$D$226</f>
        <v>20.28</v>
      </c>
      <c r="E221" s="1">
        <f>Relato!$E$226</f>
        <v>-4.2119999999999998E-2</v>
      </c>
      <c r="F221" s="1">
        <f>Relato!$F$226</f>
        <v>1.2800000000000001E-2</v>
      </c>
      <c r="G221" s="675">
        <f>IFERROR(D221+(E221+F221),D221)</f>
        <v>20.250680000000003</v>
      </c>
      <c r="H221" s="1">
        <f>Relato!$H$226</f>
        <v>1541.7</v>
      </c>
      <c r="I221" s="530">
        <f>Relato!$I$226</f>
        <v>1.02</v>
      </c>
      <c r="J221" s="529">
        <f>IFERROR(ROUND(H221*I221,1),"")</f>
        <v>1572.5</v>
      </c>
      <c r="L221" s="457"/>
      <c r="M221" s="457"/>
      <c r="N221" s="457"/>
      <c r="O221" s="457"/>
      <c r="P221" s="457"/>
    </row>
    <row r="222" spans="1:16" x14ac:dyDescent="0.25">
      <c r="A222" s="374" t="str">
        <f>Relato!$A$227</f>
        <v>1 WBT (S)</v>
      </c>
      <c r="B222" s="1">
        <f>Relato!$B$227</f>
        <v>20.92</v>
      </c>
      <c r="C222" s="1">
        <f>Relato!$C$227</f>
        <v>0.19</v>
      </c>
      <c r="D222" s="1">
        <f>Relato!$D$227</f>
        <v>20.43</v>
      </c>
      <c r="E222" s="1">
        <f>Relato!$E$227</f>
        <v>-4.3700000000000003E-2</v>
      </c>
      <c r="F222" s="1">
        <f>Relato!$F$227</f>
        <v>-1.324E-2</v>
      </c>
      <c r="G222" s="675">
        <f t="shared" ref="G222:G234" si="0">IFERROR(D222+(E222+F222),D222)</f>
        <v>20.373059999999999</v>
      </c>
      <c r="H222" s="1">
        <f>Relato!$H$227</f>
        <v>1576.84</v>
      </c>
      <c r="I222" s="530">
        <f>Relato!$I$227</f>
        <v>1.02</v>
      </c>
      <c r="J222" s="529">
        <f t="shared" ref="J222:J235" si="1">IFERROR(ROUND(H222*I222,1),"")</f>
        <v>1608.4</v>
      </c>
      <c r="L222" s="457"/>
      <c r="M222" s="457"/>
      <c r="N222" s="457"/>
      <c r="O222" s="457"/>
      <c r="P222" s="457"/>
    </row>
    <row r="223" spans="1:16" x14ac:dyDescent="0.25">
      <c r="A223" s="374" t="str">
        <f>Relato!$A$228</f>
        <v>2 WBT (P)</v>
      </c>
      <c r="B223" s="1">
        <f>Relato!$B$228</f>
        <v>21</v>
      </c>
      <c r="C223" s="1">
        <f>Relato!$C$228</f>
        <v>0.17</v>
      </c>
      <c r="D223" s="1">
        <f>Relato!$D$228</f>
        <v>20.52</v>
      </c>
      <c r="E223" s="1">
        <f>Relato!$E$228</f>
        <v>-4.6600000000000003E-2</v>
      </c>
      <c r="F223" s="1">
        <f>Relato!$F$228</f>
        <v>9.4400000000000005E-3</v>
      </c>
      <c r="G223" s="675">
        <f t="shared" si="0"/>
        <v>20.482839999999999</v>
      </c>
      <c r="H223" s="1">
        <f>Relato!$H$228</f>
        <v>1655.19</v>
      </c>
      <c r="I223" s="530">
        <f>Relato!$I$228</f>
        <v>1.02</v>
      </c>
      <c r="J223" s="529">
        <f t="shared" si="1"/>
        <v>1688.3</v>
      </c>
      <c r="L223" s="457"/>
      <c r="M223" s="457"/>
      <c r="N223" s="457"/>
      <c r="O223" s="457"/>
      <c r="P223" s="457"/>
    </row>
    <row r="224" spans="1:16" x14ac:dyDescent="0.25">
      <c r="A224" s="374" t="str">
        <f>Relato!$A$229</f>
        <v>2 WBT (S)</v>
      </c>
      <c r="B224" s="1">
        <f>Relato!$B$229</f>
        <v>20.99</v>
      </c>
      <c r="C224" s="1">
        <f>Relato!$C$229</f>
        <v>0.16</v>
      </c>
      <c r="D224" s="1">
        <f>Relato!$D$229</f>
        <v>20.46</v>
      </c>
      <c r="E224" s="1">
        <f>Relato!$E$229</f>
        <v>-4.6620000000000002E-2</v>
      </c>
      <c r="F224" s="1">
        <f>Relato!$F$229</f>
        <v>-1.4239999999999999E-2</v>
      </c>
      <c r="G224" s="675">
        <f t="shared" si="0"/>
        <v>20.399139999999999</v>
      </c>
      <c r="H224" s="1">
        <f>Relato!$H$229</f>
        <v>1645.2</v>
      </c>
      <c r="I224" s="530">
        <f>Relato!$I$229</f>
        <v>1.0209999999999999</v>
      </c>
      <c r="J224" s="529">
        <f t="shared" si="1"/>
        <v>1679.7</v>
      </c>
      <c r="L224" s="457"/>
      <c r="M224" s="457"/>
      <c r="N224" s="457"/>
      <c r="O224" s="457"/>
      <c r="P224" s="457"/>
    </row>
    <row r="225" spans="1:16" x14ac:dyDescent="0.25">
      <c r="A225" s="374" t="str">
        <f>Relato!$A$230</f>
        <v>3 WBT (P)</v>
      </c>
      <c r="B225" s="1">
        <f>Relato!$B$230</f>
        <v>20.93</v>
      </c>
      <c r="C225" s="1">
        <f>Relato!C230</f>
        <v>0.18</v>
      </c>
      <c r="D225" s="1">
        <f>Relato!$D$230</f>
        <v>20.260000000000002</v>
      </c>
      <c r="E225" s="1">
        <f>Relato!$E$230</f>
        <v>-8.8800000000000004E-2</v>
      </c>
      <c r="F225" s="1">
        <f>Relato!$F$230</f>
        <v>1.52E-2</v>
      </c>
      <c r="G225" s="675">
        <f t="shared" si="0"/>
        <v>20.186400000000003</v>
      </c>
      <c r="H225" s="1">
        <f>Relato!$H$230</f>
        <v>3453.04</v>
      </c>
      <c r="I225" s="530">
        <f>Relato!$I$230</f>
        <v>1.0209999999999999</v>
      </c>
      <c r="J225" s="529">
        <f t="shared" si="1"/>
        <v>3525.6</v>
      </c>
      <c r="L225" s="457"/>
      <c r="M225" s="457"/>
      <c r="N225" s="457"/>
      <c r="O225" s="457"/>
      <c r="P225" s="457"/>
    </row>
    <row r="226" spans="1:16" x14ac:dyDescent="0.25">
      <c r="A226" s="374" t="str">
        <f>Relato!$A$231</f>
        <v>3 WBT (S)</v>
      </c>
      <c r="B226" s="1">
        <f>Relato!$B$231</f>
        <v>20.95</v>
      </c>
      <c r="C226" s="1">
        <f>Relato!$C$231</f>
        <v>0.18</v>
      </c>
      <c r="D226" s="1">
        <f>Relato!$D$231</f>
        <v>20.350000000000001</v>
      </c>
      <c r="E226" s="1">
        <f>Relato!$E$231</f>
        <v>-9.2060000000000003E-2</v>
      </c>
      <c r="F226" s="1">
        <f>Relato!$F$231</f>
        <v>-1.6624E-2</v>
      </c>
      <c r="G226" s="675">
        <f t="shared" si="0"/>
        <v>20.241316000000001</v>
      </c>
      <c r="H226" s="1">
        <f>Relato!$H$231</f>
        <v>3516.38</v>
      </c>
      <c r="I226" s="530">
        <f>Relato!$I$231</f>
        <v>1.0209999999999999</v>
      </c>
      <c r="J226" s="529">
        <f t="shared" si="1"/>
        <v>3590.2</v>
      </c>
      <c r="L226" s="457"/>
      <c r="M226" s="457"/>
      <c r="N226" s="457"/>
      <c r="O226" s="457"/>
      <c r="P226" s="457"/>
    </row>
    <row r="227" spans="1:16" x14ac:dyDescent="0.25">
      <c r="A227" s="374" t="str">
        <f>Relato!$A$232</f>
        <v>4 WBT (P)</v>
      </c>
      <c r="B227" s="1">
        <f>Relato!$B$232</f>
        <v>21</v>
      </c>
      <c r="C227" s="1">
        <f>Relato!$C$232</f>
        <v>0.17</v>
      </c>
      <c r="D227" s="1">
        <f>Relato!$D$232</f>
        <v>20.53</v>
      </c>
      <c r="E227" s="1">
        <f>Relato!$E$232</f>
        <v>-0.13394</v>
      </c>
      <c r="F227" s="1">
        <f>Relato!$F$232</f>
        <v>9.7599999999999996E-3</v>
      </c>
      <c r="G227" s="675">
        <f t="shared" si="0"/>
        <v>20.405820000000002</v>
      </c>
      <c r="H227" s="1">
        <f>Relato!$H$232</f>
        <v>2651.18</v>
      </c>
      <c r="I227" s="530">
        <f>Relato!$I$232</f>
        <v>1.02</v>
      </c>
      <c r="J227" s="529">
        <f t="shared" si="1"/>
        <v>2704.2</v>
      </c>
      <c r="L227" s="457"/>
      <c r="M227" s="457"/>
      <c r="N227" s="457"/>
      <c r="O227" s="457"/>
      <c r="P227" s="457"/>
    </row>
    <row r="228" spans="1:16" x14ac:dyDescent="0.25">
      <c r="A228" s="374" t="str">
        <f>Relato!$A$233</f>
        <v>4 WBT (S)</v>
      </c>
      <c r="B228" s="1">
        <f>Relato!$B$233</f>
        <v>21.01</v>
      </c>
      <c r="C228" s="1">
        <f>Relato!$C$233</f>
        <v>0.17</v>
      </c>
      <c r="D228" s="1">
        <f>Relato!$D$233</f>
        <v>20.58</v>
      </c>
      <c r="E228" s="1">
        <f>Relato!$E$233</f>
        <v>-0.1125</v>
      </c>
      <c r="F228" s="1">
        <f>Relato!$F$233</f>
        <v>-1.155E-2</v>
      </c>
      <c r="G228" s="675">
        <f t="shared" si="0"/>
        <v>20.455949999999998</v>
      </c>
      <c r="H228" s="1">
        <f>Relato!$H$233</f>
        <v>2683.16</v>
      </c>
      <c r="I228" s="530">
        <f>Relato!$I$233</f>
        <v>1.02</v>
      </c>
      <c r="J228" s="529">
        <f t="shared" si="1"/>
        <v>2736.8</v>
      </c>
      <c r="L228" s="457"/>
      <c r="M228" s="457"/>
      <c r="N228" s="457"/>
      <c r="O228" s="457"/>
      <c r="P228" s="457"/>
    </row>
    <row r="229" spans="1:16" x14ac:dyDescent="0.25">
      <c r="A229" s="374" t="str">
        <f>Relato!$A$234</f>
        <v>5 DB (P)</v>
      </c>
      <c r="B229" s="1">
        <f>Relato!$B$234</f>
        <v>20.95</v>
      </c>
      <c r="C229" s="1">
        <f>Relato!$C$234</f>
        <v>0.18</v>
      </c>
      <c r="D229" s="1">
        <f>Relato!$D$234</f>
        <v>14.9</v>
      </c>
      <c r="E229" s="1">
        <f>Relato!$E$234</f>
        <v>0</v>
      </c>
      <c r="F229" s="1">
        <f>Relato!$F$234</f>
        <v>3.7600000000000001E-2</v>
      </c>
      <c r="G229" s="675">
        <f t="shared" si="0"/>
        <v>14.9376</v>
      </c>
      <c r="H229" s="1">
        <f>Relato!$H$234</f>
        <v>1145.28</v>
      </c>
      <c r="I229" s="530">
        <f>Relato!$I$234</f>
        <v>1.02</v>
      </c>
      <c r="J229" s="529">
        <f t="shared" si="1"/>
        <v>1168.2</v>
      </c>
      <c r="L229" s="457"/>
      <c r="M229" s="457"/>
      <c r="N229" s="457"/>
      <c r="O229" s="457"/>
      <c r="P229" s="457"/>
    </row>
    <row r="230" spans="1:16" x14ac:dyDescent="0.25">
      <c r="A230" s="374" t="str">
        <f>Relato!$A$235</f>
        <v>5 DB (S)</v>
      </c>
      <c r="B230" s="1">
        <f>Relato!$B$235</f>
        <v>20.95</v>
      </c>
      <c r="C230" s="1">
        <f>Relato!$C$235</f>
        <v>0.18</v>
      </c>
      <c r="D230" s="1">
        <f>Relato!$D$235</f>
        <v>7.79</v>
      </c>
      <c r="E230" s="1">
        <f>Relato!$E$235</f>
        <v>-2.29E-2</v>
      </c>
      <c r="F230" s="1">
        <f>Relato!$F$235</f>
        <v>-2.9760000000000002E-2</v>
      </c>
      <c r="G230" s="675">
        <f t="shared" si="0"/>
        <v>7.7373399999999997</v>
      </c>
      <c r="H230" s="1">
        <f>Relato!$H$235</f>
        <v>1045.42</v>
      </c>
      <c r="I230" s="530">
        <f>Relato!$I$235</f>
        <v>1.02</v>
      </c>
      <c r="J230" s="529">
        <f t="shared" si="1"/>
        <v>1066.3</v>
      </c>
      <c r="L230" s="457"/>
      <c r="M230" s="457"/>
      <c r="N230" s="457"/>
      <c r="O230" s="457"/>
      <c r="P230" s="457"/>
    </row>
    <row r="231" spans="1:16" x14ac:dyDescent="0.25">
      <c r="A231" s="374" t="str">
        <f>Relato!$A$236</f>
        <v>6 DB (P)</v>
      </c>
      <c r="B231" s="1">
        <f>Relato!$B$236</f>
        <v>14.39</v>
      </c>
      <c r="C231" s="1">
        <f>Relato!$C$236</f>
        <v>0.18</v>
      </c>
      <c r="D231" s="1">
        <f>Relato!$D$236</f>
        <v>0</v>
      </c>
      <c r="E231" s="1">
        <f>Relato!$E$236</f>
        <v>0</v>
      </c>
      <c r="F231" s="1">
        <f>Relato!$F$236</f>
        <v>0</v>
      </c>
      <c r="G231" s="675">
        <f t="shared" si="0"/>
        <v>0</v>
      </c>
      <c r="H231" s="1">
        <f>Relato!$H$236</f>
        <v>0.1</v>
      </c>
      <c r="I231" s="530">
        <f>Relato!$I$236</f>
        <v>1.02</v>
      </c>
      <c r="J231" s="529">
        <f t="shared" si="1"/>
        <v>0.1</v>
      </c>
      <c r="L231" s="457"/>
      <c r="M231" s="457"/>
      <c r="N231" s="457"/>
      <c r="O231" s="457"/>
      <c r="P231" s="457"/>
    </row>
    <row r="232" spans="1:16" x14ac:dyDescent="0.25">
      <c r="A232" s="374" t="str">
        <f>Relato!$A$237</f>
        <v>6 DB (S)</v>
      </c>
      <c r="B232" s="1">
        <f>Relato!$B$237</f>
        <v>14.39</v>
      </c>
      <c r="C232" s="1">
        <f>Relato!$C$237</f>
        <v>0.17</v>
      </c>
      <c r="D232" s="1">
        <f>Relato!$D$237</f>
        <v>7.0000000000000007E-2</v>
      </c>
      <c r="E232" s="1">
        <f>Relato!$E$237</f>
        <v>0</v>
      </c>
      <c r="F232" s="1">
        <f>Relato!$F$237</f>
        <v>0</v>
      </c>
      <c r="G232" s="675">
        <f t="shared" si="0"/>
        <v>7.0000000000000007E-2</v>
      </c>
      <c r="H232" s="1">
        <f>Relato!$H$237</f>
        <v>0.2</v>
      </c>
      <c r="I232" s="530">
        <f>Relato!$I$237</f>
        <v>1.02</v>
      </c>
      <c r="J232" s="529">
        <f t="shared" si="1"/>
        <v>0.2</v>
      </c>
      <c r="L232" s="457"/>
      <c r="M232" s="457"/>
      <c r="N232" s="457"/>
      <c r="O232" s="457"/>
      <c r="P232" s="457"/>
    </row>
    <row r="233" spans="1:16" x14ac:dyDescent="0.25">
      <c r="A233" s="375" t="str">
        <f>Relato!$A$238</f>
        <v>Collect (P)</v>
      </c>
      <c r="B233" s="1">
        <f>Relato!$B$238</f>
        <v>5.6</v>
      </c>
      <c r="C233" s="1">
        <f>Relato!$C$238</f>
        <v>0.17</v>
      </c>
      <c r="D233" s="1">
        <f>Relato!$D$238</f>
        <v>0.93</v>
      </c>
      <c r="E233" s="1">
        <f>Relato!$E$238</f>
        <v>-1.2579999999999999E-2</v>
      </c>
      <c r="F233" s="1">
        <f>Relato!$F$238</f>
        <v>0</v>
      </c>
      <c r="G233" s="675">
        <f t="shared" si="0"/>
        <v>0.91742000000000001</v>
      </c>
      <c r="H233" s="1">
        <f>Relato!$H$238</f>
        <v>20.8</v>
      </c>
      <c r="I233" s="530">
        <f>Relato!$I$238</f>
        <v>1</v>
      </c>
      <c r="J233" s="529">
        <f t="shared" si="1"/>
        <v>20.8</v>
      </c>
      <c r="L233" s="457"/>
      <c r="M233" s="457"/>
      <c r="N233" s="457"/>
      <c r="O233" s="457"/>
      <c r="P233" s="457"/>
    </row>
    <row r="234" spans="1:16" x14ac:dyDescent="0.25">
      <c r="A234" s="375" t="str">
        <f>Relato!$A$239</f>
        <v>Collect (S)</v>
      </c>
      <c r="B234" s="1">
        <f>Relato!$B$239</f>
        <v>5.6</v>
      </c>
      <c r="C234" s="1">
        <f>Relato!$C$239</f>
        <v>0.17</v>
      </c>
      <c r="D234" s="1">
        <f>Relato!$D$239</f>
        <v>0.69</v>
      </c>
      <c r="E234" s="1">
        <f>Relato!$E$239</f>
        <v>-1.332E-2</v>
      </c>
      <c r="F234" s="1">
        <f>Relato!$F$239</f>
        <v>0</v>
      </c>
      <c r="G234" s="675">
        <f t="shared" si="0"/>
        <v>0.67667999999999995</v>
      </c>
      <c r="H234" s="1">
        <f>Relato!$H$239</f>
        <v>12.2</v>
      </c>
      <c r="I234" s="530">
        <f>Relato!$I$239</f>
        <v>1</v>
      </c>
      <c r="J234" s="529">
        <f t="shared" si="1"/>
        <v>12.2</v>
      </c>
      <c r="L234" s="457"/>
      <c r="M234" s="457"/>
      <c r="N234" s="457"/>
      <c r="O234" s="457"/>
      <c r="P234" s="457"/>
    </row>
    <row r="235" spans="1:16" x14ac:dyDescent="0.25">
      <c r="A235" s="376" t="str">
        <f>Relato!$A$240</f>
        <v>A.PK</v>
      </c>
      <c r="B235" s="1">
        <f>Relato!$B$240</f>
        <v>7.76</v>
      </c>
      <c r="C235" s="2">
        <f>Relato!$C$240</f>
        <v>0.57999999999999996</v>
      </c>
      <c r="D235" s="2">
        <f>Relato!$D$240</f>
        <v>0.1</v>
      </c>
      <c r="E235" s="2">
        <f>Relato!$E$240</f>
        <v>0</v>
      </c>
      <c r="F235" s="2">
        <f>Relato!$F$240</f>
        <v>0</v>
      </c>
      <c r="G235" s="580">
        <f>IFERROR(D235+(E235+F235),D235)</f>
        <v>0.1</v>
      </c>
      <c r="H235" s="2">
        <f>Relato!$H$240</f>
        <v>0.5</v>
      </c>
      <c r="I235" s="531">
        <f>Relato!$I$240</f>
        <v>1.022</v>
      </c>
      <c r="J235" s="532">
        <f t="shared" si="1"/>
        <v>0.5</v>
      </c>
      <c r="L235" s="457"/>
      <c r="M235" s="457"/>
      <c r="N235" s="457"/>
      <c r="O235" s="457"/>
      <c r="P235" s="457"/>
    </row>
    <row r="236" spans="1:16" x14ac:dyDescent="0.25">
      <c r="A236" s="289" t="s">
        <v>16</v>
      </c>
      <c r="B236" s="290"/>
      <c r="C236" s="290"/>
      <c r="D236" s="290"/>
      <c r="E236" s="290"/>
      <c r="F236" s="290"/>
      <c r="G236" s="291"/>
      <c r="H236" s="533">
        <f>SUM($H$220:$H$235)</f>
        <v>22206.19</v>
      </c>
      <c r="I236" s="534"/>
      <c r="J236" s="533">
        <f>SUM($J$220:$J$235)</f>
        <v>22659.399999999998</v>
      </c>
      <c r="L236" s="457"/>
      <c r="M236" s="457"/>
      <c r="N236" s="457"/>
      <c r="O236" s="457"/>
      <c r="P236" s="457"/>
    </row>
    <row r="237" spans="1:16" x14ac:dyDescent="0.25">
      <c r="L237" s="457"/>
      <c r="M237" s="457"/>
      <c r="N237" s="457"/>
      <c r="O237" s="457"/>
      <c r="P237" s="457"/>
    </row>
    <row r="238" spans="1:16" x14ac:dyDescent="0.25">
      <c r="L238" s="457"/>
      <c r="M238" s="457"/>
      <c r="N238" s="457"/>
      <c r="O238" s="457"/>
      <c r="P238" s="457"/>
    </row>
    <row r="239" spans="1:16" ht="15.75" x14ac:dyDescent="0.25">
      <c r="A239" s="3" t="str">
        <f>Relato!A244</f>
        <v>11) FINAL BALLAST CONDITION:</v>
      </c>
      <c r="F239" s="292" t="s">
        <v>546</v>
      </c>
      <c r="G239" s="411">
        <f>Draft!$X$4</f>
        <v>46083</v>
      </c>
      <c r="H239" s="378">
        <v>0.85763888888888884</v>
      </c>
      <c r="I239" s="379" t="s">
        <v>547</v>
      </c>
      <c r="J239" s="380">
        <f>IFERROR(ROUND(Draft!$AH$29,2),"")</f>
        <v>-0.01</v>
      </c>
      <c r="L239" s="457"/>
      <c r="M239" s="457"/>
      <c r="N239" s="457"/>
      <c r="O239" s="457"/>
      <c r="P239" s="457"/>
    </row>
    <row r="240" spans="1:16" x14ac:dyDescent="0.25">
      <c r="A240" s="286" t="str">
        <f>Relato!A245</f>
        <v>Vessel's</v>
      </c>
      <c r="B240" s="286" t="s">
        <v>1</v>
      </c>
      <c r="C240" s="286" t="s">
        <v>2</v>
      </c>
      <c r="D240" s="286" t="s">
        <v>1</v>
      </c>
      <c r="E240" s="738" t="s">
        <v>573</v>
      </c>
      <c r="F240" s="738"/>
      <c r="G240" s="286" t="s">
        <v>3</v>
      </c>
      <c r="H240" s="286" t="s">
        <v>1</v>
      </c>
      <c r="I240" s="286" t="s">
        <v>1</v>
      </c>
      <c r="J240" s="286" t="s">
        <v>4</v>
      </c>
      <c r="L240" s="457"/>
      <c r="M240" s="457"/>
      <c r="N240" s="457"/>
      <c r="O240" s="457"/>
      <c r="P240" s="457"/>
    </row>
    <row r="241" spans="1:16" x14ac:dyDescent="0.25">
      <c r="A241" s="287" t="str">
        <f>Relato!A246</f>
        <v>Tank No.</v>
      </c>
      <c r="B241" s="287" t="s">
        <v>5</v>
      </c>
      <c r="C241" s="287" t="s">
        <v>6</v>
      </c>
      <c r="D241" s="287" t="s">
        <v>7</v>
      </c>
      <c r="E241" s="288" t="s">
        <v>8</v>
      </c>
      <c r="F241" s="288" t="s">
        <v>9</v>
      </c>
      <c r="G241" s="287" t="s">
        <v>7</v>
      </c>
      <c r="H241" s="287" t="s">
        <v>544</v>
      </c>
      <c r="I241" s="287" t="s">
        <v>10</v>
      </c>
      <c r="J241" s="287" t="s">
        <v>11</v>
      </c>
      <c r="L241" s="457"/>
      <c r="M241" s="457"/>
      <c r="N241" s="457"/>
      <c r="O241" s="457"/>
      <c r="P241" s="457"/>
    </row>
    <row r="242" spans="1:16" x14ac:dyDescent="0.25">
      <c r="A242" s="377" t="str">
        <f>Relato!A247</f>
        <v>F.PK</v>
      </c>
      <c r="B242" s="526">
        <f t="shared" ref="B242:C257" si="2">B220</f>
        <v>21.36</v>
      </c>
      <c r="C242" s="526">
        <f t="shared" si="2"/>
        <v>0.57999999999999996</v>
      </c>
      <c r="D242" s="526">
        <f>Relato!$D$247</f>
        <v>0.16</v>
      </c>
      <c r="E242" s="526">
        <f>Relato!$E$247</f>
        <v>0</v>
      </c>
      <c r="F242" s="526">
        <f>Relato!$F$247</f>
        <v>0</v>
      </c>
      <c r="G242" s="579">
        <f>IFERROR(D242+(E242+F242),D242)</f>
        <v>0.16</v>
      </c>
      <c r="H242" s="526">
        <f>Relato!$H$247</f>
        <v>4</v>
      </c>
      <c r="I242" s="527">
        <f>Relato!I247</f>
        <v>1.0209999999999999</v>
      </c>
      <c r="J242" s="528">
        <f>ROUND(H242*I242,1)</f>
        <v>4.0999999999999996</v>
      </c>
      <c r="L242" s="457"/>
      <c r="M242" s="457"/>
      <c r="N242" s="457"/>
      <c r="O242" s="457"/>
      <c r="P242" s="457"/>
    </row>
    <row r="243" spans="1:16" x14ac:dyDescent="0.25">
      <c r="A243" s="374" t="str">
        <f>Relato!A248</f>
        <v>1 WBT (P)</v>
      </c>
      <c r="B243" s="1">
        <f t="shared" si="2"/>
        <v>20.91</v>
      </c>
      <c r="C243" s="1">
        <f t="shared" si="2"/>
        <v>0.19</v>
      </c>
      <c r="D243" s="1">
        <f>Relato!$D$248</f>
        <v>7.0000000000000007E-2</v>
      </c>
      <c r="E243" s="1">
        <f>Relato!$E$248</f>
        <v>0</v>
      </c>
      <c r="F243" s="1">
        <f>Relato!$F$248</f>
        <v>0</v>
      </c>
      <c r="G243" s="675">
        <f>IFERROR(D243+(E243+F243),D243)</f>
        <v>7.0000000000000007E-2</v>
      </c>
      <c r="H243" s="1">
        <f>Relato!$H$248</f>
        <v>20.22</v>
      </c>
      <c r="I243" s="530">
        <f>Relato!I248</f>
        <v>1.02</v>
      </c>
      <c r="J243" s="529">
        <f>IFERROR(ROUND(H243*I243,1),"")</f>
        <v>20.6</v>
      </c>
      <c r="L243" s="457"/>
      <c r="M243" s="457"/>
      <c r="N243" s="457"/>
      <c r="O243" s="457"/>
      <c r="P243" s="457"/>
    </row>
    <row r="244" spans="1:16" x14ac:dyDescent="0.25">
      <c r="A244" s="374" t="str">
        <f>Relato!A249</f>
        <v>1 WBT (S)</v>
      </c>
      <c r="B244" s="1">
        <f t="shared" si="2"/>
        <v>20.92</v>
      </c>
      <c r="C244" s="1">
        <f t="shared" si="2"/>
        <v>0.19</v>
      </c>
      <c r="D244" s="1">
        <f>Relato!$D$249</f>
        <v>7.0000000000000007E-2</v>
      </c>
      <c r="E244" s="1">
        <f>Relato!$E$249</f>
        <v>0</v>
      </c>
      <c r="F244" s="1">
        <f>Relato!$F$249</f>
        <v>0</v>
      </c>
      <c r="G244" s="675">
        <f t="shared" ref="G244:G256" si="3">IFERROR(D244+(E244+F244),D244)</f>
        <v>7.0000000000000007E-2</v>
      </c>
      <c r="H244" s="1">
        <f>Relato!$H$249</f>
        <v>20.22</v>
      </c>
      <c r="I244" s="530">
        <f>Relato!I249</f>
        <v>1.02</v>
      </c>
      <c r="J244" s="529">
        <f t="shared" ref="J244:J257" si="4">IFERROR(ROUND(H244*I244,1),"")</f>
        <v>20.6</v>
      </c>
      <c r="L244" s="457"/>
      <c r="M244" s="457"/>
      <c r="N244" s="457"/>
      <c r="O244" s="457"/>
      <c r="P244" s="457"/>
    </row>
    <row r="245" spans="1:16" x14ac:dyDescent="0.25">
      <c r="A245" s="374" t="str">
        <f>Relato!A250</f>
        <v>2 WBT (P)</v>
      </c>
      <c r="B245" s="1">
        <f t="shared" si="2"/>
        <v>21</v>
      </c>
      <c r="C245" s="1">
        <f t="shared" si="2"/>
        <v>0.17</v>
      </c>
      <c r="D245" s="1">
        <f>Relato!$D$250</f>
        <v>0.05</v>
      </c>
      <c r="E245" s="1">
        <f>Relato!$E$250</f>
        <v>0</v>
      </c>
      <c r="F245" s="1">
        <f>Relato!$F$250</f>
        <v>0</v>
      </c>
      <c r="G245" s="675">
        <f t="shared" si="3"/>
        <v>0.05</v>
      </c>
      <c r="H245" s="1">
        <f>Relato!$H$250</f>
        <v>28</v>
      </c>
      <c r="I245" s="530">
        <f>Relato!I250</f>
        <v>1.02</v>
      </c>
      <c r="J245" s="529">
        <f t="shared" si="4"/>
        <v>28.6</v>
      </c>
      <c r="L245" s="457"/>
      <c r="M245" s="457"/>
      <c r="N245" s="457"/>
      <c r="O245" s="457"/>
      <c r="P245" s="457"/>
    </row>
    <row r="246" spans="1:16" x14ac:dyDescent="0.25">
      <c r="A246" s="374" t="str">
        <f t="shared" ref="A246:A257" si="5">A224</f>
        <v>2 WBT (S)</v>
      </c>
      <c r="B246" s="1">
        <f t="shared" si="2"/>
        <v>20.99</v>
      </c>
      <c r="C246" s="1">
        <f t="shared" si="2"/>
        <v>0.16</v>
      </c>
      <c r="D246" s="1">
        <f>Relato!$D$251</f>
        <v>0.06</v>
      </c>
      <c r="E246" s="1">
        <f>Relato!$E$251</f>
        <v>0</v>
      </c>
      <c r="F246" s="1">
        <f>Relato!$F$251</f>
        <v>0</v>
      </c>
      <c r="G246" s="675">
        <f t="shared" si="3"/>
        <v>0.06</v>
      </c>
      <c r="H246" s="1">
        <f>Relato!$H$251</f>
        <v>37.020000000000003</v>
      </c>
      <c r="I246" s="530">
        <f>Relato!I251</f>
        <v>1.0209999999999999</v>
      </c>
      <c r="J246" s="529">
        <f t="shared" si="4"/>
        <v>37.799999999999997</v>
      </c>
      <c r="L246" s="457"/>
      <c r="M246" s="457"/>
      <c r="N246" s="457"/>
      <c r="O246" s="457"/>
      <c r="P246" s="457"/>
    </row>
    <row r="247" spans="1:16" x14ac:dyDescent="0.25">
      <c r="A247" s="374" t="str">
        <f t="shared" si="5"/>
        <v>3 WBT (P)</v>
      </c>
      <c r="B247" s="1">
        <f t="shared" si="2"/>
        <v>20.93</v>
      </c>
      <c r="C247" s="1">
        <f t="shared" si="2"/>
        <v>0.18</v>
      </c>
      <c r="D247" s="1">
        <f>Relato!$D$252</f>
        <v>0.01</v>
      </c>
      <c r="E247" s="1">
        <f>Relato!$E$252</f>
        <v>0</v>
      </c>
      <c r="F247" s="1">
        <f>Relato!$F$252</f>
        <v>0</v>
      </c>
      <c r="G247" s="675">
        <f t="shared" si="3"/>
        <v>0.01</v>
      </c>
      <c r="H247" s="1">
        <f>Relato!$H$252</f>
        <v>34.159999999999997</v>
      </c>
      <c r="I247" s="530">
        <f>Relato!I252</f>
        <v>1.0209999999999999</v>
      </c>
      <c r="J247" s="529">
        <f t="shared" si="4"/>
        <v>34.9</v>
      </c>
      <c r="L247" s="457"/>
      <c r="M247" s="457"/>
      <c r="N247" s="457"/>
      <c r="O247" s="457"/>
      <c r="P247" s="457"/>
    </row>
    <row r="248" spans="1:16" x14ac:dyDescent="0.25">
      <c r="A248" s="374" t="str">
        <f t="shared" si="5"/>
        <v>3 WBT (S)</v>
      </c>
      <c r="B248" s="1">
        <f t="shared" si="2"/>
        <v>20.95</v>
      </c>
      <c r="C248" s="1">
        <f t="shared" si="2"/>
        <v>0.18</v>
      </c>
      <c r="D248" s="1">
        <f>Relato!$D$253</f>
        <v>0.02</v>
      </c>
      <c r="E248" s="1">
        <f>Relato!$E$253</f>
        <v>0</v>
      </c>
      <c r="F248" s="1">
        <f>Relato!$F$253</f>
        <v>0</v>
      </c>
      <c r="G248" s="675">
        <f t="shared" si="3"/>
        <v>0.02</v>
      </c>
      <c r="H248" s="1">
        <f>Relato!$H$253</f>
        <v>41.72</v>
      </c>
      <c r="I248" s="530">
        <f>Relato!I253</f>
        <v>1.0209999999999999</v>
      </c>
      <c r="J248" s="529">
        <f t="shared" si="4"/>
        <v>42.6</v>
      </c>
      <c r="L248" s="457"/>
      <c r="M248" s="457"/>
      <c r="N248" s="457"/>
      <c r="O248" s="457"/>
      <c r="P248" s="457"/>
    </row>
    <row r="249" spans="1:16" x14ac:dyDescent="0.25">
      <c r="A249" s="374" t="str">
        <f t="shared" si="5"/>
        <v>4 WBT (P)</v>
      </c>
      <c r="B249" s="1">
        <f t="shared" si="2"/>
        <v>21</v>
      </c>
      <c r="C249" s="1">
        <f t="shared" si="2"/>
        <v>0.17</v>
      </c>
      <c r="D249" s="1">
        <f>Relato!$D$254</f>
        <v>0.02</v>
      </c>
      <c r="E249" s="1">
        <f>Relato!$E$254</f>
        <v>0</v>
      </c>
      <c r="F249" s="1">
        <f>Relato!$F$254</f>
        <v>0</v>
      </c>
      <c r="G249" s="675">
        <f t="shared" si="3"/>
        <v>0.02</v>
      </c>
      <c r="H249" s="1">
        <f>Relato!$H$254</f>
        <v>40.1</v>
      </c>
      <c r="I249" s="530">
        <f>Relato!I254</f>
        <v>1.02</v>
      </c>
      <c r="J249" s="529">
        <f t="shared" si="4"/>
        <v>40.9</v>
      </c>
      <c r="L249" s="457"/>
      <c r="M249" s="457"/>
      <c r="N249" s="457"/>
      <c r="O249" s="457"/>
      <c r="P249" s="457"/>
    </row>
    <row r="250" spans="1:16" x14ac:dyDescent="0.25">
      <c r="A250" s="374" t="str">
        <f t="shared" si="5"/>
        <v>4 WBT (S)</v>
      </c>
      <c r="B250" s="1">
        <f t="shared" si="2"/>
        <v>21.01</v>
      </c>
      <c r="C250" s="1">
        <f t="shared" si="2"/>
        <v>0.17</v>
      </c>
      <c r="D250" s="1">
        <f>Relato!$D$255</f>
        <v>0.01</v>
      </c>
      <c r="E250" s="1">
        <f>Relato!$E$255</f>
        <v>0</v>
      </c>
      <c r="F250" s="1">
        <f>Relato!$F$255</f>
        <v>0</v>
      </c>
      <c r="G250" s="675">
        <f t="shared" si="3"/>
        <v>0.01</v>
      </c>
      <c r="H250" s="1">
        <f>Relato!$H$255</f>
        <v>30.86</v>
      </c>
      <c r="I250" s="530">
        <f>Relato!I255</f>
        <v>1.02</v>
      </c>
      <c r="J250" s="529">
        <f t="shared" si="4"/>
        <v>31.5</v>
      </c>
      <c r="L250" s="457"/>
      <c r="M250" s="457"/>
      <c r="N250" s="457"/>
      <c r="O250" s="457"/>
      <c r="P250" s="457"/>
    </row>
    <row r="251" spans="1:16" x14ac:dyDescent="0.25">
      <c r="A251" s="374" t="str">
        <f t="shared" si="5"/>
        <v>5 DB (P)</v>
      </c>
      <c r="B251" s="1">
        <f t="shared" si="2"/>
        <v>20.95</v>
      </c>
      <c r="C251" s="1">
        <f t="shared" si="2"/>
        <v>0.18</v>
      </c>
      <c r="D251" s="1">
        <f>Relato!$D$256</f>
        <v>0.01</v>
      </c>
      <c r="E251" s="1">
        <f>Relato!$E$256</f>
        <v>0</v>
      </c>
      <c r="F251" s="1">
        <f>Relato!$F$256</f>
        <v>0</v>
      </c>
      <c r="G251" s="675">
        <f t="shared" si="3"/>
        <v>0.01</v>
      </c>
      <c r="H251" s="1">
        <f>Relato!$H$256</f>
        <v>4.76</v>
      </c>
      <c r="I251" s="530">
        <f>Relato!I256</f>
        <v>1.02</v>
      </c>
      <c r="J251" s="529">
        <f t="shared" si="4"/>
        <v>4.9000000000000004</v>
      </c>
      <c r="L251" s="457"/>
      <c r="M251" s="457"/>
      <c r="N251" s="457"/>
      <c r="O251" s="457"/>
      <c r="P251" s="457"/>
    </row>
    <row r="252" spans="1:16" x14ac:dyDescent="0.25">
      <c r="A252" s="374" t="str">
        <f t="shared" si="5"/>
        <v>5 DB (S)</v>
      </c>
      <c r="B252" s="1">
        <f t="shared" si="2"/>
        <v>20.95</v>
      </c>
      <c r="C252" s="1">
        <f t="shared" si="2"/>
        <v>0.18</v>
      </c>
      <c r="D252" s="1">
        <f>Relato!$D$257</f>
        <v>0.02</v>
      </c>
      <c r="E252" s="1">
        <f>Relato!$E$257</f>
        <v>0</v>
      </c>
      <c r="F252" s="1">
        <f>Relato!$F$257</f>
        <v>0</v>
      </c>
      <c r="G252" s="675">
        <f t="shared" si="3"/>
        <v>0.02</v>
      </c>
      <c r="H252" s="1">
        <f>Relato!$H$257</f>
        <v>7.02</v>
      </c>
      <c r="I252" s="530">
        <f>Relato!I257</f>
        <v>1.02</v>
      </c>
      <c r="J252" s="529">
        <f t="shared" si="4"/>
        <v>7.2</v>
      </c>
      <c r="L252" s="457"/>
      <c r="M252" s="457"/>
      <c r="N252" s="457"/>
      <c r="O252" s="457"/>
      <c r="P252" s="457"/>
    </row>
    <row r="253" spans="1:16" x14ac:dyDescent="0.25">
      <c r="A253" s="374" t="str">
        <f t="shared" si="5"/>
        <v>6 DB (P)</v>
      </c>
      <c r="B253" s="1">
        <f t="shared" si="2"/>
        <v>14.39</v>
      </c>
      <c r="C253" s="1">
        <f t="shared" si="2"/>
        <v>0.18</v>
      </c>
      <c r="D253" s="1">
        <f>Relato!$D$258</f>
        <v>0.17</v>
      </c>
      <c r="E253" s="1">
        <f>Relato!$E$258</f>
        <v>0</v>
      </c>
      <c r="F253" s="1">
        <f>Relato!$F$258</f>
        <v>0</v>
      </c>
      <c r="G253" s="675">
        <f t="shared" si="3"/>
        <v>0.17</v>
      </c>
      <c r="H253" s="1">
        <f>Relato!$H$258</f>
        <v>0.3</v>
      </c>
      <c r="I253" s="530">
        <f>Relato!I258</f>
        <v>1.02</v>
      </c>
      <c r="J253" s="529">
        <f t="shared" si="4"/>
        <v>0.3</v>
      </c>
      <c r="L253" s="457"/>
      <c r="M253" s="457"/>
      <c r="N253" s="457"/>
      <c r="O253" s="457"/>
      <c r="P253" s="457"/>
    </row>
    <row r="254" spans="1:16" x14ac:dyDescent="0.25">
      <c r="A254" s="374" t="str">
        <f t="shared" si="5"/>
        <v>6 DB (S)</v>
      </c>
      <c r="B254" s="1">
        <f t="shared" si="2"/>
        <v>14.39</v>
      </c>
      <c r="C254" s="1">
        <f t="shared" si="2"/>
        <v>0.17</v>
      </c>
      <c r="D254" s="1">
        <f>Relato!$D$259</f>
        <v>0.17</v>
      </c>
      <c r="E254" s="1">
        <f>Relato!$E$259</f>
        <v>0</v>
      </c>
      <c r="F254" s="1">
        <f>Relato!$F$259</f>
        <v>0</v>
      </c>
      <c r="G254" s="675">
        <f t="shared" si="3"/>
        <v>0.17</v>
      </c>
      <c r="H254" s="1">
        <f>Relato!$H$259</f>
        <v>0.3</v>
      </c>
      <c r="I254" s="530">
        <f>Relato!I259</f>
        <v>1.02</v>
      </c>
      <c r="J254" s="529">
        <f t="shared" si="4"/>
        <v>0.3</v>
      </c>
      <c r="L254" s="457"/>
      <c r="M254" s="457"/>
      <c r="N254" s="457"/>
      <c r="O254" s="457"/>
      <c r="P254" s="457"/>
    </row>
    <row r="255" spans="1:16" x14ac:dyDescent="0.25">
      <c r="A255" s="375" t="str">
        <f t="shared" si="5"/>
        <v>Collect (P)</v>
      </c>
      <c r="B255" s="1">
        <f t="shared" si="2"/>
        <v>5.6</v>
      </c>
      <c r="C255" s="1">
        <f t="shared" si="2"/>
        <v>0.17</v>
      </c>
      <c r="D255" s="1">
        <f>Relato!$D$260</f>
        <v>1.27</v>
      </c>
      <c r="E255" s="1">
        <f>Relato!$E$260</f>
        <v>0</v>
      </c>
      <c r="F255" s="1">
        <f>Relato!$F$260</f>
        <v>0</v>
      </c>
      <c r="G255" s="675">
        <f t="shared" si="3"/>
        <v>1.27</v>
      </c>
      <c r="H255" s="1">
        <f>Relato!$H$260</f>
        <v>34.299999999999997</v>
      </c>
      <c r="I255" s="530">
        <f>Relato!I260</f>
        <v>1</v>
      </c>
      <c r="J255" s="529">
        <f t="shared" si="4"/>
        <v>34.299999999999997</v>
      </c>
      <c r="L255" s="457"/>
      <c r="M255" s="457"/>
      <c r="N255" s="457"/>
      <c r="O255" s="457"/>
      <c r="P255" s="457"/>
    </row>
    <row r="256" spans="1:16" x14ac:dyDescent="0.25">
      <c r="A256" s="375" t="str">
        <f t="shared" si="5"/>
        <v>Collect (S)</v>
      </c>
      <c r="B256" s="1">
        <f t="shared" si="2"/>
        <v>5.6</v>
      </c>
      <c r="C256" s="1">
        <f t="shared" si="2"/>
        <v>0.17</v>
      </c>
      <c r="D256" s="1">
        <f>Relato!$D$261</f>
        <v>1.02</v>
      </c>
      <c r="E256" s="1">
        <f>Relato!$E$261</f>
        <v>0</v>
      </c>
      <c r="F256" s="1">
        <f>Relato!$F$261</f>
        <v>0</v>
      </c>
      <c r="G256" s="675">
        <f t="shared" si="3"/>
        <v>1.02</v>
      </c>
      <c r="H256" s="1">
        <f>Relato!$H$261</f>
        <v>24.6</v>
      </c>
      <c r="I256" s="530">
        <f>Relato!I261</f>
        <v>1</v>
      </c>
      <c r="J256" s="529">
        <f t="shared" si="4"/>
        <v>24.6</v>
      </c>
      <c r="L256" s="457"/>
      <c r="M256" s="457"/>
      <c r="N256" s="457"/>
      <c r="O256" s="457"/>
      <c r="P256" s="457"/>
    </row>
    <row r="257" spans="1:16" x14ac:dyDescent="0.25">
      <c r="A257" s="376" t="str">
        <f t="shared" si="5"/>
        <v>A.PK</v>
      </c>
      <c r="B257" s="2">
        <f t="shared" si="2"/>
        <v>7.76</v>
      </c>
      <c r="C257" s="2">
        <f t="shared" si="2"/>
        <v>0.57999999999999996</v>
      </c>
      <c r="D257" s="2">
        <f>Relato!$D$262</f>
        <v>0.12</v>
      </c>
      <c r="E257" s="2">
        <f>Relato!$E$262</f>
        <v>0</v>
      </c>
      <c r="F257" s="2">
        <f>Relato!$F$262</f>
        <v>0</v>
      </c>
      <c r="G257" s="580">
        <f>IFERROR(D257+(E257+F257),D257)</f>
        <v>0.12</v>
      </c>
      <c r="H257" s="2">
        <f>Relato!$H$262</f>
        <v>0.6</v>
      </c>
      <c r="I257" s="531">
        <f>Relato!I262</f>
        <v>1.022</v>
      </c>
      <c r="J257" s="532">
        <f t="shared" si="4"/>
        <v>0.6</v>
      </c>
      <c r="L257" s="457"/>
      <c r="M257" s="457"/>
      <c r="N257" s="457"/>
      <c r="O257" s="457"/>
      <c r="P257" s="457"/>
    </row>
    <row r="258" spans="1:16" x14ac:dyDescent="0.25">
      <c r="A258" s="289" t="s">
        <v>16</v>
      </c>
      <c r="B258" s="290"/>
      <c r="C258" s="290"/>
      <c r="D258" s="290"/>
      <c r="E258" s="290"/>
      <c r="F258" s="290"/>
      <c r="G258" s="291"/>
      <c r="H258" s="533">
        <f>SUM($H$242:$H$257)</f>
        <v>328.18000000000006</v>
      </c>
      <c r="I258" s="534"/>
      <c r="J258" s="533">
        <f>SUM($J$242:$J$257)</f>
        <v>333.80000000000007</v>
      </c>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81" t="s">
        <v>549</v>
      </c>
      <c r="L262" s="457"/>
      <c r="M262" s="457"/>
      <c r="N262" s="457"/>
      <c r="O262" s="457"/>
      <c r="P262" s="457"/>
    </row>
    <row r="263" spans="1:16" x14ac:dyDescent="0.25">
      <c r="A263" s="286" t="s">
        <v>0</v>
      </c>
      <c r="B263" s="286" t="s">
        <v>1</v>
      </c>
      <c r="C263" s="286" t="s">
        <v>2</v>
      </c>
      <c r="D263" s="286" t="s">
        <v>1</v>
      </c>
      <c r="E263" s="738" t="s">
        <v>573</v>
      </c>
      <c r="F263" s="738"/>
      <c r="G263" s="286" t="s">
        <v>3</v>
      </c>
      <c r="H263" s="286" t="s">
        <v>1</v>
      </c>
      <c r="I263" s="286" t="s">
        <v>1</v>
      </c>
      <c r="J263" s="286" t="s">
        <v>4</v>
      </c>
      <c r="L263" s="457"/>
      <c r="M263" s="457"/>
      <c r="N263" s="457"/>
      <c r="O263" s="457"/>
      <c r="P263" s="457"/>
    </row>
    <row r="264" spans="1:16" x14ac:dyDescent="0.25">
      <c r="A264" s="287" t="s">
        <v>715</v>
      </c>
      <c r="B264" s="413" t="s">
        <v>5</v>
      </c>
      <c r="C264" s="413" t="s">
        <v>6</v>
      </c>
      <c r="D264" s="287" t="s">
        <v>7</v>
      </c>
      <c r="E264" s="288" t="s">
        <v>8</v>
      </c>
      <c r="F264" s="288" t="s">
        <v>9</v>
      </c>
      <c r="G264" s="413" t="s">
        <v>7</v>
      </c>
      <c r="H264" s="287" t="s">
        <v>544</v>
      </c>
      <c r="I264" s="287" t="s">
        <v>10</v>
      </c>
      <c r="J264" s="413" t="s">
        <v>11</v>
      </c>
      <c r="L264" s="457"/>
      <c r="M264" s="457"/>
      <c r="N264" s="457"/>
      <c r="O264" s="457"/>
      <c r="P264" s="457"/>
    </row>
    <row r="265" spans="1:16" x14ac:dyDescent="0.25">
      <c r="A265" s="377" t="s">
        <v>551</v>
      </c>
      <c r="B265" s="728" t="str">
        <f>Relato!$B$270</f>
        <v>GAUGE</v>
      </c>
      <c r="C265" s="728"/>
      <c r="D265" s="728"/>
      <c r="E265" s="728"/>
      <c r="F265" s="728"/>
      <c r="G265" s="728"/>
      <c r="H265" s="526">
        <f>Relato!$H$270</f>
        <v>68</v>
      </c>
      <c r="I265" s="527">
        <f>Relato!$I$270</f>
        <v>1</v>
      </c>
      <c r="J265" s="529">
        <f t="shared" ref="J265:J266" si="6">IFERROR(ROUND(H265*I265,1),"")</f>
        <v>68</v>
      </c>
      <c r="L265" s="457"/>
      <c r="M265" s="457"/>
      <c r="N265" s="457"/>
      <c r="O265" s="457"/>
      <c r="P265" s="457"/>
    </row>
    <row r="266" spans="1:16" x14ac:dyDescent="0.25">
      <c r="A266" s="383" t="s">
        <v>552</v>
      </c>
      <c r="B266" s="729"/>
      <c r="C266" s="729"/>
      <c r="D266" s="729"/>
      <c r="E266" s="729"/>
      <c r="F266" s="729"/>
      <c r="G266" s="729"/>
      <c r="H266" s="2">
        <f>Relato!$H$271</f>
        <v>21.5</v>
      </c>
      <c r="I266" s="531">
        <f>Relato!$I$271</f>
        <v>1</v>
      </c>
      <c r="J266" s="532">
        <f t="shared" si="6"/>
        <v>21.5</v>
      </c>
      <c r="L266" s="457"/>
      <c r="M266" s="457"/>
      <c r="N266" s="457"/>
      <c r="O266" s="457"/>
      <c r="P266" s="457"/>
    </row>
    <row r="267" spans="1:16" x14ac:dyDescent="0.25">
      <c r="A267" s="382" t="s">
        <v>16</v>
      </c>
      <c r="B267" s="291"/>
      <c r="C267" s="291"/>
      <c r="D267" s="291"/>
      <c r="E267" s="291"/>
      <c r="F267" s="291"/>
      <c r="G267" s="291"/>
      <c r="H267" s="535">
        <f>SUM($H$265:$H$266)</f>
        <v>89.5</v>
      </c>
      <c r="I267" s="536"/>
      <c r="J267" s="535">
        <f>SUM($J$265:$J$266)</f>
        <v>89.5</v>
      </c>
      <c r="L267" s="457"/>
      <c r="M267" s="457"/>
      <c r="N267" s="457"/>
      <c r="O267" s="457"/>
      <c r="P267" s="457"/>
    </row>
    <row r="268" spans="1:16" x14ac:dyDescent="0.25">
      <c r="D268" s="537"/>
      <c r="E268" s="537"/>
      <c r="F268" s="537"/>
      <c r="L268" s="457"/>
      <c r="M268" s="457"/>
      <c r="N268" s="457"/>
      <c r="O268" s="457"/>
      <c r="P268" s="457"/>
    </row>
    <row r="269" spans="1:16" x14ac:dyDescent="0.25">
      <c r="D269" s="537"/>
      <c r="E269" s="537"/>
      <c r="F269" s="537"/>
      <c r="L269" s="457"/>
      <c r="M269" s="457"/>
      <c r="N269" s="457"/>
      <c r="O269" s="457"/>
      <c r="P269" s="457"/>
    </row>
    <row r="270" spans="1:16" ht="15.75" x14ac:dyDescent="0.25">
      <c r="A270" s="3" t="s">
        <v>550</v>
      </c>
      <c r="D270" s="537"/>
      <c r="E270" s="537"/>
      <c r="F270" s="537"/>
      <c r="L270" s="457"/>
      <c r="M270" s="457"/>
      <c r="N270" s="457"/>
      <c r="O270" s="457"/>
      <c r="P270" s="457"/>
    </row>
    <row r="271" spans="1:16" x14ac:dyDescent="0.25">
      <c r="A271" s="286" t="s">
        <v>0</v>
      </c>
      <c r="B271" s="286" t="s">
        <v>1</v>
      </c>
      <c r="C271" s="286" t="s">
        <v>2</v>
      </c>
      <c r="D271" s="286" t="s">
        <v>1</v>
      </c>
      <c r="E271" s="738" t="s">
        <v>573</v>
      </c>
      <c r="F271" s="738"/>
      <c r="G271" s="286" t="s">
        <v>3</v>
      </c>
      <c r="H271" s="286" t="s">
        <v>1</v>
      </c>
      <c r="I271" s="286" t="s">
        <v>1</v>
      </c>
      <c r="J271" s="286" t="s">
        <v>4</v>
      </c>
      <c r="L271" s="457"/>
      <c r="M271" s="457"/>
      <c r="N271" s="457"/>
      <c r="O271" s="457"/>
      <c r="P271" s="457"/>
    </row>
    <row r="272" spans="1:16" x14ac:dyDescent="0.25">
      <c r="A272" s="287" t="s">
        <v>715</v>
      </c>
      <c r="B272" s="287" t="s">
        <v>5</v>
      </c>
      <c r="C272" s="287" t="s">
        <v>6</v>
      </c>
      <c r="D272" s="287" t="s">
        <v>7</v>
      </c>
      <c r="E272" s="288" t="s">
        <v>8</v>
      </c>
      <c r="F272" s="288" t="s">
        <v>9</v>
      </c>
      <c r="G272" s="413" t="s">
        <v>7</v>
      </c>
      <c r="H272" s="287" t="s">
        <v>544</v>
      </c>
      <c r="I272" s="287" t="s">
        <v>10</v>
      </c>
      <c r="J272" s="413" t="s">
        <v>11</v>
      </c>
      <c r="L272" s="457"/>
      <c r="M272" s="457"/>
      <c r="N272" s="457"/>
      <c r="O272" s="457"/>
      <c r="P272" s="457"/>
    </row>
    <row r="273" spans="1:16" x14ac:dyDescent="0.25">
      <c r="A273" s="377" t="s">
        <v>551</v>
      </c>
      <c r="B273" s="728" t="str">
        <f>$B$265</f>
        <v>GAUGE</v>
      </c>
      <c r="C273" s="728"/>
      <c r="D273" s="728"/>
      <c r="E273" s="728"/>
      <c r="F273" s="728"/>
      <c r="G273" s="728"/>
      <c r="H273" s="526">
        <f>Relato!$H$278</f>
        <v>45</v>
      </c>
      <c r="I273" s="527">
        <f>I265</f>
        <v>1</v>
      </c>
      <c r="J273" s="529">
        <f t="shared" ref="J273:J274" si="7">IFERROR(ROUND(H273*I273,1),"")</f>
        <v>45</v>
      </c>
      <c r="L273" s="457"/>
      <c r="M273" s="457"/>
      <c r="N273" s="457"/>
      <c r="O273" s="457"/>
      <c r="P273" s="457"/>
    </row>
    <row r="274" spans="1:16" x14ac:dyDescent="0.25">
      <c r="A274" s="383" t="s">
        <v>552</v>
      </c>
      <c r="B274" s="729"/>
      <c r="C274" s="729"/>
      <c r="D274" s="729"/>
      <c r="E274" s="729"/>
      <c r="F274" s="729"/>
      <c r="G274" s="729"/>
      <c r="H274" s="2">
        <f>Relato!$H$279</f>
        <v>20</v>
      </c>
      <c r="I274" s="531">
        <f t="shared" ref="I274" si="8">I266</f>
        <v>1</v>
      </c>
      <c r="J274" s="532">
        <f t="shared" si="7"/>
        <v>20</v>
      </c>
      <c r="L274" s="457"/>
      <c r="M274" s="457"/>
      <c r="N274" s="457"/>
      <c r="O274" s="457"/>
      <c r="P274" s="457"/>
    </row>
    <row r="275" spans="1:16" x14ac:dyDescent="0.25">
      <c r="A275" s="382" t="s">
        <v>16</v>
      </c>
      <c r="B275" s="291"/>
      <c r="C275" s="291"/>
      <c r="D275" s="291"/>
      <c r="E275" s="291"/>
      <c r="F275" s="291"/>
      <c r="G275" s="291"/>
      <c r="H275" s="535">
        <f>SUM($H$273:$H$274)</f>
        <v>65</v>
      </c>
      <c r="I275" s="536"/>
      <c r="J275" s="535">
        <f>SUM($J$273:$J$274)</f>
        <v>65</v>
      </c>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ht="15.75" x14ac:dyDescent="0.25">
      <c r="A278" s="381" t="s">
        <v>697</v>
      </c>
      <c r="B278" s="7"/>
      <c r="C278" s="7"/>
      <c r="D278" s="7"/>
      <c r="E278" s="7"/>
      <c r="F278" s="7"/>
      <c r="G278" s="7"/>
      <c r="H278" s="7"/>
      <c r="I278" s="7"/>
      <c r="J278" s="7"/>
      <c r="L278" s="457"/>
      <c r="M278" s="457"/>
      <c r="N278" s="457"/>
      <c r="O278" s="457"/>
      <c r="P278" s="457"/>
    </row>
    <row r="279" spans="1:16" x14ac:dyDescent="0.25">
      <c r="A279" s="384"/>
      <c r="B279" s="8"/>
      <c r="C279" s="8"/>
      <c r="D279" s="389"/>
      <c r="E279" s="8"/>
      <c r="F279" s="739" t="s">
        <v>553</v>
      </c>
      <c r="G279" s="739"/>
      <c r="H279" s="385"/>
      <c r="I279" s="740" t="s">
        <v>554</v>
      </c>
      <c r="J279" s="741"/>
      <c r="L279" s="457"/>
      <c r="M279" s="457"/>
      <c r="N279" s="457"/>
      <c r="O279" s="457"/>
      <c r="P279" s="457"/>
    </row>
    <row r="280" spans="1:16" ht="15.75" x14ac:dyDescent="0.25">
      <c r="A280" s="390" t="s">
        <v>555</v>
      </c>
      <c r="B280" s="391"/>
      <c r="C280" s="391"/>
      <c r="D280" s="420"/>
      <c r="E280" s="391"/>
      <c r="F280" s="742">
        <f>Draft!$H$65</f>
        <v>615.30600000000004</v>
      </c>
      <c r="G280" s="742"/>
      <c r="H280" s="407"/>
      <c r="I280" s="742">
        <f>Draft!$Z$65</f>
        <v>846.83</v>
      </c>
      <c r="J280" s="743"/>
      <c r="L280" s="457"/>
      <c r="M280" s="457"/>
      <c r="N280" s="457"/>
      <c r="O280" s="457"/>
      <c r="P280" s="457"/>
    </row>
    <row r="281" spans="1:16" ht="15.75" x14ac:dyDescent="0.25">
      <c r="A281" s="386" t="s">
        <v>556</v>
      </c>
      <c r="D281" s="421"/>
      <c r="F281" s="736">
        <f>Draft!$H$66</f>
        <v>230.97</v>
      </c>
      <c r="G281" s="736"/>
      <c r="H281" s="408"/>
      <c r="I281" s="736">
        <f>Draft!$Z$66</f>
        <v>230.57</v>
      </c>
      <c r="J281" s="737"/>
      <c r="L281" s="457"/>
      <c r="M281" s="457"/>
      <c r="N281" s="457"/>
      <c r="O281" s="457"/>
      <c r="P281" s="457"/>
    </row>
    <row r="282" spans="1:16" ht="15.75" x14ac:dyDescent="0.25">
      <c r="A282" s="386" t="s">
        <v>557</v>
      </c>
      <c r="D282" s="421"/>
      <c r="F282" s="736">
        <f>Draft!$H$67</f>
        <v>31.22</v>
      </c>
      <c r="G282" s="736"/>
      <c r="H282" s="408"/>
      <c r="I282" s="736">
        <f>Draft!$Z$67</f>
        <v>31.22</v>
      </c>
      <c r="J282" s="737"/>
      <c r="L282" s="457"/>
      <c r="M282" s="457"/>
      <c r="N282" s="457"/>
      <c r="O282" s="457"/>
      <c r="P282" s="457"/>
    </row>
    <row r="283" spans="1:16" ht="15.75" x14ac:dyDescent="0.25">
      <c r="A283" s="386" t="s">
        <v>558</v>
      </c>
      <c r="D283" s="421"/>
      <c r="F283" s="736">
        <f>$J$267</f>
        <v>89.5</v>
      </c>
      <c r="G283" s="736"/>
      <c r="H283" s="408"/>
      <c r="I283" s="736">
        <f>$J$275</f>
        <v>65</v>
      </c>
      <c r="J283" s="737"/>
      <c r="L283" s="457"/>
      <c r="M283" s="457"/>
      <c r="N283" s="457"/>
      <c r="O283" s="457"/>
      <c r="P283" s="457"/>
    </row>
    <row r="284" spans="1:16" ht="15.75" x14ac:dyDescent="0.25">
      <c r="A284" s="386" t="s">
        <v>559</v>
      </c>
      <c r="D284" s="421"/>
      <c r="F284" s="736">
        <f>$J$236</f>
        <v>22659.399999999998</v>
      </c>
      <c r="G284" s="736"/>
      <c r="H284" s="408"/>
      <c r="I284" s="736">
        <f>$J$258</f>
        <v>333.80000000000007</v>
      </c>
      <c r="J284" s="737"/>
      <c r="L284" s="457"/>
      <c r="M284" s="457"/>
      <c r="N284" s="457"/>
      <c r="O284" s="457"/>
      <c r="P284" s="457"/>
    </row>
    <row r="285" spans="1:16" ht="15.75" x14ac:dyDescent="0.25">
      <c r="A285" s="392" t="s">
        <v>560</v>
      </c>
      <c r="B285" s="393"/>
      <c r="C285" s="393"/>
      <c r="D285" s="422"/>
      <c r="E285" s="393"/>
      <c r="F285" s="730">
        <f>Draft!$H$71</f>
        <v>0</v>
      </c>
      <c r="G285" s="730"/>
      <c r="H285" s="409"/>
      <c r="I285" s="730">
        <f>Draft!$Z$71</f>
        <v>0</v>
      </c>
      <c r="J285" s="731"/>
      <c r="L285" s="457"/>
      <c r="M285" s="457"/>
      <c r="N285" s="457"/>
      <c r="O285" s="457"/>
      <c r="P285" s="457"/>
    </row>
    <row r="286" spans="1:16" ht="15.75" x14ac:dyDescent="0.25">
      <c r="A286" s="387" t="s">
        <v>16</v>
      </c>
      <c r="B286" s="8"/>
      <c r="C286" s="8"/>
      <c r="D286" s="388"/>
      <c r="E286" s="8"/>
      <c r="F286" s="732">
        <f>SUM($F$280:$G$285)</f>
        <v>23626.395999999997</v>
      </c>
      <c r="G286" s="732"/>
      <c r="H286" s="410"/>
      <c r="I286" s="730">
        <f>SUM($I$280:$J$285)</f>
        <v>1507.42</v>
      </c>
      <c r="J286" s="730"/>
      <c r="L286" s="457"/>
      <c r="M286" s="457"/>
      <c r="N286" s="457"/>
      <c r="O286" s="457"/>
      <c r="P286" s="457"/>
    </row>
    <row r="287" spans="1:16" x14ac:dyDescent="0.25">
      <c r="L287" s="457"/>
      <c r="M287" s="457"/>
      <c r="N287" s="457"/>
      <c r="O287" s="457"/>
      <c r="P287" s="457"/>
    </row>
  </sheetData>
  <mergeCells count="172">
    <mergeCell ref="A1:J1"/>
    <mergeCell ref="G3:I3"/>
    <mergeCell ref="A34:J34"/>
    <mergeCell ref="A35:J35"/>
    <mergeCell ref="A36:J36"/>
    <mergeCell ref="A38:J39"/>
    <mergeCell ref="E83:J83"/>
    <mergeCell ref="E87:J87"/>
    <mergeCell ref="E88:J88"/>
    <mergeCell ref="E73:J73"/>
    <mergeCell ref="E74:F74"/>
    <mergeCell ref="E79:J79"/>
    <mergeCell ref="A40:J40"/>
    <mergeCell ref="A41:J41"/>
    <mergeCell ref="F67:J67"/>
    <mergeCell ref="E70:J70"/>
    <mergeCell ref="E71:F71"/>
    <mergeCell ref="E72:G72"/>
    <mergeCell ref="B92:C92"/>
    <mergeCell ref="D92:E92"/>
    <mergeCell ref="F92:I92"/>
    <mergeCell ref="E80:J80"/>
    <mergeCell ref="E81:J81"/>
    <mergeCell ref="E82:F82"/>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H154:I154"/>
    <mergeCell ref="H155:I155"/>
    <mergeCell ref="G118:H118"/>
    <mergeCell ref="I118:J118"/>
    <mergeCell ref="G119:H119"/>
    <mergeCell ref="I119:J119"/>
    <mergeCell ref="H151:I151"/>
    <mergeCell ref="H153:I153"/>
    <mergeCell ref="G115:H115"/>
    <mergeCell ref="I115:J115"/>
    <mergeCell ref="G116:H116"/>
    <mergeCell ref="I116:J116"/>
    <mergeCell ref="G117:H117"/>
    <mergeCell ref="I117:J117"/>
    <mergeCell ref="G157:H157"/>
    <mergeCell ref="I157:J157"/>
    <mergeCell ref="A158:F160"/>
    <mergeCell ref="G158:H158"/>
    <mergeCell ref="I158:J158"/>
    <mergeCell ref="G160:H160"/>
    <mergeCell ref="I160:J160"/>
    <mergeCell ref="G161:H161"/>
    <mergeCell ref="I161:J161"/>
    <mergeCell ref="I159:J159"/>
    <mergeCell ref="G159:H159"/>
    <mergeCell ref="G166:H166"/>
    <mergeCell ref="I166:J166"/>
    <mergeCell ref="G167:H167"/>
    <mergeCell ref="I167:J167"/>
    <mergeCell ref="G168:H168"/>
    <mergeCell ref="I168:J168"/>
    <mergeCell ref="A161:B161"/>
    <mergeCell ref="C161:D161"/>
    <mergeCell ref="E161:F161"/>
    <mergeCell ref="G162:H162"/>
    <mergeCell ref="I162:J162"/>
    <mergeCell ref="G165:H165"/>
    <mergeCell ref="I165:J165"/>
    <mergeCell ref="G163:H163"/>
    <mergeCell ref="I163:J163"/>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90:H190"/>
    <mergeCell ref="I190:J190"/>
    <mergeCell ref="G191:H191"/>
    <mergeCell ref="I191:J191"/>
    <mergeCell ref="G192:H192"/>
    <mergeCell ref="I192:J192"/>
    <mergeCell ref="G181:H181"/>
    <mergeCell ref="I181:J181"/>
    <mergeCell ref="G183:H183"/>
    <mergeCell ref="I183:J183"/>
    <mergeCell ref="G189:H189"/>
    <mergeCell ref="I189:J189"/>
    <mergeCell ref="G196:H196"/>
    <mergeCell ref="I196:J196"/>
    <mergeCell ref="G197:H197"/>
    <mergeCell ref="I197:J197"/>
    <mergeCell ref="G198:H198"/>
    <mergeCell ref="G199:H199"/>
    <mergeCell ref="G193:H193"/>
    <mergeCell ref="I193:J193"/>
    <mergeCell ref="G194:H194"/>
    <mergeCell ref="I194:J194"/>
    <mergeCell ref="G195:H195"/>
    <mergeCell ref="I195:J195"/>
    <mergeCell ref="I209:J209"/>
    <mergeCell ref="E218:F218"/>
    <mergeCell ref="E240:F240"/>
    <mergeCell ref="E263:F263"/>
    <mergeCell ref="G200:H200"/>
    <mergeCell ref="I200:J200"/>
    <mergeCell ref="I201:J201"/>
    <mergeCell ref="A205:F205"/>
    <mergeCell ref="I207:J207"/>
    <mergeCell ref="B265:G266"/>
    <mergeCell ref="B273:G274"/>
    <mergeCell ref="F285:G285"/>
    <mergeCell ref="I285:J285"/>
    <mergeCell ref="F286:G286"/>
    <mergeCell ref="I286:J286"/>
    <mergeCell ref="A210:J210"/>
    <mergeCell ref="G182:H182"/>
    <mergeCell ref="I182:J182"/>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08:J208"/>
    <mergeCell ref="G209:H209"/>
  </mergeCells>
  <conditionalFormatting sqref="B94">
    <cfRule type="cellIs" dxfId="73" priority="24" operator="equal">
      <formula>0</formula>
    </cfRule>
  </conditionalFormatting>
  <conditionalFormatting sqref="F94">
    <cfRule type="cellIs" dxfId="72" priority="23" operator="equal">
      <formula>0</formula>
    </cfRule>
  </conditionalFormatting>
  <conditionalFormatting sqref="F95:F100">
    <cfRule type="cellIs" dxfId="71" priority="22" operator="equal">
      <formula>0</formula>
    </cfRule>
  </conditionalFormatting>
  <conditionalFormatting sqref="B95:B100">
    <cfRule type="cellIs" dxfId="70" priority="19" operator="equal">
      <formula>0</formula>
    </cfRule>
  </conditionalFormatting>
  <conditionalFormatting sqref="D94">
    <cfRule type="cellIs" dxfId="69" priority="21" operator="equal">
      <formula>0</formula>
    </cfRule>
  </conditionalFormatting>
  <conditionalFormatting sqref="D95:D100">
    <cfRule type="cellIs" dxfId="68" priority="20" operator="equal">
      <formula>0</formula>
    </cfRule>
  </conditionalFormatting>
  <conditionalFormatting sqref="G214:I214">
    <cfRule type="expression" dxfId="67" priority="18">
      <formula>$G$214=0</formula>
    </cfRule>
  </conditionalFormatting>
  <conditionalFormatting sqref="H217">
    <cfRule type="cellIs" dxfId="66" priority="9" operator="equal">
      <formula>0</formula>
    </cfRule>
  </conditionalFormatting>
  <conditionalFormatting sqref="H239">
    <cfRule type="cellIs" dxfId="65" priority="8" operator="equal">
      <formula>0</formula>
    </cfRule>
  </conditionalFormatting>
  <conditionalFormatting sqref="G58:J59">
    <cfRule type="expression" dxfId="6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&amp;RPGUA/DS/060/26</oddHeader>
    <oddFooter>&amp;C&amp;P</oddFooter>
  </headerFooter>
  <rowBreaks count="6" manualBreakCount="6">
    <brk id="33" max="17" man="1"/>
    <brk id="67" max="17" man="1"/>
    <brk id="111" max="17" man="1"/>
    <brk id="155" max="17" man="1"/>
    <brk id="214"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G185:H187 H203:H205 G166:H183 G157:G163 G190:H196 G200</xm:sqref>
        </x14:conditionalFormatting>
        <x14:conditionalFormatting xmlns:xm="http://schemas.microsoft.com/office/excel/2006/main">
          <x14:cfRule type="expression" priority="6" id="{35C28081-2E8D-44B7-8188-F96BB646BE50}">
            <xm:f>Draft!$H$84="SIM"</xm:f>
            <x14:dxf>
              <font>
                <color theme="0"/>
              </font>
            </x14:dxf>
          </x14:cfRule>
          <xm:sqref>I182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3" zoomScale="80" zoomScaleNormal="80" zoomScalePageLayoutView="10" workbookViewId="0">
      <selection activeCell="F54" sqref="F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Stella Navis</v>
      </c>
    </row>
    <row r="3" spans="1:14" ht="24" customHeight="1" x14ac:dyDescent="0.3">
      <c r="C3" s="424" t="str">
        <f>_xlfn.CONCAT(N5,N6,"MV ""","",_xlfn.CONCAT(C5),"",""" - Resumo dos números apurados - ","(",TEXT(G36,"#,##0.000")," t"," ou ",TEXT(I36,"#,##0.00"),"%",")")</f>
        <v>MV "Stella Navis" - Resumo dos números apurados - (24.352 t ou 0.03%)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Stella Navis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576</v>
      </c>
      <c r="D19" s="555" t="s">
        <v>523</v>
      </c>
      <c r="E19" s="556">
        <f>Draft!$E$4</f>
        <v>46079</v>
      </c>
      <c r="F19" s="557"/>
      <c r="G19" s="1180" t="str">
        <f>_xlfn.CONCAT(TEXT(Draft!$O$5,"hh:mm")," - ",Draft!$AN$7,Draft!$H$6)</f>
        <v>09:10 - Fundeado - área 9,2</v>
      </c>
      <c r="H19" s="1180"/>
      <c r="I19" s="1180"/>
      <c r="J19" s="1180"/>
      <c r="K19" s="1181"/>
      <c r="L19" s="250"/>
      <c r="M19" s="250"/>
      <c r="N19" s="250"/>
      <c r="O19" s="250" t="e">
        <f>IF(Draft!H6="berthed",Atracado,Fundeado)</f>
        <v>#NAME?</v>
      </c>
      <c r="P19" s="250"/>
      <c r="Q19" s="250"/>
    </row>
    <row r="20" spans="1:17" ht="17.25" x14ac:dyDescent="0.3">
      <c r="A20" s="539"/>
      <c r="B20" s="539"/>
      <c r="C20" s="558" t="s">
        <v>575</v>
      </c>
      <c r="D20" s="544" t="s">
        <v>523</v>
      </c>
      <c r="E20" s="545">
        <f>Draft!$X$4</f>
        <v>46083</v>
      </c>
      <c r="F20" s="546"/>
      <c r="G20" s="1182" t="str">
        <f>_xlfn.CONCAT(TEXT(Draft!$AH$5,"hh:mm")," - ",Draft!$AN$8,Draft!$AA$6)</f>
        <v>20:00 - Atracado - berço 213</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620</v>
      </c>
      <c r="D22" s="659" t="s">
        <v>523</v>
      </c>
      <c r="E22" s="660" t="s">
        <v>621</v>
      </c>
      <c r="F22" s="661"/>
      <c r="G22" s="661" t="s">
        <v>622</v>
      </c>
      <c r="H22" s="661"/>
      <c r="I22" s="662"/>
      <c r="J22" s="662"/>
      <c r="K22" s="663"/>
      <c r="L22" s="543"/>
      <c r="M22" s="250"/>
      <c r="N22" s="250"/>
      <c r="O22" s="423">
        <v>3000</v>
      </c>
      <c r="P22" s="250"/>
      <c r="Q22" s="250"/>
    </row>
    <row r="23" spans="1:17" ht="15" customHeight="1" x14ac:dyDescent="0.3">
      <c r="A23" s="539"/>
      <c r="B23" s="539"/>
      <c r="C23" s="664" t="s">
        <v>347</v>
      </c>
      <c r="D23" s="665" t="s">
        <v>523</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739</v>
      </c>
      <c r="D24" s="665" t="s">
        <v>523</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740</v>
      </c>
      <c r="D25" s="665" t="s">
        <v>523</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741</v>
      </c>
      <c r="D26" s="665" t="s">
        <v>523</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742</v>
      </c>
      <c r="D27" s="665" t="s">
        <v>523</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348</v>
      </c>
      <c r="D28" s="665" t="s">
        <v>523</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350</v>
      </c>
      <c r="D29" s="665" t="s">
        <v>523</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351</v>
      </c>
      <c r="D30" s="665" t="s">
        <v>523</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354</v>
      </c>
      <c r="D31" s="665" t="s">
        <v>523</v>
      </c>
      <c r="E31" s="666">
        <v>26700</v>
      </c>
      <c r="F31" s="662"/>
      <c r="G31" s="667">
        <f>IFERROR(E31/E34*100,"")</f>
        <v>37.74561421055931</v>
      </c>
      <c r="H31" s="662"/>
      <c r="I31" s="662"/>
      <c r="J31" s="662"/>
      <c r="K31" s="663"/>
      <c r="L31" s="543"/>
      <c r="M31" s="250"/>
      <c r="N31" s="250"/>
      <c r="O31" s="423"/>
      <c r="P31" s="250"/>
      <c r="Q31" s="250"/>
    </row>
    <row r="32" spans="1:17" ht="15" customHeight="1" x14ac:dyDescent="0.3">
      <c r="A32" s="539"/>
      <c r="B32" s="539"/>
      <c r="C32" s="664" t="s">
        <v>355</v>
      </c>
      <c r="D32" s="665" t="s">
        <v>523</v>
      </c>
      <c r="E32" s="666">
        <v>20400</v>
      </c>
      <c r="F32" s="668"/>
      <c r="G32" s="667">
        <f>IFERROR(E32/E34*100,"")</f>
        <v>28.839345688966667</v>
      </c>
      <c r="H32" s="668"/>
      <c r="I32" s="668"/>
      <c r="J32" s="668"/>
      <c r="K32" s="669"/>
    </row>
    <row r="33" spans="1:17" ht="15" customHeight="1" x14ac:dyDescent="0.3">
      <c r="A33" s="539"/>
      <c r="B33" s="539"/>
      <c r="C33" s="664" t="s">
        <v>357</v>
      </c>
      <c r="D33" s="665" t="s">
        <v>523</v>
      </c>
      <c r="E33" s="666">
        <v>23636.695</v>
      </c>
      <c r="F33" s="668"/>
      <c r="G33" s="667">
        <f>IFERROR(E33/E34*100,"")</f>
        <v>33.415040100474016</v>
      </c>
      <c r="H33" s="668"/>
      <c r="I33" s="668"/>
      <c r="J33" s="668"/>
      <c r="K33" s="669"/>
    </row>
    <row r="34" spans="1:17" ht="15" customHeight="1" x14ac:dyDescent="0.3">
      <c r="A34" s="539"/>
      <c r="B34" s="539"/>
      <c r="C34" s="658" t="s">
        <v>619</v>
      </c>
      <c r="D34" s="659" t="s">
        <v>523</v>
      </c>
      <c r="E34" s="670">
        <f>Draft!$Z$78</f>
        <v>70736.695000000007</v>
      </c>
      <c r="F34" s="670"/>
      <c r="G34" s="671">
        <f>SUM(G23:G33)</f>
        <v>100</v>
      </c>
      <c r="H34" s="672"/>
      <c r="I34" s="672"/>
      <c r="J34" s="672"/>
      <c r="K34" s="673"/>
      <c r="O34" s="248" t="s">
        <v>322</v>
      </c>
      <c r="P34" s="249" t="s">
        <v>524</v>
      </c>
    </row>
    <row r="35" spans="1:17" ht="17.100000000000001" customHeight="1" x14ac:dyDescent="0.3">
      <c r="A35" s="539"/>
      <c r="B35" s="539"/>
      <c r="C35" s="561"/>
      <c r="D35" s="546"/>
      <c r="E35" s="546"/>
      <c r="F35" s="546"/>
      <c r="G35" s="546"/>
      <c r="H35" s="546"/>
      <c r="I35" s="546"/>
      <c r="J35" s="546"/>
      <c r="K35" s="694" t="s">
        <v>684</v>
      </c>
      <c r="O35" s="248" t="s">
        <v>324</v>
      </c>
      <c r="P35" s="249" t="s">
        <v>525</v>
      </c>
    </row>
    <row r="36" spans="1:17" ht="17.100000000000001" customHeight="1" x14ac:dyDescent="0.3">
      <c r="A36" s="547"/>
      <c r="B36" s="547"/>
      <c r="C36" s="562" t="s">
        <v>526</v>
      </c>
      <c r="D36" s="540" t="s">
        <v>523</v>
      </c>
      <c r="E36" s="574">
        <f>IF(K36="SIM",Draft!AF77,Draft!Z77)</f>
        <v>70761.046875879998</v>
      </c>
      <c r="F36" s="541" t="s">
        <v>527</v>
      </c>
      <c r="G36" s="574">
        <f>IF(K36="SIM",Draft!AF79,Draft!Z79)</f>
        <v>24.351875879990985</v>
      </c>
      <c r="H36" s="542" t="s">
        <v>528</v>
      </c>
      <c r="I36" s="575">
        <f>$G$36/$E$34*100</f>
        <v>3.4426086601856337E-2</v>
      </c>
      <c r="J36" s="541" t="s">
        <v>529</v>
      </c>
      <c r="K36" s="693" t="s">
        <v>583</v>
      </c>
      <c r="L36" s="249"/>
      <c r="M36" s="250"/>
      <c r="N36" s="250"/>
      <c r="O36" s="248" t="s">
        <v>325</v>
      </c>
      <c r="P36" s="249" t="s">
        <v>530</v>
      </c>
      <c r="Q36" s="250"/>
    </row>
    <row r="37" spans="1:17" ht="17.100000000000001" customHeight="1" x14ac:dyDescent="0.3">
      <c r="A37" s="547"/>
      <c r="B37" s="547"/>
      <c r="C37" s="562" t="s">
        <v>531</v>
      </c>
      <c r="D37" s="540" t="s">
        <v>523</v>
      </c>
      <c r="E37" s="574">
        <f>Draft!$X$82</f>
        <v>70750.23</v>
      </c>
      <c r="F37" s="541" t="s">
        <v>527</v>
      </c>
      <c r="G37" s="574">
        <f>Draft!$AA$82</f>
        <v>13.534999999988941</v>
      </c>
      <c r="H37" s="542" t="s">
        <v>528</v>
      </c>
      <c r="I37" s="575">
        <f>$G$37/$E$34*100</f>
        <v>1.9134340387247296E-2</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70750.547000000006</v>
      </c>
      <c r="F38" s="541" t="s">
        <v>527</v>
      </c>
      <c r="G38" s="574">
        <f>Draft!$AA$83</f>
        <v>13.851999999998952</v>
      </c>
      <c r="H38" s="542" t="s">
        <v>528</v>
      </c>
      <c r="I38" s="575">
        <f>$G$38/$E$34*100</f>
        <v>1.9582481200173335E-2</v>
      </c>
      <c r="J38" s="541" t="s">
        <v>529</v>
      </c>
      <c r="K38" s="563"/>
      <c r="L38" s="249"/>
      <c r="M38" s="250"/>
      <c r="N38" s="250"/>
      <c r="O38" s="248" t="s">
        <v>328</v>
      </c>
      <c r="P38" s="249" t="s">
        <v>534</v>
      </c>
      <c r="Q38" s="250"/>
    </row>
    <row r="39" spans="1:17" ht="17.100000000000001" customHeight="1" x14ac:dyDescent="0.3">
      <c r="A39" s="548"/>
      <c r="B39" s="549">
        <f>Draft!$U$84</f>
        <v>0</v>
      </c>
      <c r="C39" s="562" t="str">
        <f>IFERROR(_xlfn.IFS(B39=O34,P34,B39=O35,P35,B39=O36,P36,B39=O37,P37,B39=O38,P38,B39=O39,P39,B39=O40,P40,B39=O41,P41,B39=O42,P42),"")</f>
        <v/>
      </c>
      <c r="D39" s="540" t="s">
        <v>523</v>
      </c>
      <c r="E39" s="574">
        <f>Draft!$X$84</f>
        <v>0</v>
      </c>
      <c r="F39" s="541" t="s">
        <v>527</v>
      </c>
      <c r="G39" s="574">
        <f>Draft!$AA$84</f>
        <v>-70736.695000000007</v>
      </c>
      <c r="H39" s="542" t="s">
        <v>528</v>
      </c>
      <c r="I39" s="575">
        <f>Draft!$AC$84</f>
        <v>-100</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-70736.695000000007</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-70736.695000000007</v>
      </c>
      <c r="H41" s="542" t="s">
        <v>528</v>
      </c>
      <c r="I41" s="575">
        <f>Draft!$AC$86</f>
        <v>-100</v>
      </c>
      <c r="J41" s="541" t="s">
        <v>529</v>
      </c>
      <c r="K41" s="563"/>
      <c r="L41" s="249"/>
      <c r="M41" s="250"/>
      <c r="N41" s="250"/>
      <c r="O41" s="75" t="s">
        <v>65</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-70736.695000000007</v>
      </c>
      <c r="H42" s="542" t="s">
        <v>528</v>
      </c>
      <c r="I42" s="575">
        <f>Draft!$AC$87</f>
        <v>-100</v>
      </c>
      <c r="J42" s="541" t="s">
        <v>529</v>
      </c>
      <c r="K42" s="563"/>
      <c r="L42" s="249"/>
      <c r="M42" s="250"/>
      <c r="N42" s="250"/>
      <c r="O42" s="75" t="s">
        <v>614</v>
      </c>
      <c r="P42" s="249" t="s">
        <v>617</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681</v>
      </c>
      <c r="D45" s="1185"/>
      <c r="E45" s="1185"/>
      <c r="F45" s="1185"/>
      <c r="G45" s="1185"/>
      <c r="H45" s="1185"/>
      <c r="I45" s="1185"/>
      <c r="J45" s="1185"/>
      <c r="K45" s="1186"/>
    </row>
    <row r="46" spans="1:17" s="691" customFormat="1" ht="18" customHeight="1" x14ac:dyDescent="0.25">
      <c r="C46" s="692" t="s">
        <v>345</v>
      </c>
      <c r="D46" s="1189" t="s">
        <v>677</v>
      </c>
      <c r="E46" s="1189"/>
      <c r="F46" s="1189" t="s">
        <v>682</v>
      </c>
      <c r="G46" s="1189"/>
      <c r="H46" s="1189" t="s">
        <v>683</v>
      </c>
      <c r="I46" s="1189"/>
      <c r="J46" s="1189" t="s">
        <v>346</v>
      </c>
      <c r="K46" s="1189"/>
    </row>
    <row r="47" spans="1:17" ht="12.75" customHeight="1" x14ac:dyDescent="0.2">
      <c r="C47" s="690">
        <v>1</v>
      </c>
      <c r="D47" s="1187">
        <v>9364.9549999999999</v>
      </c>
      <c r="E47" s="1188"/>
      <c r="F47" s="1190">
        <v>450645</v>
      </c>
      <c r="G47" s="1178"/>
      <c r="H47" s="1178" t="s">
        <v>787</v>
      </c>
      <c r="I47" s="1178"/>
      <c r="J47" s="1178" t="s">
        <v>783</v>
      </c>
      <c r="K47" s="1178"/>
    </row>
    <row r="48" spans="1:17" ht="12.75" customHeight="1" x14ac:dyDescent="0.2">
      <c r="C48" s="690">
        <v>2</v>
      </c>
      <c r="D48" s="1178">
        <v>10117.174999999999</v>
      </c>
      <c r="E48" s="1178"/>
      <c r="F48" s="1190">
        <v>526814</v>
      </c>
      <c r="G48" s="1178"/>
      <c r="H48" s="1178" t="s">
        <v>788</v>
      </c>
      <c r="I48" s="1178"/>
      <c r="J48" s="1178" t="s">
        <v>783</v>
      </c>
      <c r="K48" s="1178"/>
    </row>
    <row r="49" spans="3:11" ht="12.75" customHeight="1" x14ac:dyDescent="0.2">
      <c r="C49" s="690">
        <v>3</v>
      </c>
      <c r="D49" s="1178">
        <v>10655.745000000001</v>
      </c>
      <c r="E49" s="1178"/>
      <c r="F49" s="1190">
        <v>507440</v>
      </c>
      <c r="G49" s="1178"/>
      <c r="H49" s="1178" t="s">
        <v>787</v>
      </c>
      <c r="I49" s="1178"/>
      <c r="J49" s="1178" t="s">
        <v>783</v>
      </c>
      <c r="K49" s="1178"/>
    </row>
    <row r="50" spans="3:11" ht="12.75" customHeight="1" x14ac:dyDescent="0.2">
      <c r="C50" s="690">
        <v>4</v>
      </c>
      <c r="D50" s="1178">
        <v>10132.844999999999</v>
      </c>
      <c r="E50" s="1178"/>
      <c r="F50" s="1190">
        <v>483336</v>
      </c>
      <c r="G50" s="1178"/>
      <c r="H50" s="1178" t="s">
        <v>787</v>
      </c>
      <c r="I50" s="1178"/>
      <c r="J50" s="1178" t="s">
        <v>783</v>
      </c>
      <c r="K50" s="1178"/>
    </row>
    <row r="51" spans="3:11" ht="12.75" customHeight="1" x14ac:dyDescent="0.2">
      <c r="C51" s="690">
        <v>5</v>
      </c>
      <c r="D51" s="1178">
        <v>10694.3</v>
      </c>
      <c r="E51" s="1178"/>
      <c r="F51" s="1190">
        <v>506840</v>
      </c>
      <c r="G51" s="1178"/>
      <c r="H51" s="1178" t="s">
        <v>787</v>
      </c>
      <c r="I51" s="1178"/>
      <c r="J51" s="1178" t="s">
        <v>783</v>
      </c>
      <c r="K51" s="1178"/>
    </row>
    <row r="52" spans="3:11" ht="12.75" customHeight="1" x14ac:dyDescent="0.2">
      <c r="C52" s="690">
        <v>6</v>
      </c>
      <c r="D52" s="1178">
        <v>11105.32</v>
      </c>
      <c r="E52" s="1178"/>
      <c r="F52" s="1190">
        <v>528048</v>
      </c>
      <c r="G52" s="1178"/>
      <c r="H52" s="1178" t="s">
        <v>787</v>
      </c>
      <c r="I52" s="1178"/>
      <c r="J52" s="1178" t="s">
        <v>783</v>
      </c>
      <c r="K52" s="1178"/>
    </row>
    <row r="53" spans="3:11" ht="12.75" customHeight="1" x14ac:dyDescent="0.2">
      <c r="C53" s="690">
        <v>7</v>
      </c>
      <c r="D53" s="1178">
        <v>8666.3549999999996</v>
      </c>
      <c r="E53" s="1178"/>
      <c r="F53" s="1190">
        <v>449300</v>
      </c>
      <c r="G53" s="1178"/>
      <c r="H53" s="1178" t="s">
        <v>788</v>
      </c>
      <c r="I53" s="1178"/>
      <c r="J53" s="1178" t="s">
        <v>783</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D52:E52"/>
    <mergeCell ref="C16:K16"/>
    <mergeCell ref="G19:K19"/>
    <mergeCell ref="G20:K20"/>
    <mergeCell ref="C45:K45"/>
    <mergeCell ref="H52:I52"/>
    <mergeCell ref="D47:E47"/>
    <mergeCell ref="D48:E48"/>
    <mergeCell ref="D49:E49"/>
    <mergeCell ref="D50:E50"/>
    <mergeCell ref="D51:E51"/>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537</v>
      </c>
      <c r="C8" s="1191"/>
      <c r="D8" s="1191"/>
      <c r="E8" s="1191"/>
    </row>
    <row r="9" spans="2:7" ht="15" x14ac:dyDescent="0.25">
      <c r="B9" s="251" t="s">
        <v>538</v>
      </c>
      <c r="C9" s="251" t="s">
        <v>539</v>
      </c>
      <c r="D9" s="251" t="s">
        <v>540</v>
      </c>
      <c r="E9" s="251" t="s">
        <v>541</v>
      </c>
    </row>
    <row r="10" spans="2:7" x14ac:dyDescent="0.2">
      <c r="B10" s="252" t="str">
        <f>'DADOS E-MAIL '!$C$36</f>
        <v>Standard Brazil</v>
      </c>
      <c r="C10" s="253">
        <f>'DADOS E-MAIL '!$E$36</f>
        <v>70761.046875879998</v>
      </c>
      <c r="D10" s="254">
        <f>C10-$G$10</f>
        <v>24.351875879990985</v>
      </c>
      <c r="E10" s="255">
        <f>$D$10/$G$10*100</f>
        <v>3.4426086601856337E-2</v>
      </c>
      <c r="G10" s="246">
        <f>'DADOS E-MAIL '!$E$34</f>
        <v>70736.695000000007</v>
      </c>
    </row>
    <row r="11" spans="2:7" x14ac:dyDescent="0.2">
      <c r="B11" s="252" t="str">
        <f>'DADOS E-MAIL '!$C$37</f>
        <v>Comando do navio:</v>
      </c>
      <c r="C11" s="253">
        <f>'DADOS E-MAIL '!$E$37</f>
        <v>70750.23</v>
      </c>
      <c r="D11" s="254">
        <f>C11-$G$11</f>
        <v>13.534999999988941</v>
      </c>
      <c r="E11" s="255">
        <f>$D$11/$G$11*100</f>
        <v>1.9134340387247296E-2</v>
      </c>
      <c r="G11" s="246">
        <f>'DADOS E-MAIL '!$E$34</f>
        <v>70736.695000000007</v>
      </c>
    </row>
    <row r="12" spans="2:7" x14ac:dyDescent="0.2">
      <c r="B12" s="252" t="str">
        <f>'DADOS E-MAIL '!$C$38</f>
        <v>Receita Federal:</v>
      </c>
      <c r="C12" s="253">
        <f>'DADOS E-MAIL '!$E$38</f>
        <v>70750.547000000006</v>
      </c>
      <c r="D12" s="254">
        <f>C12-$G$12</f>
        <v>13.851999999998952</v>
      </c>
      <c r="E12" s="255">
        <f>$D$12/$G$12*100</f>
        <v>1.9582481200173335E-2</v>
      </c>
      <c r="G12" s="246">
        <f>'DADOS E-MAIL '!$E$34</f>
        <v>70736.695000000007</v>
      </c>
    </row>
    <row r="14" spans="2:7" x14ac:dyDescent="0.2">
      <c r="B14" s="1191" t="s">
        <v>290</v>
      </c>
      <c r="C14" s="1191"/>
      <c r="D14" s="1191"/>
      <c r="E14" s="1191"/>
    </row>
    <row r="15" spans="2:7" ht="15" x14ac:dyDescent="0.25">
      <c r="B15" s="251" t="s">
        <v>538</v>
      </c>
      <c r="C15" s="251" t="s">
        <v>539</v>
      </c>
      <c r="D15" s="251" t="s">
        <v>540</v>
      </c>
      <c r="E15" s="251" t="s">
        <v>541</v>
      </c>
    </row>
    <row r="16" spans="2:7" x14ac:dyDescent="0.2">
      <c r="B16" s="252" t="str">
        <f>'DADOS E-MAIL '!$C$36</f>
        <v>Standard Brazil</v>
      </c>
      <c r="C16" s="253">
        <f>Draft!$AF$77</f>
        <v>70761.046875879998</v>
      </c>
      <c r="D16" s="254">
        <f>$C$16-$G$16</f>
        <v>24.351875879990985</v>
      </c>
      <c r="E16" s="255">
        <f>$D$16/$G$16*100</f>
        <v>3.4426086601856337E-2</v>
      </c>
      <c r="G16" s="246">
        <f>'DADOS E-MAIL '!$E$34</f>
        <v>70736.695000000007</v>
      </c>
    </row>
    <row r="17" spans="2:7" x14ac:dyDescent="0.2">
      <c r="B17" s="252" t="str">
        <f>'DADOS E-MAIL '!$C$37</f>
        <v>Comando do navio:</v>
      </c>
      <c r="C17" s="253">
        <f>'DADOS E-MAIL '!$E$37</f>
        <v>70750.23</v>
      </c>
      <c r="D17" s="254">
        <f>C17-$G$11</f>
        <v>13.534999999988941</v>
      </c>
      <c r="E17" s="255">
        <f>$D$11/$G$11*100</f>
        <v>1.9134340387247296E-2</v>
      </c>
      <c r="G17" s="246">
        <f>'DADOS E-MAIL '!$E$34</f>
        <v>70736.695000000007</v>
      </c>
    </row>
    <row r="18" spans="2:7" x14ac:dyDescent="0.2">
      <c r="B18" s="252" t="str">
        <f>'DADOS E-MAIL '!$C$38</f>
        <v>Receita Federal:</v>
      </c>
      <c r="C18" s="253">
        <f>'DADOS E-MAIL '!$E$38</f>
        <v>70750.547000000006</v>
      </c>
      <c r="D18" s="254">
        <f>C18-$G$12</f>
        <v>13.851999999998952</v>
      </c>
      <c r="E18" s="255">
        <f>$D$12/$G$12*100</f>
        <v>1.9582481200173335E-2</v>
      </c>
      <c r="G18" s="246">
        <f>'DADOS E-MAIL '!$E$34</f>
        <v>70736.695000000007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81" zoomScaleNormal="100" zoomScaleSheetLayoutView="100" workbookViewId="0">
      <selection sqref="A1:U9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8" t="str">
        <f>(_xlfn.CONCAT("MV ",CAPA!B8))</f>
        <v>MV Stella Navis</v>
      </c>
      <c r="I2" s="1248"/>
      <c r="J2" s="1248"/>
      <c r="K2" s="1248"/>
      <c r="L2" s="1248"/>
      <c r="M2" s="1248"/>
      <c r="N2" s="1248"/>
      <c r="O2" s="1248"/>
      <c r="P2" s="309"/>
      <c r="Q2" s="309"/>
      <c r="R2" s="1249" t="s">
        <v>673</v>
      </c>
      <c r="S2" s="1249"/>
      <c r="T2" s="1249"/>
      <c r="U2" s="1249"/>
      <c r="V2" s="309"/>
    </row>
    <row r="3" spans="1:22" x14ac:dyDescent="0.25">
      <c r="A3" s="309"/>
      <c r="B3" s="309"/>
      <c r="C3" s="309"/>
      <c r="D3" s="309"/>
      <c r="E3" s="309"/>
      <c r="F3" s="309"/>
      <c r="G3" s="309"/>
      <c r="H3" s="1248"/>
      <c r="I3" s="1248"/>
      <c r="J3" s="1248"/>
      <c r="K3" s="1248"/>
      <c r="L3" s="1248"/>
      <c r="M3" s="1248"/>
      <c r="N3" s="1248"/>
      <c r="O3" s="1248"/>
      <c r="P3" s="309"/>
      <c r="Q3" s="309"/>
      <c r="R3" s="1250">
        <f>Draft!Z78</f>
        <v>70736.695000000007</v>
      </c>
      <c r="S3" s="1250"/>
      <c r="T3" s="1250"/>
      <c r="U3" s="1250"/>
      <c r="V3" s="309"/>
    </row>
    <row r="4" spans="1:22" x14ac:dyDescent="0.25">
      <c r="A4" s="309"/>
      <c r="B4" s="309"/>
      <c r="C4" s="309"/>
      <c r="D4" s="309"/>
      <c r="E4" s="309"/>
      <c r="F4" s="309"/>
      <c r="G4" s="309"/>
      <c r="H4" s="309"/>
      <c r="I4" s="309"/>
      <c r="J4" s="309"/>
      <c r="K4" s="309"/>
      <c r="L4" s="309"/>
      <c r="M4" s="309"/>
      <c r="N4" s="309"/>
      <c r="O4" s="309"/>
      <c r="P4" s="309"/>
      <c r="Q4" s="309"/>
      <c r="R4" s="1249"/>
      <c r="S4" s="1249"/>
      <c r="T4" s="1249"/>
      <c r="U4" s="1249"/>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1" t="s">
        <v>672</v>
      </c>
      <c r="I6" s="1251"/>
      <c r="J6" s="1251"/>
      <c r="K6" s="1252"/>
      <c r="L6" s="1253" t="s">
        <v>671</v>
      </c>
      <c r="M6" s="1251"/>
      <c r="N6" s="1251"/>
      <c r="O6" s="125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4" t="s">
        <v>670</v>
      </c>
      <c r="D10" s="1254"/>
      <c r="E10" s="1254"/>
      <c r="F10" s="1254"/>
      <c r="G10" s="1254"/>
      <c r="H10" s="1254"/>
      <c r="I10" s="1254"/>
      <c r="J10" s="1254"/>
      <c r="K10" s="1254"/>
      <c r="L10" s="1254"/>
      <c r="M10" s="1254"/>
      <c r="N10" s="1254"/>
      <c r="O10" s="1254"/>
      <c r="P10" s="1254"/>
      <c r="Q10" s="1254"/>
      <c r="R10" s="1254"/>
      <c r="S10" s="1254"/>
      <c r="T10" s="1254"/>
      <c r="U10" s="309"/>
      <c r="V10" s="309"/>
    </row>
    <row r="11" spans="1:22" ht="15" customHeight="1" x14ac:dyDescent="0.25">
      <c r="A11" s="309"/>
      <c r="B11" s="309"/>
      <c r="C11" s="1254"/>
      <c r="D11" s="1254"/>
      <c r="E11" s="1254"/>
      <c r="F11" s="1254"/>
      <c r="G11" s="1254"/>
      <c r="H11" s="1254"/>
      <c r="I11" s="1254"/>
      <c r="J11" s="1254"/>
      <c r="K11" s="1254"/>
      <c r="L11" s="1254"/>
      <c r="M11" s="1254"/>
      <c r="N11" s="1254"/>
      <c r="O11" s="1254"/>
      <c r="P11" s="1254"/>
      <c r="Q11" s="1254"/>
      <c r="R11" s="1254"/>
      <c r="S11" s="1254"/>
      <c r="T11" s="1254"/>
      <c r="U11" s="309"/>
      <c r="V11" s="309"/>
    </row>
    <row r="12" spans="1:22" ht="15" customHeight="1" x14ac:dyDescent="0.25">
      <c r="A12" s="309"/>
      <c r="B12" s="309"/>
      <c r="C12" s="1254"/>
      <c r="D12" s="1254"/>
      <c r="E12" s="1254"/>
      <c r="F12" s="1254"/>
      <c r="G12" s="1254"/>
      <c r="H12" s="1254"/>
      <c r="I12" s="1254"/>
      <c r="J12" s="1254"/>
      <c r="K12" s="1254"/>
      <c r="L12" s="1254"/>
      <c r="M12" s="1254"/>
      <c r="N12" s="1254"/>
      <c r="O12" s="1254"/>
      <c r="P12" s="1254"/>
      <c r="Q12" s="1254"/>
      <c r="R12" s="1254"/>
      <c r="S12" s="1254"/>
      <c r="T12" s="1254"/>
      <c r="U12" s="309"/>
      <c r="V12" s="309"/>
    </row>
    <row r="13" spans="1:22" ht="18" customHeight="1" x14ac:dyDescent="0.25">
      <c r="A13" s="309"/>
      <c r="B13" s="309"/>
      <c r="C13" s="1254"/>
      <c r="D13" s="1254"/>
      <c r="E13" s="1254"/>
      <c r="F13" s="1254"/>
      <c r="G13" s="1254"/>
      <c r="H13" s="1254"/>
      <c r="I13" s="1254"/>
      <c r="J13" s="1254"/>
      <c r="K13" s="1254"/>
      <c r="L13" s="1254"/>
      <c r="M13" s="1254"/>
      <c r="N13" s="1254"/>
      <c r="O13" s="1254"/>
      <c r="P13" s="1254"/>
      <c r="Q13" s="1254"/>
      <c r="R13" s="1254"/>
      <c r="S13" s="1254"/>
      <c r="T13" s="1254"/>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1" t="s">
        <v>669</v>
      </c>
      <c r="C18" s="1231"/>
      <c r="D18" s="1231"/>
      <c r="E18" s="1231"/>
      <c r="F18" s="1231"/>
      <c r="G18" s="1231"/>
      <c r="H18" s="1231"/>
      <c r="I18" s="1231"/>
      <c r="J18" s="1231"/>
      <c r="K18" s="309"/>
      <c r="L18" s="683"/>
      <c r="M18" s="1231" t="s">
        <v>668</v>
      </c>
      <c r="N18" s="1231"/>
      <c r="O18" s="1231"/>
      <c r="P18" s="1231"/>
      <c r="Q18" s="1231"/>
      <c r="R18" s="1231"/>
      <c r="S18" s="1231"/>
      <c r="T18" s="1231"/>
      <c r="U18" s="1231"/>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5" t="s">
        <v>667</v>
      </c>
      <c r="C20" s="1255"/>
      <c r="D20" s="1255" t="s">
        <v>666</v>
      </c>
      <c r="E20" s="1255"/>
      <c r="F20" s="1255" t="s">
        <v>665</v>
      </c>
      <c r="G20" s="1255"/>
      <c r="H20" s="1255"/>
      <c r="I20" s="1255"/>
      <c r="J20" s="1255"/>
      <c r="K20" s="309"/>
      <c r="L20" s="309"/>
      <c r="M20" s="1255" t="s">
        <v>667</v>
      </c>
      <c r="N20" s="1255"/>
      <c r="O20" s="1255" t="s">
        <v>666</v>
      </c>
      <c r="P20" s="1255"/>
      <c r="Q20" s="1255" t="s">
        <v>665</v>
      </c>
      <c r="R20" s="1255"/>
      <c r="S20" s="1255"/>
      <c r="T20" s="1255"/>
      <c r="U20" s="1255"/>
      <c r="V20" s="309"/>
    </row>
    <row r="21" spans="1:22" x14ac:dyDescent="0.25">
      <c r="A21" s="309"/>
      <c r="B21" s="1245"/>
      <c r="C21" s="1246"/>
      <c r="D21" s="1246"/>
      <c r="E21" s="1246"/>
      <c r="F21" s="1247"/>
      <c r="G21" s="1247"/>
      <c r="H21" s="1247"/>
      <c r="I21" s="1247"/>
      <c r="J21" s="1247"/>
      <c r="K21" s="309"/>
      <c r="L21" s="309"/>
      <c r="M21" s="1245"/>
      <c r="N21" s="1246"/>
      <c r="O21" s="1246"/>
      <c r="P21" s="1246"/>
      <c r="Q21" s="1247"/>
      <c r="R21" s="1247"/>
      <c r="S21" s="1247"/>
      <c r="T21" s="1247"/>
      <c r="U21" s="1247"/>
      <c r="V21" s="309"/>
    </row>
    <row r="22" spans="1:22" ht="15.75" x14ac:dyDescent="0.25">
      <c r="A22" s="309"/>
      <c r="B22" s="1241">
        <f>Draft!E4</f>
        <v>46079</v>
      </c>
      <c r="C22" s="1242"/>
      <c r="D22" s="1243" t="str">
        <f>_xlfn.CONCAT(TEXT(Draft!O4,"hh:mm")," - ",TEXT(Draft!O6,"hh:mm")," h")</f>
        <v>09:00 - 11:30 h</v>
      </c>
      <c r="E22" s="1242"/>
      <c r="F22" s="1244" t="s">
        <v>664</v>
      </c>
      <c r="G22" s="1244"/>
      <c r="H22" s="1244"/>
      <c r="I22" s="1244"/>
      <c r="J22" s="1244"/>
      <c r="K22" s="697"/>
      <c r="L22" s="697"/>
      <c r="M22" s="1241">
        <v>46081</v>
      </c>
      <c r="N22" s="1242"/>
      <c r="O22" s="1243">
        <v>0.64930555555555558</v>
      </c>
      <c r="P22" s="1242"/>
      <c r="Q22" s="1244" t="s">
        <v>663</v>
      </c>
      <c r="R22" s="1244"/>
      <c r="S22" s="1244"/>
      <c r="T22" s="1244"/>
      <c r="U22" s="1244"/>
      <c r="V22" s="309"/>
    </row>
    <row r="23" spans="1:22" ht="15.75" x14ac:dyDescent="0.25">
      <c r="A23" s="309"/>
      <c r="B23" s="1241">
        <f>Draft!X4</f>
        <v>46083</v>
      </c>
      <c r="C23" s="1242"/>
      <c r="D23" s="1243" t="str">
        <f>_xlfn.CONCAT(TEXT(Draft!AH4,"hh:mm")," - ",TEXT(Draft!AH6,"hh:mm")," h")</f>
        <v>19:50 - 22:00 h</v>
      </c>
      <c r="E23" s="1242"/>
      <c r="F23" s="1244" t="s">
        <v>662</v>
      </c>
      <c r="G23" s="1244"/>
      <c r="H23" s="1244"/>
      <c r="I23" s="1244"/>
      <c r="J23" s="1244"/>
      <c r="K23" s="697"/>
      <c r="L23" s="697"/>
      <c r="M23" s="1241">
        <v>46083</v>
      </c>
      <c r="N23" s="1242"/>
      <c r="O23" s="1243">
        <v>0.81597222222222221</v>
      </c>
      <c r="P23" s="1242"/>
      <c r="Q23" s="1244" t="s">
        <v>661</v>
      </c>
      <c r="R23" s="1244"/>
      <c r="S23" s="1244"/>
      <c r="T23" s="1244"/>
      <c r="U23" s="1244"/>
      <c r="V23" s="309"/>
    </row>
    <row r="24" spans="1:22" x14ac:dyDescent="0.25">
      <c r="A24" s="309"/>
      <c r="B24" s="1235"/>
      <c r="C24" s="1236"/>
      <c r="D24" s="1237"/>
      <c r="E24" s="1236"/>
      <c r="F24" s="1238"/>
      <c r="G24" s="1238"/>
      <c r="H24" s="1238"/>
      <c r="I24" s="1238"/>
      <c r="J24" s="1238"/>
      <c r="K24" s="309"/>
      <c r="L24" s="309"/>
      <c r="M24" s="1235"/>
      <c r="N24" s="1236"/>
      <c r="O24" s="1237"/>
      <c r="P24" s="1236"/>
      <c r="Q24" s="1238"/>
      <c r="R24" s="1238"/>
      <c r="S24" s="1238"/>
      <c r="T24" s="1238"/>
      <c r="U24" s="1238"/>
      <c r="V24" s="309"/>
    </row>
    <row r="25" spans="1:22" x14ac:dyDescent="0.25">
      <c r="A25" s="309"/>
      <c r="B25" s="1235"/>
      <c r="C25" s="1236"/>
      <c r="D25" s="1237"/>
      <c r="E25" s="1236"/>
      <c r="F25" s="1238"/>
      <c r="G25" s="1238"/>
      <c r="H25" s="1238"/>
      <c r="I25" s="1238"/>
      <c r="J25" s="1238"/>
      <c r="K25" s="309"/>
      <c r="L25" s="309"/>
      <c r="M25" s="1235"/>
      <c r="N25" s="1236"/>
      <c r="O25" s="1237"/>
      <c r="P25" s="1236"/>
      <c r="Q25" s="1238"/>
      <c r="R25" s="1238"/>
      <c r="S25" s="1238"/>
      <c r="T25" s="1238"/>
      <c r="U25" s="123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1" t="s">
        <v>660</v>
      </c>
      <c r="E29" s="1231"/>
      <c r="F29" s="1231"/>
      <c r="G29" s="1231"/>
      <c r="H29" s="1231"/>
      <c r="I29" s="1231"/>
      <c r="J29" s="1231"/>
      <c r="K29" s="1231"/>
      <c r="L29" s="1231"/>
      <c r="M29" s="1231"/>
      <c r="N29" s="1231"/>
      <c r="O29" s="1231"/>
      <c r="P29" s="1231"/>
      <c r="Q29" s="1231"/>
      <c r="R29" s="1231"/>
      <c r="S29" s="1231"/>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3"/>
      <c r="M31" s="685"/>
      <c r="N31" s="685"/>
      <c r="O31" s="685"/>
      <c r="P31" s="685"/>
      <c r="Q31" s="685"/>
      <c r="R31" s="685"/>
      <c r="S31" s="685"/>
      <c r="T31" s="685"/>
      <c r="U31" s="685"/>
      <c r="V31" s="309"/>
    </row>
    <row r="32" spans="1:22" ht="28.5" x14ac:dyDescent="0.25">
      <c r="A32" s="309"/>
      <c r="B32" s="685"/>
      <c r="C32" s="685"/>
      <c r="D32" s="685"/>
      <c r="E32" s="685"/>
      <c r="F32" s="685"/>
      <c r="G32" s="1239">
        <f>H69</f>
        <v>70736.695000000007</v>
      </c>
      <c r="H32" s="1240"/>
      <c r="I32" s="1240"/>
      <c r="J32" s="1240"/>
      <c r="K32" s="1240"/>
      <c r="L32" s="1240"/>
      <c r="M32" s="1240"/>
      <c r="N32" s="1240"/>
      <c r="O32" s="1240"/>
      <c r="P32" s="1240"/>
      <c r="Q32" s="1240"/>
      <c r="R32" s="1240"/>
      <c r="S32" s="685"/>
      <c r="T32" s="685"/>
      <c r="U32" s="685"/>
      <c r="V32" s="309"/>
    </row>
    <row r="33" spans="1:22" ht="18.75" x14ac:dyDescent="0.3">
      <c r="A33" s="309"/>
      <c r="B33" s="686"/>
      <c r="C33" s="682"/>
      <c r="D33" s="699"/>
      <c r="E33" s="701"/>
      <c r="F33" s="701"/>
      <c r="G33" s="1211" t="s">
        <v>621</v>
      </c>
      <c r="H33" s="1212"/>
      <c r="I33" s="1212"/>
      <c r="J33" s="1212"/>
      <c r="K33" s="1213" t="s">
        <v>659</v>
      </c>
      <c r="L33" s="1214"/>
      <c r="M33" s="1214"/>
      <c r="N33" s="1214"/>
      <c r="O33" s="1213" t="s">
        <v>659</v>
      </c>
      <c r="P33" s="1214"/>
      <c r="Q33" s="1214"/>
      <c r="R33" s="1214"/>
      <c r="S33" s="682"/>
      <c r="T33" s="682"/>
      <c r="U33" s="686"/>
      <c r="V33" s="309"/>
    </row>
    <row r="34" spans="1:22" ht="18.75" x14ac:dyDescent="0.3">
      <c r="A34" s="309"/>
      <c r="B34" s="309"/>
      <c r="C34" s="682"/>
      <c r="D34" s="700" t="s">
        <v>658</v>
      </c>
      <c r="E34" s="700"/>
      <c r="F34" s="700"/>
      <c r="G34" s="1211" t="s">
        <v>657</v>
      </c>
      <c r="H34" s="1212"/>
      <c r="I34" s="1212"/>
      <c r="J34" s="1212"/>
      <c r="K34" s="1211" t="s">
        <v>657</v>
      </c>
      <c r="L34" s="1212"/>
      <c r="M34" s="1212"/>
      <c r="N34" s="1212"/>
      <c r="O34" s="1213" t="s">
        <v>656</v>
      </c>
      <c r="P34" s="1214"/>
      <c r="Q34" s="1214"/>
      <c r="R34" s="1214"/>
      <c r="S34" s="1229"/>
      <c r="T34" s="1229"/>
      <c r="U34" s="309"/>
      <c r="V34" s="309"/>
    </row>
    <row r="35" spans="1:22" ht="18.75" x14ac:dyDescent="0.3">
      <c r="A35" s="309"/>
      <c r="B35" s="309"/>
      <c r="C35" s="698"/>
      <c r="D35" s="699" t="str">
        <f>'DADOS E-MAIL '!C36</f>
        <v>Standard Brazil</v>
      </c>
      <c r="E35" s="701"/>
      <c r="F35" s="701"/>
      <c r="G35" s="1204">
        <f>'DADOS E-MAIL '!E36</f>
        <v>70761.046875879998</v>
      </c>
      <c r="H35" s="1205"/>
      <c r="I35" s="1205"/>
      <c r="J35" s="1205"/>
      <c r="K35" s="1206">
        <f>'DADOS E-MAIL '!G36</f>
        <v>24.351875879990985</v>
      </c>
      <c r="L35" s="1207"/>
      <c r="M35" s="1207"/>
      <c r="N35" s="1208"/>
      <c r="O35" s="1209">
        <f>IFERROR('DADOS E-MAIL '!I36,"")</f>
        <v>3.4426086601856337E-2</v>
      </c>
      <c r="P35" s="1210"/>
      <c r="Q35" s="1210"/>
      <c r="R35" s="1210"/>
      <c r="S35" s="1228"/>
      <c r="T35" s="1228"/>
      <c r="U35" s="309"/>
      <c r="V35" s="309"/>
    </row>
    <row r="36" spans="1:22" ht="18.75" x14ac:dyDescent="0.3">
      <c r="A36" s="309"/>
      <c r="B36" s="309"/>
      <c r="C36" s="698"/>
      <c r="D36" s="699" t="str">
        <f>'DADOS E-MAIL '!C37</f>
        <v>Comando do navio:</v>
      </c>
      <c r="E36" s="701"/>
      <c r="F36" s="701"/>
      <c r="G36" s="1204">
        <f>'DADOS E-MAIL '!E37</f>
        <v>70750.23</v>
      </c>
      <c r="H36" s="1205"/>
      <c r="I36" s="1205"/>
      <c r="J36" s="1205"/>
      <c r="K36" s="1206">
        <f>'DADOS E-MAIL '!G37</f>
        <v>13.534999999988941</v>
      </c>
      <c r="L36" s="1207"/>
      <c r="M36" s="1207"/>
      <c r="N36" s="1208"/>
      <c r="O36" s="1209">
        <f>IFERROR('DADOS E-MAIL '!I37,"")</f>
        <v>1.9134340387247296E-2</v>
      </c>
      <c r="P36" s="1210"/>
      <c r="Q36" s="1210"/>
      <c r="R36" s="1210"/>
      <c r="S36" s="1228"/>
      <c r="T36" s="1228"/>
      <c r="U36" s="309"/>
      <c r="V36" s="309"/>
    </row>
    <row r="37" spans="1:22" ht="18.75" x14ac:dyDescent="0.3">
      <c r="A37" s="309"/>
      <c r="B37" s="309"/>
      <c r="C37" s="698"/>
      <c r="D37" s="699" t="str">
        <f>'DADOS E-MAIL '!C38</f>
        <v>Receita Federal:</v>
      </c>
      <c r="E37" s="701"/>
      <c r="F37" s="701"/>
      <c r="G37" s="1204">
        <f>'DADOS E-MAIL '!E38</f>
        <v>70750.547000000006</v>
      </c>
      <c r="H37" s="1205"/>
      <c r="I37" s="1205"/>
      <c r="J37" s="1205"/>
      <c r="K37" s="1206">
        <f>'DADOS E-MAIL '!G38</f>
        <v>13.851999999998952</v>
      </c>
      <c r="L37" s="1207"/>
      <c r="M37" s="1207"/>
      <c r="N37" s="1208"/>
      <c r="O37" s="1209">
        <f>IFERROR('DADOS E-MAIL '!I38,"")</f>
        <v>1.9582481200173335E-2</v>
      </c>
      <c r="P37" s="1210"/>
      <c r="Q37" s="1210"/>
      <c r="R37" s="1210"/>
      <c r="S37" s="1228"/>
      <c r="T37" s="1228"/>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31" t="s">
        <v>620</v>
      </c>
      <c r="E40" s="1231"/>
      <c r="F40" s="1231"/>
      <c r="G40" s="1231"/>
      <c r="H40" s="1231"/>
      <c r="I40" s="1231"/>
      <c r="J40" s="1231"/>
      <c r="K40" s="1231"/>
      <c r="L40" s="1231"/>
      <c r="M40" s="1231"/>
      <c r="N40" s="1231"/>
      <c r="O40" s="1231"/>
      <c r="P40" s="1231"/>
      <c r="Q40" s="1231"/>
      <c r="R40" s="1231"/>
      <c r="S40" s="1231"/>
      <c r="T40" s="683"/>
      <c r="U40" s="309"/>
      <c r="V40" s="309"/>
    </row>
    <row r="41" spans="1:22" x14ac:dyDescent="0.25">
      <c r="A41" s="309"/>
      <c r="B41" s="309"/>
      <c r="C41" s="309"/>
      <c r="D41" s="685"/>
      <c r="E41" s="685"/>
      <c r="F41" s="685"/>
      <c r="G41" s="685"/>
      <c r="H41" s="685"/>
      <c r="I41" s="685"/>
      <c r="J41" s="685"/>
      <c r="K41" s="685"/>
      <c r="L41" s="685"/>
      <c r="M41" s="685"/>
      <c r="N41" s="685"/>
      <c r="O41" s="685"/>
      <c r="P41" s="685"/>
      <c r="Q41" s="685"/>
      <c r="R41" s="685"/>
      <c r="S41" s="685"/>
      <c r="T41" s="683"/>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3"/>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0"/>
      <c r="D60" s="1230"/>
      <c r="E60" s="1230"/>
      <c r="F60" s="1230"/>
      <c r="G60" s="1230"/>
      <c r="H60" s="1230"/>
      <c r="I60" s="1230"/>
      <c r="J60" s="1230"/>
      <c r="K60" s="683"/>
      <c r="L60" s="683"/>
      <c r="M60" s="1230"/>
      <c r="N60" s="1230"/>
      <c r="O60" s="1230"/>
      <c r="P60" s="1230"/>
      <c r="Q60" s="1230"/>
      <c r="R60" s="1230"/>
      <c r="S60" s="1230"/>
      <c r="T60" s="1230"/>
      <c r="U60" s="309"/>
      <c r="V60" s="309"/>
    </row>
    <row r="61" spans="1:22" x14ac:dyDescent="0.25">
      <c r="A61" s="309"/>
      <c r="B61" s="309"/>
      <c r="C61" s="1229"/>
      <c r="D61" s="1229"/>
      <c r="E61" s="1229"/>
      <c r="F61" s="1229"/>
      <c r="G61" s="1229"/>
      <c r="H61" s="1229"/>
      <c r="I61" s="1229"/>
      <c r="J61" s="1229"/>
      <c r="K61" s="682"/>
      <c r="L61" s="682"/>
      <c r="M61" s="1229"/>
      <c r="N61" s="1229"/>
      <c r="O61" s="1229"/>
      <c r="P61" s="1229"/>
      <c r="Q61" s="1229"/>
      <c r="R61" s="1229"/>
      <c r="S61" s="1229"/>
      <c r="T61" s="1229"/>
      <c r="U61" s="309"/>
      <c r="V61" s="309"/>
    </row>
    <row r="62" spans="1:22" x14ac:dyDescent="0.25">
      <c r="A62" s="309"/>
      <c r="B62" s="309"/>
      <c r="C62" s="1234"/>
      <c r="D62" s="1234"/>
      <c r="E62" s="1234"/>
      <c r="F62" s="1234"/>
      <c r="G62" s="1234"/>
      <c r="H62" s="1234"/>
      <c r="I62" s="1234"/>
      <c r="J62" s="1234"/>
      <c r="K62" s="309"/>
      <c r="L62" s="309"/>
      <c r="M62" s="309"/>
      <c r="N62" s="309"/>
      <c r="O62" s="309"/>
      <c r="P62" s="309"/>
      <c r="Q62" s="309"/>
      <c r="R62" s="309"/>
      <c r="S62" s="309"/>
      <c r="T62" s="309"/>
      <c r="U62" s="309"/>
      <c r="V62" s="309"/>
    </row>
    <row r="63" spans="1:22" x14ac:dyDescent="0.25">
      <c r="A63" s="309"/>
      <c r="B63" s="309"/>
      <c r="C63" s="309"/>
      <c r="D63" s="1231" t="s">
        <v>655</v>
      </c>
      <c r="E63" s="1231"/>
      <c r="F63" s="1231"/>
      <c r="G63" s="1231"/>
      <c r="H63" s="1231"/>
      <c r="I63" s="1231"/>
      <c r="J63" s="1231"/>
      <c r="K63" s="1231"/>
      <c r="L63" s="1231"/>
      <c r="M63" s="1231"/>
      <c r="N63" s="1231"/>
      <c r="O63" s="1231"/>
      <c r="P63" s="1231"/>
      <c r="Q63" s="1231"/>
      <c r="R63" s="1231"/>
      <c r="S63" s="1231"/>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92" t="s">
        <v>685</v>
      </c>
      <c r="G65" s="1192"/>
      <c r="H65" s="1192"/>
      <c r="I65" s="705"/>
      <c r="J65" s="705"/>
      <c r="K65" s="705"/>
      <c r="L65" s="705"/>
      <c r="M65" s="705"/>
      <c r="N65" s="705"/>
      <c r="O65" s="706" t="s">
        <v>686</v>
      </c>
      <c r="P65" s="706"/>
      <c r="Q65" s="706"/>
      <c r="R65" s="309"/>
      <c r="S65" s="309"/>
      <c r="T65" s="309"/>
      <c r="U65" s="309"/>
      <c r="V65" s="309"/>
    </row>
    <row r="66" spans="1:22" ht="18.75" x14ac:dyDescent="0.3">
      <c r="A66" s="309"/>
      <c r="B66" s="309"/>
      <c r="C66" s="309"/>
      <c r="D66" s="309"/>
      <c r="E66" s="309"/>
      <c r="F66" s="1193" t="str">
        <f>Draft!E5</f>
        <v>Paranaguá, Br - Brazil</v>
      </c>
      <c r="G66" s="1193"/>
      <c r="H66" s="1193"/>
      <c r="I66" s="704"/>
      <c r="J66" s="704"/>
      <c r="K66" s="704"/>
      <c r="L66" s="704"/>
      <c r="M66" s="704"/>
      <c r="N66" s="704"/>
      <c r="O66" s="1193" t="str">
        <f>CAPA!B38</f>
        <v>One China Port</v>
      </c>
      <c r="P66" s="1193"/>
      <c r="Q66" s="1193"/>
      <c r="R66" s="309"/>
      <c r="S66" s="309"/>
      <c r="T66" s="309"/>
      <c r="U66" s="309"/>
      <c r="V66" s="309"/>
    </row>
    <row r="67" spans="1:22" ht="15" customHeight="1" x14ac:dyDescent="0.25">
      <c r="A67" s="309"/>
      <c r="B67" s="309"/>
      <c r="C67" s="309"/>
      <c r="D67" s="309"/>
      <c r="E67" s="309"/>
      <c r="F67" s="309"/>
      <c r="G67" s="309"/>
      <c r="H67" s="684"/>
      <c r="I67" s="684"/>
      <c r="J67" s="684"/>
      <c r="K67" s="684"/>
      <c r="L67" s="684"/>
      <c r="M67" s="684"/>
      <c r="N67" s="684"/>
      <c r="O67" s="684"/>
      <c r="P67" s="309"/>
      <c r="Q67" s="309"/>
      <c r="R67" s="309"/>
      <c r="S67" s="309"/>
      <c r="T67" s="309"/>
      <c r="U67" s="309"/>
      <c r="V67" s="309"/>
    </row>
    <row r="68" spans="1:22" ht="15" customHeight="1" x14ac:dyDescent="0.25">
      <c r="A68" s="309"/>
      <c r="B68" s="309"/>
      <c r="C68" s="309"/>
      <c r="D68" s="309"/>
      <c r="E68" s="309"/>
      <c r="F68" s="309"/>
      <c r="G68" s="309"/>
      <c r="H68" s="1233" t="s">
        <v>653</v>
      </c>
      <c r="I68" s="1233"/>
      <c r="J68" s="1233"/>
      <c r="K68" s="1233"/>
      <c r="L68" s="1233"/>
      <c r="M68" s="1233"/>
      <c r="N68" s="1233"/>
      <c r="O68" s="1233"/>
      <c r="P68" s="309"/>
      <c r="Q68" s="309"/>
      <c r="R68" s="309"/>
      <c r="S68" s="309"/>
      <c r="T68" s="309"/>
      <c r="U68" s="309"/>
      <c r="V68" s="309"/>
    </row>
    <row r="69" spans="1:22" x14ac:dyDescent="0.25">
      <c r="A69" s="309"/>
      <c r="B69" s="309"/>
      <c r="C69" s="309"/>
      <c r="D69" s="309"/>
      <c r="E69" s="309"/>
      <c r="F69" s="309"/>
      <c r="G69" s="309"/>
      <c r="H69" s="1232">
        <f>SUM(E77:R78)</f>
        <v>70736.695000000007</v>
      </c>
      <c r="I69" s="1232"/>
      <c r="J69" s="1232"/>
      <c r="K69" s="1232"/>
      <c r="L69" s="1232"/>
      <c r="M69" s="1232"/>
      <c r="N69" s="1232"/>
      <c r="O69" s="1232"/>
      <c r="P69" s="309"/>
      <c r="Q69" s="309"/>
      <c r="R69" s="309"/>
      <c r="S69" s="309"/>
      <c r="T69" s="309"/>
      <c r="U69" s="309"/>
      <c r="V69" s="309"/>
    </row>
    <row r="70" spans="1:22" ht="15" customHeight="1" x14ac:dyDescent="0.25">
      <c r="A70" s="309"/>
      <c r="B70" s="309"/>
      <c r="C70" s="309"/>
      <c r="D70" s="309"/>
      <c r="E70" s="309"/>
      <c r="F70" s="309"/>
      <c r="G70" s="309"/>
      <c r="H70" s="1232"/>
      <c r="I70" s="1232"/>
      <c r="J70" s="1232"/>
      <c r="K70" s="1232"/>
      <c r="L70" s="1232"/>
      <c r="M70" s="1232"/>
      <c r="N70" s="1232"/>
      <c r="O70" s="1232"/>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00" t="str">
        <f>IF(E84=0,"-","PORÃO 7")</f>
        <v>PORÃO 7</v>
      </c>
      <c r="F72" s="1201"/>
      <c r="G72" s="1200" t="str">
        <f>IF(G77=0,"-","PORÃO 6")</f>
        <v>PORÃO 6</v>
      </c>
      <c r="H72" s="1201"/>
      <c r="I72" s="1200" t="str">
        <f>IF(I77=0,"-","PORÃO 5")</f>
        <v>PORÃO 5</v>
      </c>
      <c r="J72" s="1201"/>
      <c r="K72" s="1200" t="str">
        <f>IF(K77=0,"-","PORÃO 4")</f>
        <v>PORÃO 4</v>
      </c>
      <c r="L72" s="1201"/>
      <c r="M72" s="1200" t="str">
        <f>IF(M77=0,"-","PORÃO 3")</f>
        <v>PORÃO 3</v>
      </c>
      <c r="N72" s="1201"/>
      <c r="O72" s="1200" t="str">
        <f>IF(O77=0,"-","PORÃO 2")</f>
        <v>PORÃO 2</v>
      </c>
      <c r="P72" s="1201"/>
      <c r="Q72" s="1200" t="str">
        <f>IF(Q77=0,"-","PORÃO 1")</f>
        <v>PORÃO 1</v>
      </c>
      <c r="R72" s="1201"/>
      <c r="S72" s="309"/>
      <c r="T72" s="309"/>
      <c r="U72" s="309"/>
      <c r="V72" s="309"/>
    </row>
    <row r="73" spans="1:22" x14ac:dyDescent="0.25">
      <c r="A73" s="309"/>
      <c r="B73" s="309"/>
      <c r="C73" s="309"/>
      <c r="D73" s="309"/>
      <c r="E73" s="1202" t="str">
        <f t="shared" ref="E73" si="0">IF(E77=0,"-","PRODUTO")</f>
        <v>PRODUTO</v>
      </c>
      <c r="F73" s="1203"/>
      <c r="G73" s="1202" t="str">
        <f t="shared" ref="G73" si="1">IF(G77=0,"-","PRODUTO")</f>
        <v>PRODUTO</v>
      </c>
      <c r="H73" s="1203"/>
      <c r="I73" s="1202" t="str">
        <f t="shared" ref="I73" si="2">IF(I77=0,"-","PRODUTO")</f>
        <v>PRODUTO</v>
      </c>
      <c r="J73" s="1203"/>
      <c r="K73" s="1202" t="str">
        <f t="shared" ref="K73" si="3">IF(K77=0,"-","PRODUTO")</f>
        <v>PRODUTO</v>
      </c>
      <c r="L73" s="1203"/>
      <c r="M73" s="1202" t="str">
        <f t="shared" ref="M73" si="4">IF(M77=0,"-","PRODUTO")</f>
        <v>PRODUTO</v>
      </c>
      <c r="N73" s="1203"/>
      <c r="O73" s="1202" t="str">
        <f t="shared" ref="O73" si="5">IF(O77=0,"-","PRODUTO")</f>
        <v>PRODUTO</v>
      </c>
      <c r="P73" s="1203"/>
      <c r="Q73" s="1202" t="str">
        <f>IF(Q77=0,"-","PRODUTO")</f>
        <v>PRODUTO</v>
      </c>
      <c r="R73" s="1203"/>
      <c r="S73" s="309"/>
      <c r="T73" s="309"/>
      <c r="U73" s="309"/>
      <c r="V73" s="309"/>
    </row>
    <row r="74" spans="1:22" x14ac:dyDescent="0.25">
      <c r="A74" s="309"/>
      <c r="B74" s="309"/>
      <c r="C74" s="309"/>
      <c r="D74" s="309"/>
      <c r="E74" s="1225" t="str">
        <f>'DADOS E-MAIL '!J53</f>
        <v>SOJA</v>
      </c>
      <c r="F74" s="1226"/>
      <c r="G74" s="1225" t="str">
        <f>'DADOS E-MAIL '!J52</f>
        <v>SOJA</v>
      </c>
      <c r="H74" s="1226"/>
      <c r="I74" s="1225" t="str">
        <f>'DADOS E-MAIL '!J51</f>
        <v>SOJA</v>
      </c>
      <c r="J74" s="1226"/>
      <c r="K74" s="1225" t="str">
        <f>'DADOS E-MAIL '!J50</f>
        <v>SOJA</v>
      </c>
      <c r="L74" s="1226"/>
      <c r="M74" s="1225" t="str">
        <f>'DADOS E-MAIL '!J49</f>
        <v>SOJA</v>
      </c>
      <c r="N74" s="1226"/>
      <c r="O74" s="1225" t="str">
        <f>'DADOS E-MAIL '!J48</f>
        <v>SOJA</v>
      </c>
      <c r="P74" s="1226"/>
      <c r="Q74" s="1225" t="str">
        <f>'DADOS E-MAIL '!J47</f>
        <v>SOJA</v>
      </c>
      <c r="R74" s="1226"/>
      <c r="S74" s="309"/>
      <c r="T74" s="309"/>
      <c r="U74" s="309"/>
      <c r="V74" s="309"/>
    </row>
    <row r="75" spans="1:22" x14ac:dyDescent="0.25">
      <c r="A75" s="309"/>
      <c r="B75" s="309"/>
      <c r="C75" s="309"/>
      <c r="D75" s="309"/>
      <c r="E75" s="702"/>
      <c r="F75" s="703"/>
      <c r="G75" s="702"/>
      <c r="H75" s="703"/>
      <c r="I75" s="702"/>
      <c r="J75" s="703"/>
      <c r="K75" s="702"/>
      <c r="L75" s="703"/>
      <c r="M75" s="702"/>
      <c r="N75" s="703"/>
      <c r="O75" s="702"/>
      <c r="P75" s="703"/>
      <c r="Q75" s="702"/>
      <c r="R75" s="703"/>
      <c r="S75" s="309"/>
      <c r="T75" s="309"/>
      <c r="U75" s="309"/>
      <c r="V75" s="309"/>
    </row>
    <row r="76" spans="1:22" x14ac:dyDescent="0.25">
      <c r="A76" s="309"/>
      <c r="B76" s="309"/>
      <c r="C76" s="309"/>
      <c r="D76" s="309"/>
      <c r="E76" s="1198" t="str">
        <f>IF(E77=0,"-","TOTAL")</f>
        <v>TOTAL</v>
      </c>
      <c r="F76" s="1199"/>
      <c r="G76" s="1198" t="str">
        <f>IF(G77=0,"-","TOTAL")</f>
        <v>TOTAL</v>
      </c>
      <c r="H76" s="1199"/>
      <c r="I76" s="1198" t="str">
        <f>IF(I77=0,"-","TOTAL")</f>
        <v>TOTAL</v>
      </c>
      <c r="J76" s="1199"/>
      <c r="K76" s="1198" t="str">
        <f>IF(K77=0,"-","TOTAL")</f>
        <v>TOTAL</v>
      </c>
      <c r="L76" s="1199"/>
      <c r="M76" s="1198" t="str">
        <f>IF(M77=0,"-","TOTAL")</f>
        <v>TOTAL</v>
      </c>
      <c r="N76" s="1199"/>
      <c r="O76" s="1198" t="str">
        <f>IF(O77=0,"-","TOTAL")</f>
        <v>TOTAL</v>
      </c>
      <c r="P76" s="1199"/>
      <c r="Q76" s="1198" t="str">
        <f>IF(Q77=0,"-","TOTAL")</f>
        <v>TOTAL</v>
      </c>
      <c r="R76" s="1199"/>
      <c r="S76" s="309"/>
      <c r="T76" s="309"/>
      <c r="U76" s="309"/>
      <c r="V76" s="309"/>
    </row>
    <row r="77" spans="1:22" x14ac:dyDescent="0.25">
      <c r="A77" s="309"/>
      <c r="B77" s="309"/>
      <c r="C77" s="309"/>
      <c r="D77" s="309"/>
      <c r="E77" s="1194">
        <f>'DADOS E-MAIL '!D53</f>
        <v>8666.3549999999996</v>
      </c>
      <c r="F77" s="1195"/>
      <c r="G77" s="1194">
        <f>'DADOS E-MAIL '!D52</f>
        <v>11105.32</v>
      </c>
      <c r="H77" s="1195"/>
      <c r="I77" s="1194">
        <f>'DADOS E-MAIL '!D51</f>
        <v>10694.3</v>
      </c>
      <c r="J77" s="1195"/>
      <c r="K77" s="1194">
        <f>'DADOS E-MAIL '!D50</f>
        <v>10132.844999999999</v>
      </c>
      <c r="L77" s="1195"/>
      <c r="M77" s="1194">
        <f>'DADOS E-MAIL '!D49</f>
        <v>10655.745000000001</v>
      </c>
      <c r="N77" s="1195"/>
      <c r="O77" s="1194">
        <f>'DADOS E-MAIL '!D48</f>
        <v>10117.174999999999</v>
      </c>
      <c r="P77" s="1195"/>
      <c r="Q77" s="1194">
        <f>'DADOS E-MAIL '!D47</f>
        <v>9364.9549999999999</v>
      </c>
      <c r="R77" s="1195"/>
      <c r="S77" s="309"/>
      <c r="T77" s="309"/>
      <c r="U77" s="309"/>
      <c r="V77" s="309"/>
    </row>
    <row r="78" spans="1:22" ht="15.75" customHeight="1" x14ac:dyDescent="0.25">
      <c r="A78" s="309"/>
      <c r="B78" s="309"/>
      <c r="C78" s="309"/>
      <c r="D78" s="309"/>
      <c r="E78" s="1196"/>
      <c r="F78" s="1197"/>
      <c r="G78" s="1196"/>
      <c r="H78" s="1197"/>
      <c r="I78" s="1196"/>
      <c r="J78" s="1197"/>
      <c r="K78" s="1196"/>
      <c r="L78" s="1197"/>
      <c r="M78" s="1196"/>
      <c r="N78" s="1197"/>
      <c r="O78" s="1196"/>
      <c r="P78" s="1197"/>
      <c r="Q78" s="1196"/>
      <c r="R78" s="1197"/>
      <c r="S78" s="309"/>
      <c r="T78" s="309"/>
      <c r="U78" s="309"/>
      <c r="V78" s="309"/>
    </row>
    <row r="79" spans="1:22" x14ac:dyDescent="0.25">
      <c r="A79" s="309"/>
      <c r="B79" s="309"/>
      <c r="C79" s="309"/>
      <c r="D79" s="309"/>
      <c r="E79" s="1227" t="str">
        <f>'DADOS E-MAIL '!H53</f>
        <v>SLACK</v>
      </c>
      <c r="F79" s="1223"/>
      <c r="G79" s="1227" t="str">
        <f>'DADOS E-MAIL '!H52</f>
        <v>FULL</v>
      </c>
      <c r="H79" s="1223"/>
      <c r="I79" s="1227" t="str">
        <f>'DADOS E-MAIL '!H51</f>
        <v>FULL</v>
      </c>
      <c r="J79" s="1223"/>
      <c r="K79" s="1227" t="str">
        <f>'DADOS E-MAIL '!H50</f>
        <v>FULL</v>
      </c>
      <c r="L79" s="1223"/>
      <c r="M79" s="1227" t="str">
        <f>'DADOS E-MAIL '!H49</f>
        <v>FULL</v>
      </c>
      <c r="N79" s="1223"/>
      <c r="O79" s="1227" t="str">
        <f>'DADOS E-MAIL '!H48</f>
        <v>SLACK</v>
      </c>
      <c r="P79" s="1223"/>
      <c r="Q79" s="1227" t="str">
        <f>'DADOS E-MAIL '!H47</f>
        <v>FULL</v>
      </c>
      <c r="R79" s="1223"/>
      <c r="S79" s="309"/>
      <c r="T79" s="309"/>
      <c r="U79" s="309"/>
      <c r="V79" s="309"/>
    </row>
    <row r="80" spans="1:22" x14ac:dyDescent="0.25">
      <c r="A80" s="309"/>
      <c r="B80" s="309"/>
      <c r="C80" s="309"/>
      <c r="D80" s="309"/>
      <c r="E80" s="1222" t="str">
        <f>IF(E77=0,"-","FATOR DE ESTIVA")</f>
        <v>FATOR DE ESTIVA</v>
      </c>
      <c r="F80" s="1223"/>
      <c r="G80" s="1222" t="str">
        <f>IF(G77=0,"-","FATOR DE ESTIVA")</f>
        <v>FATOR DE ESTIVA</v>
      </c>
      <c r="H80" s="1223"/>
      <c r="I80" s="1222" t="str">
        <f>IF(I77=0,"-","FATOR DE ESTIVA")</f>
        <v>FATOR DE ESTIVA</v>
      </c>
      <c r="J80" s="1223"/>
      <c r="K80" s="1222" t="str">
        <f>IF(K77=0,"-","FATOR DE ESTIVA")</f>
        <v>FATOR DE ESTIVA</v>
      </c>
      <c r="L80" s="1223"/>
      <c r="M80" s="1222" t="str">
        <f>IF(M77=0,"-","FATOR DE ESTIVA")</f>
        <v>FATOR DE ESTIVA</v>
      </c>
      <c r="N80" s="1223"/>
      <c r="O80" s="1222" t="str">
        <f>IF(O77=0,"-","FATOR DE ESTIVA")</f>
        <v>FATOR DE ESTIVA</v>
      </c>
      <c r="P80" s="1223"/>
      <c r="Q80" s="1222" t="str">
        <f>IF(Q77=0,"-","FATOR DE ESTIVA")</f>
        <v>FATOR DE ESTIVA</v>
      </c>
      <c r="R80" s="1223"/>
      <c r="S80" s="309"/>
      <c r="T80" s="309"/>
      <c r="U80" s="309"/>
      <c r="V80" s="309"/>
    </row>
    <row r="81" spans="1:22" x14ac:dyDescent="0.25">
      <c r="A81" s="309"/>
      <c r="B81" s="309"/>
      <c r="C81" s="309"/>
      <c r="D81" s="309"/>
      <c r="E81" s="1224">
        <f>IFERROR((E84/E77),"")</f>
        <v>51.844172088496265</v>
      </c>
      <c r="F81" s="1223"/>
      <c r="G81" s="1224">
        <f>IFERROR((G84/G77),"")</f>
        <v>47.54910259227109</v>
      </c>
      <c r="H81" s="1223"/>
      <c r="I81" s="1224">
        <f>IFERROR((I84/I77),"")</f>
        <v>47.393471288443379</v>
      </c>
      <c r="J81" s="1223"/>
      <c r="K81" s="1224">
        <f>IFERROR((K84/K77),"")</f>
        <v>47.699930276245226</v>
      </c>
      <c r="L81" s="1223"/>
      <c r="M81" s="1224">
        <f>IFERROR((M84/M77),"")</f>
        <v>47.621259705445276</v>
      </c>
      <c r="N81" s="1223"/>
      <c r="O81" s="1224">
        <f>IFERROR((O84/O77),"")</f>
        <v>52.071255068732135</v>
      </c>
      <c r="P81" s="1223"/>
      <c r="Q81" s="1224">
        <f>IFERROR((Q84/Q77),"")</f>
        <v>48.120359361043377</v>
      </c>
      <c r="R81" s="1223"/>
      <c r="S81" s="309"/>
      <c r="T81" s="309"/>
      <c r="U81" s="309"/>
      <c r="V81" s="309"/>
    </row>
    <row r="82" spans="1:22" x14ac:dyDescent="0.25">
      <c r="A82" s="309"/>
      <c r="B82" s="309"/>
      <c r="C82" s="309"/>
      <c r="D82" s="309"/>
      <c r="E82" s="702"/>
      <c r="F82" s="703"/>
      <c r="G82" s="702"/>
      <c r="H82" s="703"/>
      <c r="I82" s="702"/>
      <c r="J82" s="703"/>
      <c r="K82" s="702"/>
      <c r="L82" s="703"/>
      <c r="M82" s="702"/>
      <c r="N82" s="703"/>
      <c r="O82" s="702"/>
      <c r="P82" s="703"/>
      <c r="Q82" s="702"/>
      <c r="R82" s="703"/>
      <c r="S82" s="309"/>
      <c r="T82" s="309"/>
      <c r="U82" s="309"/>
      <c r="V82" s="309"/>
    </row>
    <row r="83" spans="1:22" x14ac:dyDescent="0.25">
      <c r="A83" s="309"/>
      <c r="B83" s="309"/>
      <c r="C83" s="309"/>
      <c r="D83" s="309"/>
      <c r="E83" s="1217" t="str">
        <f>IF(E77=0,"-","CUBAGEM")</f>
        <v>CUBAGEM</v>
      </c>
      <c r="F83" s="1218"/>
      <c r="G83" s="1217" t="str">
        <f>IF(G77=0,"-","CUBAGEM")</f>
        <v>CUBAGEM</v>
      </c>
      <c r="H83" s="1218"/>
      <c r="I83" s="1217" t="str">
        <f>IF(I77=0,"-","CUBAGEM")</f>
        <v>CUBAGEM</v>
      </c>
      <c r="J83" s="1218"/>
      <c r="K83" s="1217" t="str">
        <f>IF(K77=0,"-","CUBAGEM")</f>
        <v>CUBAGEM</v>
      </c>
      <c r="L83" s="1218"/>
      <c r="M83" s="1217" t="str">
        <f>IF(M77=0,"-","CUBAGEM")</f>
        <v>CUBAGEM</v>
      </c>
      <c r="N83" s="1218"/>
      <c r="O83" s="1217" t="str">
        <f>IF(O77=0,"-","CUBAGEM")</f>
        <v>CUBAGEM</v>
      </c>
      <c r="P83" s="1218"/>
      <c r="Q83" s="1217" t="str">
        <f>IF(Q77=0,"-","CUBAGEM")</f>
        <v>CUBAGEM</v>
      </c>
      <c r="R83" s="1218"/>
      <c r="S83" s="309"/>
      <c r="T83" s="309"/>
      <c r="U83" s="309"/>
      <c r="V83" s="309"/>
    </row>
    <row r="84" spans="1:22" x14ac:dyDescent="0.25">
      <c r="A84" s="309"/>
      <c r="B84" s="309"/>
      <c r="C84" s="309"/>
      <c r="D84" s="309"/>
      <c r="E84" s="1220">
        <f>'DADOS E-MAIL '!F53</f>
        <v>449300</v>
      </c>
      <c r="F84" s="1221"/>
      <c r="G84" s="1220">
        <f>'DADOS E-MAIL '!F52</f>
        <v>528048</v>
      </c>
      <c r="H84" s="1221"/>
      <c r="I84" s="1220">
        <f>'DADOS E-MAIL '!F51</f>
        <v>506840</v>
      </c>
      <c r="J84" s="1221"/>
      <c r="K84" s="1220">
        <f>'DADOS E-MAIL '!F50</f>
        <v>483336</v>
      </c>
      <c r="L84" s="1221"/>
      <c r="M84" s="1220">
        <f>'DADOS E-MAIL '!F49</f>
        <v>507440</v>
      </c>
      <c r="N84" s="1221"/>
      <c r="O84" s="1220">
        <f>'DADOS E-MAIL '!F48</f>
        <v>526814</v>
      </c>
      <c r="P84" s="1221"/>
      <c r="Q84" s="1220">
        <f>'DADOS E-MAIL '!F47</f>
        <v>450645</v>
      </c>
      <c r="R84" s="1221"/>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9" t="s">
        <v>654</v>
      </c>
      <c r="E90" s="1219"/>
      <c r="F90" s="1219"/>
      <c r="G90" s="1219"/>
      <c r="H90" s="1219"/>
      <c r="I90" s="1219"/>
      <c r="J90" s="1219"/>
      <c r="K90" s="1219"/>
      <c r="L90" s="1219"/>
      <c r="M90" s="1219"/>
      <c r="N90" s="1219"/>
      <c r="O90" s="1219"/>
      <c r="P90" s="1219"/>
      <c r="Q90" s="1219"/>
      <c r="R90" s="1219"/>
      <c r="S90" s="1219"/>
      <c r="T90" s="309"/>
      <c r="U90" s="309"/>
      <c r="V90" s="309"/>
    </row>
    <row r="92" spans="1:22" x14ac:dyDescent="0.25">
      <c r="B92" s="720"/>
      <c r="C92" s="720"/>
      <c r="D92" s="723"/>
      <c r="E92" s="723"/>
      <c r="F92" s="723"/>
      <c r="G92" s="724"/>
      <c r="H92" s="724"/>
      <c r="I92" s="723"/>
      <c r="J92" s="723"/>
      <c r="K92" s="720"/>
      <c r="L92" s="723"/>
      <c r="M92" s="723"/>
      <c r="N92" s="723"/>
      <c r="O92" s="723"/>
      <c r="P92" s="723"/>
      <c r="Q92" s="723"/>
      <c r="R92" s="723"/>
      <c r="S92" s="723"/>
      <c r="T92" s="720"/>
      <c r="U92" s="720"/>
    </row>
    <row r="93" spans="1:22" x14ac:dyDescent="0.25">
      <c r="B93" s="1215">
        <v>1</v>
      </c>
      <c r="C93" s="1216" t="s">
        <v>789</v>
      </c>
      <c r="D93" s="1216"/>
      <c r="E93" s="1216"/>
      <c r="F93" s="1216"/>
      <c r="G93" s="1216"/>
      <c r="H93" s="1216"/>
      <c r="I93" s="1216"/>
      <c r="J93" s="1216"/>
      <c r="K93" s="1216"/>
      <c r="L93" s="1216"/>
      <c r="M93" s="1216"/>
      <c r="N93" s="1216"/>
      <c r="O93" s="1216"/>
      <c r="P93" s="1216"/>
      <c r="Q93" s="1216"/>
      <c r="R93" s="1216"/>
      <c r="S93" s="1216"/>
      <c r="T93" s="1216"/>
    </row>
    <row r="94" spans="1:22" x14ac:dyDescent="0.25">
      <c r="B94" s="1215"/>
      <c r="C94" s="1216"/>
      <c r="D94" s="1216"/>
      <c r="E94" s="1216"/>
      <c r="F94" s="1216"/>
      <c r="G94" s="1216"/>
      <c r="H94" s="1216"/>
      <c r="I94" s="1216"/>
      <c r="J94" s="1216"/>
      <c r="K94" s="1216"/>
      <c r="L94" s="1216"/>
      <c r="M94" s="1216"/>
      <c r="N94" s="1216"/>
      <c r="O94" s="1216"/>
      <c r="P94" s="1216"/>
      <c r="Q94" s="1216"/>
      <c r="R94" s="1216"/>
      <c r="S94" s="1216"/>
      <c r="T94" s="1216"/>
    </row>
    <row r="95" spans="1:22" x14ac:dyDescent="0.25">
      <c r="B95" s="720"/>
      <c r="C95" s="720"/>
      <c r="D95" s="721"/>
      <c r="E95" s="721"/>
      <c r="F95" s="722"/>
      <c r="G95" s="722"/>
      <c r="H95" s="722"/>
      <c r="I95" s="722"/>
      <c r="J95" s="721"/>
      <c r="K95" s="721"/>
      <c r="L95" s="720"/>
      <c r="M95" s="720"/>
      <c r="N95" s="720"/>
      <c r="O95" s="720"/>
      <c r="P95" s="720"/>
      <c r="Q95" s="720"/>
      <c r="R95" s="720"/>
      <c r="S95" s="720"/>
      <c r="T95" s="720"/>
      <c r="U95" s="720"/>
    </row>
    <row r="96" spans="1:22" x14ac:dyDescent="0.25">
      <c r="B96" s="1215">
        <v>2</v>
      </c>
      <c r="C96" s="1216"/>
      <c r="D96" s="1216"/>
      <c r="E96" s="1216"/>
      <c r="F96" s="1216"/>
      <c r="G96" s="1216"/>
      <c r="H96" s="1216"/>
      <c r="I96" s="1216"/>
      <c r="J96" s="1216"/>
      <c r="K96" s="1216"/>
      <c r="L96" s="1216"/>
      <c r="M96" s="1216"/>
      <c r="N96" s="1216"/>
      <c r="O96" s="1216"/>
      <c r="P96" s="1216"/>
      <c r="Q96" s="1216"/>
      <c r="R96" s="1216"/>
      <c r="S96" s="1216"/>
      <c r="T96" s="1216"/>
    </row>
    <row r="97" spans="2:21" ht="15" customHeight="1" x14ac:dyDescent="0.25">
      <c r="B97" s="1215"/>
      <c r="C97" s="1216"/>
      <c r="D97" s="1216"/>
      <c r="E97" s="1216"/>
      <c r="F97" s="1216"/>
      <c r="G97" s="1216"/>
      <c r="H97" s="1216"/>
      <c r="I97" s="1216"/>
      <c r="J97" s="1216"/>
      <c r="K97" s="1216"/>
      <c r="L97" s="1216"/>
      <c r="M97" s="1216"/>
      <c r="N97" s="1216"/>
      <c r="O97" s="1216"/>
      <c r="P97" s="1216"/>
      <c r="Q97" s="1216"/>
      <c r="R97" s="1216"/>
      <c r="S97" s="1216"/>
      <c r="T97" s="1216"/>
    </row>
    <row r="98" spans="2:21" ht="15" customHeight="1" x14ac:dyDescent="0.25">
      <c r="B98" s="720"/>
      <c r="C98" s="720"/>
      <c r="D98" s="721"/>
      <c r="E98" s="721"/>
      <c r="F98" s="722"/>
      <c r="G98" s="722"/>
      <c r="H98" s="722"/>
      <c r="I98" s="722"/>
      <c r="J98" s="721"/>
      <c r="K98" s="721"/>
      <c r="L98" s="720"/>
      <c r="M98" s="720"/>
      <c r="N98" s="720"/>
      <c r="O98" s="720"/>
      <c r="P98" s="720"/>
      <c r="Q98" s="720"/>
      <c r="R98" s="720"/>
      <c r="S98" s="720"/>
      <c r="T98" s="720"/>
      <c r="U98" s="720"/>
    </row>
    <row r="99" spans="2:21" x14ac:dyDescent="0.25">
      <c r="B99" s="1215">
        <v>3</v>
      </c>
      <c r="C99" s="1216"/>
      <c r="D99" s="1216"/>
      <c r="E99" s="1216"/>
      <c r="F99" s="1216"/>
      <c r="G99" s="1216"/>
      <c r="H99" s="1216"/>
      <c r="I99" s="1216"/>
      <c r="J99" s="1216"/>
      <c r="K99" s="1216"/>
      <c r="L99" s="1216"/>
      <c r="M99" s="1216"/>
      <c r="N99" s="1216"/>
      <c r="O99" s="1216"/>
      <c r="P99" s="1216"/>
      <c r="Q99" s="1216"/>
      <c r="R99" s="1216"/>
      <c r="S99" s="1216"/>
      <c r="T99" s="1216"/>
    </row>
    <row r="100" spans="2:21" x14ac:dyDescent="0.25">
      <c r="B100" s="1215"/>
      <c r="C100" s="1216"/>
      <c r="D100" s="1216"/>
      <c r="E100" s="1216"/>
      <c r="F100" s="1216"/>
      <c r="G100" s="1216"/>
      <c r="H100" s="1216"/>
      <c r="I100" s="1216"/>
      <c r="J100" s="1216"/>
      <c r="K100" s="1216"/>
      <c r="L100" s="1216"/>
      <c r="M100" s="1216"/>
      <c r="N100" s="1216"/>
      <c r="O100" s="1216"/>
      <c r="P100" s="1216"/>
      <c r="Q100" s="1216"/>
      <c r="R100" s="1216"/>
      <c r="S100" s="1216"/>
      <c r="T100" s="1216"/>
    </row>
    <row r="101" spans="2:21" x14ac:dyDescent="0.25">
      <c r="B101" s="720"/>
      <c r="C101" s="720"/>
      <c r="D101" s="721"/>
      <c r="E101" s="721"/>
      <c r="F101" s="722"/>
      <c r="G101" s="722"/>
      <c r="H101" s="722"/>
      <c r="I101" s="722"/>
      <c r="J101" s="721"/>
      <c r="K101" s="721"/>
      <c r="L101" s="720"/>
      <c r="M101" s="720"/>
      <c r="N101" s="720"/>
      <c r="O101" s="720"/>
      <c r="P101" s="720"/>
      <c r="Q101" s="720"/>
      <c r="R101" s="720"/>
      <c r="S101" s="720"/>
      <c r="T101" s="720"/>
      <c r="U101" s="720"/>
    </row>
    <row r="102" spans="2:21" x14ac:dyDescent="0.25">
      <c r="B102" s="1215">
        <v>4</v>
      </c>
      <c r="C102" s="1216"/>
      <c r="D102" s="1216"/>
      <c r="E102" s="1216"/>
      <c r="F102" s="1216"/>
      <c r="G102" s="1216"/>
      <c r="H102" s="1216"/>
      <c r="I102" s="1216"/>
      <c r="J102" s="1216"/>
      <c r="K102" s="1216"/>
      <c r="L102" s="1216"/>
      <c r="M102" s="1216"/>
      <c r="N102" s="1216"/>
      <c r="O102" s="1216"/>
      <c r="P102" s="1216"/>
      <c r="Q102" s="1216"/>
      <c r="R102" s="1216"/>
      <c r="S102" s="1216"/>
      <c r="T102" s="1216"/>
    </row>
    <row r="103" spans="2:21" x14ac:dyDescent="0.25">
      <c r="B103" s="1215"/>
      <c r="C103" s="1216"/>
      <c r="D103" s="1216"/>
      <c r="E103" s="1216"/>
      <c r="F103" s="1216"/>
      <c r="G103" s="1216"/>
      <c r="H103" s="1216"/>
      <c r="I103" s="1216"/>
      <c r="J103" s="1216"/>
      <c r="K103" s="1216"/>
      <c r="L103" s="1216"/>
      <c r="M103" s="1216"/>
      <c r="N103" s="1216"/>
      <c r="O103" s="1216"/>
      <c r="P103" s="1216"/>
      <c r="Q103" s="1216"/>
      <c r="R103" s="1216"/>
      <c r="S103" s="1216"/>
      <c r="T103" s="1216"/>
    </row>
    <row r="104" spans="2:21" x14ac:dyDescent="0.25">
      <c r="B104" s="720"/>
      <c r="C104" s="720"/>
      <c r="D104" s="721"/>
      <c r="E104" s="721"/>
      <c r="F104" s="722"/>
      <c r="G104" s="722"/>
      <c r="H104" s="722"/>
      <c r="I104" s="722"/>
      <c r="J104" s="721"/>
      <c r="K104" s="721"/>
      <c r="L104" s="720"/>
      <c r="M104" s="720"/>
      <c r="N104" s="720"/>
      <c r="O104" s="720"/>
      <c r="P104" s="720"/>
      <c r="Q104" s="720"/>
      <c r="R104" s="720"/>
      <c r="S104" s="720"/>
      <c r="T104" s="720"/>
      <c r="U104" s="720"/>
    </row>
    <row r="105" spans="2:21" x14ac:dyDescent="0.25">
      <c r="B105" s="1215">
        <v>5</v>
      </c>
      <c r="C105" s="1216"/>
      <c r="D105" s="1216"/>
      <c r="E105" s="1216"/>
      <c r="F105" s="1216"/>
      <c r="G105" s="1216"/>
      <c r="H105" s="1216"/>
      <c r="I105" s="1216"/>
      <c r="J105" s="1216"/>
      <c r="K105" s="1216"/>
      <c r="L105" s="1216"/>
      <c r="M105" s="1216"/>
      <c r="N105" s="1216"/>
      <c r="O105" s="1216"/>
      <c r="P105" s="1216"/>
      <c r="Q105" s="1216"/>
      <c r="R105" s="1216"/>
      <c r="S105" s="1216"/>
      <c r="T105" s="1216"/>
    </row>
    <row r="106" spans="2:21" x14ac:dyDescent="0.25">
      <c r="B106" s="1215"/>
      <c r="C106" s="1216"/>
      <c r="D106" s="1216"/>
      <c r="E106" s="1216"/>
      <c r="F106" s="1216"/>
      <c r="G106" s="1216"/>
      <c r="H106" s="1216"/>
      <c r="I106" s="1216"/>
      <c r="J106" s="1216"/>
      <c r="K106" s="1216"/>
      <c r="L106" s="1216"/>
      <c r="M106" s="1216"/>
      <c r="N106" s="1216"/>
      <c r="O106" s="1216"/>
      <c r="P106" s="1216"/>
      <c r="Q106" s="1216"/>
      <c r="R106" s="1216"/>
      <c r="S106" s="1216"/>
      <c r="T106" s="1216"/>
    </row>
    <row r="107" spans="2:21" x14ac:dyDescent="0.25">
      <c r="B107" s="720"/>
      <c r="C107" s="720"/>
      <c r="D107" s="721"/>
      <c r="E107" s="721"/>
      <c r="F107" s="722"/>
      <c r="G107" s="722"/>
      <c r="H107" s="722"/>
      <c r="I107" s="722"/>
      <c r="J107" s="721"/>
      <c r="K107" s="721"/>
      <c r="L107" s="720"/>
      <c r="M107" s="720"/>
      <c r="N107" s="720"/>
      <c r="O107" s="720"/>
      <c r="P107" s="720"/>
      <c r="Q107" s="720"/>
      <c r="R107" s="720"/>
      <c r="S107" s="720"/>
      <c r="T107" s="720"/>
      <c r="U107" s="720"/>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680</v>
      </c>
      <c r="C2" t="s">
        <v>679</v>
      </c>
      <c r="J2" t="s">
        <v>678</v>
      </c>
      <c r="K2" t="s">
        <v>677</v>
      </c>
      <c r="L2" t="s">
        <v>622</v>
      </c>
      <c r="M2" t="s">
        <v>677</v>
      </c>
    </row>
    <row r="3" spans="2:13" x14ac:dyDescent="0.25">
      <c r="B3" t="s">
        <v>676</v>
      </c>
      <c r="C3" s="689">
        <v>0</v>
      </c>
      <c r="J3" t="s">
        <v>347</v>
      </c>
      <c r="K3">
        <f>'DADOS E-MAIL '!E23</f>
        <v>0</v>
      </c>
      <c r="L3" s="687">
        <f>'DADOS E-MAIL '!G23</f>
        <v>0</v>
      </c>
      <c r="M3">
        <f>'DADOS E-MAIL '!E23</f>
        <v>0</v>
      </c>
    </row>
    <row r="4" spans="2:13" x14ac:dyDescent="0.25">
      <c r="B4" t="s">
        <v>675</v>
      </c>
      <c r="C4" s="689">
        <v>0</v>
      </c>
      <c r="D4">
        <v>17.683333000000001</v>
      </c>
      <c r="J4" t="s">
        <v>348</v>
      </c>
      <c r="K4">
        <f>'DADOS E-MAIL '!E24</f>
        <v>0</v>
      </c>
      <c r="L4" s="687">
        <f>'DADOS E-MAIL '!G24</f>
        <v>0</v>
      </c>
      <c r="M4">
        <f>'DADOS E-MAIL '!E24</f>
        <v>0</v>
      </c>
    </row>
    <row r="5" spans="2:13" x14ac:dyDescent="0.25">
      <c r="B5" t="s">
        <v>674</v>
      </c>
      <c r="C5" s="689">
        <v>0</v>
      </c>
      <c r="J5" t="s">
        <v>349</v>
      </c>
      <c r="K5">
        <f>'DADOS E-MAIL '!E25</f>
        <v>0</v>
      </c>
      <c r="L5" s="687">
        <f>'DADOS E-MAIL '!G25</f>
        <v>0</v>
      </c>
      <c r="M5">
        <f>'DADOS E-MAIL '!E25</f>
        <v>0</v>
      </c>
    </row>
    <row r="6" spans="2:13" x14ac:dyDescent="0.25">
      <c r="J6" t="s">
        <v>350</v>
      </c>
      <c r="K6">
        <f>'DADOS E-MAIL '!E26</f>
        <v>0</v>
      </c>
      <c r="L6" s="687">
        <f>'DADOS E-MAIL '!G26</f>
        <v>0</v>
      </c>
      <c r="M6">
        <f>'DADOS E-MAIL '!E26</f>
        <v>0</v>
      </c>
    </row>
    <row r="7" spans="2:13" x14ac:dyDescent="0.25">
      <c r="J7" t="s">
        <v>351</v>
      </c>
      <c r="K7">
        <f>'DADOS E-MAIL '!E27</f>
        <v>0</v>
      </c>
      <c r="L7" s="687">
        <f>'DADOS E-MAIL '!G27</f>
        <v>0</v>
      </c>
      <c r="M7">
        <f>'DADOS E-MAIL '!E27</f>
        <v>0</v>
      </c>
    </row>
    <row r="8" spans="2:13" x14ac:dyDescent="0.25">
      <c r="J8" t="s">
        <v>352</v>
      </c>
      <c r="K8">
        <f>'DADOS E-MAIL '!E28</f>
        <v>0</v>
      </c>
      <c r="L8" s="687">
        <f>'DADOS E-MAIL '!G28</f>
        <v>0</v>
      </c>
      <c r="M8">
        <f>'DADOS E-MAIL '!E28</f>
        <v>0</v>
      </c>
    </row>
    <row r="9" spans="2:13" x14ac:dyDescent="0.25">
      <c r="J9" t="s">
        <v>353</v>
      </c>
      <c r="K9">
        <f>'DADOS E-MAIL '!E29</f>
        <v>0</v>
      </c>
      <c r="L9" s="687">
        <f>'DADOS E-MAIL '!G29</f>
        <v>0</v>
      </c>
      <c r="M9">
        <f>'DADOS E-MAIL '!E29</f>
        <v>0</v>
      </c>
    </row>
    <row r="10" spans="2:13" x14ac:dyDescent="0.25">
      <c r="J10" t="s">
        <v>354</v>
      </c>
      <c r="K10">
        <f>'DADOS E-MAIL '!E30</f>
        <v>0</v>
      </c>
      <c r="L10" s="687">
        <f>'DADOS E-MAIL '!G30</f>
        <v>0</v>
      </c>
      <c r="M10">
        <f>'DADOS E-MAIL '!E30</f>
        <v>0</v>
      </c>
    </row>
    <row r="11" spans="2:13" x14ac:dyDescent="0.25">
      <c r="J11" t="s">
        <v>355</v>
      </c>
      <c r="K11">
        <f>'DADOS E-MAIL '!E31</f>
        <v>26700</v>
      </c>
      <c r="L11" s="687">
        <f>'DADOS E-MAIL '!G31</f>
        <v>37.74561421055931</v>
      </c>
      <c r="M11">
        <f>'DADOS E-MAIL '!E31</f>
        <v>26700</v>
      </c>
    </row>
    <row r="12" spans="2:13" x14ac:dyDescent="0.25">
      <c r="J12" t="s">
        <v>356</v>
      </c>
      <c r="K12">
        <f>'DADOS E-MAIL '!E32</f>
        <v>20400</v>
      </c>
      <c r="L12" s="687">
        <f>'DADOS E-MAIL '!G32</f>
        <v>28.839345688966667</v>
      </c>
      <c r="M12">
        <f>'DADOS E-MAIL '!E32</f>
        <v>20400</v>
      </c>
    </row>
    <row r="13" spans="2:13" x14ac:dyDescent="0.25">
      <c r="J13" t="s">
        <v>357</v>
      </c>
      <c r="K13">
        <f>'DADOS E-MAIL '!E33</f>
        <v>23636.695</v>
      </c>
      <c r="L13" s="687">
        <f>'DADOS E-MAIL '!G33</f>
        <v>33.415040100474016</v>
      </c>
      <c r="M13">
        <f>'DADOS E-MAIL '!E33</f>
        <v>23636.695</v>
      </c>
    </row>
    <row r="14" spans="2:13" x14ac:dyDescent="0.25">
      <c r="J14" s="688" t="s">
        <v>619</v>
      </c>
      <c r="K14">
        <f>'DADOS E-MAIL '!E34</f>
        <v>70736.695000000007</v>
      </c>
      <c r="L14" s="687">
        <f>'DADOS E-MAIL '!G34</f>
        <v>100</v>
      </c>
      <c r="M14">
        <f>'DADOS E-MAIL '!E34</f>
        <v>70736.695000000007</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2026-03-16T14:05:25Z</cp:lastPrinted>
  <dcterms:created xsi:type="dcterms:W3CDTF">2015-06-05T18:19:34Z</dcterms:created>
  <dcterms:modified xsi:type="dcterms:W3CDTF">2026-03-16T14:06:27Z</dcterms:modified>
</cp:coreProperties>
</file>