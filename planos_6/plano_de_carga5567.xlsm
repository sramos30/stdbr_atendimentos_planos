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0.03.26 - Star Genesis\Miscellaneous\"/>
    </mc:Choice>
  </mc:AlternateContent>
  <xr:revisionPtr revIDLastSave="0" documentId="13_ncr:1_{685BD325-C755-40D6-BC21-629E8BACA31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Relato" sheetId="3" state="hidden" r:id="rId8"/>
    <sheet name="Bll I" sheetId="7"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7">Relato!$A$1:$J$326</definedName>
    <definedName name="_xlnm.Print_Area" localSheetId="9">'Relato (WPC)'!$A$1:$J$317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32" i="14" l="1"/>
  <c r="B232" i="14"/>
  <c r="C232" i="14"/>
  <c r="D232" i="14"/>
  <c r="I232" i="14"/>
  <c r="A233" i="14"/>
  <c r="B233" i="14"/>
  <c r="C233" i="14"/>
  <c r="D233" i="14"/>
  <c r="I233" i="14"/>
  <c r="A234" i="14"/>
  <c r="B234" i="14"/>
  <c r="C234" i="14"/>
  <c r="D234" i="14"/>
  <c r="I234" i="14"/>
  <c r="A235" i="14"/>
  <c r="B235" i="14"/>
  <c r="C235" i="14"/>
  <c r="D235" i="14"/>
  <c r="I235" i="14"/>
  <c r="A236" i="14"/>
  <c r="B236" i="14"/>
  <c r="C236" i="14"/>
  <c r="D236" i="14"/>
  <c r="I236" i="14"/>
  <c r="A237" i="14"/>
  <c r="B237" i="14"/>
  <c r="C237" i="14"/>
  <c r="D237" i="14"/>
  <c r="I237" i="14"/>
  <c r="A238" i="14"/>
  <c r="B238" i="14"/>
  <c r="C238" i="14"/>
  <c r="D238" i="14"/>
  <c r="I238" i="14"/>
  <c r="A239" i="14"/>
  <c r="B239" i="14"/>
  <c r="C239" i="14"/>
  <c r="D239" i="14"/>
  <c r="I239" i="14"/>
  <c r="A240" i="14"/>
  <c r="B240" i="14"/>
  <c r="C240" i="14"/>
  <c r="D240" i="14"/>
  <c r="I240" i="14"/>
  <c r="A241" i="14"/>
  <c r="B241" i="14"/>
  <c r="C241" i="14"/>
  <c r="D241" i="14"/>
  <c r="I241" i="14"/>
  <c r="A242" i="14"/>
  <c r="B242" i="14"/>
  <c r="C242" i="14"/>
  <c r="D242" i="14"/>
  <c r="I242" i="14"/>
  <c r="A243" i="14"/>
  <c r="B243" i="14"/>
  <c r="C243" i="14"/>
  <c r="D243" i="14"/>
  <c r="I243" i="14"/>
  <c r="A244" i="14"/>
  <c r="B244" i="14"/>
  <c r="C244" i="14"/>
  <c r="D244" i="14"/>
  <c r="I244" i="14"/>
  <c r="A245" i="14"/>
  <c r="B245" i="14"/>
  <c r="C245" i="14"/>
  <c r="D245" i="14"/>
  <c r="I245" i="14"/>
  <c r="A246" i="14"/>
  <c r="B246" i="14"/>
  <c r="C246" i="14"/>
  <c r="D246" i="14"/>
  <c r="I246" i="14"/>
  <c r="A247" i="14"/>
  <c r="B247" i="14"/>
  <c r="C247" i="14"/>
  <c r="D247" i="14"/>
  <c r="I247" i="14"/>
  <c r="F53" i="11"/>
  <c r="F52" i="11"/>
  <c r="F51" i="11"/>
  <c r="F50" i="11"/>
  <c r="F49" i="11"/>
  <c r="F48" i="11"/>
  <c r="F47" i="11"/>
  <c r="L107" i="7"/>
  <c r="M107" i="7" s="1"/>
  <c r="L104" i="7"/>
  <c r="M104" i="7" s="1"/>
  <c r="L101" i="7"/>
  <c r="M101" i="7" s="1"/>
  <c r="L98" i="7"/>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M99" i="7"/>
  <c r="K98" i="7"/>
  <c r="O97" i="7"/>
  <c r="N97" i="7"/>
  <c r="K91" i="7"/>
  <c r="K88" i="7"/>
  <c r="K85" i="7"/>
  <c r="K82" i="7"/>
  <c r="K79" i="7"/>
  <c r="K76"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1" i="14"/>
  <c r="A198" i="14"/>
  <c r="A162" i="3"/>
  <c r="A3" i="3"/>
  <c r="A29" i="3" s="1"/>
  <c r="M102" i="7" l="1"/>
  <c r="N103" i="7" s="1"/>
  <c r="M83" i="7"/>
  <c r="O84" i="7" s="1"/>
  <c r="G238" i="14"/>
  <c r="G237" i="14"/>
  <c r="G244" i="14"/>
  <c r="G243" i="14"/>
  <c r="G232" i="14"/>
  <c r="G247" i="14"/>
  <c r="G242" i="14"/>
  <c r="G241" i="14"/>
  <c r="G240" i="14"/>
  <c r="G239" i="14"/>
  <c r="G234" i="14"/>
  <c r="G233" i="14"/>
  <c r="G236" i="14"/>
  <c r="G235" i="14"/>
  <c r="G246" i="14"/>
  <c r="G245" i="14"/>
  <c r="M40" i="7"/>
  <c r="N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A32" i="14"/>
  <c r="I163" i="3"/>
  <c r="G163" i="3"/>
  <c r="D185" i="18" l="1"/>
  <c r="D183" i="18"/>
  <c r="D55" i="18"/>
  <c r="D271" i="18"/>
  <c r="D50" i="18"/>
  <c r="D51" i="18"/>
  <c r="F53" i="14" s="1"/>
  <c r="D181" i="18"/>
  <c r="F57" i="14" s="1"/>
  <c r="D267" i="18"/>
  <c r="D275" i="18"/>
  <c r="D52" i="18"/>
  <c r="F54" i="14" s="1"/>
  <c r="D182" i="18"/>
  <c r="F58" i="14" s="1"/>
  <c r="D53" i="18"/>
  <c r="F58" i="3" l="1"/>
  <c r="F59" i="3"/>
  <c r="F55" i="3"/>
  <c r="F54" i="3"/>
  <c r="J100" i="3"/>
  <c r="J99" i="14" s="1"/>
  <c r="J99" i="3"/>
  <c r="J98" i="14" s="1"/>
  <c r="J98" i="3"/>
  <c r="J97" i="14" s="1"/>
  <c r="J97" i="3"/>
  <c r="J96" i="14" s="1"/>
  <c r="J96" i="3"/>
  <c r="J95" i="14" s="1"/>
  <c r="J95" i="3"/>
  <c r="J94" i="14" s="1"/>
  <c r="J94" i="3"/>
  <c r="J93" i="14" s="1"/>
  <c r="AN4" i="5" l="1"/>
  <c r="D11" i="5" l="1"/>
  <c r="A58" i="3" l="1"/>
  <c r="A53" i="3"/>
  <c r="D248" i="14"/>
  <c r="D231" i="14"/>
  <c r="D230" i="14"/>
  <c r="D229" i="14"/>
  <c r="D228" i="14"/>
  <c r="D227" i="14"/>
  <c r="D226" i="14"/>
  <c r="D225" i="14"/>
  <c r="D224" i="14"/>
  <c r="D223" i="14"/>
  <c r="D222" i="14"/>
  <c r="D221" i="14"/>
  <c r="D220" i="14"/>
  <c r="E5" i="5" l="1"/>
  <c r="F71" i="24" s="1"/>
  <c r="A36" i="3"/>
  <c r="A35" i="14"/>
  <c r="A29" i="14" l="1"/>
  <c r="AO4" i="5"/>
  <c r="L159" i="3"/>
  <c r="AN8" i="5" l="1"/>
  <c r="AN6" i="5"/>
  <c r="AN7" i="5"/>
  <c r="AN5" i="5"/>
  <c r="I158" i="3"/>
  <c r="I157" i="14" s="1"/>
  <c r="G158" i="3"/>
  <c r="G157" i="14" s="1"/>
  <c r="G162" i="14"/>
  <c r="I162" i="14"/>
  <c r="I159" i="3"/>
  <c r="I158" i="14" s="1"/>
  <c r="G160" i="3"/>
  <c r="G159" i="14" s="1"/>
  <c r="G159"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24" i="3"/>
  <c r="E134" i="3"/>
  <c r="E123" i="14" l="1"/>
  <c r="E133" i="14"/>
  <c r="G160" i="14"/>
  <c r="A198" i="3"/>
  <c r="I161" i="3"/>
  <c r="I160" i="14" s="1"/>
  <c r="G161" i="3"/>
  <c r="A1" i="3"/>
  <c r="B93" i="14" l="1"/>
  <c r="H211" i="3"/>
  <c r="E126" i="14" l="1"/>
  <c r="E125" i="14"/>
  <c r="E127" i="3"/>
  <c r="E126" i="3"/>
  <c r="I160" i="3" l="1"/>
  <c r="I159" i="14" s="1"/>
  <c r="G252" i="14"/>
  <c r="G216" i="14"/>
  <c r="G261" i="3"/>
  <c r="G225" i="3"/>
  <c r="C17" i="16" l="1"/>
  <c r="C34" i="16"/>
  <c r="J314" i="3" l="1"/>
  <c r="J313" i="3"/>
  <c r="J312" i="3"/>
  <c r="J311"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5" i="14"/>
  <c r="H304" i="14"/>
  <c r="H303" i="14"/>
  <c r="H302" i="14"/>
  <c r="I295" i="14"/>
  <c r="I305" i="14" s="1"/>
  <c r="I294" i="14"/>
  <c r="I304" i="14" s="1"/>
  <c r="I293" i="14"/>
  <c r="I303" i="14" s="1"/>
  <c r="I292" i="14"/>
  <c r="I302" i="14" s="1"/>
  <c r="H295" i="14"/>
  <c r="H294" i="14"/>
  <c r="H293" i="14"/>
  <c r="H292" i="14"/>
  <c r="C314" i="3"/>
  <c r="C313" i="3"/>
  <c r="C312" i="3"/>
  <c r="C311" i="3"/>
  <c r="B314" i="3"/>
  <c r="B313" i="3"/>
  <c r="B312" i="3"/>
  <c r="B311" i="3"/>
  <c r="H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8" i="14"/>
  <c r="I231" i="14"/>
  <c r="I230" i="14"/>
  <c r="I229" i="14"/>
  <c r="I228" i="14"/>
  <c r="I227" i="14"/>
  <c r="I226" i="14"/>
  <c r="I225" i="14"/>
  <c r="I224" i="14"/>
  <c r="I223" i="14"/>
  <c r="I222" i="14"/>
  <c r="I221" i="14"/>
  <c r="I220" i="14"/>
  <c r="I219" i="14"/>
  <c r="H315" i="3"/>
  <c r="J315" i="3"/>
  <c r="G228" i="14"/>
  <c r="G227" i="14"/>
  <c r="G226" i="14"/>
  <c r="G222" i="14"/>
  <c r="G221" i="14"/>
  <c r="C248" i="14"/>
  <c r="C231" i="14"/>
  <c r="C230" i="14"/>
  <c r="C229" i="14"/>
  <c r="C228" i="14"/>
  <c r="C227" i="14"/>
  <c r="C226" i="14"/>
  <c r="C225" i="14"/>
  <c r="C223" i="14"/>
  <c r="C222" i="14"/>
  <c r="C221" i="14"/>
  <c r="C220" i="14"/>
  <c r="B248" i="14"/>
  <c r="B273" i="14"/>
  <c r="B272" i="14"/>
  <c r="B271" i="14"/>
  <c r="B270" i="14"/>
  <c r="B269" i="14"/>
  <c r="B268" i="14"/>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A248" i="14"/>
  <c r="A231" i="14"/>
  <c r="A252" i="14"/>
  <c r="A253" i="14"/>
  <c r="A254" i="14"/>
  <c r="A230" i="14"/>
  <c r="A229" i="14"/>
  <c r="A228" i="14"/>
  <c r="A227" i="14"/>
  <c r="A226" i="14"/>
  <c r="A225" i="14"/>
  <c r="A224" i="14"/>
  <c r="A223" i="14"/>
  <c r="A222" i="14"/>
  <c r="A221" i="14"/>
  <c r="A220" i="14"/>
  <c r="A219" i="14"/>
  <c r="D219" i="14"/>
  <c r="C219" i="14"/>
  <c r="B219" i="14"/>
  <c r="B255" i="14" s="1"/>
  <c r="C224" i="14"/>
  <c r="G314" i="3"/>
  <c r="G313" i="3"/>
  <c r="G312" i="3"/>
  <c r="G311" i="3"/>
  <c r="G302" i="3"/>
  <c r="B101" i="7" s="1"/>
  <c r="G303" i="3"/>
  <c r="B104" i="7" s="1"/>
  <c r="G304" i="3"/>
  <c r="B107" i="7" s="1"/>
  <c r="G30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57" i="14"/>
  <c r="G220" i="14"/>
  <c r="G262" i="14"/>
  <c r="G270" i="14"/>
  <c r="G260" i="14"/>
  <c r="G267" i="14"/>
  <c r="G268" i="14"/>
  <c r="G276" i="14"/>
  <c r="G284" i="14"/>
  <c r="G261" i="14"/>
  <c r="G269" i="14"/>
  <c r="G277" i="14"/>
  <c r="G255" i="14"/>
  <c r="G263" i="14"/>
  <c r="G279" i="14"/>
  <c r="G256" i="14"/>
  <c r="G264" i="14"/>
  <c r="G258" i="14"/>
  <c r="G266" i="14"/>
  <c r="G280" i="14"/>
  <c r="G272" i="14"/>
  <c r="G281" i="14"/>
  <c r="G274" i="14"/>
  <c r="G275" i="14"/>
  <c r="G278" i="14"/>
  <c r="G259" i="14"/>
  <c r="G283" i="14"/>
  <c r="G282" i="14"/>
  <c r="G273" i="14"/>
  <c r="G225" i="14"/>
  <c r="G231" i="14"/>
  <c r="G271" i="14"/>
  <c r="G223" i="14"/>
  <c r="G229" i="14"/>
  <c r="G265" i="14"/>
  <c r="G224" i="14"/>
  <c r="G230" i="14"/>
  <c r="G248" i="14"/>
  <c r="G219"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49" i="14"/>
  <c r="F48" i="14"/>
  <c r="F47" i="14"/>
  <c r="I20" i="14"/>
  <c r="I21" i="14" s="1"/>
  <c r="G3" i="14"/>
  <c r="A34" i="14" s="1"/>
  <c r="A1" i="14"/>
  <c r="A157" i="14" s="1"/>
  <c r="E82" i="14" l="1"/>
  <c r="I22" i="14"/>
  <c r="I167" i="14"/>
  <c r="I211" i="14"/>
  <c r="J211" i="14" s="1"/>
  <c r="A33" i="14"/>
  <c r="A47" i="14" s="1"/>
  <c r="H153" i="14"/>
  <c r="I213" i="14"/>
  <c r="I172" i="14"/>
  <c r="G177" i="14"/>
  <c r="G172" i="14"/>
  <c r="G167" i="14"/>
  <c r="I177" i="14"/>
  <c r="A162" i="14"/>
  <c r="B100" i="14"/>
  <c r="I212" i="14"/>
  <c r="J212" i="14" s="1"/>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I278" i="14" l="1"/>
  <c r="I282" i="14"/>
  <c r="I279" i="14"/>
  <c r="I276" i="14"/>
  <c r="I273" i="14"/>
  <c r="I270" i="14"/>
  <c r="I267" i="14"/>
  <c r="I284" i="14"/>
  <c r="I275" i="14"/>
  <c r="I281" i="14"/>
  <c r="I272" i="14"/>
  <c r="I269" i="14"/>
  <c r="I266" i="14"/>
  <c r="I283" i="14"/>
  <c r="I280" i="14"/>
  <c r="I277" i="14"/>
  <c r="I274" i="14"/>
  <c r="I271" i="14"/>
  <c r="I268" i="14"/>
  <c r="E80" i="3"/>
  <c r="E79" i="3"/>
  <c r="E81" i="3"/>
  <c r="M81" i="3"/>
  <c r="E146" i="3"/>
  <c r="I22" i="3" l="1"/>
  <c r="H75" i="5"/>
  <c r="G197" i="14" s="1"/>
  <c r="E82"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4" i="14" s="1"/>
  <c r="A204" i="3"/>
  <c r="O41" i="5"/>
  <c r="Y50" i="5"/>
  <c r="AE50" i="5" s="1"/>
  <c r="G50" i="5"/>
  <c r="M50" i="5" s="1"/>
  <c r="G46" i="5"/>
  <c r="O45" i="5" s="1"/>
  <c r="G38" i="11"/>
  <c r="K37" i="24" s="1"/>
  <c r="AG41" i="5"/>
  <c r="H185" i="14"/>
  <c r="Q9" i="16"/>
  <c r="Q26" i="16"/>
  <c r="F26" i="16"/>
  <c r="F9" i="16"/>
  <c r="P26" i="16"/>
  <c r="P9" i="16"/>
  <c r="E9" i="16"/>
  <c r="E26" i="16"/>
  <c r="Y46" i="5"/>
  <c r="AG45" i="5" s="1"/>
  <c r="X5" i="5"/>
  <c r="E144" i="14"/>
  <c r="G40" i="11"/>
  <c r="G37" i="11"/>
  <c r="K36" i="24" s="1"/>
  <c r="Y29" i="5"/>
  <c r="G39" i="11"/>
  <c r="A202"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35" i="3"/>
  <c r="E134" i="14" s="1"/>
  <c r="I185" i="3"/>
  <c r="I185" i="14"/>
  <c r="G185" i="3"/>
  <c r="G185" i="14"/>
  <c r="Q25" i="16"/>
  <c r="Q8" i="16"/>
  <c r="I169" i="14"/>
  <c r="F8" i="16"/>
  <c r="F25" i="16"/>
  <c r="I40" i="11"/>
  <c r="I39" i="11"/>
  <c r="A40" i="14"/>
  <c r="G173" i="14"/>
  <c r="I168" i="14" l="1"/>
  <c r="I173" i="14"/>
  <c r="Y33" i="5"/>
  <c r="G168" i="14"/>
  <c r="G169" i="14"/>
  <c r="AH29" i="5"/>
  <c r="I178" i="14"/>
  <c r="G178" i="14"/>
  <c r="G179" i="14"/>
  <c r="G174" i="14"/>
  <c r="G184" i="14" l="1"/>
  <c r="Z58" i="5"/>
  <c r="I191" i="3" s="1"/>
  <c r="P3" i="7"/>
  <c r="P97" i="7" s="1"/>
  <c r="I174" i="14"/>
  <c r="I179" i="14"/>
  <c r="I184" i="14" s="1"/>
  <c r="P29" i="5"/>
  <c r="F3" i="7" s="1"/>
  <c r="O31" i="5"/>
  <c r="K31" i="5" s="1"/>
  <c r="H54" i="5" s="1"/>
  <c r="G33" i="5"/>
  <c r="AN33" i="5" s="1"/>
  <c r="AG31" i="5"/>
  <c r="AC31" i="5" s="1"/>
  <c r="AF58" i="5"/>
  <c r="I191" i="14" s="1"/>
  <c r="J184" i="14"/>
  <c r="J252" i="14"/>
  <c r="AN36" i="5"/>
  <c r="AN35" i="5"/>
  <c r="AE33" i="5"/>
  <c r="I186" i="14" s="1"/>
  <c r="J186" i="14"/>
  <c r="C274" i="3"/>
  <c r="C273" i="3"/>
  <c r="C272" i="3"/>
  <c r="C271" i="3"/>
  <c r="C270" i="3"/>
  <c r="C269" i="3"/>
  <c r="C268" i="3"/>
  <c r="C267" i="3"/>
  <c r="C266" i="3"/>
  <c r="C265" i="3"/>
  <c r="C264" i="3"/>
  <c r="B265" i="3"/>
  <c r="B266" i="3"/>
  <c r="B267" i="3"/>
  <c r="B268" i="3"/>
  <c r="B269" i="3"/>
  <c r="B270" i="3"/>
  <c r="B271" i="3"/>
  <c r="B272" i="3"/>
  <c r="B273" i="3"/>
  <c r="B274" i="3"/>
  <c r="B264" i="3"/>
  <c r="A265" i="3"/>
  <c r="A256" i="14" s="1"/>
  <c r="A266" i="3"/>
  <c r="A257" i="14" s="1"/>
  <c r="A267" i="3"/>
  <c r="A258" i="14" s="1"/>
  <c r="A268" i="3"/>
  <c r="A269" i="3"/>
  <c r="A270" i="3"/>
  <c r="A271" i="3"/>
  <c r="A272" i="3"/>
  <c r="A273" i="3"/>
  <c r="A274" i="3"/>
  <c r="A264" i="3"/>
  <c r="A255" i="14" s="1"/>
  <c r="H305" i="3"/>
  <c r="J304" i="3"/>
  <c r="J303" i="3"/>
  <c r="J302" i="3"/>
  <c r="J301" i="3"/>
  <c r="I265" i="3"/>
  <c r="I266" i="3"/>
  <c r="I267" i="3"/>
  <c r="I268" i="3"/>
  <c r="I269" i="3"/>
  <c r="I270" i="3"/>
  <c r="I271" i="3"/>
  <c r="I272" i="3"/>
  <c r="I273" i="3"/>
  <c r="I274" i="3"/>
  <c r="I26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64" i="3"/>
  <c r="I255" i="14"/>
  <c r="J255" i="14" s="1"/>
  <c r="I260" i="14"/>
  <c r="I265" i="14"/>
  <c r="I259" i="14"/>
  <c r="O39" i="5"/>
  <c r="O46" i="5" s="1"/>
  <c r="J47" i="5" s="1"/>
  <c r="Z54" i="5"/>
  <c r="N6" i="16"/>
  <c r="O10" i="16" s="1"/>
  <c r="AG39" i="5"/>
  <c r="AG46" i="5" s="1"/>
  <c r="AB47" i="5" s="1"/>
  <c r="H53" i="5"/>
  <c r="C6" i="16"/>
  <c r="H58" i="5"/>
  <c r="N58" i="5"/>
  <c r="G191" i="14" s="1"/>
  <c r="H184" i="14"/>
  <c r="J216" i="14"/>
  <c r="Z53" i="5"/>
  <c r="H186" i="14"/>
  <c r="AN32" i="5"/>
  <c r="M33" i="5"/>
  <c r="G186" i="14" s="1"/>
  <c r="AQ35" i="5"/>
  <c r="AQ36" i="5"/>
  <c r="J30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73" i="7"/>
  <c r="H287" i="3"/>
  <c r="R52" i="7"/>
  <c r="H280" i="3"/>
  <c r="R34" i="7"/>
  <c r="R16" i="7"/>
  <c r="R13" i="7"/>
  <c r="R28" i="7"/>
  <c r="R64" i="7"/>
  <c r="H284" i="3"/>
  <c r="R22" i="7"/>
  <c r="R85" i="7"/>
  <c r="H291" i="3"/>
  <c r="R79" i="7"/>
  <c r="H289" i="3"/>
  <c r="R40" i="7"/>
  <c r="R55" i="7"/>
  <c r="H281" i="3"/>
  <c r="R31" i="7"/>
  <c r="R19" i="7"/>
  <c r="R7" i="7"/>
  <c r="R10" i="7"/>
  <c r="R61" i="7"/>
  <c r="H283" i="3"/>
  <c r="R25" i="7"/>
  <c r="R70" i="7"/>
  <c r="H286" i="3"/>
  <c r="H284" i="14"/>
  <c r="J284" i="14" s="1"/>
  <c r="J293" i="3"/>
  <c r="R43" i="7"/>
  <c r="H277" i="3"/>
  <c r="R88" i="7"/>
  <c r="H292" i="3"/>
  <c r="R46" i="7"/>
  <c r="H278" i="3"/>
  <c r="R82" i="7"/>
  <c r="H290" i="3"/>
  <c r="R76" i="7"/>
  <c r="H288" i="3"/>
  <c r="R67" i="7"/>
  <c r="H285" i="3"/>
  <c r="R49" i="7"/>
  <c r="H279" i="3"/>
  <c r="R58" i="7"/>
  <c r="H282" i="3"/>
  <c r="P110" i="7"/>
  <c r="R98" i="7"/>
  <c r="R91" i="7"/>
  <c r="AG42" i="5"/>
  <c r="AB43" i="5" s="1"/>
  <c r="I189" i="3" s="1"/>
  <c r="O50" i="5"/>
  <c r="AG50" i="5"/>
  <c r="Z57" i="5" s="1"/>
  <c r="O42" i="5"/>
  <c r="J43" i="5" s="1"/>
  <c r="AQ33" i="5"/>
  <c r="AQ32" i="5"/>
  <c r="L202" i="14"/>
  <c r="N202" i="14" s="1"/>
  <c r="G3" i="3"/>
  <c r="D17" i="16" l="1"/>
  <c r="J51" i="5"/>
  <c r="H57" i="5" s="1"/>
  <c r="H59" i="5" s="1"/>
  <c r="H61" i="5" s="1"/>
  <c r="H63" i="5" s="1"/>
  <c r="Z59" i="5"/>
  <c r="Z61" i="5" s="1"/>
  <c r="I190" i="3"/>
  <c r="H273" i="14"/>
  <c r="J273" i="14" s="1"/>
  <c r="J282" i="3"/>
  <c r="H270" i="14"/>
  <c r="J270" i="14" s="1"/>
  <c r="J279" i="3"/>
  <c r="H269" i="14"/>
  <c r="J269" i="14" s="1"/>
  <c r="J278" i="3"/>
  <c r="H264" i="14"/>
  <c r="J264" i="14" s="1"/>
  <c r="J273" i="3"/>
  <c r="H259" i="14"/>
  <c r="J259" i="14" s="1"/>
  <c r="J268" i="3"/>
  <c r="H257" i="14"/>
  <c r="J257" i="14" s="1"/>
  <c r="J266" i="3"/>
  <c r="H280" i="14"/>
  <c r="J280" i="14" s="1"/>
  <c r="J289" i="3"/>
  <c r="H263" i="14"/>
  <c r="J263" i="14" s="1"/>
  <c r="J272" i="3"/>
  <c r="H272" i="14"/>
  <c r="J272" i="14" s="1"/>
  <c r="J281" i="3"/>
  <c r="H265" i="14"/>
  <c r="J265" i="14" s="1"/>
  <c r="J274" i="3"/>
  <c r="H276" i="14"/>
  <c r="J276" i="14" s="1"/>
  <c r="J285" i="3"/>
  <c r="H277" i="14"/>
  <c r="J277" i="14" s="1"/>
  <c r="J286" i="3"/>
  <c r="H256" i="14"/>
  <c r="J265" i="3"/>
  <c r="H282" i="14"/>
  <c r="J282" i="14" s="1"/>
  <c r="J291" i="3"/>
  <c r="H283" i="14"/>
  <c r="J283" i="14" s="1"/>
  <c r="J292" i="3"/>
  <c r="H279" i="14"/>
  <c r="J279" i="14" s="1"/>
  <c r="J288" i="3"/>
  <c r="H268" i="14"/>
  <c r="J268" i="14" s="1"/>
  <c r="J277" i="3"/>
  <c r="H271" i="14"/>
  <c r="J271" i="14" s="1"/>
  <c r="J280" i="3"/>
  <c r="H262" i="14"/>
  <c r="J262" i="14" s="1"/>
  <c r="J271" i="3"/>
  <c r="H261" i="14"/>
  <c r="J261" i="14" s="1"/>
  <c r="J270" i="3"/>
  <c r="H281" i="14"/>
  <c r="J281" i="14" s="1"/>
  <c r="J290" i="3"/>
  <c r="H258" i="14"/>
  <c r="J258" i="14" s="1"/>
  <c r="J267" i="3"/>
  <c r="H278" i="14"/>
  <c r="J278" i="14" s="1"/>
  <c r="J287" i="3"/>
  <c r="H260" i="14"/>
  <c r="J260" i="14" s="1"/>
  <c r="J269" i="3"/>
  <c r="H274" i="14"/>
  <c r="J274" i="14" s="1"/>
  <c r="J283" i="3"/>
  <c r="H267" i="14"/>
  <c r="J267" i="14" s="1"/>
  <c r="J276" i="3"/>
  <c r="H275" i="14"/>
  <c r="J275" i="14" s="1"/>
  <c r="J284" i="3"/>
  <c r="L200" i="14"/>
  <c r="M200" i="14" s="1"/>
  <c r="M202" i="14"/>
  <c r="O202" i="14" s="1"/>
  <c r="J225" i="3"/>
  <c r="J261" i="3"/>
  <c r="I325" i="3"/>
  <c r="I322" i="3"/>
  <c r="I321" i="3"/>
  <c r="I320" i="3"/>
  <c r="F325" i="3"/>
  <c r="F322" i="3"/>
  <c r="F321" i="3"/>
  <c r="F320" i="3"/>
  <c r="A203" i="3"/>
  <c r="A202" i="3"/>
  <c r="J256" i="14" l="1"/>
  <c r="Z63" i="5"/>
  <c r="I194" i="3" s="1"/>
  <c r="I192" i="3"/>
  <c r="N200" i="14"/>
  <c r="O200" i="14" s="1"/>
  <c r="P200" i="14" s="1"/>
  <c r="P202"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61" i="14" s="1"/>
  <c r="E161" i="3"/>
  <c r="C161" i="3"/>
  <c r="A161" i="3"/>
  <c r="A204" i="14" l="1"/>
  <c r="L201" i="14"/>
  <c r="A209" i="14" s="1"/>
  <c r="I184" i="3"/>
  <c r="G168" i="3"/>
  <c r="I168" i="3"/>
  <c r="G173" i="3"/>
  <c r="G178" i="3"/>
  <c r="I178" i="3"/>
  <c r="I173" i="3"/>
  <c r="A41" i="3"/>
  <c r="I206" i="3"/>
  <c r="H151" i="3" s="1"/>
  <c r="H204" i="3"/>
  <c r="H203" i="3"/>
  <c r="J204" i="3"/>
  <c r="J203" i="3"/>
  <c r="J202" i="3"/>
  <c r="E70" i="3"/>
  <c r="H216" i="3" l="1"/>
  <c r="I216" i="3" s="1"/>
  <c r="J216" i="3" s="1"/>
  <c r="H215" i="3"/>
  <c r="I215" i="3" s="1"/>
  <c r="J215" i="3" s="1"/>
  <c r="H214" i="3"/>
  <c r="I214" i="3" s="1"/>
  <c r="J214" i="3" s="1"/>
  <c r="H213" i="3"/>
  <c r="I213" i="3" s="1"/>
  <c r="J213" i="3" s="1"/>
  <c r="H212" i="3"/>
  <c r="H155" i="3" s="1"/>
  <c r="H154" i="3"/>
  <c r="G216" i="3"/>
  <c r="G215" i="3"/>
  <c r="G214" i="3"/>
  <c r="G213"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2" i="7"/>
  <c r="C23" i="7" s="1"/>
  <c r="C16"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99" i="14" s="1"/>
  <c r="G27" i="6"/>
  <c r="F27" i="6"/>
  <c r="E27" i="6"/>
  <c r="F96" i="14" s="1"/>
  <c r="D27" i="6"/>
  <c r="C27" i="6"/>
  <c r="B27" i="6"/>
  <c r="F93" i="14" s="1"/>
  <c r="I26" i="6"/>
  <c r="I25" i="6"/>
  <c r="I24" i="6"/>
  <c r="I23" i="6"/>
  <c r="I22" i="6"/>
  <c r="I21" i="6"/>
  <c r="I20" i="6"/>
  <c r="I19" i="6"/>
  <c r="I18" i="6"/>
  <c r="I17" i="6"/>
  <c r="I16" i="6"/>
  <c r="D94" i="3"/>
  <c r="S89" i="5"/>
  <c r="AA87" i="5"/>
  <c r="AA86" i="5"/>
  <c r="M11" i="10"/>
  <c r="G119" i="3"/>
  <c r="G118" i="3"/>
  <c r="G117" i="3"/>
  <c r="G116" i="3"/>
  <c r="G115" i="3"/>
  <c r="I95" i="3"/>
  <c r="A34" i="3"/>
  <c r="A48" i="3" s="1"/>
  <c r="E83" i="3" l="1"/>
  <c r="F4" i="7"/>
  <c r="H228" i="3" s="1"/>
  <c r="E29" i="6"/>
  <c r="H29" i="6"/>
  <c r="C29" i="6"/>
  <c r="F94" i="14"/>
  <c r="G29" i="6"/>
  <c r="F98" i="14"/>
  <c r="F95" i="3"/>
  <c r="F99" i="3"/>
  <c r="D29" i="6"/>
  <c r="F95" i="14"/>
  <c r="F96" i="3"/>
  <c r="F100" i="3"/>
  <c r="B29" i="6"/>
  <c r="F97" i="3"/>
  <c r="F29" i="6"/>
  <c r="F97" i="14"/>
  <c r="F94" i="3"/>
  <c r="F98" i="3"/>
  <c r="AC86" i="5"/>
  <c r="G41" i="11"/>
  <c r="AC87" i="5"/>
  <c r="G42" i="11"/>
  <c r="Z69" i="5"/>
  <c r="AF69" i="5" s="1"/>
  <c r="I323" i="3"/>
  <c r="F323" i="3"/>
  <c r="H4" i="7"/>
  <c r="C71" i="7"/>
  <c r="E72" i="7" s="1"/>
  <c r="C108" i="7"/>
  <c r="E109" i="7" s="1"/>
  <c r="I211" i="3"/>
  <c r="J211" i="3" s="1"/>
  <c r="I212" i="3"/>
  <c r="J212" i="3" s="1"/>
  <c r="E36" i="7"/>
  <c r="C53" i="7"/>
  <c r="D54" i="7" s="1"/>
  <c r="C77" i="7"/>
  <c r="E78" i="7" s="1"/>
  <c r="D42" i="7"/>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61" i="7"/>
  <c r="C62" i="7"/>
  <c r="C104" i="7"/>
  <c r="C105" i="7"/>
  <c r="C19" i="7"/>
  <c r="C20" i="7" s="1"/>
  <c r="C25" i="7"/>
  <c r="C31" i="7"/>
  <c r="C67" i="7"/>
  <c r="C68" i="7"/>
  <c r="C37" i="7"/>
  <c r="N39" i="7" s="1"/>
  <c r="P37" i="7" s="1"/>
  <c r="C73" i="7"/>
  <c r="C74" i="7"/>
  <c r="C13" i="7"/>
  <c r="C79" i="7"/>
  <c r="C80" i="7"/>
  <c r="B101" i="3"/>
  <c r="H266" i="14" l="1"/>
  <c r="J275" i="3"/>
  <c r="J294" i="3" s="1"/>
  <c r="H294" i="3"/>
  <c r="R37" i="7"/>
  <c r="R94" i="7" s="1"/>
  <c r="P94" i="7"/>
  <c r="F101" i="3"/>
  <c r="F100" i="14"/>
  <c r="I41" i="11"/>
  <c r="H219" i="14"/>
  <c r="I42" i="11"/>
  <c r="D109" i="7"/>
  <c r="D95" i="3"/>
  <c r="D96" i="3"/>
  <c r="I96" i="3" s="1"/>
  <c r="J228"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6" i="14" l="1"/>
  <c r="J285" i="14" s="1"/>
  <c r="I315" i="14" s="1"/>
  <c r="I317" i="14" s="1"/>
  <c r="H285" i="14"/>
  <c r="Z68" i="5"/>
  <c r="I324" i="3"/>
  <c r="I326" i="3" s="1"/>
  <c r="J219" i="14"/>
  <c r="D98" i="3"/>
  <c r="I98" i="3" s="1"/>
  <c r="G170" i="3"/>
  <c r="G169" i="3"/>
  <c r="G179" i="3"/>
  <c r="G175" i="3"/>
  <c r="G174" i="3"/>
  <c r="E18" i="10"/>
  <c r="G182" i="3"/>
  <c r="AF68" i="5" l="1"/>
  <c r="Z72" i="5"/>
  <c r="Z74" i="5" s="1"/>
  <c r="I196" i="3" s="1"/>
  <c r="AF72" i="5"/>
  <c r="D100" i="3"/>
  <c r="I100" i="3" s="1"/>
  <c r="D99" i="3"/>
  <c r="I99" i="3" s="1"/>
  <c r="E20" i="10"/>
  <c r="G180" i="3"/>
  <c r="G184" i="3" s="1"/>
  <c r="I195" i="14" l="1"/>
  <c r="I195" i="3"/>
  <c r="H184" i="3"/>
  <c r="G191" i="3"/>
  <c r="H186" i="3"/>
  <c r="G186" i="3"/>
  <c r="M10" i="10"/>
  <c r="P11" i="10" s="1"/>
  <c r="M19" i="10" s="1"/>
  <c r="P19" i="10" s="1"/>
  <c r="AE39" i="5" s="1"/>
  <c r="G189" i="3"/>
  <c r="H202"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82" i="14"/>
  <c r="C23" i="16"/>
  <c r="H229" i="3"/>
  <c r="H220" i="14" s="1"/>
  <c r="H257" i="3"/>
  <c r="H230" i="3"/>
  <c r="AI42" i="5"/>
  <c r="AE43" i="5" s="1"/>
  <c r="I189" i="14" s="1"/>
  <c r="AI46" i="5"/>
  <c r="AE47" i="5" s="1"/>
  <c r="J202" i="14" s="1"/>
  <c r="AI50" i="5"/>
  <c r="Q39" i="5"/>
  <c r="M37" i="5"/>
  <c r="G181" i="14" s="1"/>
  <c r="Q45" i="5"/>
  <c r="H16" i="7"/>
  <c r="H232" i="3"/>
  <c r="H223" i="14" s="1"/>
  <c r="J223" i="14" s="1"/>
  <c r="H31" i="7"/>
  <c r="H237" i="3"/>
  <c r="H228" i="14" s="1"/>
  <c r="J228" i="14" s="1"/>
  <c r="H61" i="7"/>
  <c r="H247" i="3"/>
  <c r="H238" i="14" s="1"/>
  <c r="J238" i="14" s="1"/>
  <c r="H58" i="7"/>
  <c r="H246" i="3"/>
  <c r="H237" i="14" s="1"/>
  <c r="J237" i="14" s="1"/>
  <c r="H52" i="7"/>
  <c r="H244" i="3"/>
  <c r="H235" i="14" s="1"/>
  <c r="J235" i="14" s="1"/>
  <c r="H19" i="7"/>
  <c r="H233" i="3"/>
  <c r="H224" i="14" s="1"/>
  <c r="J224" i="14" s="1"/>
  <c r="H73" i="7"/>
  <c r="H251" i="3"/>
  <c r="H242" i="14" s="1"/>
  <c r="J242" i="14" s="1"/>
  <c r="H49" i="7"/>
  <c r="H243" i="3"/>
  <c r="H234" i="14" s="1"/>
  <c r="J234" i="14" s="1"/>
  <c r="H40" i="7"/>
  <c r="H240" i="3"/>
  <c r="H231" i="14" s="1"/>
  <c r="J231" i="14" s="1"/>
  <c r="H79" i="7"/>
  <c r="H253" i="3"/>
  <c r="H244" i="14" s="1"/>
  <c r="J244" i="14" s="1"/>
  <c r="H85" i="7"/>
  <c r="H255" i="3"/>
  <c r="H246" i="14" s="1"/>
  <c r="J246" i="14" s="1"/>
  <c r="H88" i="7"/>
  <c r="H256" i="3"/>
  <c r="H247" i="14" s="1"/>
  <c r="J247" i="14" s="1"/>
  <c r="H55" i="7"/>
  <c r="H245" i="3"/>
  <c r="H236" i="14" s="1"/>
  <c r="J236" i="14" s="1"/>
  <c r="H46" i="7"/>
  <c r="H242" i="3"/>
  <c r="H233" i="14" s="1"/>
  <c r="J233" i="14" s="1"/>
  <c r="H64" i="7"/>
  <c r="H248" i="3"/>
  <c r="H239" i="14" s="1"/>
  <c r="J239" i="14" s="1"/>
  <c r="H82" i="7"/>
  <c r="H254" i="3"/>
  <c r="H245" i="14" s="1"/>
  <c r="J245" i="14" s="1"/>
  <c r="H70" i="7"/>
  <c r="H250" i="3"/>
  <c r="H241" i="14" s="1"/>
  <c r="J241" i="14" s="1"/>
  <c r="H22" i="7"/>
  <c r="H234" i="3"/>
  <c r="H225" i="14" s="1"/>
  <c r="J225" i="14" s="1"/>
  <c r="H28" i="7"/>
  <c r="H236" i="3"/>
  <c r="H227" i="14" s="1"/>
  <c r="J227" i="14" s="1"/>
  <c r="H43" i="7"/>
  <c r="H241" i="3"/>
  <c r="H232" i="14" s="1"/>
  <c r="J232" i="14" s="1"/>
  <c r="H25" i="7"/>
  <c r="H235" i="3"/>
  <c r="H226" i="14" s="1"/>
  <c r="J226" i="14" s="1"/>
  <c r="H67" i="7"/>
  <c r="H249" i="3"/>
  <c r="H240" i="14" s="1"/>
  <c r="J240" i="14" s="1"/>
  <c r="H76" i="7"/>
  <c r="H252" i="3"/>
  <c r="H243" i="14" s="1"/>
  <c r="J243" i="14" s="1"/>
  <c r="H34" i="7"/>
  <c r="H238" i="3"/>
  <c r="H229" i="14" s="1"/>
  <c r="J229" i="14" s="1"/>
  <c r="H13" i="7"/>
  <c r="H231" i="3"/>
  <c r="H222" i="14" s="1"/>
  <c r="J222" i="14" s="1"/>
  <c r="H37" i="7"/>
  <c r="H239" i="3"/>
  <c r="H230" i="14" s="1"/>
  <c r="J230" i="14" s="1"/>
  <c r="H10" i="7"/>
  <c r="H7" i="7"/>
  <c r="H98" i="7"/>
  <c r="F110" i="7"/>
  <c r="H91" i="7"/>
  <c r="F94" i="7"/>
  <c r="G190" i="3"/>
  <c r="AE51" i="5" l="1"/>
  <c r="AF57" i="5" s="1"/>
  <c r="I190" i="14" s="1"/>
  <c r="O34" i="16"/>
  <c r="D27" i="16"/>
  <c r="K32" i="16"/>
  <c r="D32" i="16" s="1"/>
  <c r="K34" i="16"/>
  <c r="K33" i="16" s="1"/>
  <c r="K30" i="16"/>
  <c r="D30" i="16" s="1"/>
  <c r="J229" i="3"/>
  <c r="J230" i="3"/>
  <c r="H221" i="14"/>
  <c r="J221" i="14" s="1"/>
  <c r="J257" i="3"/>
  <c r="H248" i="14"/>
  <c r="J248" i="14" s="1"/>
  <c r="J220" i="14"/>
  <c r="H258" i="3"/>
  <c r="Q46" i="5"/>
  <c r="M47" i="5" s="1"/>
  <c r="H202" i="14" s="1"/>
  <c r="Q42" i="5"/>
  <c r="M43" i="5" s="1"/>
  <c r="G189" i="14" s="1"/>
  <c r="Q50" i="5"/>
  <c r="J231" i="3"/>
  <c r="J252" i="3"/>
  <c r="J234" i="3"/>
  <c r="J248" i="3"/>
  <c r="J256" i="3"/>
  <c r="J240" i="3"/>
  <c r="J233" i="3"/>
  <c r="J247" i="3"/>
  <c r="J238" i="3"/>
  <c r="J249" i="3"/>
  <c r="J241" i="3"/>
  <c r="J242" i="3"/>
  <c r="J255" i="3"/>
  <c r="J243" i="3"/>
  <c r="J244" i="3"/>
  <c r="J237" i="3"/>
  <c r="J250" i="3"/>
  <c r="J236" i="3"/>
  <c r="J254" i="3"/>
  <c r="J245" i="3"/>
  <c r="J253" i="3"/>
  <c r="J251" i="3"/>
  <c r="J246" i="3"/>
  <c r="J232" i="3"/>
  <c r="J239" i="3"/>
  <c r="J235" i="3"/>
  <c r="H94" i="7"/>
  <c r="G192" i="3"/>
  <c r="D34" i="16" l="1"/>
  <c r="M51" i="5"/>
  <c r="N57" i="5" s="1"/>
  <c r="H249" i="14"/>
  <c r="J249" i="14"/>
  <c r="F315" i="14" s="1"/>
  <c r="F317" i="14" s="1"/>
  <c r="AF59" i="5"/>
  <c r="AF61" i="5" s="1"/>
  <c r="I192" i="14" s="1"/>
  <c r="J258" i="3"/>
  <c r="G194" i="3"/>
  <c r="N59" i="5" l="1"/>
  <c r="N61" i="5" s="1"/>
  <c r="G190" i="14"/>
  <c r="AF63" i="5"/>
  <c r="I194" i="14" s="1"/>
  <c r="F324" i="3"/>
  <c r="F326" i="3" s="1"/>
  <c r="H68" i="5"/>
  <c r="N63" i="5" l="1"/>
  <c r="G194" i="14" s="1"/>
  <c r="G192" i="14"/>
  <c r="AF74" i="5"/>
  <c r="H72" i="5"/>
  <c r="G195" i="14" s="1"/>
  <c r="N68" i="5"/>
  <c r="N72" i="5"/>
  <c r="I196" i="14" l="1"/>
  <c r="N74" i="5"/>
  <c r="G196" i="14" s="1"/>
  <c r="H74" i="5"/>
  <c r="G195" i="3"/>
  <c r="A206" i="14" l="1"/>
  <c r="A200" i="14"/>
  <c r="A207" i="14" s="1"/>
  <c r="N77" i="5"/>
  <c r="G198" i="14" s="1"/>
  <c r="AF75" i="5"/>
  <c r="H77" i="5"/>
  <c r="Z75" i="5"/>
  <c r="G196" i="3"/>
  <c r="A200" i="3" l="1"/>
  <c r="A207" i="3" s="1"/>
  <c r="A206" i="3"/>
  <c r="AF77" i="5"/>
  <c r="AF79" i="5" s="1"/>
  <c r="Z77" i="5"/>
  <c r="E36" i="11" s="1"/>
  <c r="G35" i="24" s="1"/>
  <c r="G198" i="3"/>
  <c r="C10" i="13" l="1"/>
  <c r="D10" i="13" s="1"/>
  <c r="E10" i="13" s="1"/>
  <c r="AI79" i="5"/>
  <c r="I200" i="14"/>
  <c r="I207" i="14"/>
  <c r="H152" i="14" s="1"/>
  <c r="B9" i="6"/>
  <c r="B10" i="6" s="1"/>
  <c r="B11" i="6" s="1"/>
  <c r="C16" i="13"/>
  <c r="D16" i="13" s="1"/>
  <c r="E16" i="13" s="1"/>
  <c r="I200" i="3"/>
  <c r="I207" i="3"/>
  <c r="G208" i="3" s="1"/>
  <c r="Z79" i="5"/>
  <c r="G36" i="11" s="1"/>
  <c r="K35" i="24" l="1"/>
  <c r="G208" i="14"/>
  <c r="A208" i="14" s="1"/>
  <c r="AC79" i="5"/>
  <c r="H153" i="3"/>
  <c r="A208" i="3"/>
  <c r="I208"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<sst xmlns="http://schemas.openxmlformats.org/spreadsheetml/2006/main" count="1677" uniqueCount="813">
  <si>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</si>
  <si>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</si>
  <si>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</si>
  <si>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</si>
  <si>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</si>
  <si>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</si>
  <si>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</si>
  <si>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</si>
  <si>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</si>
  <si>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</si>
  <si>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</si>
  <si>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</si>
  <si>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</si>
  <si>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</si>
  <si>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</si>
  <si>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</si>
  <si>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</si>
  <si>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</si>
  <si>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</si>
  <si>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</si>
  <si>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</si>
  <si>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</si>
  <si>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</si>
  <si>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</si>
  <si>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</si>
  <si>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</si>
  <si>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</si>
  <si>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</si>
  <si>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</si>
  <si>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</si>
  <si>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</si>
  <si>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</si>
  <si>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</si>
  <si>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</si>
  <si>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</si>
  <si>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</si>
  <si>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</si>
  <si>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</si>
  <si>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</si>
  <si>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</si>
  <si>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</si>
  <si>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</si>
  <si>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</si>
  <si>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</si>
  <si>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</si>
  <si>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</si>
  <si>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</si>
  <si>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</si>
  <si>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</si>
  <si>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</si>
  <si>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</si>
  <si>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</si>
  <si>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</si>
  <si>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</si>
  <si>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</si>
  <si>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</si>
  <si>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</si>
  <si>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</si>
  <si>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</si>
  <si>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</si>
  <si>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</si>
  <si>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</si>
  <si>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</si>
  <si>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</si>
  <si>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</si>
  <si>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</si>
  <si>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</si>
  <si>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</si>
  <si>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</si>
  <si>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</si>
  <si>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</si>
  <si>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</si>
  <si>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</si>
  <si>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</si>
  <si>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</si>
  <si>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</si>
  <si>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</si>
  <si>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</si>
  <si>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</si>
  <si>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</si>
  <si>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</si>
  <si>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</si>
  <si>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</si>
  <si>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</si>
  <si>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</si>
  <si>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</si>
  <si>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</si>
  <si>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</si>
  <si>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</si>
  <si>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</si>
  <si>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</si>
  <si>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</si>
  <si>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</si>
  <si>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</si>
  <si>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</si>
  <si>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</si>
  <si>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</si>
  <si>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</si>
  <si>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</si>
  <si>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</si>
  <si>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</si>
  <si>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</si>
  <si>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</si>
  <si>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</si>
  <si>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</si>
  <si>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</si>
  <si>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</si>
  <si>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</si>
  <si>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</si>
  <si>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</si>
  <si>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</si>
  <si>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</si>
  <si>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</si>
  <si>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</si>
  <si>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</si>
  <si>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</si>
  <si>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</si>
  <si>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</si>
  <si>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</si>
  <si>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</si>
  <si>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</si>
  <si>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</si>
  <si>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</si>
  <si>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</si>
  <si>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</si>
  <si>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</si>
  <si>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</si>
  <si>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</si>
  <si>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</si>
  <si>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</si>
  <si>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</si>
  <si>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</si>
  <si>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</si>
  <si>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</si>
  <si>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</si>
  <si>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</si>
  <si>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</si>
  <si>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</si>
  <si>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</si>
  <si>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</si>
  <si>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</si>
  <si>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</si>
  <si>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</si>
  <si>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</si>
  <si>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</si>
  <si>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</si>
  <si>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</si>
  <si>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</si>
  <si>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</si>
  <si>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</si>
  <si>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</si>
  <si>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</si>
  <si>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</si>
  <si>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</si>
  <si>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</si>
  <si>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</si>
  <si>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</si>
  <si>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</si>
  <si>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</si>
  <si>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</si>
  <si>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</si>
  <si>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</si>
  <si>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</si>
  <si>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</si>
  <si>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</si>
  <si>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</si>
  <si>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</si>
  <si>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</si>
  <si>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</si>
  <si>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</si>
  <si>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</si>
  <si>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</si>
  <si>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</si>
  <si>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</si>
  <si>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</si>
  <si>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</si>
  <si>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</si>
  <si>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</si>
  <si>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</si>
  <si>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</si>
  <si>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</si>
  <si>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</si>
  <si>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</si>
  <si>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</si>
  <si>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</si>
  <si>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</si>
  <si>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</si>
  <si>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</si>
  <si>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</si>
  <si>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</si>
  <si>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</si>
  <si>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</si>
  <si>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</si>
  <si>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</si>
  <si>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CG</t>
  </si>
  <si>
    <t>RO</t>
  </si>
  <si>
    <t>CB</t>
  </si>
  <si>
    <t>SH</t>
  </si>
  <si>
    <t>CO</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</si>
  <si>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</si>
  <si>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</si>
  <si>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</si>
  <si>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</si>
  <si>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</si>
  <si>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</si>
  <si>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</si>
  <si>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</si>
  <si>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</si>
  <si>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</si>
  <si>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</si>
  <si>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</si>
  <si>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</si>
  <si>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</si>
  <si>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</si>
  <si>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</si>
  <si>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</si>
  <si>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</si>
  <si>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</si>
  <si>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</si>
  <si>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</si>
  <si>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</si>
  <si>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</si>
  <si>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</si>
  <si>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</si>
  <si>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</si>
  <si>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</si>
  <si>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</si>
  <si>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</si>
  <si>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</si>
  <si>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</si>
  <si>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</si>
  <si>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</si>
  <si>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</si>
  <si>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</si>
  <si>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</si>
  <si>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</si>
  <si>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</si>
  <si>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</si>
  <si>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</si>
  <si>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</si>
  <si>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</si>
  <si>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</si>
  <si>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</si>
  <si>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</si>
  <si>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</si>
  <si>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</si>
  <si>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</si>
  <si>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</si>
  <si>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</si>
  <si>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</si>
  <si>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</si>
  <si>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</si>
  <si>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</si>
  <si>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</si>
  <si>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</si>
  <si>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</si>
  <si>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</si>
  <si>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</si>
  <si>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</si>
  <si>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</si>
  <si>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</si>
  <si>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</si>
  <si>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</si>
  <si>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</si>
  <si>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</si>
  <si>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</si>
  <si>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</si>
  <si>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</si>
  <si>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</si>
  <si>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</si>
  <si>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</si>
  <si>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</si>
  <si>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</si>
  <si>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</si>
  <si>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</si>
  <si>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</si>
  <si>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</si>
  <si>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</si>
  <si>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</si>
  <si>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</si>
  <si>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</si>
  <si>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</si>
  <si>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</si>
  <si>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</si>
  <si>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</si>
  <si>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</si>
  <si>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</si>
  <si>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</si>
  <si>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</si>
  <si>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</si>
  <si>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</si>
  <si>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</si>
  <si>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</si>
  <si>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</si>
  <si>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</si>
  <si>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</si>
  <si>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</si>
  <si>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</si>
  <si>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</si>
  <si>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</si>
  <si>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</si>
  <si>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</si>
  <si>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</si>
  <si>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</si>
  <si>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</si>
  <si>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</si>
  <si>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</si>
  <si>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</si>
  <si>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</si>
  <si>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</si>
  <si>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</si>
  <si>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</si>
  <si>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</si>
  <si>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</si>
  <si>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</si>
  <si>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</si>
  <si>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</si>
  <si>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</si>
  <si>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</si>
  <si>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</si>
  <si>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</si>
  <si>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</si>
  <si>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</si>
  <si>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</si>
  <si>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</si>
  <si>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</si>
  <si>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</si>
  <si>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</si>
  <si>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</si>
  <si>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</si>
  <si>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</si>
  <si>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</si>
  <si>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</si>
  <si>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</si>
  <si>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</si>
  <si>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</si>
  <si>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</si>
  <si>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</si>
  <si>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</si>
  <si>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</si>
  <si>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</si>
  <si>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</si>
  <si>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</si>
  <si>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</si>
  <si>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</si>
  <si>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</si>
  <si>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</si>
  <si>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</si>
  <si>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</si>
  <si>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</si>
  <si>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</si>
  <si>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</si>
  <si>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</si>
  <si>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</si>
  <si>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</si>
  <si>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</si>
  <si>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</si>
  <si>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</si>
  <si>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</si>
  <si>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</si>
  <si>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</si>
  <si>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</si>
  <si>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</si>
  <si>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</si>
  <si>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</si>
  <si>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</si>
  <si>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</si>
  <si>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</si>
  <si>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</si>
  <si>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</si>
  <si>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</si>
  <si>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</si>
  <si>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</si>
  <si>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</si>
  <si>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</si>
  <si>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</si>
  <si>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</si>
  <si>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</si>
  <si>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</si>
  <si>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</si>
  <si>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</si>
  <si>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</si>
  <si>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</si>
  <si>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</si>
  <si>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</si>
  <si>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</si>
  <si>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</si>
  <si>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</si>
  <si>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</si>
  <si>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</si>
  <si>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</si>
  <si>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</si>
  <si>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</si>
  <si>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</si>
  <si>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</si>
  <si>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</si>
  <si>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</si>
  <si>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</si>
  <si>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</si>
  <si>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</si>
  <si>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</si>
  <si>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</si>
  <si>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</si>
  <si>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</si>
  <si>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</si>
  <si>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</si>
  <si>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</si>
  <si>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</si>
  <si>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</si>
  <si>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</si>
  <si>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</si>
  <si>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</si>
  <si>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</si>
  <si>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</si>
  <si>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</si>
  <si>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</si>
  <si>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</si>
  <si>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</si>
  <si>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</si>
  <si>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</si>
  <si>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</si>
  <si>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</si>
  <si>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</si>
  <si>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</si>
  <si>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</si>
  <si>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</si>
  <si>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</si>
  <si>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</si>
  <si>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</si>
  <si>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</si>
  <si>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</si>
  <si>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</si>
  <si>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</si>
  <si>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</si>
  <si>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</si>
  <si>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</si>
  <si>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</si>
  <si>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</si>
  <si>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</si>
  <si>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</si>
  <si>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</si>
  <si>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</si>
  <si>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</si>
  <si>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</si>
  <si>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</si>
  <si>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</si>
  <si>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</si>
  <si>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</si>
  <si>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</si>
  <si>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</si>
  <si>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</si>
  <si>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</si>
  <si>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</si>
  <si>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</si>
  <si>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</si>
  <si>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</si>
  <si>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</si>
  <si>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</si>
  <si>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</si>
  <si>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</si>
  <si>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</si>
  <si>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</si>
  <si>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</si>
  <si>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</si>
  <si>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</si>
  <si>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</si>
  <si>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</si>
  <si>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</si>
  <si>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</si>
  <si>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</si>
  <si>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</si>
  <si>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</si>
  <si>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</si>
  <si>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</si>
  <si>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</si>
  <si>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</si>
  <si>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</si>
  <si>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</si>
  <si>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</si>
  <si>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</si>
  <si>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</si>
  <si>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</si>
  <si>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</si>
  <si>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</si>
  <si>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</si>
  <si>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</si>
  <si>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</si>
  <si>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</si>
  <si>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</si>
  <si>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</si>
  <si>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</si>
  <si>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</si>
  <si>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</si>
  <si>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</si>
  <si>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</si>
  <si>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</si>
  <si>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</si>
  <si>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</si>
  <si>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</si>
  <si>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</si>
  <si>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</si>
  <si>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</si>
  <si>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</si>
  <si>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</si>
  <si>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</si>
  <si>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</si>
  <si>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</si>
  <si>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</si>
  <si>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</si>
  <si>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</si>
  <si>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</si>
  <si>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</si>
  <si>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</si>
  <si>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</si>
  <si>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</si>
  <si>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</si>
  <si>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</si>
  <si>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</si>
  <si>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</si>
  <si>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</si>
  <si>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</si>
  <si>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</si>
  <si>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</si>
  <si>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</si>
  <si>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</si>
  <si>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</si>
  <si>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</si>
  <si>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</si>
  <si>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</si>
  <si>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</si>
  <si>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</si>
  <si>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</si>
  <si>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</si>
  <si>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</si>
  <si>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</si>
  <si>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</si>
  <si>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</si>
  <si>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</si>
  <si>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</si>
  <si>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</si>
  <si>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</si>
  <si>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</si>
  <si>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</si>
  <si>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</si>
  <si>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</si>
  <si>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</si>
  <si>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</si>
  <si>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</si>
  <si>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</si>
  <si>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</si>
  <si>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</si>
  <si>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</si>
  <si>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</si>
  <si>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</si>
  <si>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</si>
  <si>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</si>
  <si>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</si>
  <si>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</si>
  <si>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</si>
  <si>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</si>
  <si>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</si>
  <si>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</si>
  <si>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</si>
  <si>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</si>
  <si>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</si>
  <si>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</si>
  <si>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</si>
  <si>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</si>
  <si>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</si>
  <si>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</si>
  <si>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</si>
  <si>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</si>
  <si>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</si>
  <si>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</si>
  <si>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</si>
  <si>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</si>
  <si>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</si>
  <si>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</si>
  <si>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</si>
  <si>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</si>
  <si>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</si>
  <si>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</si>
  <si>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</si>
  <si>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</si>
  <si>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</si>
  <si>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</si>
  <si>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</si>
  <si>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</si>
  <si>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</si>
  <si>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</si>
  <si>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</si>
  <si>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</si>
  <si>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</si>
  <si>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</si>
  <si>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</si>
  <si>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</si>
  <si>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</si>
  <si>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</si>
  <si>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</si>
  <si>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</si>
  <si>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</si>
  <si>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</si>
  <si>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</si>
  <si>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</si>
  <si>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</si>
  <si>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</si>
  <si>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</si>
  <si>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</si>
  <si>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</si>
  <si>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</si>
  <si>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</si>
  <si>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</si>
  <si>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</si>
  <si>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</si>
  <si>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</si>
  <si>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</si>
  <si>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</si>
  <si>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</si>
  <si>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</si>
  <si>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</si>
  <si>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</si>
  <si>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</si>
  <si>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</si>
  <si>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</si>
  <si>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</si>
  <si>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</si>
  <si>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</si>
  <si>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</si>
  <si>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</si>
  <si>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</si>
  <si>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</si>
  <si>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</si>
  <si>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</si>
  <si>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</si>
  <si>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</si>
  <si>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</si>
  <si>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</si>
  <si>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</si>
  <si>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</si>
  <si>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</si>
  <si>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</si>
  <si>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</si>
  <si>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</si>
  <si>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</si>
  <si>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</si>
  <si>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</si>
  <si>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</si>
  <si>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</si>
  <si>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</si>
  <si>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</si>
  <si>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</si>
  <si>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</si>
  <si>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</si>
  <si>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</si>
  <si>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</si>
  <si>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</si>
  <si>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</si>
  <si>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</si>
  <si>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</si>
  <si>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</si>
  <si>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</si>
  <si>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</si>
  <si>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</si>
  <si>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</si>
  <si>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</si>
  <si>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</si>
  <si>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</si>
  <si>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</si>
  <si>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</si>
  <si>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</si>
  <si>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</si>
  <si>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</si>
  <si>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</si>
  <si>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</si>
  <si>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</si>
  <si>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</si>
  <si>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</si>
  <si>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</si>
  <si>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</si>
  <si>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</si>
  <si>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</si>
  <si>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</si>
  <si>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</si>
  <si>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</si>
  <si>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</si>
  <si>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</si>
  <si>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</si>
  <si>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</si>
  <si>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</si>
  <si>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</si>
  <si>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</si>
  <si>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</si>
  <si>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</si>
  <si>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</si>
  <si>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</si>
  <si>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</si>
  <si>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</si>
  <si>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</si>
  <si>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</si>
  <si>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</si>
  <si>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</si>
  <si>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</si>
  <si>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</si>
  <si>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</si>
  <si>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</si>
  <si>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</si>
  <si>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</si>
  <si>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</si>
  <si>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</si>
  <si>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</si>
  <si>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</si>
  <si>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</si>
  <si>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</si>
  <si>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</si>
  <si>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</si>
  <si>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</si>
  <si>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</si>
  <si>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</si>
  <si>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</si>
  <si>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</si>
  <si>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</si>
  <si>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</si>
  <si>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</si>
  <si>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</si>
  <si>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</si>
  <si>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</si>
  <si>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</si>
  <si>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</si>
  <si>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</si>
  <si>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</si>
  <si>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</si>
  <si>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</si>
  <si>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</si>
  <si>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</si>
  <si>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</si>
  <si>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</si>
  <si>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</si>
  <si>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</si>
  <si>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</si>
  <si>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</si>
  <si>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</si>
  <si>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</si>
  <si>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</si>
  <si>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</si>
  <si>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</si>
  <si>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</si>
  <si>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</si>
  <si>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</si>
  <si>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</si>
  <si>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</si>
  <si>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</si>
  <si>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</si>
  <si>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</si>
  <si>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</si>
  <si>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</si>
  <si>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</si>
  <si>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STAR GENESIS</t>
  </si>
  <si>
    <t>STX Offshore &amp; Shipbuilding Co., Ltd. - Jinhae</t>
  </si>
  <si>
    <t>V7JH9</t>
  </si>
  <si>
    <t>Majuro</t>
  </si>
  <si>
    <t>Marshallese</t>
  </si>
  <si>
    <t>STX Offshore &amp; Shipbuilding Co., Ltd.</t>
  </si>
  <si>
    <t>09.12.2010</t>
  </si>
  <si>
    <t>B0113000</t>
  </si>
  <si>
    <t>LRS</t>
  </si>
  <si>
    <t>04.01.2011</t>
  </si>
  <si>
    <t>07.01.2011</t>
  </si>
  <si>
    <t>T017400</t>
  </si>
  <si>
    <t>BTG-V</t>
  </si>
  <si>
    <t>ALTP</t>
  </si>
  <si>
    <t>BTG - V</t>
  </si>
  <si>
    <t>Soybeans</t>
  </si>
  <si>
    <t>Inner roads</t>
  </si>
  <si>
    <t>9.3</t>
  </si>
  <si>
    <t>Sunny</t>
  </si>
  <si>
    <t>Ebb tide, &lt;1knot</t>
  </si>
  <si>
    <t>Palangana</t>
  </si>
  <si>
    <t>Mr. Ademar Haru Fujiyama</t>
  </si>
  <si>
    <t>K</t>
  </si>
  <si>
    <t>PGUA/DS/</t>
  </si>
  <si>
    <t>BV: 100A1 Bulk Carrier, CSR, BC-A, Grab[20], {Holds Nos.2,4&amp;6 May be empty}, ESP, Ship Right (ACS(B), CM), *IWS, LI, LMC, UMS, Part Higher Tensile Steel, Ship Right (BWMP(F), SCM) STX - Offshore &amp; Shipbuilding, Jinhae, South Korea.</t>
  </si>
  <si>
    <t>Star Nor XII Llc. - Marshall Islands</t>
  </si>
  <si>
    <t>Iblea Ship Management Ltd. - Greece</t>
  </si>
  <si>
    <t>ou 98</t>
  </si>
  <si>
    <t>Albin Mariscal Almagro</t>
  </si>
  <si>
    <t>Berlie Langa Amedo</t>
  </si>
  <si>
    <t>Raul Lastima Solon</t>
  </si>
  <si>
    <t>Dalian, China</t>
  </si>
  <si>
    <t>Coal in bulk</t>
  </si>
  <si>
    <t>Cam Pha, Vietnam</t>
  </si>
  <si>
    <t>068/26</t>
  </si>
  <si>
    <t>Mr. Rafael Nogueira</t>
  </si>
  <si>
    <t>Wharf</t>
  </si>
  <si>
    <t>Rainny</t>
  </si>
  <si>
    <t>Ebb tide, &gt;1knot</t>
  </si>
  <si>
    <t>FULL</t>
  </si>
  <si>
    <t>OTHERS (GREY WATER)</t>
  </si>
  <si>
    <t>GAUGE</t>
  </si>
  <si>
    <t>Applied directly on volumes.</t>
  </si>
  <si>
    <t>1 WBT (P)</t>
  </si>
  <si>
    <t>1 WBT (S)</t>
  </si>
  <si>
    <t>2 WBT (P)</t>
  </si>
  <si>
    <t>2 WBT (S)</t>
  </si>
  <si>
    <t>3 WBT (P)</t>
  </si>
  <si>
    <t>3 WBT (S)</t>
  </si>
  <si>
    <t>4 WBT (P)</t>
  </si>
  <si>
    <t>4 WBT (S)</t>
  </si>
  <si>
    <t>5 WBT (P)</t>
  </si>
  <si>
    <t>5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</si>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</sst>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0" fillId="0" borderId="0" xfId="4" applyFont="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2667.5250000000001</c:v>
                </c:pt>
                <c:pt idx="2">
                  <c:v>0</c:v>
                </c:pt>
                <c:pt idx="3">
                  <c:v>20900</c:v>
                </c:pt>
                <c:pt idx="4">
                  <c:v>8100</c:v>
                </c:pt>
                <c:pt idx="5">
                  <c:v>20361.05</c:v>
                </c:pt>
                <c:pt idx="6">
                  <c:v>0</c:v>
                </c:pt>
                <c:pt idx="7">
                  <c:v>6500</c:v>
                </c:pt>
                <c:pt idx="8">
                  <c:v>0</c:v>
                </c:pt>
                <c:pt idx="9">
                  <c:v>8832.4750000000004</c:v>
                </c:pt>
                <c:pt idx="10">
                  <c:v>1810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F06DC85-1E39-46DB-9B3B-F4C9063A8C4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D259DC9-BD14-4F13-9036-D578482C20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1198289-7F24-4AF9-9595-FB9D3316CAC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CBCAA0C-7DA8-4ECD-882D-01A4B9C8AB1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FD8A705-871E-4AE6-9D9D-BAC28D569A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a:t>
                    </a:r>
                    <a:r>
                      <a:rPr lang="en-US" baseline="0"/>
                      <a:t> - V</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fld id="{784EDC1D-729B-4FD3-AAF0-659675C6498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9223564-F527-452E-BD48-D3492AF040E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2739EDB-3A60-4CA9-95AC-A0E9F4FA86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828EB92-943B-442F-AD0F-BDD1C70A48F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3.8564182559033005</c:v>
                </c:pt>
                <c:pt idx="2">
                  <c:v>0</c:v>
                </c:pt>
                <c:pt idx="3">
                  <c:v>30.214952642760228</c:v>
                </c:pt>
                <c:pt idx="4">
                  <c:v>11.710101263462098</c:v>
                </c:pt>
                <c:pt idx="5">
                  <c:v>29.435797201285794</c:v>
                </c:pt>
                <c:pt idx="6">
                  <c:v>0</c:v>
                </c:pt>
                <c:pt idx="7">
                  <c:v>9.3969948410498318</c:v>
                </c:pt>
                <c:pt idx="8">
                  <c:v>0</c:v>
                </c:pt>
                <c:pt idx="9">
                  <c:v>12.769034155184864</c:v>
                </c:pt>
                <c:pt idx="10">
                  <c:v>2.6167016403538761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207</xdr:row>
      <xdr:rowOff>152400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010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8" sqref="N8"/>
    </sheetView>
  </sheetViews>
  <sheetFormatPr defaultColWidth="9.140625" defaultRowHeight="12.75" x14ac:dyDescent="0.2"/>
  <cols>
    <col min="1" max="1" width="33.85546875" style="18" customWidth="1"/>
    <col min="2" max="2" width="31.85546875" style="18" customWidth="1"/>
    <col min="3" max="4" width="13.28515625" style="18" hidden="1" customWidth="1"/>
    <col min="5" max="11" width="9.140625" style="18" hidden="1" customWidth="1"/>
    <col min="12" max="12" width="8.7109375" style="18" bestFit="1" customWidth="1"/>
    <col min="13" max="13" width="11" style="18" bestFit="1" customWidth="1"/>
    <col min="14" max="14" width="10.5703125" style="18" bestFit="1" customWidth="1"/>
    <col min="15" max="15" width="10.28515625" style="18" bestFit="1" customWidth="1"/>
    <col min="16" max="16384" width="9.140625" style="18"/>
  </cols>
  <sheetData>
    <row r="1" spans="1:21" ht="15.75" x14ac:dyDescent="0.25">
      <c r="A1" s="16"/>
      <c r="B1" s="16"/>
      <c r="C1" s="16"/>
      <c r="D1" s="16"/>
      <c r="E1" s="16"/>
      <c r="F1" s="16"/>
      <c r="G1" s="16"/>
      <c r="H1" s="16"/>
      <c r="I1" s="17"/>
      <c r="J1" s="17"/>
      <c r="K1" s="17"/>
      <c r="L1" s="17"/>
      <c r="M1" s="17"/>
      <c r="N1" s="17"/>
      <c r="O1" s="17"/>
    </row>
    <row r="2" spans="1:21" ht="15.75" x14ac:dyDescent="0.25">
      <c r="A2" s="16"/>
      <c r="B2" s="16"/>
      <c r="C2" s="16"/>
      <c r="D2" s="16"/>
      <c r="E2" s="16"/>
      <c r="F2" s="16"/>
      <c r="G2" s="16"/>
      <c r="H2" s="16"/>
      <c r="I2" s="17"/>
      <c r="J2" s="17"/>
      <c r="K2" s="17"/>
      <c r="L2" s="17"/>
      <c r="M2" s="17"/>
      <c r="N2" s="17"/>
      <c r="O2" s="17"/>
    </row>
    <row r="3" spans="1:21" ht="40.5" customHeight="1" x14ac:dyDescent="0.25">
      <c r="A3" s="19"/>
      <c r="B3" s="19"/>
      <c r="C3" s="16"/>
      <c r="D3" s="16"/>
      <c r="E3" s="16"/>
      <c r="F3" s="16"/>
      <c r="G3" s="16"/>
      <c r="H3" s="16"/>
      <c r="I3" s="17"/>
      <c r="J3" s="17"/>
      <c r="K3" s="17"/>
      <c r="L3" s="17"/>
      <c r="M3" s="869" t="s">
        <v>143</v>
      </c>
      <c r="N3" s="869"/>
      <c r="O3" s="869"/>
      <c r="P3" s="869"/>
      <c r="Q3" s="869"/>
      <c r="R3" s="869"/>
      <c r="S3" s="869"/>
      <c r="T3" s="869"/>
      <c r="U3" s="869"/>
    </row>
    <row r="4" spans="1:21" ht="21" x14ac:dyDescent="0.35">
      <c r="A4" s="20" t="s">
        <v>144</v>
      </c>
      <c r="B4" s="20" t="s">
        <v>145</v>
      </c>
      <c r="C4" s="16"/>
      <c r="D4" s="16"/>
      <c r="E4" s="16"/>
      <c r="F4" s="16"/>
      <c r="G4" s="16"/>
      <c r="H4" s="16"/>
      <c r="I4" s="17"/>
      <c r="J4" s="17"/>
      <c r="K4" s="17"/>
      <c r="L4" s="17"/>
      <c r="M4" s="17"/>
      <c r="N4" s="17"/>
      <c r="O4" s="17"/>
    </row>
    <row r="5" spans="1:21" ht="18.75" x14ac:dyDescent="0.3">
      <c r="A5" s="21" t="s">
        <v>779</v>
      </c>
      <c r="B5" s="22" t="s">
        <v>790</v>
      </c>
      <c r="C5" s="16"/>
      <c r="D5" s="16"/>
      <c r="E5" s="16"/>
      <c r="F5" s="16"/>
      <c r="G5" s="16"/>
      <c r="H5" s="16"/>
      <c r="I5" s="17"/>
      <c r="J5" s="17"/>
      <c r="K5" s="17"/>
      <c r="L5" s="17"/>
      <c r="M5" s="17"/>
      <c r="N5" s="17"/>
      <c r="O5" s="17"/>
    </row>
    <row r="6" spans="1:21" ht="18.75" x14ac:dyDescent="0.3">
      <c r="A6" s="23" t="s">
        <v>146</v>
      </c>
      <c r="B6" s="24" t="s">
        <v>149</v>
      </c>
      <c r="C6" s="16"/>
      <c r="D6" s="16"/>
      <c r="E6" s="16"/>
      <c r="F6" s="16"/>
      <c r="G6" s="16"/>
      <c r="H6" s="16"/>
      <c r="I6" s="17"/>
      <c r="J6" s="17"/>
      <c r="K6" s="17"/>
      <c r="N6" s="17"/>
      <c r="O6" s="25" t="s">
        <v>147</v>
      </c>
      <c r="P6" s="26"/>
    </row>
    <row r="7" spans="1:21" ht="15.75" x14ac:dyDescent="0.25">
      <c r="A7" s="870" t="s">
        <v>148</v>
      </c>
      <c r="B7" s="868"/>
      <c r="C7" s="27"/>
      <c r="D7" s="27"/>
      <c r="E7" s="27"/>
      <c r="F7" s="27"/>
      <c r="G7" s="27"/>
      <c r="H7" s="27"/>
      <c r="I7" s="28"/>
      <c r="J7" s="28"/>
      <c r="K7" s="28"/>
      <c r="L7" s="28"/>
      <c r="M7" s="28"/>
      <c r="N7" s="28"/>
      <c r="O7" s="25" t="s">
        <v>149</v>
      </c>
      <c r="P7" s="26"/>
    </row>
    <row r="8" spans="1:21" ht="15.75" x14ac:dyDescent="0.25">
      <c r="A8" s="29" t="s">
        <v>48</v>
      </c>
      <c r="B8" s="723" t="s">
        <v>756</v>
      </c>
      <c r="C8" s="27"/>
      <c r="D8" s="27"/>
      <c r="E8" s="27"/>
      <c r="F8" s="27"/>
      <c r="G8" s="27"/>
      <c r="H8" s="27"/>
      <c r="I8" s="28"/>
      <c r="J8" s="28"/>
      <c r="K8" s="28"/>
      <c r="L8" s="28"/>
      <c r="M8" s="28"/>
      <c r="N8" s="28"/>
      <c r="O8" s="25" t="s">
        <v>150</v>
      </c>
    </row>
    <row r="9" spans="1:21" ht="15.75" x14ac:dyDescent="0.25">
      <c r="A9" s="29" t="s">
        <v>151</v>
      </c>
      <c r="B9" s="723">
        <v>2010</v>
      </c>
      <c r="C9" s="30"/>
      <c r="D9" s="30"/>
      <c r="E9" s="30"/>
      <c r="F9" s="27"/>
      <c r="G9" s="27"/>
      <c r="H9" s="27"/>
      <c r="I9" s="28"/>
      <c r="J9" s="28"/>
      <c r="K9" s="28"/>
      <c r="L9" s="28"/>
      <c r="M9" s="28"/>
      <c r="N9" s="28"/>
      <c r="O9" s="25" t="s">
        <v>152</v>
      </c>
    </row>
    <row r="10" spans="1:21" ht="15.75" x14ac:dyDescent="0.25">
      <c r="A10" s="29" t="s">
        <v>52</v>
      </c>
      <c r="B10" s="723">
        <v>9457464</v>
      </c>
      <c r="C10" s="27"/>
      <c r="D10" s="27"/>
      <c r="E10" s="27"/>
      <c r="F10" s="27"/>
      <c r="G10" s="27"/>
      <c r="H10" s="27"/>
      <c r="I10" s="28"/>
      <c r="J10" s="28"/>
      <c r="K10" s="28"/>
      <c r="L10" s="28"/>
      <c r="M10" s="28"/>
      <c r="N10" s="28"/>
      <c r="O10" s="25" t="s">
        <v>153</v>
      </c>
    </row>
    <row r="11" spans="1:21" ht="15.75" x14ac:dyDescent="0.25">
      <c r="A11" s="29" t="s">
        <v>62</v>
      </c>
      <c r="B11" s="723" t="s">
        <v>757</v>
      </c>
      <c r="C11" s="27"/>
      <c r="D11" s="27"/>
      <c r="E11" s="27"/>
      <c r="F11" s="27"/>
      <c r="G11" s="27"/>
      <c r="H11" s="27"/>
      <c r="I11" s="28"/>
      <c r="J11" s="28"/>
      <c r="K11" s="28"/>
      <c r="L11" s="28"/>
      <c r="M11" s="28"/>
      <c r="N11" s="28"/>
      <c r="O11" s="25" t="s">
        <v>154</v>
      </c>
    </row>
    <row r="12" spans="1:21" ht="15.75" x14ac:dyDescent="0.25">
      <c r="A12" s="29" t="s">
        <v>49</v>
      </c>
      <c r="B12" s="723" t="s">
        <v>758</v>
      </c>
      <c r="C12" s="27"/>
      <c r="D12" s="27"/>
      <c r="E12" s="27"/>
      <c r="F12" s="27"/>
      <c r="G12" s="27"/>
      <c r="H12" s="27"/>
      <c r="I12" s="28"/>
      <c r="J12" s="28"/>
      <c r="K12" s="28"/>
      <c r="L12" s="28"/>
      <c r="M12" s="28"/>
      <c r="N12" s="28"/>
      <c r="O12" s="25" t="s">
        <v>155</v>
      </c>
    </row>
    <row r="13" spans="1:21" ht="15.75" x14ac:dyDescent="0.25">
      <c r="A13" s="29" t="s">
        <v>50</v>
      </c>
      <c r="B13" s="723" t="s">
        <v>759</v>
      </c>
      <c r="C13" s="27"/>
      <c r="D13" s="27"/>
      <c r="E13" s="27"/>
      <c r="F13" s="27"/>
      <c r="G13" s="27"/>
      <c r="H13" s="27"/>
      <c r="I13" s="28"/>
      <c r="J13" s="28"/>
      <c r="K13" s="28"/>
      <c r="L13" s="28"/>
      <c r="M13" s="28"/>
      <c r="N13" s="28"/>
      <c r="O13" s="25" t="s">
        <v>156</v>
      </c>
    </row>
    <row r="14" spans="1:21" ht="15.75" x14ac:dyDescent="0.25">
      <c r="A14" s="29" t="s">
        <v>51</v>
      </c>
      <c r="B14" s="723" t="s">
        <v>760</v>
      </c>
      <c r="C14" s="27"/>
      <c r="D14" s="27"/>
      <c r="E14" s="27"/>
      <c r="F14" s="27"/>
      <c r="G14" s="27"/>
      <c r="H14" s="27"/>
      <c r="I14" s="28"/>
      <c r="J14" s="28"/>
      <c r="K14" s="28"/>
      <c r="L14" s="28"/>
      <c r="M14" s="28"/>
      <c r="N14" s="28"/>
      <c r="O14" s="31" t="s">
        <v>157</v>
      </c>
      <c r="P14" s="32" t="s">
        <v>590</v>
      </c>
    </row>
    <row r="15" spans="1:21" ht="15.75" x14ac:dyDescent="0.25">
      <c r="A15" s="29" t="s">
        <v>53</v>
      </c>
      <c r="B15" s="723">
        <v>229</v>
      </c>
      <c r="C15" s="27"/>
      <c r="D15" s="27"/>
      <c r="E15" s="27"/>
      <c r="F15" s="27"/>
      <c r="G15" s="27"/>
      <c r="H15" s="27"/>
      <c r="I15" s="28"/>
      <c r="J15" s="28"/>
      <c r="K15" s="28"/>
      <c r="L15" s="28"/>
      <c r="M15" s="28"/>
      <c r="N15" s="28"/>
      <c r="O15" s="17"/>
    </row>
    <row r="16" spans="1:21" ht="15.75" x14ac:dyDescent="0.25">
      <c r="A16" s="29" t="s">
        <v>54</v>
      </c>
      <c r="B16" s="723">
        <v>222</v>
      </c>
      <c r="C16" s="27"/>
      <c r="D16" s="27"/>
      <c r="E16" s="27"/>
      <c r="F16" s="33" t="s">
        <v>158</v>
      </c>
      <c r="G16" s="27"/>
      <c r="H16" s="27"/>
      <c r="I16" s="28"/>
      <c r="J16" s="33" t="s">
        <v>158</v>
      </c>
      <c r="K16" s="28"/>
      <c r="L16" s="28"/>
      <c r="M16" s="28"/>
      <c r="N16" s="28"/>
      <c r="O16" s="17"/>
    </row>
    <row r="17" spans="1:15" ht="15.75" x14ac:dyDescent="0.25">
      <c r="A17" s="29" t="s">
        <v>55</v>
      </c>
      <c r="B17" s="723">
        <v>20.100000000000001</v>
      </c>
      <c r="C17" s="27"/>
      <c r="D17" s="27"/>
      <c r="E17" s="27"/>
      <c r="F17" s="33" t="s">
        <v>159</v>
      </c>
      <c r="G17" s="27"/>
      <c r="H17" s="27"/>
      <c r="I17" s="28"/>
      <c r="J17" s="34" t="s">
        <v>160</v>
      </c>
      <c r="K17" s="28"/>
      <c r="L17" s="28"/>
      <c r="M17" s="28"/>
      <c r="N17" s="28"/>
      <c r="O17" s="17"/>
    </row>
    <row r="18" spans="1:15" ht="15.75" x14ac:dyDescent="0.25">
      <c r="A18" s="29" t="s">
        <v>56</v>
      </c>
      <c r="B18" s="723">
        <v>32.24</v>
      </c>
      <c r="C18" s="27"/>
      <c r="D18" s="27"/>
      <c r="E18" s="27"/>
      <c r="F18" s="33" t="s">
        <v>161</v>
      </c>
      <c r="G18" s="27"/>
      <c r="H18" s="27"/>
      <c r="I18" s="28"/>
      <c r="J18" s="34" t="s">
        <v>162</v>
      </c>
      <c r="K18" s="28"/>
      <c r="L18" s="28"/>
      <c r="M18" s="28"/>
      <c r="N18" s="28"/>
      <c r="O18" s="17"/>
    </row>
    <row r="19" spans="1:15" ht="15.75" x14ac:dyDescent="0.25">
      <c r="A19" s="29" t="s">
        <v>60</v>
      </c>
      <c r="B19" s="723">
        <v>13150.68</v>
      </c>
      <c r="C19" s="27"/>
      <c r="D19" s="27"/>
      <c r="E19" s="27"/>
      <c r="F19" s="33" t="s">
        <v>643</v>
      </c>
      <c r="G19" s="27"/>
      <c r="H19" s="27"/>
      <c r="I19" s="28"/>
      <c r="J19" s="34" t="s">
        <v>654</v>
      </c>
      <c r="K19" s="28"/>
      <c r="L19" s="28"/>
      <c r="M19" s="28"/>
      <c r="N19" s="28"/>
      <c r="O19" s="17"/>
    </row>
    <row r="20" spans="1:15" ht="15.75" x14ac:dyDescent="0.25">
      <c r="A20" s="29" t="s">
        <v>57</v>
      </c>
      <c r="B20" s="723">
        <v>43879</v>
      </c>
      <c r="C20" s="27"/>
      <c r="D20" s="27"/>
      <c r="E20" s="27"/>
      <c r="F20" s="34" t="s">
        <v>160</v>
      </c>
      <c r="G20" s="27"/>
      <c r="H20" s="27"/>
      <c r="I20" s="28"/>
      <c r="J20" s="34" t="s">
        <v>163</v>
      </c>
      <c r="K20" s="28"/>
      <c r="L20" s="28"/>
      <c r="M20" s="28"/>
      <c r="N20" s="28"/>
      <c r="O20" s="17"/>
    </row>
    <row r="21" spans="1:15" ht="15.75" x14ac:dyDescent="0.25">
      <c r="A21" s="29" t="s">
        <v>58</v>
      </c>
      <c r="B21" s="723">
        <v>26694</v>
      </c>
      <c r="C21" s="27"/>
      <c r="D21" s="27"/>
      <c r="E21" s="27"/>
      <c r="F21" s="34" t="s">
        <v>162</v>
      </c>
      <c r="G21" s="27"/>
      <c r="H21" s="27"/>
      <c r="I21" s="28"/>
      <c r="J21" s="33" t="s">
        <v>164</v>
      </c>
      <c r="K21" s="28"/>
      <c r="L21" s="28"/>
      <c r="M21" s="28"/>
      <c r="N21" s="28"/>
      <c r="O21" s="17"/>
    </row>
    <row r="22" spans="1:15" ht="15.75" hidden="1" customHeight="1" x14ac:dyDescent="0.25">
      <c r="B22" s="723"/>
      <c r="C22" s="27"/>
      <c r="D22" s="27"/>
      <c r="E22" s="27"/>
      <c r="F22" s="34" t="s">
        <v>165</v>
      </c>
      <c r="G22" s="27"/>
      <c r="H22" s="27"/>
      <c r="I22" s="28"/>
      <c r="J22" s="33" t="s">
        <v>166</v>
      </c>
      <c r="K22" s="28"/>
      <c r="L22" s="28"/>
      <c r="M22" s="28"/>
      <c r="N22" s="28"/>
      <c r="O22" s="17"/>
    </row>
    <row r="23" spans="1:15" ht="78.75" customHeight="1" x14ac:dyDescent="0.25">
      <c r="A23" s="35" t="s">
        <v>59</v>
      </c>
      <c r="B23" s="36" t="s">
        <v>780</v>
      </c>
      <c r="C23" s="27"/>
      <c r="D23" s="27"/>
      <c r="E23" s="27"/>
      <c r="F23" s="33" t="s">
        <v>164</v>
      </c>
      <c r="G23" s="27"/>
      <c r="H23" s="27"/>
      <c r="I23" s="28"/>
      <c r="J23" s="33" t="s">
        <v>167</v>
      </c>
      <c r="K23" s="28"/>
      <c r="L23" s="28"/>
      <c r="M23" s="28"/>
      <c r="N23" s="28"/>
      <c r="O23" s="17"/>
    </row>
    <row r="24" spans="1:15" ht="31.5" x14ac:dyDescent="0.25">
      <c r="A24" s="37" t="s">
        <v>63</v>
      </c>
      <c r="B24" s="38" t="s">
        <v>781</v>
      </c>
      <c r="C24" s="27"/>
      <c r="D24" s="27"/>
      <c r="E24" s="27"/>
      <c r="F24" s="33" t="s">
        <v>168</v>
      </c>
      <c r="G24" s="27"/>
      <c r="H24" s="27"/>
      <c r="I24" s="28"/>
      <c r="J24" s="33" t="s">
        <v>169</v>
      </c>
      <c r="K24" s="28"/>
      <c r="L24" s="28"/>
      <c r="M24" s="28"/>
      <c r="N24" s="28"/>
      <c r="O24" s="17"/>
    </row>
    <row r="25" spans="1:15" ht="15.75" x14ac:dyDescent="0.25">
      <c r="A25" s="871" t="s">
        <v>64</v>
      </c>
      <c r="B25" s="873" t="s">
        <v>782</v>
      </c>
      <c r="C25" s="27"/>
      <c r="D25" s="27"/>
      <c r="E25" s="27"/>
      <c r="F25" s="33" t="s">
        <v>168</v>
      </c>
      <c r="G25" s="27"/>
      <c r="H25" s="27"/>
      <c r="I25" s="28"/>
      <c r="J25" s="28" t="s">
        <v>645</v>
      </c>
      <c r="K25" s="28"/>
      <c r="L25" s="28"/>
      <c r="M25" s="28"/>
      <c r="N25" s="28"/>
      <c r="O25" s="17"/>
    </row>
    <row r="26" spans="1:15" ht="15.75" x14ac:dyDescent="0.25">
      <c r="A26" s="871"/>
      <c r="B26" s="874"/>
      <c r="C26" s="27"/>
      <c r="D26" s="27"/>
      <c r="E26" s="27"/>
      <c r="F26" s="33" t="s">
        <v>166</v>
      </c>
      <c r="G26" s="27"/>
      <c r="H26" s="27"/>
      <c r="I26" s="28"/>
      <c r="J26" s="28"/>
      <c r="K26" s="28"/>
      <c r="L26" s="28"/>
      <c r="M26" s="28"/>
      <c r="N26" s="28"/>
      <c r="O26" s="17"/>
    </row>
    <row r="27" spans="1:15" ht="15.75" x14ac:dyDescent="0.25">
      <c r="A27" s="872"/>
      <c r="B27" s="875"/>
      <c r="C27" s="27"/>
      <c r="D27" s="27"/>
      <c r="E27" s="27"/>
      <c r="F27" s="34" t="s">
        <v>170</v>
      </c>
      <c r="G27" s="27"/>
      <c r="H27" s="27"/>
      <c r="I27" s="28"/>
      <c r="J27" s="28"/>
      <c r="K27" s="28"/>
      <c r="L27" s="28"/>
      <c r="M27" s="28"/>
      <c r="N27" s="28"/>
      <c r="O27" s="17"/>
    </row>
    <row r="28" spans="1:15" ht="15.75" x14ac:dyDescent="0.25">
      <c r="A28" s="39"/>
      <c r="B28" s="39"/>
      <c r="C28" s="27"/>
      <c r="D28" s="27"/>
      <c r="E28" s="27"/>
      <c r="F28" s="33" t="s">
        <v>171</v>
      </c>
      <c r="G28" s="27"/>
      <c r="H28" s="27"/>
      <c r="I28" s="28"/>
      <c r="J28" s="28"/>
      <c r="K28" s="28"/>
      <c r="L28" s="28"/>
      <c r="M28" s="28"/>
      <c r="N28" s="28"/>
      <c r="O28" s="17"/>
    </row>
    <row r="29" spans="1:15" ht="15.75" x14ac:dyDescent="0.25">
      <c r="A29" s="868" t="s">
        <v>172</v>
      </c>
      <c r="B29" s="868"/>
      <c r="C29" s="27"/>
      <c r="D29" s="27"/>
      <c r="E29" s="27"/>
      <c r="F29" s="33" t="s">
        <v>173</v>
      </c>
      <c r="G29" s="27"/>
      <c r="H29" s="27"/>
      <c r="I29" s="28"/>
      <c r="J29" s="28"/>
      <c r="K29" s="28"/>
      <c r="L29" s="28"/>
      <c r="M29" s="28"/>
      <c r="N29" s="28"/>
      <c r="O29" s="17"/>
    </row>
    <row r="30" spans="1:15" ht="15.75" x14ac:dyDescent="0.25">
      <c r="A30" s="29" t="s">
        <v>174</v>
      </c>
      <c r="B30" s="731" t="s">
        <v>784</v>
      </c>
      <c r="C30" s="27"/>
      <c r="D30" s="27"/>
      <c r="E30" s="27"/>
      <c r="F30" s="33" t="s">
        <v>169</v>
      </c>
      <c r="G30" s="27"/>
      <c r="H30" s="27"/>
      <c r="I30" s="28"/>
      <c r="J30" s="28"/>
      <c r="K30" s="28"/>
      <c r="L30" s="28"/>
      <c r="M30" s="28"/>
      <c r="N30" s="28"/>
      <c r="O30" s="17"/>
    </row>
    <row r="31" spans="1:15" ht="15.75" x14ac:dyDescent="0.25">
      <c r="A31" s="29" t="s">
        <v>175</v>
      </c>
      <c r="B31" s="731" t="s">
        <v>785</v>
      </c>
      <c r="C31" s="27"/>
      <c r="D31" s="27"/>
      <c r="E31" s="27"/>
      <c r="F31" s="33" t="s">
        <v>176</v>
      </c>
      <c r="G31" s="27"/>
      <c r="H31" s="27"/>
      <c r="I31" s="28"/>
      <c r="J31" s="28"/>
      <c r="K31" s="28"/>
      <c r="L31" s="28"/>
      <c r="M31" s="28"/>
      <c r="N31" s="28"/>
      <c r="O31" s="17"/>
    </row>
    <row r="32" spans="1:15" ht="15.75" x14ac:dyDescent="0.25">
      <c r="A32" s="29" t="s">
        <v>177</v>
      </c>
      <c r="B32" s="731" t="s">
        <v>786</v>
      </c>
      <c r="C32" s="27"/>
      <c r="D32" s="27"/>
      <c r="E32" s="27"/>
      <c r="F32" s="33" t="s">
        <v>178</v>
      </c>
      <c r="G32" s="27"/>
      <c r="H32" s="27"/>
      <c r="I32" s="28"/>
      <c r="J32" s="28"/>
      <c r="K32" s="28"/>
      <c r="L32" s="28"/>
      <c r="M32" s="28"/>
      <c r="N32" s="28"/>
      <c r="O32" s="17"/>
    </row>
    <row r="33" spans="1:15" ht="15.75" hidden="1" customHeight="1" x14ac:dyDescent="0.25">
      <c r="A33" s="29"/>
      <c r="B33" s="40"/>
      <c r="C33" s="27"/>
      <c r="D33" s="27"/>
      <c r="E33" s="27"/>
      <c r="F33" s="33" t="s">
        <v>179</v>
      </c>
      <c r="G33" s="27"/>
      <c r="H33" s="27"/>
      <c r="I33" s="28"/>
      <c r="J33" s="28"/>
      <c r="K33" s="28"/>
      <c r="L33" s="28"/>
      <c r="M33" s="28"/>
      <c r="N33" s="28"/>
      <c r="O33" s="17"/>
    </row>
    <row r="34" spans="1:15" ht="15.75" x14ac:dyDescent="0.25">
      <c r="A34" s="41"/>
      <c r="B34" s="42"/>
      <c r="C34" s="27"/>
      <c r="D34" s="27"/>
      <c r="E34" s="27"/>
      <c r="F34" s="34" t="s">
        <v>180</v>
      </c>
      <c r="G34" s="27"/>
      <c r="H34" s="27"/>
      <c r="I34" s="28"/>
      <c r="J34" s="28"/>
      <c r="K34" s="28"/>
      <c r="L34" s="28"/>
      <c r="M34" s="28"/>
      <c r="N34" s="28"/>
      <c r="O34" s="17"/>
    </row>
    <row r="35" spans="1:15" ht="15.75" x14ac:dyDescent="0.25">
      <c r="A35" s="868" t="s">
        <v>181</v>
      </c>
      <c r="B35" s="868"/>
      <c r="C35" s="27"/>
      <c r="D35" s="27"/>
      <c r="E35" s="27"/>
      <c r="F35" s="43"/>
      <c r="G35" s="27"/>
      <c r="H35" s="27"/>
      <c r="I35" s="28"/>
      <c r="J35" s="28"/>
      <c r="K35" s="28"/>
      <c r="L35" s="28"/>
      <c r="M35" s="28"/>
      <c r="N35" s="28"/>
      <c r="O35" s="17"/>
    </row>
    <row r="36" spans="1:15" ht="15.75" x14ac:dyDescent="0.25">
      <c r="A36" s="29" t="s">
        <v>182</v>
      </c>
      <c r="B36" s="732" t="s">
        <v>788</v>
      </c>
      <c r="C36" s="27"/>
      <c r="D36" s="27"/>
      <c r="E36" s="27"/>
      <c r="F36" s="43"/>
      <c r="G36" s="27"/>
      <c r="H36" s="27"/>
      <c r="I36" s="28"/>
      <c r="J36" s="28"/>
      <c r="K36" s="28"/>
      <c r="L36" s="28"/>
      <c r="M36" s="28"/>
      <c r="N36" s="28"/>
      <c r="O36" s="17"/>
    </row>
    <row r="37" spans="1:15" ht="15.75" x14ac:dyDescent="0.25">
      <c r="A37" s="29" t="s">
        <v>101</v>
      </c>
      <c r="B37" s="732" t="s">
        <v>789</v>
      </c>
      <c r="C37" s="27"/>
      <c r="D37" s="27"/>
      <c r="E37" s="27"/>
      <c r="F37" s="27"/>
      <c r="G37" s="27"/>
      <c r="H37" s="27"/>
      <c r="I37" s="28"/>
      <c r="J37" s="28"/>
      <c r="K37" s="28"/>
      <c r="L37" s="28"/>
      <c r="M37" s="28"/>
      <c r="N37" s="28"/>
      <c r="O37" s="17"/>
    </row>
    <row r="38" spans="1:15" ht="15.75" x14ac:dyDescent="0.25">
      <c r="A38" s="29" t="s">
        <v>183</v>
      </c>
      <c r="B38" s="732" t="s">
        <v>787</v>
      </c>
      <c r="C38" s="27"/>
      <c r="D38" s="27"/>
      <c r="E38" s="27"/>
      <c r="F38" s="27"/>
      <c r="G38" s="27"/>
      <c r="H38" s="27"/>
      <c r="I38" s="28"/>
      <c r="J38" s="28"/>
      <c r="K38" s="28"/>
      <c r="L38" s="28"/>
      <c r="M38" s="28"/>
      <c r="N38" s="28"/>
      <c r="O38" s="17"/>
    </row>
    <row r="39" spans="1:15" ht="15.75" x14ac:dyDescent="0.25">
      <c r="A39" s="41"/>
      <c r="B39" s="42"/>
      <c r="C39" s="44"/>
      <c r="D39" s="44"/>
      <c r="E39" s="44"/>
      <c r="F39" s="44"/>
      <c r="G39" s="44"/>
      <c r="H39" s="44"/>
      <c r="I39" s="45"/>
      <c r="J39" s="45"/>
      <c r="K39" s="45"/>
      <c r="L39" s="45"/>
      <c r="M39" s="45"/>
      <c r="N39" s="45"/>
      <c r="O39" s="17"/>
    </row>
    <row r="40" spans="1:15" ht="15.75" x14ac:dyDescent="0.25">
      <c r="A40" s="868" t="s">
        <v>184</v>
      </c>
      <c r="B40" s="868"/>
      <c r="C40" s="27"/>
      <c r="D40" s="27"/>
      <c r="E40" s="27"/>
      <c r="F40" s="27"/>
      <c r="G40" s="27"/>
      <c r="H40" s="27"/>
      <c r="I40" s="28"/>
      <c r="J40" s="28"/>
      <c r="K40" s="28"/>
      <c r="L40" s="28"/>
      <c r="M40" s="28"/>
      <c r="N40" s="28"/>
      <c r="O40" s="17"/>
    </row>
    <row r="41" spans="1:15" ht="15.75" x14ac:dyDescent="0.25">
      <c r="A41" s="878" t="s">
        <v>162</v>
      </c>
      <c r="B41" s="878"/>
      <c r="C41" s="27"/>
      <c r="D41" s="27"/>
      <c r="E41" s="27"/>
      <c r="F41" s="27"/>
      <c r="G41" s="27"/>
      <c r="H41" s="27"/>
      <c r="I41" s="28"/>
      <c r="J41" s="28"/>
      <c r="K41" s="28"/>
      <c r="L41" s="28"/>
      <c r="M41" s="28"/>
      <c r="N41" s="28"/>
      <c r="O41" s="17"/>
    </row>
    <row r="42" spans="1:15" ht="15.75" x14ac:dyDescent="0.25">
      <c r="A42" s="868" t="s">
        <v>185</v>
      </c>
      <c r="B42" s="868"/>
      <c r="C42" s="27"/>
      <c r="D42" s="27"/>
      <c r="E42" s="27"/>
      <c r="F42" s="27"/>
      <c r="G42" s="27"/>
      <c r="H42" s="27"/>
      <c r="I42" s="28"/>
      <c r="J42" s="28"/>
      <c r="K42" s="28"/>
      <c r="L42" s="28"/>
      <c r="M42" s="28"/>
      <c r="N42" s="28"/>
      <c r="O42" s="17"/>
    </row>
    <row r="43" spans="1:15" ht="15.75" x14ac:dyDescent="0.25">
      <c r="A43" s="879" t="s">
        <v>162</v>
      </c>
      <c r="B43" s="879"/>
      <c r="C43" s="27"/>
      <c r="D43" s="27"/>
      <c r="E43" s="27"/>
      <c r="F43" s="27"/>
      <c r="G43" s="27"/>
      <c r="H43" s="27"/>
      <c r="I43" s="28"/>
      <c r="J43" s="28"/>
      <c r="K43" s="28"/>
      <c r="L43" s="28"/>
      <c r="M43" s="28"/>
      <c r="N43" s="28"/>
      <c r="O43" s="17"/>
    </row>
    <row r="44" spans="1:15" ht="15.75" x14ac:dyDescent="0.25">
      <c r="A44" s="46"/>
      <c r="B44" s="30"/>
      <c r="C44" s="27"/>
      <c r="D44" s="27"/>
      <c r="E44" s="27"/>
      <c r="F44" s="27"/>
      <c r="G44" s="27"/>
      <c r="H44" s="27"/>
      <c r="I44" s="28"/>
      <c r="J44" s="28"/>
      <c r="K44" s="28"/>
      <c r="L44" s="28"/>
      <c r="M44" s="28"/>
      <c r="N44" s="28"/>
      <c r="O44" s="17"/>
    </row>
    <row r="45" spans="1:15" ht="15.75" x14ac:dyDescent="0.25">
      <c r="A45" s="868" t="s">
        <v>186</v>
      </c>
      <c r="B45" s="868"/>
      <c r="C45" s="27"/>
      <c r="D45" s="27"/>
      <c r="E45" s="27"/>
      <c r="F45" s="27"/>
      <c r="G45" s="27"/>
      <c r="H45" s="27"/>
      <c r="I45" s="28"/>
      <c r="J45" s="28"/>
      <c r="K45" s="28"/>
      <c r="L45" s="28"/>
      <c r="M45" s="28"/>
      <c r="N45" s="28"/>
      <c r="O45" s="17"/>
    </row>
    <row r="46" spans="1:15" ht="15.75" customHeight="1" x14ac:dyDescent="0.25">
      <c r="A46" s="876" t="s">
        <v>187</v>
      </c>
      <c r="B46" s="877"/>
      <c r="C46" s="17" t="b">
        <v>0</v>
      </c>
      <c r="D46" s="17" t="b">
        <v>1</v>
      </c>
      <c r="E46" s="47" t="str">
        <f t="shared" ref="E46:E55" si="0">IF(C46=D46,_xlfn.CONCAT(A46," "),"")</f>
        <v/>
      </c>
      <c r="F46" s="27"/>
      <c r="G46" s="27"/>
      <c r="H46" s="27"/>
      <c r="I46" s="28"/>
      <c r="J46" s="28"/>
      <c r="K46" s="28"/>
      <c r="L46" s="28"/>
      <c r="M46" s="28"/>
      <c r="N46" s="28"/>
      <c r="O46" s="17"/>
    </row>
    <row r="47" spans="1:15" ht="15.75" customHeight="1" x14ac:dyDescent="0.25">
      <c r="A47" s="876" t="s">
        <v>188</v>
      </c>
      <c r="B47" s="877"/>
      <c r="C47" s="17" t="b">
        <v>0</v>
      </c>
      <c r="D47" s="17" t="b">
        <v>1</v>
      </c>
      <c r="E47" s="47" t="str">
        <f t="shared" si="0"/>
        <v/>
      </c>
      <c r="F47" s="27"/>
      <c r="G47" s="27"/>
      <c r="H47" s="27"/>
      <c r="I47" s="28"/>
      <c r="J47" s="28"/>
      <c r="K47" s="28"/>
      <c r="L47" s="28"/>
      <c r="M47" s="28"/>
      <c r="N47" s="28"/>
      <c r="O47" s="17"/>
    </row>
    <row r="48" spans="1:15" ht="15.75" customHeight="1" x14ac:dyDescent="0.25">
      <c r="A48" s="876" t="s">
        <v>189</v>
      </c>
      <c r="B48" s="877"/>
      <c r="C48" s="17" t="b">
        <v>0</v>
      </c>
      <c r="D48" s="17" t="b">
        <v>1</v>
      </c>
      <c r="E48" s="47" t="str">
        <f t="shared" si="0"/>
        <v/>
      </c>
      <c r="F48" s="27"/>
      <c r="G48" s="27"/>
      <c r="H48" s="27"/>
      <c r="I48" s="28"/>
      <c r="J48" s="28"/>
      <c r="K48" s="28"/>
      <c r="L48" s="28"/>
      <c r="M48" s="28"/>
      <c r="N48" s="28"/>
      <c r="O48" s="17"/>
    </row>
    <row r="49" spans="1:20" ht="15.75" customHeight="1" x14ac:dyDescent="0.25">
      <c r="A49" s="876" t="s">
        <v>615</v>
      </c>
      <c r="B49" s="877"/>
      <c r="C49" s="17" t="b">
        <v>1</v>
      </c>
      <c r="D49" s="17" t="b">
        <v>1</v>
      </c>
      <c r="E49" s="47" t="str">
        <f t="shared" si="0"/>
        <v xml:space="preserve"> Messrs. Cimbessul Terminal Portuario S/A, </v>
      </c>
      <c r="F49" s="27"/>
      <c r="G49" s="27"/>
      <c r="H49" s="27"/>
      <c r="I49" s="28"/>
      <c r="J49" s="28"/>
      <c r="K49" s="28"/>
      <c r="L49" s="28"/>
      <c r="M49" s="28"/>
      <c r="N49" s="28"/>
      <c r="O49" s="17"/>
    </row>
    <row r="50" spans="1:20" ht="15.75" customHeight="1" x14ac:dyDescent="0.25">
      <c r="A50" s="880" t="s">
        <v>375</v>
      </c>
      <c r="B50" s="881"/>
      <c r="C50" s="17" t="b">
        <v>1</v>
      </c>
      <c r="D50" s="17" t="b">
        <v>1</v>
      </c>
      <c r="E50" s="47" t="str">
        <f t="shared" si="0"/>
        <v xml:space="preserve">Messrs. Coamo Agroindustrial Cooperativa, </v>
      </c>
      <c r="F50" s="27"/>
      <c r="G50" s="27"/>
      <c r="H50" s="27"/>
      <c r="I50" s="28"/>
      <c r="J50" s="28"/>
      <c r="K50" s="28"/>
      <c r="L50" s="28"/>
      <c r="M50" s="28"/>
      <c r="N50" s="28"/>
      <c r="O50" s="17"/>
    </row>
    <row r="51" spans="1:20" ht="15.75" customHeight="1" x14ac:dyDescent="0.25">
      <c r="A51" s="880" t="s">
        <v>376</v>
      </c>
      <c r="B51" s="881"/>
      <c r="C51" s="17" t="b">
        <v>1</v>
      </c>
      <c r="D51" s="17" t="b">
        <v>1</v>
      </c>
      <c r="E51" s="47" t="str">
        <f t="shared" si="0"/>
        <v xml:space="preserve">Messrs. Cotriguaçu Cooperativa Central Regional Iguaçu Ltda., </v>
      </c>
      <c r="F51" s="27"/>
      <c r="G51" s="27"/>
      <c r="H51" s="27"/>
      <c r="I51" s="28"/>
      <c r="J51" s="28"/>
      <c r="K51" s="28"/>
      <c r="L51" s="28"/>
      <c r="M51" s="28"/>
      <c r="N51" s="28"/>
      <c r="O51" s="17"/>
    </row>
    <row r="52" spans="1:20" ht="15.75" customHeight="1" x14ac:dyDescent="0.25">
      <c r="A52" s="880" t="s">
        <v>377</v>
      </c>
      <c r="B52" s="881"/>
      <c r="C52" s="17" t="b">
        <v>0</v>
      </c>
      <c r="D52" s="17" t="b">
        <v>1</v>
      </c>
      <c r="E52" s="47" t="str">
        <f t="shared" si="0"/>
        <v/>
      </c>
      <c r="F52" s="27"/>
      <c r="G52" s="27"/>
      <c r="H52" s="27"/>
      <c r="I52" s="28"/>
      <c r="J52" s="28"/>
      <c r="K52" s="28"/>
      <c r="L52" s="28"/>
      <c r="M52" s="28"/>
      <c r="N52" s="28"/>
      <c r="O52" s="17"/>
    </row>
    <row r="53" spans="1:20" ht="15.75" customHeight="1" x14ac:dyDescent="0.25">
      <c r="A53" s="880" t="s">
        <v>190</v>
      </c>
      <c r="B53" s="881"/>
      <c r="C53" s="17" t="b">
        <v>0</v>
      </c>
      <c r="D53" s="17" t="b">
        <v>1</v>
      </c>
      <c r="E53" s="47" t="str">
        <f t="shared" si="0"/>
        <v/>
      </c>
      <c r="F53" s="17"/>
      <c r="G53" s="17"/>
      <c r="H53" s="17"/>
      <c r="I53" s="17"/>
      <c r="J53" s="17"/>
      <c r="K53" s="17"/>
      <c r="L53" s="428" t="s">
        <v>588</v>
      </c>
      <c r="M53" s="429"/>
      <c r="N53" s="429"/>
      <c r="O53" s="429"/>
      <c r="P53" s="429"/>
      <c r="Q53" s="429"/>
      <c r="R53" s="429"/>
      <c r="S53" s="429"/>
      <c r="T53" s="427"/>
    </row>
    <row r="54" spans="1:20" ht="15.75" customHeight="1" x14ac:dyDescent="0.25">
      <c r="A54" s="876" t="s">
        <v>616</v>
      </c>
      <c r="B54" s="877"/>
      <c r="C54" s="17" t="b">
        <v>1</v>
      </c>
      <c r="D54" s="17" t="b">
        <v>1</v>
      </c>
      <c r="E54" s="47" t="str">
        <f>IF(C54=D54,_xlfn.CONCAT(A54," "),"")</f>
        <v xml:space="preserve"> Messrs. Rocha Terminais Portuários e Logística </v>
      </c>
      <c r="F54" s="27"/>
      <c r="G54" s="27"/>
      <c r="H54" s="27"/>
      <c r="I54" s="28"/>
      <c r="J54" s="28"/>
      <c r="K54" s="28"/>
      <c r="L54" s="28"/>
      <c r="M54" s="28"/>
      <c r="N54" s="28"/>
      <c r="O54" s="17"/>
    </row>
    <row r="55" spans="1:20" ht="15.75" customHeight="1" x14ac:dyDescent="0.25">
      <c r="A55" s="882" t="s">
        <v>191</v>
      </c>
      <c r="B55" s="883"/>
      <c r="C55" s="17" t="b">
        <v>0</v>
      </c>
      <c r="D55" s="17" t="b">
        <v>1</v>
      </c>
      <c r="E55" s="47" t="str">
        <f t="shared" si="0"/>
        <v/>
      </c>
      <c r="F55" s="17"/>
      <c r="G55" s="17"/>
      <c r="H55" s="17"/>
      <c r="I55" s="17"/>
      <c r="J55" s="17"/>
      <c r="K55" s="17"/>
      <c r="L55" s="428" t="s">
        <v>588</v>
      </c>
      <c r="M55" s="429"/>
      <c r="N55" s="429"/>
      <c r="O55" s="429"/>
      <c r="P55" s="429"/>
      <c r="Q55" s="429"/>
      <c r="R55" s="429"/>
      <c r="S55" s="429"/>
      <c r="T55" s="427"/>
    </row>
    <row r="56" spans="1:20" x14ac:dyDescent="0.2">
      <c r="A56" s="17"/>
      <c r="B56" s="17"/>
      <c r="C56" s="17"/>
      <c r="D56" s="17"/>
      <c r="E56" s="17"/>
      <c r="F56" s="17"/>
      <c r="G56" s="17"/>
      <c r="H56" s="17"/>
      <c r="I56" s="17"/>
      <c r="J56" s="17"/>
      <c r="K56" s="17"/>
      <c r="L56" s="17"/>
      <c r="M56" s="17"/>
      <c r="N56" s="17"/>
      <c r="O56" s="17"/>
    </row>
    <row r="57" spans="1:20" ht="15.75" x14ac:dyDescent="0.25">
      <c r="A57" s="868" t="s">
        <v>192</v>
      </c>
      <c r="B57" s="868"/>
      <c r="C57" s="17"/>
      <c r="D57" s="17"/>
      <c r="E57" s="17"/>
      <c r="F57" s="17"/>
      <c r="G57" s="17"/>
      <c r="H57" s="17"/>
      <c r="I57" s="17"/>
      <c r="J57" s="17"/>
      <c r="K57" s="17"/>
      <c r="L57" s="17"/>
      <c r="M57" s="17"/>
      <c r="N57" s="17"/>
      <c r="O57" s="17"/>
    </row>
    <row r="58" spans="1:20" ht="15.75" customHeight="1" x14ac:dyDescent="0.2">
      <c r="A58" s="406" t="s">
        <v>193</v>
      </c>
      <c r="B58" s="406" t="s">
        <v>769</v>
      </c>
      <c r="C58" s="17" t="b">
        <v>0</v>
      </c>
      <c r="D58" s="17" t="b">
        <v>1</v>
      </c>
      <c r="E58" s="47" t="str">
        <f t="shared" ref="E58:E64" si="1">IF(C58=D58,_xlfn.CONCAT(A58,", "),"")</f>
        <v/>
      </c>
      <c r="F58" s="17"/>
      <c r="G58" s="17"/>
      <c r="H58" s="17"/>
      <c r="I58" s="17"/>
      <c r="J58" s="17"/>
      <c r="K58" s="17"/>
      <c r="L58" s="17"/>
      <c r="M58" s="17"/>
      <c r="N58" s="17"/>
      <c r="O58" s="17"/>
    </row>
    <row r="59" spans="1:20" ht="15.75" customHeight="1" x14ac:dyDescent="0.2">
      <c r="A59" s="406" t="s">
        <v>194</v>
      </c>
      <c r="B59" s="406" t="s">
        <v>195</v>
      </c>
      <c r="C59" s="17" t="b">
        <v>0</v>
      </c>
      <c r="D59" s="17" t="b">
        <v>1</v>
      </c>
      <c r="E59" s="47" t="str">
        <f t="shared" si="1"/>
        <v/>
      </c>
      <c r="F59" s="17"/>
      <c r="G59" s="17"/>
      <c r="H59" s="17"/>
      <c r="I59" s="17"/>
      <c r="J59" s="17"/>
      <c r="K59" s="17"/>
      <c r="L59" s="17"/>
      <c r="M59" s="17"/>
      <c r="N59" s="17"/>
      <c r="O59" s="17"/>
    </row>
    <row r="60" spans="1:20" ht="15.75" customHeight="1" x14ac:dyDescent="0.2">
      <c r="A60" s="406" t="s">
        <v>196</v>
      </c>
      <c r="B60" s="406" t="s">
        <v>197</v>
      </c>
      <c r="C60" s="17" t="b">
        <v>1</v>
      </c>
      <c r="D60" s="17" t="b">
        <v>1</v>
      </c>
      <c r="E60" s="47" t="str">
        <f t="shared" si="1"/>
        <v xml:space="preserve">CB, </v>
      </c>
      <c r="F60" s="17"/>
      <c r="G60" s="17"/>
      <c r="H60" s="17"/>
      <c r="I60" s="17"/>
      <c r="J60" s="17"/>
      <c r="K60" s="17"/>
      <c r="L60" s="17"/>
      <c r="M60" s="17"/>
      <c r="N60" s="17"/>
      <c r="O60" s="17"/>
    </row>
    <row r="61" spans="1:20" ht="15.75" customHeight="1" x14ac:dyDescent="0.2">
      <c r="A61" s="406" t="s">
        <v>198</v>
      </c>
      <c r="B61" s="406" t="s">
        <v>768</v>
      </c>
      <c r="C61" s="17" t="b">
        <v>1</v>
      </c>
      <c r="D61" s="17" t="b">
        <v>1</v>
      </c>
      <c r="E61" s="47" t="str">
        <f t="shared" si="1"/>
        <v xml:space="preserve">CO, </v>
      </c>
      <c r="F61" s="17"/>
      <c r="G61" s="17"/>
      <c r="H61" s="17"/>
      <c r="I61" s="17"/>
      <c r="J61" s="17"/>
      <c r="K61" s="17"/>
      <c r="L61" s="17"/>
      <c r="M61" s="17"/>
      <c r="N61" s="17"/>
      <c r="O61" s="17"/>
    </row>
    <row r="62" spans="1:20" ht="15.75" customHeight="1" x14ac:dyDescent="0.25">
      <c r="A62" s="406" t="s">
        <v>199</v>
      </c>
      <c r="B62" s="406" t="s">
        <v>200</v>
      </c>
      <c r="C62" s="17" t="b">
        <v>0</v>
      </c>
      <c r="D62" s="17" t="b">
        <v>1</v>
      </c>
      <c r="E62" s="47" t="str">
        <f t="shared" si="1"/>
        <v/>
      </c>
      <c r="F62" s="17"/>
      <c r="G62" s="17"/>
      <c r="H62" s="17"/>
      <c r="I62" s="17"/>
      <c r="J62" s="17"/>
      <c r="K62" s="17"/>
      <c r="L62" s="428" t="s">
        <v>589</v>
      </c>
      <c r="M62" s="430"/>
      <c r="N62" s="430"/>
      <c r="O62" s="430"/>
      <c r="P62" s="427"/>
      <c r="Q62" s="427"/>
      <c r="R62" s="427"/>
      <c r="S62" s="427"/>
      <c r="T62" s="427"/>
    </row>
    <row r="63" spans="1:20" ht="15.75" customHeight="1" x14ac:dyDescent="0.25">
      <c r="A63" s="406" t="s">
        <v>201</v>
      </c>
      <c r="B63" s="406" t="s">
        <v>202</v>
      </c>
      <c r="C63" s="17" t="b">
        <v>1</v>
      </c>
      <c r="D63" s="17" t="b">
        <v>1</v>
      </c>
      <c r="E63" s="47" t="str">
        <f t="shared" si="1"/>
        <v xml:space="preserve">CT, </v>
      </c>
      <c r="F63" s="17"/>
      <c r="G63" s="17"/>
      <c r="H63" s="17"/>
      <c r="I63" s="17"/>
      <c r="J63" s="17"/>
      <c r="K63" s="17"/>
      <c r="L63" s="428" t="s">
        <v>589</v>
      </c>
      <c r="M63" s="430"/>
      <c r="N63" s="430"/>
      <c r="O63" s="430"/>
      <c r="P63" s="427"/>
      <c r="Q63" s="427"/>
      <c r="R63" s="427"/>
      <c r="S63" s="427"/>
      <c r="T63" s="427"/>
    </row>
    <row r="64" spans="1:20" ht="15.75" customHeight="1" x14ac:dyDescent="0.25">
      <c r="A64" s="406" t="s">
        <v>203</v>
      </c>
      <c r="B64" s="406" t="s">
        <v>204</v>
      </c>
      <c r="C64" s="17" t="b">
        <v>0</v>
      </c>
      <c r="D64" s="17" t="b">
        <v>1</v>
      </c>
      <c r="E64" s="47" t="str">
        <f t="shared" si="1"/>
        <v/>
      </c>
      <c r="F64" s="17"/>
      <c r="G64" s="17"/>
      <c r="H64" s="17"/>
      <c r="I64" s="17"/>
      <c r="J64" s="17"/>
      <c r="K64" s="17"/>
      <c r="L64" s="428" t="s">
        <v>589</v>
      </c>
      <c r="M64" s="430"/>
      <c r="N64" s="430"/>
      <c r="O64" s="430"/>
      <c r="P64" s="427"/>
      <c r="Q64" s="427"/>
      <c r="R64" s="427"/>
      <c r="S64" s="427"/>
      <c r="T64" s="427"/>
    </row>
    <row r="65" spans="1:54" x14ac:dyDescent="0.2">
      <c r="A65" s="17"/>
      <c r="B65" s="17"/>
      <c r="C65" s="17" t="b">
        <v>1</v>
      </c>
      <c r="D65" s="17" t="b">
        <v>1</v>
      </c>
      <c r="E65" s="47" t="str">
        <f t="shared" ref="E65:E71" si="2">IF(C65=D65,_xlfn.CONCAT(B58,", "),"")</f>
        <v xml:space="preserve">ALTP, </v>
      </c>
      <c r="F65" s="17"/>
      <c r="G65" s="17"/>
      <c r="H65" s="17"/>
      <c r="I65" s="17"/>
      <c r="J65" s="17"/>
      <c r="K65" s="17"/>
      <c r="L65" s="17"/>
      <c r="M65" s="17"/>
      <c r="N65" s="17"/>
      <c r="O65" s="17"/>
    </row>
    <row r="66" spans="1:54" ht="15.75" x14ac:dyDescent="0.25">
      <c r="A66" s="868" t="s">
        <v>205</v>
      </c>
      <c r="B66" s="868"/>
      <c r="C66" s="17" t="b">
        <v>1</v>
      </c>
      <c r="D66" s="17" t="b">
        <v>1</v>
      </c>
      <c r="E66" s="47" t="str">
        <f t="shared" si="2"/>
        <v xml:space="preserve">RO, </v>
      </c>
      <c r="F66" s="17"/>
      <c r="G66" s="17"/>
      <c r="H66" s="17"/>
      <c r="I66" s="17"/>
      <c r="J66" s="17"/>
      <c r="K66" s="17"/>
      <c r="L66" s="17"/>
      <c r="M66" s="17"/>
      <c r="N66" s="17"/>
      <c r="O66" s="17"/>
    </row>
    <row r="67" spans="1:54" ht="15" x14ac:dyDescent="0.25">
      <c r="A67" s="48" t="s">
        <v>206</v>
      </c>
      <c r="B67" s="724" t="s">
        <v>761</v>
      </c>
      <c r="C67" s="17" t="b">
        <v>0</v>
      </c>
      <c r="D67" s="17" t="b">
        <v>1</v>
      </c>
      <c r="E67" s="47" t="str">
        <f t="shared" si="2"/>
        <v/>
      </c>
      <c r="F67" s="17"/>
      <c r="G67" s="17"/>
      <c r="H67" s="17"/>
      <c r="I67" s="17"/>
      <c r="J67" s="17"/>
      <c r="K67" s="17"/>
      <c r="L67" s="17"/>
      <c r="M67" s="17"/>
      <c r="N67" s="17"/>
      <c r="O67" s="17"/>
    </row>
    <row r="68" spans="1:54" ht="15" x14ac:dyDescent="0.25">
      <c r="A68" s="48" t="s">
        <v>207</v>
      </c>
      <c r="B68" s="724" t="s">
        <v>762</v>
      </c>
      <c r="C68" s="17" t="b">
        <v>1</v>
      </c>
      <c r="D68" s="17" t="b">
        <v>1</v>
      </c>
      <c r="E68" s="47" t="str">
        <f t="shared" si="2"/>
        <v xml:space="preserve">BTG-V, </v>
      </c>
      <c r="F68" s="17"/>
      <c r="G68" s="17"/>
      <c r="H68" s="17"/>
      <c r="I68" s="17"/>
      <c r="J68" s="17"/>
      <c r="K68" s="17"/>
      <c r="L68" s="17"/>
      <c r="M68" s="17"/>
      <c r="N68" s="17"/>
      <c r="O68" s="17"/>
    </row>
    <row r="69" spans="1:54" ht="15" x14ac:dyDescent="0.25">
      <c r="A69" s="48" t="s">
        <v>208</v>
      </c>
      <c r="B69" s="725" t="s">
        <v>763</v>
      </c>
      <c r="C69" s="17" t="b">
        <v>0</v>
      </c>
      <c r="D69" s="17" t="b">
        <v>1</v>
      </c>
      <c r="E69" s="47" t="str">
        <f t="shared" si="2"/>
        <v/>
      </c>
      <c r="F69" s="17"/>
      <c r="G69" s="17"/>
      <c r="H69" s="17"/>
      <c r="I69" s="17"/>
      <c r="J69" s="17"/>
      <c r="K69" s="17"/>
      <c r="L69" s="17"/>
      <c r="M69" s="17"/>
      <c r="N69" s="17"/>
      <c r="O69" s="17"/>
    </row>
    <row r="70" spans="1:54" ht="15" x14ac:dyDescent="0.25">
      <c r="A70" s="48" t="s">
        <v>209</v>
      </c>
      <c r="B70" s="725" t="s">
        <v>764</v>
      </c>
      <c r="C70" s="17" t="b">
        <v>0</v>
      </c>
      <c r="D70" s="17" t="b">
        <v>1</v>
      </c>
      <c r="E70" s="47" t="str">
        <f t="shared" si="2"/>
        <v/>
      </c>
      <c r="F70" s="17"/>
      <c r="G70" s="17"/>
      <c r="H70" s="17"/>
      <c r="I70" s="17"/>
      <c r="J70" s="17"/>
      <c r="K70" s="17"/>
      <c r="L70" s="17"/>
      <c r="M70" s="17"/>
      <c r="N70" s="17"/>
      <c r="O70" s="17"/>
    </row>
    <row r="71" spans="1:54" ht="15" x14ac:dyDescent="0.25">
      <c r="A71" s="48" t="s">
        <v>207</v>
      </c>
      <c r="B71" s="724" t="s">
        <v>765</v>
      </c>
      <c r="C71" s="17" t="b">
        <v>0</v>
      </c>
      <c r="D71" s="17" t="b">
        <v>1</v>
      </c>
      <c r="E71" s="47" t="str">
        <f t="shared" si="2"/>
        <v/>
      </c>
      <c r="F71" s="17"/>
      <c r="G71" s="17"/>
      <c r="H71" s="17"/>
      <c r="I71" s="17"/>
      <c r="J71" s="17"/>
      <c r="K71" s="17"/>
      <c r="L71" s="17"/>
      <c r="M71" s="17"/>
      <c r="N71" s="17"/>
      <c r="O71" s="17"/>
    </row>
    <row r="72" spans="1:54" ht="15.75" x14ac:dyDescent="0.25">
      <c r="A72" s="868" t="s">
        <v>210</v>
      </c>
      <c r="B72" s="868"/>
      <c r="C72" s="17"/>
      <c r="D72" s="17"/>
      <c r="E72" s="17"/>
      <c r="F72" s="17"/>
      <c r="G72" s="17"/>
      <c r="H72" s="17"/>
      <c r="I72" s="17"/>
      <c r="J72" s="17"/>
      <c r="K72" s="17"/>
      <c r="L72" s="17"/>
      <c r="M72" s="17"/>
      <c r="N72" s="17"/>
      <c r="O72" s="17"/>
    </row>
    <row r="73" spans="1:54" ht="15" x14ac:dyDescent="0.25">
      <c r="A73" s="48" t="s">
        <v>207</v>
      </c>
      <c r="B73" s="724" t="s">
        <v>766</v>
      </c>
      <c r="C73" s="17"/>
      <c r="D73" s="17"/>
      <c r="E73" s="17"/>
      <c r="F73" s="17"/>
      <c r="G73" s="17"/>
      <c r="H73" s="17"/>
      <c r="I73" s="17"/>
      <c r="J73" s="17"/>
      <c r="K73" s="17"/>
      <c r="L73" s="17"/>
      <c r="M73" s="17"/>
      <c r="N73" s="17"/>
      <c r="O73" s="17"/>
    </row>
    <row r="74" spans="1:54" ht="15" x14ac:dyDescent="0.25">
      <c r="A74" s="48" t="s">
        <v>208</v>
      </c>
      <c r="B74" s="725" t="s">
        <v>767</v>
      </c>
      <c r="C74" s="17"/>
      <c r="D74" s="17"/>
      <c r="E74" s="17"/>
      <c r="F74" s="17"/>
      <c r="G74" s="17"/>
      <c r="H74" s="17"/>
      <c r="I74" s="17"/>
      <c r="J74" s="17"/>
      <c r="K74" s="17"/>
      <c r="L74" s="17"/>
      <c r="M74" s="17"/>
      <c r="N74" s="17"/>
      <c r="O74" s="17"/>
    </row>
    <row r="75" spans="1:54" x14ac:dyDescent="0.2">
      <c r="A75" s="17"/>
      <c r="B75" s="17"/>
      <c r="C75" s="17"/>
      <c r="D75" s="17"/>
      <c r="E75" s="17"/>
      <c r="F75" s="17"/>
      <c r="G75" s="17"/>
      <c r="H75" s="17"/>
      <c r="I75" s="17"/>
      <c r="J75" s="17"/>
      <c r="K75" s="17"/>
      <c r="L75" s="17"/>
      <c r="M75" s="17"/>
      <c r="N75" s="17"/>
      <c r="O75" s="17"/>
    </row>
    <row r="76" spans="1:54" ht="15.75" x14ac:dyDescent="0.25">
      <c r="A76" s="884" t="s">
        <v>211</v>
      </c>
      <c r="B76" s="884"/>
      <c r="C76" s="884"/>
      <c r="D76" s="884"/>
      <c r="E76" s="884"/>
      <c r="F76" s="884"/>
      <c r="G76" s="884"/>
      <c r="H76" s="884"/>
      <c r="I76" s="884"/>
      <c r="J76" s="884"/>
      <c r="K76" s="884"/>
      <c r="L76" s="884"/>
      <c r="M76" s="884"/>
      <c r="N76" s="884"/>
      <c r="O76" s="884"/>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row>
    <row r="77" spans="1:54" ht="15.75" x14ac:dyDescent="0.25">
      <c r="A77" s="885"/>
      <c r="B77" s="886"/>
      <c r="C77" s="50"/>
      <c r="D77" s="50"/>
      <c r="E77" s="50"/>
      <c r="F77" s="50"/>
      <c r="G77" s="50"/>
      <c r="H77" s="50"/>
      <c r="I77" s="50"/>
      <c r="J77" s="50"/>
      <c r="K77" s="50"/>
      <c r="L77" s="51" t="s">
        <v>82</v>
      </c>
      <c r="M77" s="52" t="s">
        <v>83</v>
      </c>
      <c r="N77" s="51" t="s">
        <v>84</v>
      </c>
      <c r="O77" s="51" t="s">
        <v>85</v>
      </c>
      <c r="Q77" s="53"/>
      <c r="R77" s="53"/>
      <c r="S77" s="53"/>
      <c r="T77" s="53"/>
      <c r="U77" s="53"/>
      <c r="V77" s="53"/>
      <c r="W77" s="54"/>
      <c r="X77" s="54"/>
      <c r="Y77" s="54"/>
      <c r="AA77" s="55"/>
      <c r="AB77" s="55"/>
      <c r="AC77" s="55"/>
      <c r="AD77" s="55"/>
      <c r="AE77" s="55"/>
      <c r="AF77" s="55"/>
      <c r="AG77" s="53"/>
      <c r="AH77" s="53"/>
      <c r="AJ77" s="53"/>
      <c r="AK77" s="53"/>
      <c r="AL77" s="53"/>
      <c r="AM77" s="53"/>
      <c r="AN77" s="53"/>
      <c r="AO77" s="53"/>
      <c r="AP77" s="53"/>
      <c r="AQ77" s="53"/>
      <c r="AR77" s="49"/>
      <c r="AS77" s="49"/>
      <c r="AU77" s="53"/>
      <c r="AV77" s="53"/>
      <c r="AW77" s="53"/>
      <c r="AX77" s="53"/>
      <c r="AY77" s="53"/>
      <c r="AZ77" s="53"/>
      <c r="BA77" s="53"/>
      <c r="BB77" s="49"/>
    </row>
    <row r="78" spans="1:54" ht="15.75" x14ac:dyDescent="0.25">
      <c r="A78" s="887" t="s">
        <v>86</v>
      </c>
      <c r="B78" s="888"/>
      <c r="C78" s="50"/>
      <c r="D78" s="50"/>
      <c r="E78" s="50"/>
      <c r="F78" s="50"/>
      <c r="G78" s="50"/>
      <c r="H78" s="50"/>
      <c r="I78" s="50"/>
      <c r="J78" s="50"/>
      <c r="K78" s="50"/>
      <c r="L78" s="56">
        <v>5.0389999999999997</v>
      </c>
      <c r="M78" s="56">
        <v>15.085000000000001</v>
      </c>
      <c r="N78" s="57">
        <f>$O$78+Draft!$H$75</f>
        <v>95894.88</v>
      </c>
      <c r="O78" s="57">
        <v>82744.2</v>
      </c>
      <c r="Q78" s="58"/>
      <c r="R78" s="58"/>
      <c r="S78" s="58"/>
      <c r="T78" s="58"/>
      <c r="U78" s="58"/>
      <c r="V78" s="58"/>
      <c r="W78" s="59"/>
      <c r="X78" s="59"/>
      <c r="Y78" s="59"/>
      <c r="AA78" s="58"/>
      <c r="AB78" s="58"/>
      <c r="AC78" s="58"/>
      <c r="AD78" s="58"/>
      <c r="AE78" s="58"/>
      <c r="AF78" s="60"/>
      <c r="AG78" s="61"/>
      <c r="AH78" s="61"/>
      <c r="AJ78" s="61"/>
      <c r="AK78" s="61"/>
      <c r="AL78" s="61"/>
      <c r="AM78" s="61"/>
      <c r="AN78" s="61"/>
      <c r="AO78" s="61"/>
      <c r="AP78" s="61"/>
      <c r="AQ78" s="62"/>
      <c r="AR78" s="62"/>
      <c r="AS78" s="62"/>
      <c r="AU78" s="61"/>
      <c r="AV78" s="61"/>
      <c r="AW78" s="61"/>
      <c r="AX78" s="61"/>
      <c r="AY78" s="61"/>
      <c r="AZ78" s="61"/>
      <c r="BA78" s="61"/>
      <c r="BB78" s="63"/>
    </row>
    <row r="79" spans="1:54" ht="15.75" x14ac:dyDescent="0.25">
      <c r="A79" s="887" t="s">
        <v>87</v>
      </c>
      <c r="B79" s="888"/>
      <c r="C79" s="50"/>
      <c r="D79" s="50"/>
      <c r="E79" s="50"/>
      <c r="F79" s="50"/>
      <c r="G79" s="50"/>
      <c r="H79" s="50"/>
      <c r="I79" s="50"/>
      <c r="J79" s="50"/>
      <c r="K79" s="50"/>
      <c r="L79" s="56">
        <v>5.34</v>
      </c>
      <c r="M79" s="56">
        <v>14.784000000000001</v>
      </c>
      <c r="N79" s="57">
        <f>$O$79+Draft!$H$75</f>
        <v>93826.38</v>
      </c>
      <c r="O79" s="57">
        <v>80675.7</v>
      </c>
      <c r="Q79" s="58"/>
      <c r="R79" s="58"/>
      <c r="S79" s="58"/>
      <c r="T79" s="58"/>
      <c r="U79" s="58"/>
      <c r="V79" s="58"/>
      <c r="W79" s="59"/>
      <c r="X79" s="59"/>
      <c r="Y79" s="59"/>
      <c r="AA79" s="58"/>
      <c r="AB79" s="58"/>
      <c r="AC79" s="58"/>
      <c r="AD79" s="58"/>
      <c r="AE79" s="58"/>
      <c r="AF79" s="60"/>
      <c r="AG79" s="61"/>
      <c r="AH79" s="61"/>
      <c r="AJ79" s="61"/>
      <c r="AK79" s="61"/>
      <c r="AL79" s="61"/>
      <c r="AM79" s="61"/>
      <c r="AN79" s="61"/>
      <c r="AO79" s="61"/>
      <c r="AP79" s="61"/>
      <c r="AQ79" s="62"/>
      <c r="AR79" s="62"/>
      <c r="AS79" s="62"/>
      <c r="AU79" s="61"/>
      <c r="AV79" s="61"/>
      <c r="AW79" s="61"/>
      <c r="AX79" s="61"/>
      <c r="AY79" s="61"/>
      <c r="AZ79" s="61"/>
      <c r="BA79" s="61"/>
      <c r="BB79" s="63"/>
    </row>
    <row r="80" spans="1:54" ht="15.75" x14ac:dyDescent="0.25">
      <c r="A80" s="887" t="s">
        <v>88</v>
      </c>
      <c r="B80" s="888"/>
      <c r="C80" s="50"/>
      <c r="D80" s="50"/>
      <c r="E80" s="50"/>
      <c r="F80" s="50"/>
      <c r="G80" s="50"/>
      <c r="H80" s="50"/>
      <c r="I80" s="50"/>
      <c r="J80" s="50"/>
      <c r="K80" s="50"/>
      <c r="L80" s="56">
        <v>5.3730000000000002</v>
      </c>
      <c r="M80" s="56">
        <v>14.750999999999999</v>
      </c>
      <c r="N80" s="57">
        <f>$O$80+Draft!$H$75</f>
        <v>95939.78</v>
      </c>
      <c r="O80" s="57">
        <v>82789.100000000006</v>
      </c>
      <c r="Q80" s="58"/>
      <c r="R80" s="58"/>
      <c r="S80" s="58"/>
      <c r="T80" s="58"/>
      <c r="U80" s="58"/>
      <c r="V80" s="58"/>
      <c r="W80" s="59"/>
      <c r="X80" s="59"/>
      <c r="Y80" s="59"/>
      <c r="AA80" s="58"/>
      <c r="AB80" s="58"/>
      <c r="AC80" s="58"/>
      <c r="AD80" s="58"/>
      <c r="AE80" s="58"/>
      <c r="AF80" s="60"/>
      <c r="AG80" s="61"/>
      <c r="AH80" s="61"/>
      <c r="AJ80" s="61"/>
      <c r="AK80" s="61"/>
      <c r="AL80" s="61"/>
      <c r="AM80" s="61"/>
      <c r="AN80" s="61"/>
      <c r="AO80" s="61"/>
      <c r="AP80" s="61"/>
      <c r="AQ80" s="62"/>
      <c r="AR80" s="62"/>
      <c r="AS80" s="62"/>
      <c r="AU80" s="61"/>
      <c r="AV80" s="61"/>
      <c r="AW80" s="61"/>
      <c r="AX80" s="61"/>
      <c r="AY80" s="61"/>
      <c r="AZ80" s="61"/>
      <c r="BA80" s="61"/>
      <c r="BB80" s="63"/>
    </row>
    <row r="81" spans="1:54" ht="15.75" x14ac:dyDescent="0.25">
      <c r="A81" s="887" t="s">
        <v>89</v>
      </c>
      <c r="B81" s="888"/>
      <c r="C81" s="50"/>
      <c r="D81" s="50"/>
      <c r="E81" s="50"/>
      <c r="F81" s="50"/>
      <c r="G81" s="50"/>
      <c r="H81" s="50"/>
      <c r="I81" s="50"/>
      <c r="J81" s="50"/>
      <c r="K81" s="50"/>
      <c r="L81" s="56">
        <v>5.6740000000000004</v>
      </c>
      <c r="M81" s="56">
        <v>14.45</v>
      </c>
      <c r="N81" s="57">
        <f>$O$81+Draft!$H$75</f>
        <v>93821.88</v>
      </c>
      <c r="O81" s="57">
        <v>80671.199999999997</v>
      </c>
      <c r="Q81" s="58"/>
      <c r="R81" s="58"/>
      <c r="S81" s="58"/>
      <c r="T81" s="58"/>
      <c r="U81" s="58"/>
      <c r="V81" s="58"/>
      <c r="W81" s="59"/>
      <c r="X81" s="59"/>
      <c r="Y81" s="59"/>
      <c r="AA81" s="58"/>
      <c r="AB81" s="58"/>
      <c r="AC81" s="58"/>
      <c r="AD81" s="58"/>
      <c r="AE81" s="58"/>
      <c r="AF81" s="60"/>
      <c r="AG81" s="61"/>
      <c r="AH81" s="61"/>
      <c r="AJ81" s="61"/>
      <c r="AK81" s="61"/>
      <c r="AL81" s="61"/>
      <c r="AM81" s="61"/>
      <c r="AN81" s="61"/>
      <c r="AO81" s="61"/>
      <c r="AP81" s="61"/>
      <c r="AQ81" s="62"/>
      <c r="AR81" s="62"/>
      <c r="AS81" s="62"/>
      <c r="AU81" s="61"/>
      <c r="AV81" s="61"/>
      <c r="AW81" s="61"/>
      <c r="AX81" s="61"/>
      <c r="AY81" s="61"/>
      <c r="AZ81" s="61"/>
      <c r="BA81" s="61"/>
      <c r="BB81" s="63"/>
    </row>
    <row r="82" spans="1:54" ht="15.75" x14ac:dyDescent="0.25">
      <c r="A82" s="887" t="s">
        <v>90</v>
      </c>
      <c r="B82" s="888"/>
      <c r="C82" s="64"/>
      <c r="D82" s="64"/>
      <c r="E82" s="64"/>
      <c r="F82" s="64"/>
      <c r="G82" s="64"/>
      <c r="H82" s="64"/>
      <c r="I82" s="64"/>
      <c r="J82" s="64"/>
      <c r="K82" s="64"/>
      <c r="L82" s="56">
        <v>5.9749999999999996</v>
      </c>
      <c r="M82" s="56">
        <v>14.148999999999999</v>
      </c>
      <c r="N82" s="57">
        <f>$O$82+Draft!$H$75</f>
        <v>91706.48000000001</v>
      </c>
      <c r="O82" s="57">
        <v>78555.8</v>
      </c>
      <c r="Q82" s="58"/>
      <c r="R82" s="58"/>
      <c r="S82" s="58"/>
      <c r="T82" s="58"/>
      <c r="U82" s="58"/>
      <c r="V82" s="58"/>
      <c r="W82" s="59"/>
      <c r="X82" s="59"/>
      <c r="Y82" s="59"/>
      <c r="AA82" s="58"/>
      <c r="AB82" s="58"/>
      <c r="AC82" s="58"/>
      <c r="AD82" s="58"/>
      <c r="AE82" s="58"/>
      <c r="AF82" s="60"/>
      <c r="AG82" s="61"/>
      <c r="AH82" s="61"/>
      <c r="AJ82" s="61"/>
      <c r="AK82" s="61"/>
      <c r="AL82" s="61"/>
      <c r="AM82" s="61"/>
      <c r="AN82" s="61"/>
      <c r="AO82" s="61"/>
      <c r="AP82" s="61"/>
      <c r="AQ82" s="62"/>
      <c r="AR82" s="62"/>
      <c r="AS82" s="62"/>
      <c r="AU82" s="61"/>
      <c r="AV82" s="61"/>
      <c r="AW82" s="61"/>
      <c r="AX82" s="61"/>
      <c r="AY82" s="61"/>
      <c r="AZ82" s="61"/>
      <c r="BA82" s="61"/>
      <c r="BB82" s="63"/>
    </row>
    <row r="83" spans="1:54" x14ac:dyDescent="0.2">
      <c r="A83" s="17"/>
      <c r="B83" s="17"/>
      <c r="C83" s="17"/>
      <c r="D83" s="17"/>
      <c r="E83" s="17"/>
      <c r="F83" s="17"/>
      <c r="G83" s="17"/>
      <c r="H83" s="17"/>
      <c r="I83" s="17"/>
      <c r="J83" s="17"/>
      <c r="K83" s="17"/>
      <c r="L83" s="17"/>
      <c r="M83" s="17"/>
      <c r="N83" s="17"/>
      <c r="O83" s="17"/>
    </row>
    <row r="84" spans="1:54" ht="15.75" x14ac:dyDescent="0.25">
      <c r="A84" s="868" t="s">
        <v>212</v>
      </c>
      <c r="B84" s="868"/>
      <c r="C84" s="17"/>
      <c r="D84" s="34" t="s">
        <v>701</v>
      </c>
      <c r="E84" s="17"/>
      <c r="F84" s="34"/>
      <c r="G84" s="17"/>
      <c r="H84" s="34"/>
      <c r="I84" s="17"/>
      <c r="J84" s="17"/>
      <c r="K84" s="17"/>
      <c r="L84" s="17"/>
      <c r="M84" s="17"/>
      <c r="N84" s="17"/>
      <c r="O84" s="17"/>
    </row>
    <row r="85" spans="1:54" ht="15" x14ac:dyDescent="0.25">
      <c r="A85" s="890"/>
      <c r="B85" s="890"/>
      <c r="C85" s="17"/>
      <c r="D85" s="34" t="s">
        <v>213</v>
      </c>
      <c r="E85" s="17"/>
      <c r="F85" s="34"/>
      <c r="G85" s="17"/>
      <c r="H85" s="17"/>
      <c r="I85" s="17"/>
      <c r="J85" s="17"/>
      <c r="K85" s="17"/>
      <c r="L85" s="17"/>
      <c r="M85" s="17"/>
      <c r="N85" s="17"/>
      <c r="O85" s="17"/>
    </row>
    <row r="86" spans="1:54" ht="15" x14ac:dyDescent="0.25">
      <c r="A86" s="17"/>
      <c r="B86" s="17"/>
      <c r="C86" s="17"/>
      <c r="D86" s="34" t="s">
        <v>214</v>
      </c>
      <c r="E86" s="17"/>
      <c r="F86" s="17"/>
      <c r="G86" s="17"/>
      <c r="H86" s="17"/>
      <c r="I86" s="17"/>
      <c r="J86" s="17"/>
      <c r="K86" s="17"/>
      <c r="L86" s="17"/>
      <c r="M86" s="17"/>
      <c r="N86" s="17"/>
      <c r="O86" s="17"/>
    </row>
    <row r="87" spans="1:54" ht="15.75" x14ac:dyDescent="0.25">
      <c r="A87" s="868" t="s">
        <v>215</v>
      </c>
      <c r="B87" s="868"/>
      <c r="C87" s="17"/>
      <c r="D87" s="34" t="s">
        <v>702</v>
      </c>
      <c r="E87" s="17"/>
      <c r="F87" s="17"/>
      <c r="G87" s="17"/>
      <c r="H87" s="17"/>
      <c r="I87" s="17"/>
      <c r="J87" s="17"/>
      <c r="K87" s="17"/>
      <c r="L87" s="17"/>
      <c r="M87" s="17"/>
      <c r="N87" s="17"/>
      <c r="O87" s="17"/>
    </row>
    <row r="88" spans="1:54" ht="15" x14ac:dyDescent="0.25">
      <c r="A88" s="891"/>
      <c r="B88" s="891"/>
      <c r="C88" s="17"/>
      <c r="D88" s="34" t="s">
        <v>703</v>
      </c>
      <c r="E88" s="17"/>
      <c r="F88" s="17"/>
      <c r="G88" s="17"/>
      <c r="H88" s="17"/>
      <c r="I88" s="17"/>
      <c r="J88" s="17"/>
      <c r="K88" s="17"/>
      <c r="L88" s="17"/>
      <c r="M88" s="17"/>
      <c r="N88" s="17"/>
      <c r="O88" s="17"/>
    </row>
    <row r="89" spans="1:54" ht="15" x14ac:dyDescent="0.25">
      <c r="A89" s="892"/>
      <c r="B89" s="892"/>
      <c r="C89" s="17"/>
      <c r="D89" s="34" t="s">
        <v>704</v>
      </c>
      <c r="E89" s="17"/>
      <c r="F89" s="17"/>
      <c r="G89" s="17"/>
      <c r="H89" s="17"/>
      <c r="I89" s="17"/>
      <c r="J89" s="17"/>
      <c r="K89" s="17"/>
      <c r="L89" s="17"/>
      <c r="M89" s="17"/>
      <c r="N89" s="17"/>
      <c r="O89" s="17"/>
    </row>
    <row r="90" spans="1:54" ht="15.75" x14ac:dyDescent="0.25">
      <c r="A90" s="868" t="s">
        <v>219</v>
      </c>
      <c r="B90" s="868"/>
      <c r="C90" s="17"/>
      <c r="D90" s="34" t="s">
        <v>217</v>
      </c>
      <c r="E90" s="17"/>
      <c r="F90" s="17"/>
      <c r="G90" s="17"/>
      <c r="H90" s="17"/>
      <c r="I90" s="17"/>
      <c r="J90" s="17"/>
      <c r="K90" s="17"/>
      <c r="L90" s="17"/>
      <c r="M90" s="17"/>
      <c r="N90" s="17"/>
      <c r="O90" s="17"/>
    </row>
    <row r="91" spans="1:54" ht="15" x14ac:dyDescent="0.25">
      <c r="A91" s="891"/>
      <c r="B91" s="891"/>
      <c r="C91" s="17"/>
      <c r="D91" s="33" t="s">
        <v>220</v>
      </c>
      <c r="E91" s="17"/>
      <c r="F91" s="17"/>
      <c r="G91" s="17"/>
      <c r="H91" s="17"/>
      <c r="I91" s="17"/>
      <c r="J91" s="17"/>
      <c r="K91" s="17"/>
      <c r="L91" s="17"/>
      <c r="M91" s="17"/>
      <c r="N91" s="17"/>
      <c r="O91" s="17"/>
    </row>
    <row r="92" spans="1:54" ht="15" x14ac:dyDescent="0.25">
      <c r="A92" s="892"/>
      <c r="B92" s="892"/>
      <c r="C92" s="17"/>
      <c r="D92" s="34" t="s">
        <v>621</v>
      </c>
      <c r="E92" s="17"/>
      <c r="F92" s="17"/>
      <c r="G92" s="17"/>
      <c r="H92" s="17"/>
      <c r="I92" s="17"/>
      <c r="J92" s="17"/>
      <c r="K92" s="17"/>
      <c r="L92" s="17"/>
      <c r="M92" s="17"/>
      <c r="N92" s="17"/>
      <c r="O92" s="17"/>
    </row>
    <row r="93" spans="1:54" ht="15.75" x14ac:dyDescent="0.25">
      <c r="A93" s="868" t="s">
        <v>222</v>
      </c>
      <c r="B93" s="868"/>
      <c r="C93" s="17"/>
      <c r="D93" s="34" t="s">
        <v>705</v>
      </c>
      <c r="E93" s="17"/>
      <c r="F93" s="17"/>
      <c r="G93" s="17"/>
      <c r="H93" s="17"/>
      <c r="I93" s="17"/>
      <c r="J93" s="17"/>
      <c r="K93" s="17"/>
      <c r="L93" s="17"/>
      <c r="M93" s="17"/>
      <c r="N93" s="17"/>
      <c r="O93" s="17"/>
    </row>
    <row r="94" spans="1:54" ht="15" x14ac:dyDescent="0.25">
      <c r="A94" s="891"/>
      <c r="B94" s="891"/>
      <c r="C94" s="17"/>
      <c r="D94" s="33" t="s">
        <v>706</v>
      </c>
      <c r="E94" s="17"/>
      <c r="F94" s="17"/>
      <c r="G94" s="17"/>
      <c r="H94" s="17"/>
      <c r="I94" s="17"/>
      <c r="J94" s="17"/>
      <c r="K94" s="17"/>
      <c r="L94" s="17"/>
      <c r="M94" s="17"/>
      <c r="N94" s="17"/>
      <c r="O94" s="17"/>
    </row>
    <row r="95" spans="1:54" ht="15" x14ac:dyDescent="0.25">
      <c r="A95" s="892"/>
      <c r="B95" s="892"/>
      <c r="C95" s="17"/>
      <c r="D95" s="33" t="s">
        <v>223</v>
      </c>
      <c r="E95" s="17"/>
      <c r="F95" s="17"/>
      <c r="G95" s="17"/>
      <c r="H95" s="17"/>
      <c r="I95" s="17"/>
      <c r="J95" s="17"/>
      <c r="K95" s="17"/>
      <c r="L95" s="17"/>
      <c r="M95" s="17"/>
      <c r="N95" s="17"/>
      <c r="O95" s="17"/>
    </row>
    <row r="96" spans="1:54" ht="15.75" x14ac:dyDescent="0.25">
      <c r="A96" s="868" t="s">
        <v>226</v>
      </c>
      <c r="B96" s="868"/>
      <c r="C96" s="17"/>
      <c r="D96" s="34" t="s">
        <v>224</v>
      </c>
      <c r="E96" s="17"/>
      <c r="F96" s="17"/>
      <c r="G96" s="17"/>
      <c r="H96" s="17"/>
      <c r="I96" s="17"/>
      <c r="J96" s="17"/>
      <c r="K96" s="17"/>
      <c r="L96" s="17"/>
      <c r="M96" s="17"/>
      <c r="N96" s="17"/>
      <c r="O96" s="17"/>
    </row>
    <row r="97" spans="1:15" ht="15.75" x14ac:dyDescent="0.25">
      <c r="A97" s="889" t="s">
        <v>755</v>
      </c>
      <c r="B97" s="889"/>
      <c r="C97" s="17"/>
      <c r="D97" s="34" t="s">
        <v>225</v>
      </c>
      <c r="E97" s="17"/>
      <c r="F97" s="17"/>
      <c r="G97" s="17"/>
      <c r="H97" s="17"/>
      <c r="I97" s="17"/>
      <c r="J97" s="17"/>
      <c r="K97" s="17"/>
      <c r="L97" s="17"/>
      <c r="M97" s="17"/>
      <c r="N97" s="17"/>
      <c r="O97" s="17"/>
    </row>
    <row r="98" spans="1:15" ht="15" x14ac:dyDescent="0.25">
      <c r="D98" s="34" t="s">
        <v>447</v>
      </c>
    </row>
    <row r="99" spans="1:15" ht="15" x14ac:dyDescent="0.25">
      <c r="D99" s="34" t="s">
        <v>595</v>
      </c>
    </row>
    <row r="100" spans="1:15" ht="15" x14ac:dyDescent="0.25">
      <c r="D100" s="65" t="s">
        <v>227</v>
      </c>
    </row>
    <row r="101" spans="1:15" ht="15" x14ac:dyDescent="0.25">
      <c r="D101" s="65" t="s">
        <v>228</v>
      </c>
    </row>
    <row r="102" spans="1:15" ht="15" x14ac:dyDescent="0.25">
      <c r="D102" s="34" t="s">
        <v>229</v>
      </c>
    </row>
    <row r="103" spans="1:15" ht="15" x14ac:dyDescent="0.25">
      <c r="D103" s="34" t="s">
        <v>230</v>
      </c>
    </row>
    <row r="104" spans="1:15" ht="15" x14ac:dyDescent="0.25">
      <c r="D104" s="34" t="s">
        <v>707</v>
      </c>
    </row>
    <row r="105" spans="1:15" ht="15" x14ac:dyDescent="0.25">
      <c r="D105" s="34"/>
    </row>
    <row r="106" spans="1:15" ht="15" x14ac:dyDescent="0.25">
      <c r="D106" s="34"/>
    </row>
    <row r="107" spans="1:15" ht="15" x14ac:dyDescent="0.25">
      <c r="D107" s="34"/>
    </row>
    <row r="108" spans="1:15" ht="15" x14ac:dyDescent="0.25">
      <c r="D108" s="34"/>
    </row>
    <row r="110" spans="1:15" ht="14.25" x14ac:dyDescent="0.2">
      <c r="D110" s="66" t="s">
        <v>231</v>
      </c>
    </row>
    <row r="111" spans="1:15" ht="14.25" x14ac:dyDescent="0.2">
      <c r="D111" s="67" t="s">
        <v>232</v>
      </c>
    </row>
    <row r="112" spans="1:15" ht="14.25" x14ac:dyDescent="0.2">
      <c r="D112" s="67" t="s">
        <v>233</v>
      </c>
    </row>
    <row r="113" spans="4:4" ht="14.25" x14ac:dyDescent="0.2">
      <c r="D113" s="66" t="s">
        <v>597</v>
      </c>
    </row>
    <row r="114" spans="4:4" ht="14.25" x14ac:dyDescent="0.2">
      <c r="D114" s="66" t="s">
        <v>234</v>
      </c>
    </row>
    <row r="115" spans="4:4" ht="14.25" x14ac:dyDescent="0.2">
      <c r="D115" s="68" t="s">
        <v>235</v>
      </c>
    </row>
    <row r="116" spans="4:4" ht="14.25" x14ac:dyDescent="0.2">
      <c r="D116" s="67" t="s">
        <v>236</v>
      </c>
    </row>
    <row r="117" spans="4:4" ht="14.25" x14ac:dyDescent="0.2">
      <c r="D117" s="67" t="s">
        <v>237</v>
      </c>
    </row>
    <row r="118" spans="4:4" ht="14.25" x14ac:dyDescent="0.2">
      <c r="D118" s="67" t="s">
        <v>238</v>
      </c>
    </row>
    <row r="119" spans="4:4" ht="14.25" x14ac:dyDescent="0.2">
      <c r="D119" s="66" t="s">
        <v>239</v>
      </c>
    </row>
    <row r="120" spans="4:4" ht="14.25" x14ac:dyDescent="0.2">
      <c r="D120" s="66" t="s">
        <v>240</v>
      </c>
    </row>
    <row r="121" spans="4:4" ht="14.25" x14ac:dyDescent="0.2">
      <c r="D121" s="67" t="s">
        <v>241</v>
      </c>
    </row>
    <row r="122" spans="4:4" ht="14.25" x14ac:dyDescent="0.2">
      <c r="D122" s="66" t="s">
        <v>242</v>
      </c>
    </row>
    <row r="123" spans="4:4" ht="14.25" x14ac:dyDescent="0.2">
      <c r="D123" s="67" t="s">
        <v>243</v>
      </c>
    </row>
    <row r="124" spans="4:4" ht="14.25" x14ac:dyDescent="0.2">
      <c r="D124" s="67" t="s">
        <v>244</v>
      </c>
    </row>
    <row r="125" spans="4:4" ht="14.25" x14ac:dyDescent="0.2">
      <c r="D125" s="67" t="s">
        <v>245</v>
      </c>
    </row>
    <row r="126" spans="4:4" ht="14.25" x14ac:dyDescent="0.2">
      <c r="D126" s="67" t="s">
        <v>246</v>
      </c>
    </row>
    <row r="127" spans="4:4" x14ac:dyDescent="0.2">
      <c r="D127" s="18" t="s">
        <v>659</v>
      </c>
    </row>
    <row r="128" spans="4:4" x14ac:dyDescent="0.2">
      <c r="D128" s="18" t="s">
        <v>661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73" zoomScaleNormal="100" workbookViewId="0">
      <selection activeCell="AI85" sqref="AI85"/>
    </sheetView>
  </sheetViews>
  <sheetFormatPr defaultColWidth="3.7109375" defaultRowHeight="12.75" x14ac:dyDescent="0.2"/>
  <cols>
    <col min="1" max="34" width="5.7109375" style="69" customWidth="1"/>
    <col min="35" max="35" width="7.7109375" style="69" bestFit="1" customWidth="1"/>
    <col min="36" max="37" width="5.7109375" style="69" customWidth="1"/>
    <col min="38" max="38" width="5.5703125" style="69" customWidth="1"/>
    <col min="39" max="39" width="13.28515625" style="69" customWidth="1"/>
    <col min="40" max="40" width="8.5703125" style="69" customWidth="1"/>
    <col min="41" max="41" width="11.28515625" style="70" customWidth="1"/>
    <col min="42" max="42" width="3" style="70" customWidth="1"/>
    <col min="43" max="43" width="13.42578125" style="70" customWidth="1"/>
    <col min="44" max="47" width="3.7109375" style="70" customWidth="1"/>
    <col min="48" max="48" width="5.7109375" style="69" customWidth="1"/>
    <col min="49" max="51" width="3.7109375" style="69" customWidth="1"/>
    <col min="52" max="52" width="5.7109375" style="69" customWidth="1"/>
    <col min="53" max="66" width="3.7109375" style="69" customWidth="1"/>
    <col min="67" max="16384" width="3.7109375" style="69"/>
  </cols>
  <sheetData>
    <row r="1" spans="1:44" ht="78" customHeight="1" thickBot="1" x14ac:dyDescent="0.25"/>
    <row r="2" spans="1:44" ht="39.75" customHeight="1" thickBot="1" x14ac:dyDescent="0.25">
      <c r="A2" s="906" t="s">
        <v>247</v>
      </c>
      <c r="B2" s="907"/>
      <c r="C2" s="907"/>
      <c r="D2" s="907"/>
      <c r="E2" s="907"/>
      <c r="F2" s="907"/>
      <c r="G2" s="907"/>
      <c r="H2" s="907"/>
      <c r="I2" s="907"/>
      <c r="J2" s="907"/>
      <c r="K2" s="907"/>
      <c r="L2" s="907"/>
      <c r="M2" s="907"/>
      <c r="N2" s="907"/>
      <c r="O2" s="907"/>
      <c r="P2" s="907"/>
      <c r="Q2" s="907"/>
      <c r="R2" s="907"/>
      <c r="S2" s="656"/>
      <c r="T2" s="907" t="s">
        <v>248</v>
      </c>
      <c r="U2" s="907"/>
      <c r="V2" s="907"/>
      <c r="W2" s="907"/>
      <c r="X2" s="907"/>
      <c r="Y2" s="907"/>
      <c r="Z2" s="907"/>
      <c r="AA2" s="907"/>
      <c r="AB2" s="907"/>
      <c r="AC2" s="907"/>
      <c r="AD2" s="907"/>
      <c r="AE2" s="907"/>
      <c r="AF2" s="907"/>
      <c r="AG2" s="907"/>
      <c r="AH2" s="907"/>
      <c r="AI2" s="907"/>
      <c r="AJ2" s="907"/>
      <c r="AK2" s="908"/>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0" t="s">
        <v>580</v>
      </c>
      <c r="AP3" s="633"/>
      <c r="AQ3" s="633" t="s">
        <v>580</v>
      </c>
      <c r="AR3" s="633" t="s">
        <v>581</v>
      </c>
    </row>
    <row r="4" spans="1:44" ht="15" customHeight="1" x14ac:dyDescent="0.25">
      <c r="A4" s="909" t="s">
        <v>207</v>
      </c>
      <c r="B4" s="910"/>
      <c r="C4" s="910"/>
      <c r="D4" s="910"/>
      <c r="E4" s="911">
        <v>46087</v>
      </c>
      <c r="F4" s="911"/>
      <c r="G4" s="911"/>
      <c r="H4" s="911"/>
      <c r="I4" s="911"/>
      <c r="J4" s="911"/>
      <c r="K4" s="911"/>
      <c r="L4" s="910" t="s">
        <v>249</v>
      </c>
      <c r="M4" s="910"/>
      <c r="N4" s="910"/>
      <c r="O4" s="912">
        <v>0.33333333333333331</v>
      </c>
      <c r="P4" s="912"/>
      <c r="Q4" s="912"/>
      <c r="R4" s="912"/>
      <c r="S4" s="645"/>
      <c r="T4" s="910" t="s">
        <v>207</v>
      </c>
      <c r="U4" s="910"/>
      <c r="V4" s="910"/>
      <c r="W4" s="910"/>
      <c r="X4" s="911">
        <v>46091</v>
      </c>
      <c r="Y4" s="911"/>
      <c r="Z4" s="911"/>
      <c r="AA4" s="911"/>
      <c r="AB4" s="911"/>
      <c r="AC4" s="911"/>
      <c r="AD4" s="911"/>
      <c r="AE4" s="910" t="s">
        <v>249</v>
      </c>
      <c r="AF4" s="910"/>
      <c r="AG4" s="910"/>
      <c r="AH4" s="913">
        <v>0.89583333333333337</v>
      </c>
      <c r="AI4" s="913"/>
      <c r="AJ4" s="913"/>
      <c r="AK4" s="914"/>
      <c r="AN4" s="69" t="str">
        <f>IF(E6="Wharf","wharf","inner roads")</f>
        <v>inner roads</v>
      </c>
      <c r="AO4" s="69" t="str">
        <f>IF(X6="Wharf","wharf","inner roads")</f>
        <v>wharf</v>
      </c>
      <c r="AP4" s="633"/>
      <c r="AQ4" s="633" t="s">
        <v>622</v>
      </c>
      <c r="AR4" s="633" t="s">
        <v>582</v>
      </c>
    </row>
    <row r="5" spans="1:44" ht="15" customHeight="1" x14ac:dyDescent="0.25">
      <c r="A5" s="901" t="s">
        <v>250</v>
      </c>
      <c r="B5" s="893"/>
      <c r="C5" s="893"/>
      <c r="D5" s="893"/>
      <c r="E5" s="902" t="str">
        <f>IFERROR(_xlfn.IFS(CAPA!A5=Draft!AQ3,Draft!AR3,CAPA!A5=AQ4,AR4),"Paranaguá, Br - Brazil")</f>
        <v>Paranaguá, Br - Brazil</v>
      </c>
      <c r="F5" s="902"/>
      <c r="G5" s="902"/>
      <c r="H5" s="902"/>
      <c r="I5" s="902"/>
      <c r="J5" s="902"/>
      <c r="K5" s="902"/>
      <c r="L5" s="893" t="s">
        <v>251</v>
      </c>
      <c r="M5" s="893"/>
      <c r="N5" s="893"/>
      <c r="O5" s="894">
        <v>0.34722222222222221</v>
      </c>
      <c r="P5" s="894"/>
      <c r="Q5" s="894"/>
      <c r="R5" s="894"/>
      <c r="S5" s="645"/>
      <c r="T5" s="893" t="s">
        <v>250</v>
      </c>
      <c r="U5" s="893"/>
      <c r="V5" s="893"/>
      <c r="W5" s="893"/>
      <c r="X5" s="902" t="str">
        <f>$E$5</f>
        <v>Paranaguá, Br - Brazil</v>
      </c>
      <c r="Y5" s="902"/>
      <c r="Z5" s="902"/>
      <c r="AA5" s="902"/>
      <c r="AB5" s="902"/>
      <c r="AC5" s="902"/>
      <c r="AD5" s="902"/>
      <c r="AE5" s="893" t="s">
        <v>251</v>
      </c>
      <c r="AF5" s="893"/>
      <c r="AG5" s="893"/>
      <c r="AH5" s="894">
        <v>0.90625</v>
      </c>
      <c r="AI5" s="894"/>
      <c r="AJ5" s="894"/>
      <c r="AK5" s="895"/>
      <c r="AN5" s="69" t="str">
        <f>IF(AN4="wharf","berthed alongside wharf ","anchored at inner roads area ")</f>
        <v xml:space="preserve">anchored at inner roads area </v>
      </c>
      <c r="AO5" s="69"/>
      <c r="AP5" s="69"/>
      <c r="AQ5" s="69"/>
    </row>
    <row r="6" spans="1:44" ht="15" customHeight="1" x14ac:dyDescent="0.25">
      <c r="A6" s="896" t="s">
        <v>252</v>
      </c>
      <c r="B6" s="897"/>
      <c r="C6" s="897"/>
      <c r="D6" s="897"/>
      <c r="E6" s="898" t="s">
        <v>772</v>
      </c>
      <c r="F6" s="898"/>
      <c r="G6" s="899"/>
      <c r="H6" s="904" t="s">
        <v>773</v>
      </c>
      <c r="I6" s="905"/>
      <c r="J6" s="904" t="str">
        <f>IF(E6="Wharf","berthed","anchored")</f>
        <v>anchored</v>
      </c>
      <c r="K6" s="905"/>
      <c r="L6" s="896" t="s">
        <v>253</v>
      </c>
      <c r="M6" s="897"/>
      <c r="N6" s="897"/>
      <c r="O6" s="900">
        <v>0.41666666666666669</v>
      </c>
      <c r="P6" s="900"/>
      <c r="Q6" s="900"/>
      <c r="R6" s="900"/>
      <c r="S6" s="645"/>
      <c r="T6" s="897" t="s">
        <v>252</v>
      </c>
      <c r="U6" s="897"/>
      <c r="V6" s="897"/>
      <c r="W6" s="897"/>
      <c r="X6" s="898" t="s">
        <v>792</v>
      </c>
      <c r="Y6" s="898"/>
      <c r="Z6" s="899"/>
      <c r="AA6" s="904">
        <v>212</v>
      </c>
      <c r="AB6" s="905"/>
      <c r="AC6" s="904" t="str">
        <f>IF(X6="Wharf","berthed","anchored")</f>
        <v>berthed</v>
      </c>
      <c r="AD6" s="905"/>
      <c r="AE6" s="896" t="s">
        <v>253</v>
      </c>
      <c r="AF6" s="897"/>
      <c r="AG6" s="897"/>
      <c r="AH6" s="900">
        <v>0.95833333333333337</v>
      </c>
      <c r="AI6" s="900"/>
      <c r="AJ6" s="900"/>
      <c r="AK6" s="903"/>
      <c r="AN6" s="69" t="str">
        <f>IF(AO4="wharf","berthed alongside wharf ","anchored at inner roads area ")</f>
        <v xml:space="preserve">berthed alongside wharf </v>
      </c>
    </row>
    <row r="7" spans="1:44" ht="15" customHeight="1" x14ac:dyDescent="0.25">
      <c r="A7" s="943" t="s">
        <v>254</v>
      </c>
      <c r="B7" s="920"/>
      <c r="C7" s="920"/>
      <c r="D7" s="921"/>
      <c r="E7" s="915" t="s">
        <v>774</v>
      </c>
      <c r="F7" s="916"/>
      <c r="G7" s="917"/>
      <c r="H7" s="918"/>
      <c r="I7" s="919"/>
      <c r="J7" s="919"/>
      <c r="K7" s="919"/>
      <c r="L7" s="920" t="s">
        <v>255</v>
      </c>
      <c r="M7" s="920"/>
      <c r="N7" s="920"/>
      <c r="O7" s="932">
        <v>0.2</v>
      </c>
      <c r="P7" s="932"/>
      <c r="Q7" s="932"/>
      <c r="R7" s="932"/>
      <c r="S7" s="646"/>
      <c r="T7" s="920" t="s">
        <v>254</v>
      </c>
      <c r="U7" s="920"/>
      <c r="V7" s="920"/>
      <c r="W7" s="921"/>
      <c r="X7" s="915" t="s">
        <v>793</v>
      </c>
      <c r="Y7" s="916"/>
      <c r="Z7" s="917"/>
      <c r="AA7" s="466"/>
      <c r="AB7" s="466"/>
      <c r="AC7" s="466"/>
      <c r="AD7" s="466"/>
      <c r="AE7" s="920" t="s">
        <v>255</v>
      </c>
      <c r="AF7" s="920"/>
      <c r="AG7" s="920"/>
      <c r="AH7" s="932">
        <v>0.15</v>
      </c>
      <c r="AI7" s="932"/>
      <c r="AJ7" s="932"/>
      <c r="AK7" s="938"/>
      <c r="AN7" s="69" t="str">
        <f>IF(AN4="wharf","Atracado - berço ","Fundeado - área ")</f>
        <v xml:space="preserve">Fundeado - área </v>
      </c>
    </row>
    <row r="8" spans="1:44" ht="15" customHeight="1" x14ac:dyDescent="0.25">
      <c r="A8" s="922" t="s">
        <v>256</v>
      </c>
      <c r="B8" s="923"/>
      <c r="C8" s="923"/>
      <c r="D8" s="923"/>
      <c r="E8" s="926" t="s">
        <v>775</v>
      </c>
      <c r="F8" s="926"/>
      <c r="G8" s="926"/>
      <c r="H8" s="467"/>
      <c r="I8" s="467"/>
      <c r="J8" s="467"/>
      <c r="K8" s="467"/>
      <c r="L8" s="923" t="s">
        <v>257</v>
      </c>
      <c r="M8" s="923"/>
      <c r="N8" s="923"/>
      <c r="O8" s="939">
        <v>1</v>
      </c>
      <c r="P8" s="939"/>
      <c r="Q8" s="939"/>
      <c r="R8" s="939"/>
      <c r="S8" s="646"/>
      <c r="T8" s="923" t="s">
        <v>256</v>
      </c>
      <c r="U8" s="923"/>
      <c r="V8" s="923"/>
      <c r="W8" s="923"/>
      <c r="X8" s="926" t="s">
        <v>794</v>
      </c>
      <c r="Y8" s="926"/>
      <c r="Z8" s="926"/>
      <c r="AA8" s="466"/>
      <c r="AB8" s="466"/>
      <c r="AC8" s="466"/>
      <c r="AD8" s="466"/>
      <c r="AE8" s="923" t="s">
        <v>257</v>
      </c>
      <c r="AF8" s="923"/>
      <c r="AG8" s="923"/>
      <c r="AH8" s="939">
        <v>1</v>
      </c>
      <c r="AI8" s="939"/>
      <c r="AJ8" s="939"/>
      <c r="AK8" s="940"/>
      <c r="AM8" s="70">
        <v>0</v>
      </c>
      <c r="AN8" s="69" t="str">
        <f>IF(AO4="wharf","Atracado - berço ","Fundeado - área ")</f>
        <v xml:space="preserve">Atracado - berço </v>
      </c>
    </row>
    <row r="9" spans="1:44" ht="15" customHeight="1" x14ac:dyDescent="0.25">
      <c r="A9" s="922" t="s">
        <v>258</v>
      </c>
      <c r="B9" s="923"/>
      <c r="C9" s="923"/>
      <c r="D9" s="924"/>
      <c r="E9" s="925" t="s">
        <v>776</v>
      </c>
      <c r="F9" s="926"/>
      <c r="G9" s="927"/>
      <c r="H9" s="467"/>
      <c r="I9" s="467"/>
      <c r="J9" s="467"/>
      <c r="K9" s="467"/>
      <c r="L9" s="431"/>
      <c r="M9" s="431"/>
      <c r="N9" s="431"/>
      <c r="O9" s="431"/>
      <c r="P9" s="468"/>
      <c r="Q9" s="468"/>
      <c r="R9" s="468"/>
      <c r="S9" s="646"/>
      <c r="T9" s="923" t="s">
        <v>258</v>
      </c>
      <c r="U9" s="923"/>
      <c r="V9" s="923"/>
      <c r="W9" s="924"/>
      <c r="X9" s="925" t="s">
        <v>776</v>
      </c>
      <c r="Y9" s="926"/>
      <c r="Z9" s="927"/>
      <c r="AA9" s="466"/>
      <c r="AB9" s="466"/>
      <c r="AC9" s="466"/>
      <c r="AD9" s="466"/>
      <c r="AE9" s="469"/>
      <c r="AF9" s="469"/>
      <c r="AG9" s="469"/>
      <c r="AH9" s="469"/>
      <c r="AI9" s="468"/>
      <c r="AJ9" s="468"/>
      <c r="AK9" s="470"/>
    </row>
    <row r="10" spans="1:44" ht="15" customHeight="1" thickBot="1" x14ac:dyDescent="0.25">
      <c r="A10" s="71"/>
      <c r="B10" s="72"/>
      <c r="C10" s="72"/>
      <c r="D10" s="72"/>
      <c r="E10" s="72"/>
      <c r="F10" s="72"/>
      <c r="G10" s="72"/>
      <c r="H10" s="72"/>
      <c r="I10" s="72"/>
      <c r="J10" s="72"/>
      <c r="K10" s="72"/>
      <c r="L10" s="72"/>
      <c r="M10" s="72"/>
      <c r="N10" s="72"/>
      <c r="O10" s="72"/>
      <c r="P10" s="72"/>
      <c r="Q10" s="72"/>
      <c r="R10" s="72"/>
      <c r="S10" s="647"/>
      <c r="T10" s="72"/>
      <c r="U10" s="72"/>
      <c r="V10" s="72"/>
      <c r="W10" s="72"/>
      <c r="X10" s="72"/>
      <c r="Y10" s="72"/>
      <c r="Z10" s="72"/>
      <c r="AA10" s="72"/>
      <c r="AB10" s="72"/>
      <c r="AC10" s="72"/>
      <c r="AD10" s="72"/>
      <c r="AE10" s="72"/>
      <c r="AF10" s="72"/>
      <c r="AG10" s="72"/>
      <c r="AH10" s="72"/>
      <c r="AI10" s="72"/>
      <c r="AJ10" s="72"/>
      <c r="AK10" s="73"/>
    </row>
    <row r="11" spans="1:44" ht="15" customHeight="1" thickTop="1" thickBot="1" x14ac:dyDescent="0.25">
      <c r="A11" s="71"/>
      <c r="B11" s="72"/>
      <c r="C11" s="471" t="s">
        <v>259</v>
      </c>
      <c r="D11" s="929">
        <f>CAPA!$B$16</f>
        <v>222</v>
      </c>
      <c r="E11" s="930"/>
      <c r="F11" s="931"/>
      <c r="G11" s="72"/>
      <c r="H11" s="72"/>
      <c r="I11" s="933" t="s">
        <v>260</v>
      </c>
      <c r="J11" s="933"/>
      <c r="K11" s="934"/>
      <c r="L11" s="929">
        <f>CAPA!$B$18</f>
        <v>32.24</v>
      </c>
      <c r="M11" s="930"/>
      <c r="N11" s="931"/>
      <c r="O11" s="72"/>
      <c r="P11" s="72"/>
      <c r="Q11" s="72"/>
      <c r="R11" s="72"/>
      <c r="S11" s="647"/>
      <c r="T11" s="72"/>
      <c r="U11" s="472" t="s">
        <v>259</v>
      </c>
      <c r="V11" s="935">
        <f>D11</f>
        <v>222</v>
      </c>
      <c r="W11" s="936"/>
      <c r="X11" s="937"/>
      <c r="Y11" s="473"/>
      <c r="Z11" s="473"/>
      <c r="AA11" s="941" t="s">
        <v>260</v>
      </c>
      <c r="AB11" s="941"/>
      <c r="AC11" s="942"/>
      <c r="AD11" s="935">
        <f>L11</f>
        <v>32.24</v>
      </c>
      <c r="AE11" s="936"/>
      <c r="AF11" s="937"/>
      <c r="AG11" s="473"/>
      <c r="AH11" s="473"/>
      <c r="AI11" s="474"/>
      <c r="AJ11" s="474"/>
      <c r="AK11" s="73"/>
    </row>
    <row r="12" spans="1:44" ht="15" customHeight="1" thickTop="1" x14ac:dyDescent="0.2">
      <c r="A12" s="71"/>
      <c r="B12" s="72"/>
      <c r="C12" s="72"/>
      <c r="D12" s="72"/>
      <c r="E12" s="72"/>
      <c r="F12" s="72" t="s">
        <v>261</v>
      </c>
      <c r="G12" s="72"/>
      <c r="H12" s="72"/>
      <c r="I12" s="72"/>
      <c r="J12" s="72"/>
      <c r="K12" s="72"/>
      <c r="L12" s="72"/>
      <c r="M12" s="72"/>
      <c r="N12" s="72"/>
      <c r="O12" s="72"/>
      <c r="P12" s="72"/>
      <c r="Q12" s="72"/>
      <c r="R12" s="72"/>
      <c r="S12" s="647"/>
      <c r="T12" s="72"/>
      <c r="U12" s="474"/>
      <c r="V12" s="474"/>
      <c r="W12" s="474"/>
      <c r="X12" s="474"/>
      <c r="Y12" s="474"/>
      <c r="Z12" s="474"/>
      <c r="AA12" s="474"/>
      <c r="AB12" s="474"/>
      <c r="AC12" s="474"/>
      <c r="AD12" s="474"/>
      <c r="AE12" s="474"/>
      <c r="AF12" s="474"/>
      <c r="AG12" s="474"/>
      <c r="AH12" s="474"/>
      <c r="AI12" s="474"/>
      <c r="AJ12" s="474"/>
      <c r="AK12" s="73"/>
    </row>
    <row r="13" spans="1:44" ht="15" customHeight="1" x14ac:dyDescent="0.25">
      <c r="A13" s="71"/>
      <c r="B13" s="72"/>
      <c r="C13" s="928" t="s">
        <v>262</v>
      </c>
      <c r="D13" s="928"/>
      <c r="E13" s="928"/>
      <c r="F13" s="928"/>
      <c r="G13" s="928"/>
      <c r="H13" s="928"/>
      <c r="I13" s="928"/>
      <c r="J13" s="928"/>
      <c r="K13" s="928"/>
      <c r="L13" s="928"/>
      <c r="M13" s="928"/>
      <c r="N13" s="928"/>
      <c r="O13" s="928"/>
      <c r="P13" s="928"/>
      <c r="Q13" s="928"/>
      <c r="R13" s="72"/>
      <c r="S13" s="647"/>
      <c r="T13" s="72"/>
      <c r="U13" s="928" t="s">
        <v>262</v>
      </c>
      <c r="V13" s="928"/>
      <c r="W13" s="928"/>
      <c r="X13" s="928"/>
      <c r="Y13" s="928"/>
      <c r="Z13" s="928"/>
      <c r="AA13" s="928"/>
      <c r="AB13" s="928"/>
      <c r="AC13" s="928"/>
      <c r="AD13" s="928"/>
      <c r="AE13" s="928"/>
      <c r="AF13" s="928"/>
      <c r="AG13" s="928"/>
      <c r="AH13" s="928"/>
      <c r="AI13" s="928"/>
      <c r="AJ13" s="474"/>
      <c r="AK13" s="73"/>
    </row>
    <row r="14" spans="1:44" ht="15" customHeight="1" thickBot="1" x14ac:dyDescent="0.25">
      <c r="A14" s="71"/>
      <c r="B14" s="72"/>
      <c r="C14" s="72"/>
      <c r="D14" s="72"/>
      <c r="E14" s="72"/>
      <c r="F14" s="72"/>
      <c r="G14" s="72"/>
      <c r="H14" s="72"/>
      <c r="I14" s="72"/>
      <c r="J14" s="72"/>
      <c r="K14" s="72"/>
      <c r="L14" s="72"/>
      <c r="M14" s="72"/>
      <c r="N14" s="72"/>
      <c r="O14" s="72"/>
      <c r="P14" s="72"/>
      <c r="Q14" s="72"/>
      <c r="R14" s="72"/>
      <c r="S14" s="647"/>
      <c r="T14" s="72"/>
      <c r="U14" s="474"/>
      <c r="V14" s="474"/>
      <c r="W14" s="474"/>
      <c r="X14" s="474"/>
      <c r="Y14" s="474"/>
      <c r="Z14" s="474"/>
      <c r="AA14" s="474"/>
      <c r="AB14" s="474"/>
      <c r="AC14" s="474"/>
      <c r="AD14" s="474"/>
      <c r="AE14" s="474"/>
      <c r="AF14" s="474"/>
      <c r="AG14" s="474"/>
      <c r="AH14" s="474"/>
      <c r="AI14" s="474"/>
      <c r="AJ14" s="474"/>
      <c r="AK14" s="73"/>
    </row>
    <row r="15" spans="1:44" ht="15" customHeight="1" thickTop="1" thickBot="1" x14ac:dyDescent="0.25">
      <c r="A15" s="71"/>
      <c r="B15" s="72"/>
      <c r="C15" s="471" t="s">
        <v>263</v>
      </c>
      <c r="D15" s="929">
        <v>3</v>
      </c>
      <c r="E15" s="930"/>
      <c r="F15" s="931"/>
      <c r="G15" s="471" t="s">
        <v>264</v>
      </c>
      <c r="H15" s="929">
        <v>0.5</v>
      </c>
      <c r="I15" s="930"/>
      <c r="J15" s="931"/>
      <c r="K15" s="471" t="s">
        <v>265</v>
      </c>
      <c r="L15" s="929">
        <v>11.2</v>
      </c>
      <c r="M15" s="930"/>
      <c r="N15" s="931"/>
      <c r="O15" s="72"/>
      <c r="P15" s="72"/>
      <c r="Q15" s="72"/>
      <c r="R15" s="72"/>
      <c r="S15" s="647"/>
      <c r="T15" s="72"/>
      <c r="U15" s="471" t="s">
        <v>263</v>
      </c>
      <c r="V15" s="929">
        <f>D15</f>
        <v>3</v>
      </c>
      <c r="W15" s="930"/>
      <c r="X15" s="931"/>
      <c r="Y15" s="471" t="s">
        <v>264</v>
      </c>
      <c r="Z15" s="929">
        <f>H15</f>
        <v>0.5</v>
      </c>
      <c r="AA15" s="930"/>
      <c r="AB15" s="931"/>
      <c r="AC15" s="471" t="s">
        <v>265</v>
      </c>
      <c r="AD15" s="929">
        <v>11.2</v>
      </c>
      <c r="AE15" s="930"/>
      <c r="AF15" s="931"/>
      <c r="AG15" s="474"/>
      <c r="AH15" s="474"/>
      <c r="AI15" s="474"/>
      <c r="AJ15" s="474"/>
      <c r="AK15" s="73"/>
    </row>
    <row r="16" spans="1:44" ht="15" customHeight="1" thickTop="1" x14ac:dyDescent="0.2">
      <c r="A16" s="71"/>
      <c r="B16" s="72"/>
      <c r="C16" s="72"/>
      <c r="D16" s="72"/>
      <c r="E16" s="72"/>
      <c r="F16" s="72"/>
      <c r="G16" s="72"/>
      <c r="H16" s="72"/>
      <c r="I16" s="72"/>
      <c r="J16" s="72"/>
      <c r="K16" s="72"/>
      <c r="L16" s="72"/>
      <c r="M16" s="72"/>
      <c r="N16" s="72"/>
      <c r="O16" s="72"/>
      <c r="P16" s="72"/>
      <c r="Q16" s="72"/>
      <c r="R16" s="72"/>
      <c r="S16" s="647"/>
      <c r="T16" s="72"/>
      <c r="U16" s="474"/>
      <c r="V16" s="474"/>
      <c r="W16" s="474"/>
      <c r="X16" s="474"/>
      <c r="Y16" s="474"/>
      <c r="Z16" s="474"/>
      <c r="AA16" s="474"/>
      <c r="AB16" s="474"/>
      <c r="AC16" s="474"/>
      <c r="AD16" s="474"/>
      <c r="AE16" s="474"/>
      <c r="AF16" s="474"/>
      <c r="AG16" s="474"/>
      <c r="AH16" s="474"/>
      <c r="AI16" s="474"/>
      <c r="AJ16" s="474"/>
      <c r="AK16" s="73"/>
    </row>
    <row r="17" spans="1:43" ht="15" customHeight="1" thickBot="1" x14ac:dyDescent="0.25">
      <c r="A17" s="71"/>
      <c r="B17" s="72"/>
      <c r="C17" s="954" t="s">
        <v>266</v>
      </c>
      <c r="D17" s="954"/>
      <c r="E17" s="954"/>
      <c r="F17" s="954"/>
      <c r="G17" s="954"/>
      <c r="H17" s="954"/>
      <c r="I17" s="954"/>
      <c r="J17" s="954"/>
      <c r="K17" s="954"/>
      <c r="L17" s="954"/>
      <c r="M17" s="954"/>
      <c r="N17" s="954"/>
      <c r="O17" s="954"/>
      <c r="P17" s="954"/>
      <c r="Q17" s="954"/>
      <c r="R17" s="72"/>
      <c r="S17" s="647"/>
      <c r="T17" s="72"/>
      <c r="U17" s="954" t="s">
        <v>266</v>
      </c>
      <c r="V17" s="954"/>
      <c r="W17" s="954"/>
      <c r="X17" s="954"/>
      <c r="Y17" s="954"/>
      <c r="Z17" s="954"/>
      <c r="AA17" s="954"/>
      <c r="AB17" s="954"/>
      <c r="AC17" s="954"/>
      <c r="AD17" s="954"/>
      <c r="AE17" s="954"/>
      <c r="AF17" s="954"/>
      <c r="AG17" s="954"/>
      <c r="AH17" s="954"/>
      <c r="AI17" s="954"/>
      <c r="AJ17" s="474"/>
      <c r="AK17" s="73"/>
    </row>
    <row r="18" spans="1:43" ht="15" customHeight="1" thickTop="1" thickBot="1" x14ac:dyDescent="0.25">
      <c r="A18" s="71"/>
      <c r="B18" s="72"/>
      <c r="C18" s="471" t="s">
        <v>263</v>
      </c>
      <c r="D18" s="955"/>
      <c r="E18" s="956"/>
      <c r="F18" s="957"/>
      <c r="G18" s="471" t="s">
        <v>264</v>
      </c>
      <c r="H18" s="955"/>
      <c r="I18" s="956"/>
      <c r="J18" s="957"/>
      <c r="K18" s="471" t="s">
        <v>265</v>
      </c>
      <c r="L18" s="955"/>
      <c r="M18" s="956"/>
      <c r="N18" s="957"/>
      <c r="O18" s="72"/>
      <c r="P18" s="72"/>
      <c r="Q18" s="72"/>
      <c r="R18" s="72"/>
      <c r="S18" s="647"/>
      <c r="T18" s="72"/>
      <c r="U18" s="471" t="s">
        <v>263</v>
      </c>
      <c r="V18" s="958">
        <f>D18</f>
        <v>0</v>
      </c>
      <c r="W18" s="959"/>
      <c r="X18" s="960"/>
      <c r="Y18" s="471" t="s">
        <v>264</v>
      </c>
      <c r="Z18" s="958">
        <f>H18</f>
        <v>0</v>
      </c>
      <c r="AA18" s="959"/>
      <c r="AB18" s="960"/>
      <c r="AC18" s="471" t="s">
        <v>265</v>
      </c>
      <c r="AD18" s="958">
        <f>L18</f>
        <v>0</v>
      </c>
      <c r="AE18" s="959"/>
      <c r="AF18" s="960"/>
      <c r="AG18" s="474"/>
      <c r="AH18" s="474"/>
      <c r="AI18" s="474"/>
      <c r="AJ18" s="474"/>
      <c r="AK18" s="73"/>
    </row>
    <row r="19" spans="1:43" ht="15" customHeight="1" thickTop="1" thickBot="1" x14ac:dyDescent="0.25">
      <c r="A19" s="71"/>
      <c r="B19" s="72"/>
      <c r="C19" s="72"/>
      <c r="D19" s="475"/>
      <c r="E19" s="475"/>
      <c r="F19" s="475"/>
      <c r="G19" s="72"/>
      <c r="H19" s="72"/>
      <c r="I19" s="72"/>
      <c r="J19" s="72"/>
      <c r="K19" s="72"/>
      <c r="L19" s="72"/>
      <c r="M19" s="72"/>
      <c r="N19" s="72"/>
      <c r="O19" s="72"/>
      <c r="P19" s="72"/>
      <c r="Q19" s="72"/>
      <c r="R19" s="72"/>
      <c r="S19" s="647"/>
      <c r="T19" s="72"/>
      <c r="U19" s="474"/>
      <c r="V19" s="476"/>
      <c r="W19" s="476"/>
      <c r="X19" s="476"/>
      <c r="Y19" s="474"/>
      <c r="Z19" s="474"/>
      <c r="AA19" s="474"/>
      <c r="AB19" s="474"/>
      <c r="AC19" s="474"/>
      <c r="AD19" s="474"/>
      <c r="AE19" s="474"/>
      <c r="AF19" s="474"/>
      <c r="AG19" s="474"/>
      <c r="AH19" s="474"/>
      <c r="AI19" s="474"/>
      <c r="AJ19" s="474"/>
      <c r="AK19" s="73"/>
    </row>
    <row r="20" spans="1:43" ht="15" customHeight="1" thickTop="1" thickBot="1" x14ac:dyDescent="0.3">
      <c r="A20" s="74"/>
      <c r="B20" s="477"/>
      <c r="C20" s="944" t="s">
        <v>267</v>
      </c>
      <c r="D20" s="944"/>
      <c r="E20" s="944"/>
      <c r="F20" s="944"/>
      <c r="G20" s="944"/>
      <c r="H20" s="944"/>
      <c r="I20" s="944"/>
      <c r="J20" s="944"/>
      <c r="K20" s="944"/>
      <c r="L20" s="944"/>
      <c r="M20" s="944"/>
      <c r="N20" s="945"/>
      <c r="O20" s="946"/>
      <c r="P20" s="947"/>
      <c r="Q20" s="948"/>
      <c r="R20" s="477"/>
      <c r="S20" s="645"/>
      <c r="T20" s="477"/>
      <c r="U20" s="949" t="s">
        <v>267</v>
      </c>
      <c r="V20" s="949"/>
      <c r="W20" s="949"/>
      <c r="X20" s="949"/>
      <c r="Y20" s="949"/>
      <c r="Z20" s="949"/>
      <c r="AA20" s="949"/>
      <c r="AB20" s="949"/>
      <c r="AC20" s="949"/>
      <c r="AD20" s="949"/>
      <c r="AE20" s="949"/>
      <c r="AF20" s="950"/>
      <c r="AG20" s="946">
        <f>O20</f>
        <v>0</v>
      </c>
      <c r="AH20" s="947"/>
      <c r="AI20" s="948"/>
      <c r="AJ20" s="478"/>
      <c r="AK20" s="75"/>
    </row>
    <row r="21" spans="1:43" ht="15" customHeight="1" thickTop="1" thickBot="1" x14ac:dyDescent="0.3">
      <c r="A21" s="74"/>
      <c r="B21" s="477"/>
      <c r="C21" s="477"/>
      <c r="D21" s="477"/>
      <c r="E21" s="477"/>
      <c r="F21" s="477"/>
      <c r="G21" s="477"/>
      <c r="H21" s="477"/>
      <c r="I21" s="477"/>
      <c r="J21" s="477"/>
      <c r="K21" s="477"/>
      <c r="L21" s="477"/>
      <c r="M21" s="477"/>
      <c r="N21" s="477"/>
      <c r="O21" s="477"/>
      <c r="P21" s="477"/>
      <c r="Q21" s="477"/>
      <c r="R21" s="477"/>
      <c r="S21" s="645"/>
      <c r="T21" s="477"/>
      <c r="U21" s="478"/>
      <c r="V21" s="478"/>
      <c r="W21" s="478"/>
      <c r="X21" s="478"/>
      <c r="Y21" s="478"/>
      <c r="Z21" s="478"/>
      <c r="AA21" s="478"/>
      <c r="AB21" s="478"/>
      <c r="AC21" s="478"/>
      <c r="AD21" s="478"/>
      <c r="AE21" s="478"/>
      <c r="AF21" s="478"/>
      <c r="AG21" s="478"/>
      <c r="AH21" s="478"/>
      <c r="AI21" s="478"/>
      <c r="AJ21" s="478"/>
      <c r="AK21" s="75"/>
    </row>
    <row r="22" spans="1:43" ht="15" customHeight="1" thickTop="1" thickBot="1" x14ac:dyDescent="0.3">
      <c r="A22" s="74"/>
      <c r="B22" s="477"/>
      <c r="C22" s="479" t="s">
        <v>268</v>
      </c>
      <c r="D22" s="479"/>
      <c r="E22" s="477"/>
      <c r="F22" s="951">
        <f>D11-D15-L15</f>
        <v>207.8</v>
      </c>
      <c r="G22" s="952"/>
      <c r="H22" s="953"/>
      <c r="I22" s="477"/>
      <c r="J22" s="479"/>
      <c r="K22" s="477"/>
      <c r="L22" s="477"/>
      <c r="M22" s="477"/>
      <c r="N22" s="477"/>
      <c r="O22" s="477"/>
      <c r="P22" s="477"/>
      <c r="Q22" s="477"/>
      <c r="R22" s="477"/>
      <c r="S22" s="645"/>
      <c r="T22" s="477"/>
      <c r="U22" s="479" t="s">
        <v>269</v>
      </c>
      <c r="V22" s="479"/>
      <c r="W22" s="477"/>
      <c r="X22" s="951">
        <f>V11-V15-AD15</f>
        <v>207.8</v>
      </c>
      <c r="Y22" s="952"/>
      <c r="Z22" s="953"/>
      <c r="AA22" s="478"/>
      <c r="AB22" s="480"/>
      <c r="AC22" s="478"/>
      <c r="AD22" s="478"/>
      <c r="AE22" s="478"/>
      <c r="AF22" s="478"/>
      <c r="AG22" s="478"/>
      <c r="AH22" s="478"/>
      <c r="AI22" s="478"/>
      <c r="AJ22" s="478"/>
      <c r="AK22" s="75"/>
    </row>
    <row r="23" spans="1:43" ht="15" customHeight="1" thickTop="1" x14ac:dyDescent="0.25">
      <c r="A23" s="74"/>
      <c r="B23" s="477"/>
      <c r="C23" s="477"/>
      <c r="D23" s="477"/>
      <c r="E23" s="477"/>
      <c r="F23" s="477"/>
      <c r="G23" s="477"/>
      <c r="H23" s="477"/>
      <c r="I23" s="477"/>
      <c r="J23" s="477"/>
      <c r="K23" s="477"/>
      <c r="L23" s="477"/>
      <c r="M23" s="477"/>
      <c r="N23" s="477"/>
      <c r="O23" s="477"/>
      <c r="P23" s="477"/>
      <c r="Q23" s="477"/>
      <c r="R23" s="477"/>
      <c r="S23" s="645"/>
      <c r="T23" s="477"/>
      <c r="U23" s="478"/>
      <c r="V23" s="478"/>
      <c r="W23" s="478"/>
      <c r="X23" s="478"/>
      <c r="Y23" s="478"/>
      <c r="Z23" s="478"/>
      <c r="AA23" s="478"/>
      <c r="AB23" s="481"/>
      <c r="AC23" s="481"/>
      <c r="AD23" s="481"/>
      <c r="AE23" s="481"/>
      <c r="AF23" s="481"/>
      <c r="AG23" s="481"/>
      <c r="AH23" s="481"/>
      <c r="AI23" s="481"/>
      <c r="AJ23" s="478"/>
      <c r="AK23" s="75"/>
    </row>
    <row r="24" spans="1:43" ht="15" customHeight="1" thickBot="1" x14ac:dyDescent="0.3">
      <c r="A24" s="74"/>
      <c r="B24" s="477"/>
      <c r="C24" s="961" t="s">
        <v>270</v>
      </c>
      <c r="D24" s="961"/>
      <c r="E24" s="962"/>
      <c r="F24" s="962"/>
      <c r="G24" s="961" t="s">
        <v>271</v>
      </c>
      <c r="H24" s="961"/>
      <c r="I24" s="482"/>
      <c r="J24" s="963" t="s">
        <v>272</v>
      </c>
      <c r="K24" s="963"/>
      <c r="L24" s="482"/>
      <c r="M24" s="963" t="s">
        <v>273</v>
      </c>
      <c r="N24" s="963"/>
      <c r="O24" s="482"/>
      <c r="P24" s="963" t="s">
        <v>274</v>
      </c>
      <c r="Q24" s="963"/>
      <c r="R24" s="477"/>
      <c r="S24" s="645"/>
      <c r="T24" s="477"/>
      <c r="U24" s="961" t="s">
        <v>270</v>
      </c>
      <c r="V24" s="961"/>
      <c r="W24" s="972"/>
      <c r="X24" s="972"/>
      <c r="Y24" s="961" t="s">
        <v>271</v>
      </c>
      <c r="Z24" s="961"/>
      <c r="AA24" s="478"/>
      <c r="AB24" s="963" t="s">
        <v>272</v>
      </c>
      <c r="AC24" s="963"/>
      <c r="AD24" s="481"/>
      <c r="AE24" s="963" t="s">
        <v>273</v>
      </c>
      <c r="AF24" s="963"/>
      <c r="AG24" s="481"/>
      <c r="AH24" s="963" t="s">
        <v>274</v>
      </c>
      <c r="AI24" s="963"/>
      <c r="AJ24" s="478"/>
      <c r="AK24" s="75"/>
    </row>
    <row r="25" spans="1:43" ht="15" customHeight="1" thickTop="1" thickBot="1" x14ac:dyDescent="0.3">
      <c r="A25" s="74"/>
      <c r="B25" s="477"/>
      <c r="C25" s="964">
        <v>5.98</v>
      </c>
      <c r="D25" s="965"/>
      <c r="E25" s="962"/>
      <c r="F25" s="962"/>
      <c r="G25" s="964">
        <v>5.91</v>
      </c>
      <c r="H25" s="965"/>
      <c r="I25" s="482"/>
      <c r="J25" s="966">
        <f>(C25+G25)/2</f>
        <v>5.9450000000000003</v>
      </c>
      <c r="K25" s="967"/>
      <c r="L25" s="481">
        <f>G29*D15/F22</f>
        <v>5.2694898941289597E-3</v>
      </c>
      <c r="M25" s="968">
        <f>P25-J25</f>
        <v>-5.3000000000000824E-3</v>
      </c>
      <c r="N25" s="969"/>
      <c r="O25" s="482"/>
      <c r="P25" s="970">
        <f>ROUND((J25-L25),4)-D18</f>
        <v>5.9397000000000002</v>
      </c>
      <c r="Q25" s="967"/>
      <c r="R25" s="477"/>
      <c r="S25" s="645"/>
      <c r="T25" s="477"/>
      <c r="U25" s="964">
        <v>13.17</v>
      </c>
      <c r="V25" s="965"/>
      <c r="W25" s="972"/>
      <c r="X25" s="972"/>
      <c r="Y25" s="964">
        <v>13.18</v>
      </c>
      <c r="Z25" s="965"/>
      <c r="AA25" s="478"/>
      <c r="AB25" s="966">
        <f>(U25+Y25)/2</f>
        <v>13.175000000000001</v>
      </c>
      <c r="AC25" s="967"/>
      <c r="AD25" s="481">
        <f>Y29*V15/X22</f>
        <v>7.9403272377285433E-4</v>
      </c>
      <c r="AE25" s="968">
        <f>AH25-AB25</f>
        <v>-7.9999999999991189E-4</v>
      </c>
      <c r="AF25" s="969"/>
      <c r="AG25" s="481"/>
      <c r="AH25" s="971">
        <f>ROUND((AB25-AD25),4)-V18</f>
        <v>13.174200000000001</v>
      </c>
      <c r="AI25" s="967"/>
      <c r="AJ25" s="478"/>
      <c r="AK25" s="75"/>
    </row>
    <row r="26" spans="1:43" ht="15" customHeight="1" thickTop="1" thickBot="1" x14ac:dyDescent="0.3">
      <c r="A26" s="74"/>
      <c r="B26" s="477"/>
      <c r="C26" s="964">
        <v>6.21</v>
      </c>
      <c r="D26" s="965"/>
      <c r="E26" s="962"/>
      <c r="F26" s="962"/>
      <c r="G26" s="964">
        <v>5.98</v>
      </c>
      <c r="H26" s="965"/>
      <c r="I26" s="730" t="s">
        <v>783</v>
      </c>
      <c r="J26" s="966">
        <f>(C26+G26)/2</f>
        <v>6.0950000000000006</v>
      </c>
      <c r="K26" s="967"/>
      <c r="L26" s="481">
        <f>G29*H15/F22</f>
        <v>8.7824831568816006E-4</v>
      </c>
      <c r="M26" s="968">
        <f t="shared" ref="M26:M27" si="0">P26-J26</f>
        <v>-9.0000000000056701E-4</v>
      </c>
      <c r="N26" s="969"/>
      <c r="O26" s="482"/>
      <c r="P26" s="966">
        <f>ROUND((J26-L26),4)-H18</f>
        <v>6.0941000000000001</v>
      </c>
      <c r="Q26" s="967"/>
      <c r="R26" s="477"/>
      <c r="S26" s="645"/>
      <c r="T26" s="477"/>
      <c r="U26" s="964">
        <v>13.33</v>
      </c>
      <c r="V26" s="965"/>
      <c r="W26" s="972"/>
      <c r="X26" s="972"/>
      <c r="Y26" s="964">
        <v>13.35</v>
      </c>
      <c r="Z26" s="965"/>
      <c r="AA26" s="478"/>
      <c r="AB26" s="966">
        <f>(U26+Y26)/2</f>
        <v>13.34</v>
      </c>
      <c r="AC26" s="967"/>
      <c r="AD26" s="481">
        <f>Y29*Z15/X22</f>
        <v>1.3233878729547574E-4</v>
      </c>
      <c r="AE26" s="968">
        <f t="shared" ref="AE26:AE27" si="1">AH26-AB26</f>
        <v>-9.9999999999766942E-5</v>
      </c>
      <c r="AF26" s="969"/>
      <c r="AG26" s="481"/>
      <c r="AH26" s="971">
        <f>ROUND((AB26-AD26),4)-Z18</f>
        <v>13.3399</v>
      </c>
      <c r="AI26" s="967"/>
      <c r="AJ26" s="478"/>
      <c r="AK26" s="75"/>
    </row>
    <row r="27" spans="1:43" ht="15" customHeight="1" thickTop="1" thickBot="1" x14ac:dyDescent="0.3">
      <c r="A27" s="74"/>
      <c r="B27" s="477"/>
      <c r="C27" s="964">
        <v>6.31</v>
      </c>
      <c r="D27" s="965"/>
      <c r="E27" s="962"/>
      <c r="F27" s="962"/>
      <c r="G27" s="964">
        <v>6.31</v>
      </c>
      <c r="H27" s="965"/>
      <c r="I27" s="482"/>
      <c r="J27" s="966">
        <f>(C27+G27)/2</f>
        <v>6.31</v>
      </c>
      <c r="K27" s="967"/>
      <c r="L27" s="481">
        <f>G29*L15/F22</f>
        <v>1.9672762271414783E-2</v>
      </c>
      <c r="M27" s="968">
        <f t="shared" si="0"/>
        <v>1.9700000000000273E-2</v>
      </c>
      <c r="N27" s="969"/>
      <c r="O27" s="482"/>
      <c r="P27" s="970">
        <f>ROUND((J27+L27),4)-L18</f>
        <v>6.3296999999999999</v>
      </c>
      <c r="Q27" s="967"/>
      <c r="R27" s="477"/>
      <c r="S27" s="645"/>
      <c r="T27" s="477"/>
      <c r="U27" s="964">
        <v>13.22</v>
      </c>
      <c r="V27" s="965"/>
      <c r="W27" s="972"/>
      <c r="X27" s="972"/>
      <c r="Y27" s="964">
        <v>13.24</v>
      </c>
      <c r="Z27" s="965"/>
      <c r="AA27" s="478"/>
      <c r="AB27" s="966">
        <f>(U27+Y27)/2</f>
        <v>13.23</v>
      </c>
      <c r="AC27" s="967"/>
      <c r="AD27" s="481">
        <f>Y29*AD15/X22</f>
        <v>2.9643888354186562E-3</v>
      </c>
      <c r="AE27" s="968">
        <f t="shared" si="1"/>
        <v>3.0000000000001137E-3</v>
      </c>
      <c r="AF27" s="969"/>
      <c r="AG27" s="481"/>
      <c r="AH27" s="971">
        <f>ROUND((AB27+AD27),4)-AD18</f>
        <v>13.233000000000001</v>
      </c>
      <c r="AI27" s="967"/>
      <c r="AJ27" s="478"/>
      <c r="AK27" s="75"/>
    </row>
    <row r="28" spans="1:43" ht="15" customHeight="1" thickTop="1" thickBot="1" x14ac:dyDescent="0.3">
      <c r="A28" s="74"/>
      <c r="B28" s="477"/>
      <c r="C28" s="483"/>
      <c r="D28" s="483"/>
      <c r="E28" s="962"/>
      <c r="F28" s="962"/>
      <c r="G28" s="483"/>
      <c r="H28" s="483"/>
      <c r="I28" s="482"/>
      <c r="J28" s="484"/>
      <c r="K28" s="484"/>
      <c r="L28" s="482"/>
      <c r="M28" s="484"/>
      <c r="N28" s="484"/>
      <c r="O28" s="482"/>
      <c r="P28" s="484"/>
      <c r="Q28" s="484"/>
      <c r="R28" s="477"/>
      <c r="S28" s="645"/>
      <c r="T28" s="477"/>
      <c r="U28" s="485"/>
      <c r="V28" s="485"/>
      <c r="W28" s="972"/>
      <c r="X28" s="972"/>
      <c r="Y28" s="485"/>
      <c r="Z28" s="485"/>
      <c r="AA28" s="478"/>
      <c r="AB28" s="486"/>
      <c r="AC28" s="486"/>
      <c r="AD28" s="481"/>
      <c r="AE28" s="486"/>
      <c r="AF28" s="486"/>
      <c r="AG28" s="481"/>
      <c r="AH28" s="486"/>
      <c r="AI28" s="486"/>
      <c r="AJ28" s="478"/>
      <c r="AK28" s="75"/>
    </row>
    <row r="29" spans="1:43" ht="15" customHeight="1" thickTop="1" thickBot="1" x14ac:dyDescent="0.3">
      <c r="A29" s="74"/>
      <c r="B29" s="482"/>
      <c r="C29" s="973" t="s">
        <v>275</v>
      </c>
      <c r="D29" s="973"/>
      <c r="E29" s="973"/>
      <c r="F29" s="974"/>
      <c r="G29" s="966">
        <f>($J$27-$J$25)</f>
        <v>0.36499999999999932</v>
      </c>
      <c r="H29" s="967"/>
      <c r="I29" s="482"/>
      <c r="J29" s="482"/>
      <c r="K29" s="482"/>
      <c r="L29" s="482"/>
      <c r="M29" s="487" t="s">
        <v>276</v>
      </c>
      <c r="N29" s="482"/>
      <c r="O29" s="482"/>
      <c r="P29" s="966">
        <f>($P$27-$P$25)</f>
        <v>0.38999999999999968</v>
      </c>
      <c r="Q29" s="967"/>
      <c r="R29" s="482"/>
      <c r="S29" s="645"/>
      <c r="T29" s="477"/>
      <c r="U29" s="973" t="s">
        <v>275</v>
      </c>
      <c r="V29" s="973"/>
      <c r="W29" s="973"/>
      <c r="X29" s="974"/>
      <c r="Y29" s="966">
        <f>(AB27-AB25)</f>
        <v>5.4999999999999716E-2</v>
      </c>
      <c r="Z29" s="967"/>
      <c r="AA29" s="481"/>
      <c r="AB29" s="481"/>
      <c r="AC29" s="481"/>
      <c r="AD29" s="481"/>
      <c r="AE29" s="487" t="s">
        <v>276</v>
      </c>
      <c r="AF29" s="481"/>
      <c r="AG29" s="481"/>
      <c r="AH29" s="966">
        <f>(AH27-AH25)</f>
        <v>5.8799999999999741E-2</v>
      </c>
      <c r="AI29" s="967"/>
      <c r="AJ29" s="481"/>
      <c r="AK29" s="75"/>
    </row>
    <row r="30" spans="1:43" ht="15" customHeight="1" thickTop="1" thickBot="1" x14ac:dyDescent="0.3">
      <c r="A30" s="74"/>
      <c r="B30" s="482"/>
      <c r="C30" s="482"/>
      <c r="D30" s="482"/>
      <c r="E30" s="482"/>
      <c r="F30" s="482"/>
      <c r="G30" s="482"/>
      <c r="H30" s="482"/>
      <c r="I30" s="482"/>
      <c r="J30" s="482"/>
      <c r="K30" s="482"/>
      <c r="L30" s="482"/>
      <c r="M30" s="482"/>
      <c r="N30" s="482"/>
      <c r="O30" s="482"/>
      <c r="P30" s="482"/>
      <c r="Q30" s="482"/>
      <c r="R30" s="482"/>
      <c r="S30" s="645"/>
      <c r="T30" s="477"/>
      <c r="U30" s="481"/>
      <c r="V30" s="481"/>
      <c r="W30" s="481"/>
      <c r="X30" s="481"/>
      <c r="Y30" s="481"/>
      <c r="Z30" s="481"/>
      <c r="AA30" s="481"/>
      <c r="AB30" s="481"/>
      <c r="AC30" s="481"/>
      <c r="AD30" s="481"/>
      <c r="AE30" s="481"/>
      <c r="AF30" s="481"/>
      <c r="AG30" s="481"/>
      <c r="AH30" s="481"/>
      <c r="AI30" s="481"/>
      <c r="AJ30" s="481"/>
      <c r="AK30" s="75"/>
    </row>
    <row r="31" spans="1:43" ht="15" customHeight="1" thickTop="1" thickBot="1" x14ac:dyDescent="0.3">
      <c r="A31" s="74"/>
      <c r="B31" s="482"/>
      <c r="C31" s="978" t="s">
        <v>277</v>
      </c>
      <c r="D31" s="978"/>
      <c r="E31" s="978"/>
      <c r="F31" s="978"/>
      <c r="G31" s="978"/>
      <c r="H31" s="978"/>
      <c r="I31" s="978"/>
      <c r="J31" s="979"/>
      <c r="K31" s="980">
        <f>$O$31</f>
        <v>6.1042500000000004</v>
      </c>
      <c r="L31" s="981"/>
      <c r="M31" s="982" t="s">
        <v>278</v>
      </c>
      <c r="N31" s="983"/>
      <c r="O31" s="977">
        <f>(((P25+P27)/2+P26)/2+P26)/2-O20</f>
        <v>6.1042500000000004</v>
      </c>
      <c r="P31" s="977"/>
      <c r="Q31" s="977"/>
      <c r="R31" s="482"/>
      <c r="S31" s="645"/>
      <c r="T31" s="477"/>
      <c r="U31" s="978" t="s">
        <v>277</v>
      </c>
      <c r="V31" s="978"/>
      <c r="W31" s="978"/>
      <c r="X31" s="978"/>
      <c r="Y31" s="978"/>
      <c r="Z31" s="978"/>
      <c r="AA31" s="978"/>
      <c r="AB31" s="979"/>
      <c r="AC31" s="980">
        <f>AG31</f>
        <v>13.305825</v>
      </c>
      <c r="AD31" s="981"/>
      <c r="AE31" s="975" t="s">
        <v>278</v>
      </c>
      <c r="AF31" s="976"/>
      <c r="AG31" s="977">
        <f>(((AH25+AH27)/2+AH26)/2+AH26)/2-AG20</f>
        <v>13.305825</v>
      </c>
      <c r="AH31" s="977"/>
      <c r="AI31" s="977"/>
      <c r="AJ31" s="481"/>
      <c r="AK31" s="75"/>
    </row>
    <row r="32" spans="1:43" ht="15" customHeight="1" thickTop="1" thickBot="1" x14ac:dyDescent="0.3">
      <c r="A32" s="74"/>
      <c r="B32" s="482"/>
      <c r="C32" s="482"/>
      <c r="D32" s="482"/>
      <c r="E32" s="482"/>
      <c r="F32" s="482"/>
      <c r="G32" s="482"/>
      <c r="H32" s="482"/>
      <c r="I32" s="482"/>
      <c r="J32" s="482"/>
      <c r="K32" s="482"/>
      <c r="L32" s="482"/>
      <c r="M32" s="482"/>
      <c r="N32" s="482"/>
      <c r="O32" s="482"/>
      <c r="P32" s="482"/>
      <c r="Q32" s="482"/>
      <c r="R32" s="482"/>
      <c r="S32" s="645"/>
      <c r="T32" s="477"/>
      <c r="U32" s="481"/>
      <c r="V32" s="481"/>
      <c r="W32" s="481"/>
      <c r="X32" s="481"/>
      <c r="Y32" s="481"/>
      <c r="Z32" s="481"/>
      <c r="AA32" s="481"/>
      <c r="AB32" s="481"/>
      <c r="AC32" s="481"/>
      <c r="AD32" s="481"/>
      <c r="AE32" s="481"/>
      <c r="AF32" s="481"/>
      <c r="AG32" s="481"/>
      <c r="AH32" s="481"/>
      <c r="AI32" s="481"/>
      <c r="AJ32" s="481"/>
      <c r="AK32" s="75"/>
      <c r="AN32" s="69" t="str">
        <f>IFERROR(IF(G33&gt;8,"HOGGING",""),"")</f>
        <v/>
      </c>
      <c r="AQ32" s="70" t="str">
        <f>IFERROR(IF(AN32=M33,"hogging",""),"")</f>
        <v/>
      </c>
    </row>
    <row r="33" spans="1:52" ht="15" customHeight="1" thickTop="1" thickBot="1" x14ac:dyDescent="0.3">
      <c r="A33" s="74"/>
      <c r="B33" s="482"/>
      <c r="C33" s="973" t="s">
        <v>279</v>
      </c>
      <c r="D33" s="973"/>
      <c r="E33" s="973"/>
      <c r="F33" s="482"/>
      <c r="G33" s="966">
        <f>ABS(AVERAGE(P25,P27)-P26)*100</f>
        <v>4.0600000000000414</v>
      </c>
      <c r="H33" s="967"/>
      <c r="I33" s="482"/>
      <c r="J33" s="482" t="s">
        <v>280</v>
      </c>
      <c r="K33" s="487"/>
      <c r="L33" s="482"/>
      <c r="M33" s="966" t="str">
        <f>IF(G33=0,"",IF(AVERAGE(P25,P27)&gt;P26,"HOGGING","SAGGING"))</f>
        <v>HOGGING</v>
      </c>
      <c r="N33" s="967"/>
      <c r="O33" s="482"/>
      <c r="P33" s="482"/>
      <c r="Q33" s="482"/>
      <c r="R33" s="482"/>
      <c r="S33" s="645"/>
      <c r="T33" s="477"/>
      <c r="U33" s="973" t="s">
        <v>281</v>
      </c>
      <c r="V33" s="973"/>
      <c r="W33" s="973"/>
      <c r="X33" s="481"/>
      <c r="Y33" s="966">
        <f>ABS(AVERAGE(AH25,AH27)-AH26)*100</f>
        <v>13.629999999999853</v>
      </c>
      <c r="Z33" s="967"/>
      <c r="AA33" s="481"/>
      <c r="AB33" s="482" t="s">
        <v>280</v>
      </c>
      <c r="AC33" s="488"/>
      <c r="AD33" s="481"/>
      <c r="AE33" s="966" t="str">
        <f>IF(Y33=0,"",IF(AVERAGE(AH25,AH27)&gt;AH26,"HOGGING","SAGGING"))</f>
        <v>SAGGING</v>
      </c>
      <c r="AF33" s="967"/>
      <c r="AG33" s="481"/>
      <c r="AH33" s="481"/>
      <c r="AI33" s="481"/>
      <c r="AJ33" s="481"/>
      <c r="AK33" s="75"/>
      <c r="AN33" s="69" t="str">
        <f>IFERROR(IF(G33&gt;5,"SAGGING",""),"")</f>
        <v/>
      </c>
      <c r="AQ33" s="70" t="str">
        <f>IFERROR(IF(AN33=M33,"sagging",""),"")</f>
        <v/>
      </c>
    </row>
    <row r="34" spans="1:52" ht="15" customHeight="1" thickTop="1" thickBot="1" x14ac:dyDescent="0.3">
      <c r="A34" s="74"/>
      <c r="B34" s="482"/>
      <c r="C34" s="489"/>
      <c r="D34" s="489"/>
      <c r="E34" s="489"/>
      <c r="F34" s="482"/>
      <c r="G34" s="432"/>
      <c r="H34" s="432"/>
      <c r="I34" s="482"/>
      <c r="J34" s="482"/>
      <c r="K34" s="487"/>
      <c r="L34" s="482"/>
      <c r="M34" s="432"/>
      <c r="N34" s="432"/>
      <c r="O34" s="482"/>
      <c r="P34" s="482"/>
      <c r="Q34" s="482"/>
      <c r="R34" s="482"/>
      <c r="S34" s="645"/>
      <c r="T34" s="477"/>
      <c r="U34" s="490"/>
      <c r="V34" s="490"/>
      <c r="W34" s="490"/>
      <c r="X34" s="481"/>
      <c r="Y34" s="433"/>
      <c r="Z34" s="433"/>
      <c r="AA34" s="481"/>
      <c r="AB34" s="481"/>
      <c r="AC34" s="488"/>
      <c r="AD34" s="481"/>
      <c r="AE34" s="433"/>
      <c r="AF34" s="433"/>
      <c r="AG34" s="481"/>
      <c r="AH34" s="481"/>
      <c r="AI34" s="481"/>
      <c r="AJ34" s="481"/>
      <c r="AK34" s="75"/>
    </row>
    <row r="35" spans="1:52" ht="15" customHeight="1" thickTop="1" thickBot="1" x14ac:dyDescent="0.3">
      <c r="A35" s="74"/>
      <c r="B35" s="482"/>
      <c r="C35" s="973" t="s">
        <v>282</v>
      </c>
      <c r="D35" s="973"/>
      <c r="E35" s="973"/>
      <c r="F35" s="482"/>
      <c r="G35" s="993">
        <f>ROUND(IF(C18="FORE",ABS(C26-G26)*100,ABS(C26-G26)*12),2)</f>
        <v>23</v>
      </c>
      <c r="H35" s="994"/>
      <c r="I35" s="482"/>
      <c r="J35" s="482"/>
      <c r="K35" s="482" t="s">
        <v>283</v>
      </c>
      <c r="L35" s="482"/>
      <c r="M35" s="995">
        <f>IF(G35=0,"",IF(C18="FORE",ABS(DEGREES(ATAN((C26-G26)/L11))),ABS(DEGREES(ATAN((C26*0.3048-G26*0.3048)/L11)))))</f>
        <v>0.40874087265711834</v>
      </c>
      <c r="N35" s="996"/>
      <c r="O35" s="76" t="s">
        <v>127</v>
      </c>
      <c r="P35" s="77" t="str">
        <f>IF(C26=G26,"N",IF(C26&gt;G26,"P","S"))</f>
        <v>P</v>
      </c>
      <c r="Q35" s="482"/>
      <c r="R35" s="482"/>
      <c r="S35" s="645"/>
      <c r="T35" s="477"/>
      <c r="U35" s="973" t="s">
        <v>282</v>
      </c>
      <c r="V35" s="973"/>
      <c r="W35" s="973"/>
      <c r="X35" s="481"/>
      <c r="Y35" s="993">
        <f>ROUND(IF(U18="FORE",ABS(U26-Y26)*100,ABS(U26-Y26)*12),2)</f>
        <v>2</v>
      </c>
      <c r="Z35" s="994"/>
      <c r="AA35" s="481"/>
      <c r="AB35" s="481"/>
      <c r="AC35" s="482" t="s">
        <v>283</v>
      </c>
      <c r="AD35" s="481"/>
      <c r="AE35" s="995">
        <f>IF(Y35=0,"",IF(U18="FORE",ABS(DEGREES(ATAN((U26-Y26)/AD11))),ABS(DEGREES(ATAN((U26*0.3048-Y26*0.3048)/AD11)))))</f>
        <v>3.5543282979748257E-2</v>
      </c>
      <c r="AF35" s="996"/>
      <c r="AG35" s="76" t="s">
        <v>127</v>
      </c>
      <c r="AH35" s="77" t="str">
        <f>IF(U26=Y26,"N",IF(U26&gt;Y26,"P","S"))</f>
        <v>S</v>
      </c>
      <c r="AI35" s="481"/>
      <c r="AJ35" s="481"/>
      <c r="AK35" s="75"/>
      <c r="AN35" s="69" t="str">
        <f>IFERROR(IF(Y33&gt;8,"HOGGING",""),"")</f>
        <v>HOGGING</v>
      </c>
      <c r="AQ35" s="70" t="str">
        <f>IFERROR(IF(AN35=AE33,"hogging",""),"")</f>
        <v/>
      </c>
    </row>
    <row r="36" spans="1:52" ht="15" customHeight="1" thickTop="1" thickBot="1" x14ac:dyDescent="0.3">
      <c r="A36" s="74"/>
      <c r="B36" s="482"/>
      <c r="C36" s="482"/>
      <c r="D36" s="482"/>
      <c r="E36" s="491"/>
      <c r="F36" s="482"/>
      <c r="G36" s="482"/>
      <c r="H36" s="482"/>
      <c r="I36" s="482"/>
      <c r="J36" s="482"/>
      <c r="K36" s="482"/>
      <c r="L36" s="482"/>
      <c r="M36" s="482"/>
      <c r="N36" s="482"/>
      <c r="O36" s="482"/>
      <c r="P36" s="482"/>
      <c r="Q36" s="482"/>
      <c r="R36" s="482"/>
      <c r="S36" s="645"/>
      <c r="T36" s="477"/>
      <c r="U36" s="481"/>
      <c r="V36" s="481"/>
      <c r="W36" s="481"/>
      <c r="X36" s="481"/>
      <c r="Y36" s="481"/>
      <c r="Z36" s="481"/>
      <c r="AA36" s="481"/>
      <c r="AB36" s="481"/>
      <c r="AC36" s="481"/>
      <c r="AD36" s="481"/>
      <c r="AE36" s="481"/>
      <c r="AF36" s="481"/>
      <c r="AG36" s="481"/>
      <c r="AH36" s="481"/>
      <c r="AI36" s="481"/>
      <c r="AJ36" s="481"/>
      <c r="AK36" s="75"/>
      <c r="AN36" s="69" t="str">
        <f>IFERROR(IF(Y33&gt;5,"SAGGING",""),"")</f>
        <v>SAGGING</v>
      </c>
      <c r="AQ36" s="70" t="str">
        <f>IFERROR(IF(AN36=AE33,"sagging",""),"")</f>
        <v>sagging</v>
      </c>
    </row>
    <row r="37" spans="1:52" ht="15" customHeight="1" thickTop="1" thickBot="1" x14ac:dyDescent="0.3">
      <c r="A37" s="74"/>
      <c r="B37" s="482"/>
      <c r="C37" s="487" t="s">
        <v>284</v>
      </c>
      <c r="D37" s="482"/>
      <c r="E37" s="482"/>
      <c r="F37" s="482"/>
      <c r="G37" s="482"/>
      <c r="H37" s="482"/>
      <c r="I37" s="482"/>
      <c r="J37" s="482"/>
      <c r="K37" s="482"/>
      <c r="L37" s="482"/>
      <c r="M37" s="984">
        <f>M39-K31</f>
        <v>4.3945545526371532E-3</v>
      </c>
      <c r="N37" s="985"/>
      <c r="O37" s="492"/>
      <c r="P37" s="492"/>
      <c r="Q37" s="482"/>
      <c r="R37" s="482"/>
      <c r="S37" s="645"/>
      <c r="T37" s="477"/>
      <c r="U37" s="487" t="s">
        <v>284</v>
      </c>
      <c r="V37" s="481"/>
      <c r="W37" s="481"/>
      <c r="X37" s="481"/>
      <c r="Y37" s="481"/>
      <c r="Z37" s="481"/>
      <c r="AA37" s="481"/>
      <c r="AB37" s="481"/>
      <c r="AC37" s="481"/>
      <c r="AD37" s="481"/>
      <c r="AE37" s="984">
        <f>AE39-AC31</f>
        <v>-1.9944218502699229E-2</v>
      </c>
      <c r="AF37" s="985"/>
      <c r="AG37" s="481"/>
      <c r="AH37" s="481"/>
      <c r="AI37" s="481"/>
      <c r="AJ37" s="481"/>
      <c r="AK37" s="75"/>
    </row>
    <row r="38" spans="1:52" ht="15" customHeight="1" thickTop="1" thickBot="1" x14ac:dyDescent="0.3">
      <c r="A38" s="74"/>
      <c r="B38" s="482"/>
      <c r="C38" s="482"/>
      <c r="D38" s="482"/>
      <c r="E38" s="482"/>
      <c r="F38" s="482"/>
      <c r="G38" s="482"/>
      <c r="H38" s="482"/>
      <c r="I38" s="482"/>
      <c r="J38" s="482"/>
      <c r="K38" s="482"/>
      <c r="L38" s="482"/>
      <c r="M38" s="482"/>
      <c r="N38" s="482"/>
      <c r="O38" s="493"/>
      <c r="P38" s="493"/>
      <c r="Q38" s="493"/>
      <c r="R38" s="493"/>
      <c r="S38" s="645"/>
      <c r="T38" s="477"/>
      <c r="U38" s="481"/>
      <c r="V38" s="481"/>
      <c r="W38" s="481"/>
      <c r="X38" s="481"/>
      <c r="Y38" s="481"/>
      <c r="Z38" s="481"/>
      <c r="AA38" s="481"/>
      <c r="AB38" s="481"/>
      <c r="AC38" s="481"/>
      <c r="AD38" s="481"/>
      <c r="AE38" s="481"/>
      <c r="AF38" s="481"/>
      <c r="AG38" s="481"/>
      <c r="AH38" s="481"/>
      <c r="AI38" s="481"/>
      <c r="AJ38" s="481"/>
      <c r="AK38" s="75"/>
    </row>
    <row r="39" spans="1:52" ht="15" customHeight="1" thickTop="1" thickBot="1" x14ac:dyDescent="0.3">
      <c r="A39" s="74"/>
      <c r="B39" s="482"/>
      <c r="C39" s="491" t="s">
        <v>623</v>
      </c>
      <c r="D39" s="491"/>
      <c r="E39" s="491"/>
      <c r="F39" s="482"/>
      <c r="G39" s="491"/>
      <c r="H39" s="491"/>
      <c r="I39" s="491"/>
      <c r="J39" s="491"/>
      <c r="K39" s="482"/>
      <c r="L39" s="482"/>
      <c r="M39" s="986">
        <f>'wpc '!$H$19</f>
        <v>6.1086445545526376</v>
      </c>
      <c r="N39" s="987"/>
      <c r="O39" s="988">
        <f>K31-H41</f>
        <v>6.2500000000005329E-3</v>
      </c>
      <c r="P39" s="989"/>
      <c r="Q39" s="990">
        <f>M39-H41</f>
        <v>1.0644554552637686E-2</v>
      </c>
      <c r="R39" s="990"/>
      <c r="S39" s="645"/>
      <c r="T39" s="477"/>
      <c r="U39" s="491" t="s">
        <v>623</v>
      </c>
      <c r="V39" s="494"/>
      <c r="W39" s="494"/>
      <c r="X39" s="494"/>
      <c r="Y39" s="494"/>
      <c r="Z39" s="494"/>
      <c r="AA39" s="494"/>
      <c r="AB39" s="494"/>
      <c r="AC39" s="481"/>
      <c r="AD39" s="481"/>
      <c r="AE39" s="991">
        <f>'wpc '!$P$19</f>
        <v>13.285880781497301</v>
      </c>
      <c r="AF39" s="992"/>
      <c r="AG39" s="988">
        <f>AC31-Z41</f>
        <v>7.825000000000415E-3</v>
      </c>
      <c r="AH39" s="989"/>
      <c r="AI39" s="990">
        <f>AE39-Z41</f>
        <v>-1.2119218502698814E-2</v>
      </c>
      <c r="AJ39" s="990"/>
      <c r="AK39" s="75"/>
    </row>
    <row r="40" spans="1:52" ht="15" customHeight="1" thickTop="1" thickBot="1" x14ac:dyDescent="0.3">
      <c r="A40" s="74"/>
      <c r="B40" s="477"/>
      <c r="C40" s="477"/>
      <c r="D40" s="477"/>
      <c r="E40" s="477"/>
      <c r="F40" s="477"/>
      <c r="G40" s="477"/>
      <c r="H40" s="477"/>
      <c r="I40" s="477"/>
      <c r="J40" s="477"/>
      <c r="K40" s="477"/>
      <c r="L40" s="477"/>
      <c r="M40" s="493"/>
      <c r="N40" s="493"/>
      <c r="O40" s="481"/>
      <c r="P40" s="481"/>
      <c r="Q40" s="481"/>
      <c r="R40" s="481"/>
      <c r="S40" s="648"/>
      <c r="T40" s="495"/>
      <c r="U40" s="478"/>
      <c r="V40" s="478"/>
      <c r="W40" s="478"/>
      <c r="X40" s="478"/>
      <c r="Y40" s="478"/>
      <c r="Z40" s="478"/>
      <c r="AA40" s="478"/>
      <c r="AB40" s="478"/>
      <c r="AC40" s="478"/>
      <c r="AD40" s="478"/>
      <c r="AE40" s="481"/>
      <c r="AF40" s="481"/>
      <c r="AG40" s="481"/>
      <c r="AH40" s="481"/>
      <c r="AI40" s="481"/>
      <c r="AJ40" s="481"/>
      <c r="AK40" s="75"/>
      <c r="AL40" s="78"/>
      <c r="AM40" s="78"/>
      <c r="AV40" s="79"/>
    </row>
    <row r="41" spans="1:52" ht="15" customHeight="1" thickTop="1" thickBot="1" x14ac:dyDescent="0.3">
      <c r="A41" s="74"/>
      <c r="B41" s="477"/>
      <c r="C41" s="496" t="s">
        <v>285</v>
      </c>
      <c r="D41" s="477"/>
      <c r="E41" s="477"/>
      <c r="F41" s="477"/>
      <c r="G41" s="497"/>
      <c r="H41" s="997">
        <v>6.0979999999999999</v>
      </c>
      <c r="I41" s="998"/>
      <c r="J41" s="999">
        <v>37120.5</v>
      </c>
      <c r="K41" s="1000"/>
      <c r="L41" s="1001"/>
      <c r="M41" s="1002">
        <f>ROUND((J42-J41),2)</f>
        <v>386.4</v>
      </c>
      <c r="N41" s="1003"/>
      <c r="O41" s="1004">
        <f>ROUND((M41/G42),1)</f>
        <v>6440</v>
      </c>
      <c r="P41" s="1004"/>
      <c r="Q41" s="481"/>
      <c r="R41" s="481"/>
      <c r="S41" s="648"/>
      <c r="T41" s="495"/>
      <c r="U41" s="498" t="s">
        <v>285</v>
      </c>
      <c r="V41" s="478"/>
      <c r="W41" s="478"/>
      <c r="X41" s="478"/>
      <c r="Y41" s="499"/>
      <c r="Z41" s="997">
        <v>13.298</v>
      </c>
      <c r="AA41" s="998"/>
      <c r="AB41" s="999">
        <v>85614.9</v>
      </c>
      <c r="AC41" s="1000"/>
      <c r="AD41" s="1001"/>
      <c r="AE41" s="1002">
        <f>ROUND((AB42-AB41),2)</f>
        <v>419.8</v>
      </c>
      <c r="AF41" s="1003"/>
      <c r="AG41" s="1004">
        <f>ROUND((AE41/Y42),1)</f>
        <v>6996.7</v>
      </c>
      <c r="AH41" s="1004"/>
      <c r="AI41" s="481"/>
      <c r="AJ41" s="481"/>
      <c r="AK41" s="80"/>
      <c r="AL41" s="78"/>
      <c r="AM41" s="78"/>
      <c r="AN41" s="79"/>
      <c r="AO41" s="614"/>
      <c r="AP41" s="614"/>
      <c r="AQ41" s="614"/>
      <c r="AR41" s="615"/>
      <c r="AS41" s="615"/>
      <c r="AT41" s="615"/>
      <c r="AV41" s="79"/>
      <c r="AZ41" s="81"/>
    </row>
    <row r="42" spans="1:52" ht="15" customHeight="1" thickTop="1" thickBot="1" x14ac:dyDescent="0.3">
      <c r="A42" s="74"/>
      <c r="B42" s="477"/>
      <c r="C42" s="496"/>
      <c r="D42" s="477"/>
      <c r="E42" s="477"/>
      <c r="F42" s="477"/>
      <c r="G42" s="500">
        <f>ROUND((H42-H41),3)</f>
        <v>0.06</v>
      </c>
      <c r="H42" s="997">
        <v>6.1580000000000004</v>
      </c>
      <c r="I42" s="998"/>
      <c r="J42" s="999">
        <v>37506.9</v>
      </c>
      <c r="K42" s="1000"/>
      <c r="L42" s="1001"/>
      <c r="M42" s="1005" t="s">
        <v>286</v>
      </c>
      <c r="N42" s="1006"/>
      <c r="O42" s="1007">
        <f>ROUND((O41*O39),2)</f>
        <v>40.25</v>
      </c>
      <c r="P42" s="1007"/>
      <c r="Q42" s="1008">
        <f>ROUND((O41*Q39),2)</f>
        <v>68.55</v>
      </c>
      <c r="R42" s="1008"/>
      <c r="S42" s="648"/>
      <c r="T42" s="495"/>
      <c r="U42" s="501"/>
      <c r="V42" s="478"/>
      <c r="W42" s="478"/>
      <c r="X42" s="478"/>
      <c r="Y42" s="500">
        <f>ROUND((Z42-Z41),3)</f>
        <v>0.06</v>
      </c>
      <c r="Z42" s="997">
        <v>13.358000000000001</v>
      </c>
      <c r="AA42" s="998"/>
      <c r="AB42" s="999">
        <v>86034.7</v>
      </c>
      <c r="AC42" s="1000"/>
      <c r="AD42" s="1001"/>
      <c r="AE42" s="1005" t="s">
        <v>286</v>
      </c>
      <c r="AF42" s="1006"/>
      <c r="AG42" s="1007">
        <f>ROUND((AG41*AG39),2)</f>
        <v>54.75</v>
      </c>
      <c r="AH42" s="1007"/>
      <c r="AI42" s="1008">
        <f>ROUND((AG41*AI39),2)</f>
        <v>-84.79</v>
      </c>
      <c r="AJ42" s="1008"/>
      <c r="AK42" s="80"/>
      <c r="AL42" s="78"/>
      <c r="AM42" s="78"/>
      <c r="AN42" s="79"/>
      <c r="AO42" s="614"/>
      <c r="AP42" s="614"/>
      <c r="AQ42" s="614"/>
      <c r="AR42" s="615"/>
      <c r="AS42" s="615"/>
      <c r="AT42" s="615"/>
    </row>
    <row r="43" spans="1:52" ht="15" customHeight="1" thickTop="1" thickBot="1" x14ac:dyDescent="0.3">
      <c r="A43" s="74"/>
      <c r="B43" s="477"/>
      <c r="C43" s="496" t="s">
        <v>287</v>
      </c>
      <c r="D43" s="477"/>
      <c r="E43" s="477"/>
      <c r="F43" s="477"/>
      <c r="G43" s="478"/>
      <c r="H43" s="477"/>
      <c r="I43" s="477"/>
      <c r="J43" s="1009">
        <f>$J$41+$O$42</f>
        <v>37160.75</v>
      </c>
      <c r="K43" s="1010"/>
      <c r="L43" s="1011"/>
      <c r="M43" s="1012">
        <f>$J$41+$Q$42</f>
        <v>37189.050000000003</v>
      </c>
      <c r="N43" s="1013"/>
      <c r="O43" s="1014"/>
      <c r="P43" s="493"/>
      <c r="Q43" s="493"/>
      <c r="R43" s="493"/>
      <c r="S43" s="648"/>
      <c r="T43" s="495"/>
      <c r="U43" s="498" t="s">
        <v>287</v>
      </c>
      <c r="V43" s="478"/>
      <c r="W43" s="478"/>
      <c r="X43" s="478"/>
      <c r="Y43" s="478"/>
      <c r="Z43" s="478">
        <v>35905.1</v>
      </c>
      <c r="AA43" s="478"/>
      <c r="AB43" s="1015">
        <f>AB41+AG42</f>
        <v>85669.65</v>
      </c>
      <c r="AC43" s="1016"/>
      <c r="AD43" s="1017"/>
      <c r="AE43" s="1018">
        <f>AB41+AI42</f>
        <v>85530.11</v>
      </c>
      <c r="AF43" s="1013"/>
      <c r="AG43" s="1014"/>
      <c r="AH43" s="481"/>
      <c r="AI43" s="481"/>
      <c r="AJ43" s="481"/>
      <c r="AK43" s="80"/>
      <c r="AL43" s="78"/>
      <c r="AM43" s="78" t="s">
        <v>261</v>
      </c>
      <c r="AN43" s="79"/>
      <c r="AO43" s="614"/>
      <c r="AP43" s="614"/>
      <c r="AQ43" s="614"/>
      <c r="AR43" s="615"/>
      <c r="AS43" s="615"/>
      <c r="AT43" s="615"/>
    </row>
    <row r="44" spans="1:52" ht="15" customHeight="1" thickTop="1" thickBot="1" x14ac:dyDescent="0.3">
      <c r="A44" s="74"/>
      <c r="B44" s="477"/>
      <c r="C44" s="502"/>
      <c r="D44" s="477"/>
      <c r="E44" s="477"/>
      <c r="F44" s="477"/>
      <c r="G44" s="478"/>
      <c r="H44" s="477"/>
      <c r="I44" s="477"/>
      <c r="J44" s="477"/>
      <c r="K44" s="477"/>
      <c r="L44" s="477"/>
      <c r="M44" s="493"/>
      <c r="N44" s="493"/>
      <c r="O44" s="493"/>
      <c r="P44" s="493"/>
      <c r="Q44" s="493"/>
      <c r="R44" s="493"/>
      <c r="S44" s="648"/>
      <c r="T44" s="495"/>
      <c r="U44" s="503"/>
      <c r="V44" s="478"/>
      <c r="W44" s="478"/>
      <c r="X44" s="478"/>
      <c r="Y44" s="478"/>
      <c r="Z44" s="478"/>
      <c r="AA44" s="478"/>
      <c r="AB44" s="478"/>
      <c r="AC44" s="478"/>
      <c r="AD44" s="478"/>
      <c r="AE44" s="481"/>
      <c r="AF44" s="481"/>
      <c r="AG44" s="481"/>
      <c r="AH44" s="481"/>
      <c r="AI44" s="481"/>
      <c r="AJ44" s="481"/>
      <c r="AK44" s="80"/>
      <c r="AL44" s="78"/>
    </row>
    <row r="45" spans="1:52" ht="15" customHeight="1" thickTop="1" thickBot="1" x14ac:dyDescent="0.3">
      <c r="A45" s="74"/>
      <c r="B45" s="477"/>
      <c r="C45" s="496" t="s">
        <v>135</v>
      </c>
      <c r="D45" s="477"/>
      <c r="E45" s="477"/>
      <c r="F45" s="477"/>
      <c r="G45" s="478"/>
      <c r="H45" s="1019">
        <f>H41</f>
        <v>6.0979999999999999</v>
      </c>
      <c r="I45" s="1020"/>
      <c r="J45" s="1021">
        <v>64.3</v>
      </c>
      <c r="K45" s="1022"/>
      <c r="L45" s="1023"/>
      <c r="M45" s="1024">
        <f>ROUND((J46-J45),2)</f>
        <v>0.1</v>
      </c>
      <c r="N45" s="1007"/>
      <c r="O45" s="1007">
        <f>ROUND((M45/G46),1)</f>
        <v>1.7</v>
      </c>
      <c r="P45" s="1007"/>
      <c r="Q45" s="990">
        <f>M39-H45</f>
        <v>1.0644554552637686E-2</v>
      </c>
      <c r="R45" s="990"/>
      <c r="S45" s="648"/>
      <c r="T45" s="495"/>
      <c r="U45" s="498" t="s">
        <v>135</v>
      </c>
      <c r="V45" s="478"/>
      <c r="W45" s="478"/>
      <c r="X45" s="478"/>
      <c r="Y45" s="478"/>
      <c r="Z45" s="1025">
        <f>Z41</f>
        <v>13.298</v>
      </c>
      <c r="AA45" s="1026"/>
      <c r="AB45" s="1021">
        <v>69.900000000000006</v>
      </c>
      <c r="AC45" s="1022"/>
      <c r="AD45" s="1023"/>
      <c r="AE45" s="1024">
        <f>ROUND((AB46-AB45),2)</f>
        <v>0</v>
      </c>
      <c r="AF45" s="1007"/>
      <c r="AG45" s="1007">
        <f>ROUND((AE45/Y46),1)</f>
        <v>0</v>
      </c>
      <c r="AH45" s="1007"/>
      <c r="AI45" s="990">
        <f>AE39-Z45</f>
        <v>-1.2119218502698814E-2</v>
      </c>
      <c r="AJ45" s="990"/>
      <c r="AK45" s="80"/>
      <c r="AL45" s="78"/>
    </row>
    <row r="46" spans="1:52" ht="16.5" thickTop="1" thickBot="1" x14ac:dyDescent="0.3">
      <c r="A46" s="74"/>
      <c r="B46" s="477"/>
      <c r="C46" s="496"/>
      <c r="D46" s="477"/>
      <c r="E46" s="477"/>
      <c r="F46" s="477"/>
      <c r="G46" s="500">
        <f>ROUND((H46-H45),3)</f>
        <v>0.06</v>
      </c>
      <c r="H46" s="1019">
        <f>H42</f>
        <v>6.1580000000000004</v>
      </c>
      <c r="I46" s="1020"/>
      <c r="J46" s="1021">
        <v>64.400000000000006</v>
      </c>
      <c r="K46" s="1022"/>
      <c r="L46" s="1023"/>
      <c r="M46" s="504"/>
      <c r="N46" s="504"/>
      <c r="O46" s="990">
        <f>ROUND((O45*O39),3)</f>
        <v>1.0999999999999999E-2</v>
      </c>
      <c r="P46" s="990"/>
      <c r="Q46" s="990">
        <f>ROUND((O45*Q39),3)</f>
        <v>1.7999999999999999E-2</v>
      </c>
      <c r="R46" s="990"/>
      <c r="S46" s="648"/>
      <c r="T46" s="495"/>
      <c r="U46" s="501"/>
      <c r="V46" s="478"/>
      <c r="W46" s="478"/>
      <c r="X46" s="478"/>
      <c r="Y46" s="500">
        <f>ROUND((Z46-Z45),3)</f>
        <v>0.06</v>
      </c>
      <c r="Z46" s="1019">
        <f>Z42</f>
        <v>13.358000000000001</v>
      </c>
      <c r="AA46" s="1020"/>
      <c r="AB46" s="1021">
        <v>69.900000000000006</v>
      </c>
      <c r="AC46" s="1022"/>
      <c r="AD46" s="1023"/>
      <c r="AE46" s="504"/>
      <c r="AF46" s="504"/>
      <c r="AG46" s="990">
        <f>ROUND((AG45*AG39),3)</f>
        <v>0</v>
      </c>
      <c r="AH46" s="990"/>
      <c r="AI46" s="990">
        <f>ROUND((AG45*AI39),3)</f>
        <v>0</v>
      </c>
      <c r="AJ46" s="990"/>
      <c r="AK46" s="80"/>
      <c r="AL46" s="78"/>
    </row>
    <row r="47" spans="1:52" ht="16.5" thickTop="1" thickBot="1" x14ac:dyDescent="0.3">
      <c r="A47" s="74"/>
      <c r="B47" s="477"/>
      <c r="C47" s="496" t="s">
        <v>288</v>
      </c>
      <c r="D47" s="477"/>
      <c r="E47" s="477"/>
      <c r="F47" s="477"/>
      <c r="G47" s="478"/>
      <c r="H47" s="477"/>
      <c r="I47" s="477"/>
      <c r="J47" s="1027">
        <f>$J$45+$O$46</f>
        <v>64.310999999999993</v>
      </c>
      <c r="K47" s="1028"/>
      <c r="L47" s="1029"/>
      <c r="M47" s="1018">
        <f>$J$45+$Q$46</f>
        <v>64.317999999999998</v>
      </c>
      <c r="N47" s="1013"/>
      <c r="O47" s="1014"/>
      <c r="P47" s="505"/>
      <c r="Q47" s="505"/>
      <c r="R47" s="505"/>
      <c r="S47" s="648"/>
      <c r="T47" s="495"/>
      <c r="U47" s="498" t="s">
        <v>288</v>
      </c>
      <c r="V47" s="478"/>
      <c r="W47" s="478"/>
      <c r="X47" s="478"/>
      <c r="Y47" s="478"/>
      <c r="Z47" s="478"/>
      <c r="AA47" s="478"/>
      <c r="AB47" s="1027">
        <f>AB45+AG46</f>
        <v>69.900000000000006</v>
      </c>
      <c r="AC47" s="1028"/>
      <c r="AD47" s="1029"/>
      <c r="AE47" s="1018">
        <f>AB45+AI46</f>
        <v>69.900000000000006</v>
      </c>
      <c r="AF47" s="1013"/>
      <c r="AG47" s="1014"/>
      <c r="AH47" s="504"/>
      <c r="AI47" s="504"/>
      <c r="AJ47" s="504"/>
      <c r="AK47" s="80"/>
      <c r="AL47" s="78"/>
    </row>
    <row r="48" spans="1:52" ht="16.5" thickTop="1" thickBot="1" x14ac:dyDescent="0.3">
      <c r="A48" s="74"/>
      <c r="B48" s="477"/>
      <c r="C48" s="502"/>
      <c r="D48" s="477"/>
      <c r="E48" s="477"/>
      <c r="F48" s="477"/>
      <c r="G48" s="478"/>
      <c r="H48" s="477"/>
      <c r="I48" s="477"/>
      <c r="J48" s="477"/>
      <c r="K48" s="477"/>
      <c r="L48" s="477"/>
      <c r="M48" s="493"/>
      <c r="N48" s="493"/>
      <c r="O48" s="493"/>
      <c r="P48" s="493"/>
      <c r="Q48" s="493"/>
      <c r="R48" s="493"/>
      <c r="S48" s="648"/>
      <c r="T48" s="495"/>
      <c r="U48" s="503"/>
      <c r="V48" s="478"/>
      <c r="W48" s="478"/>
      <c r="X48" s="478"/>
      <c r="Y48" s="478"/>
      <c r="Z48" s="478"/>
      <c r="AA48" s="478"/>
      <c r="AB48" s="478"/>
      <c r="AC48" s="478"/>
      <c r="AD48" s="478"/>
      <c r="AE48" s="481"/>
      <c r="AF48" s="481"/>
      <c r="AG48" s="481"/>
      <c r="AH48" s="481"/>
      <c r="AI48" s="481"/>
      <c r="AJ48" s="481"/>
      <c r="AK48" s="80"/>
      <c r="AL48" s="78"/>
    </row>
    <row r="49" spans="1:47" ht="16.5" thickTop="1" thickBot="1" x14ac:dyDescent="0.3">
      <c r="A49" s="74"/>
      <c r="B49" s="477"/>
      <c r="C49" s="496" t="s">
        <v>289</v>
      </c>
      <c r="D49" s="477"/>
      <c r="E49" s="477"/>
      <c r="F49" s="477"/>
      <c r="G49" s="478"/>
      <c r="H49" s="1019">
        <f>H41</f>
        <v>6.0979999999999999</v>
      </c>
      <c r="I49" s="1020"/>
      <c r="J49" s="1030">
        <v>-8.42</v>
      </c>
      <c r="K49" s="1031"/>
      <c r="L49" s="1032"/>
      <c r="M49" s="1002">
        <f>J50-J49</f>
        <v>5.0000000000000711E-2</v>
      </c>
      <c r="N49" s="1003"/>
      <c r="O49" s="1004"/>
      <c r="P49" s="1004"/>
      <c r="Q49" s="989"/>
      <c r="R49" s="989"/>
      <c r="S49" s="648"/>
      <c r="T49" s="495"/>
      <c r="U49" s="498" t="s">
        <v>289</v>
      </c>
      <c r="V49" s="478"/>
      <c r="W49" s="478"/>
      <c r="X49" s="478"/>
      <c r="Y49" s="478"/>
      <c r="Z49" s="1019">
        <f>Z41</f>
        <v>13.298</v>
      </c>
      <c r="AA49" s="1020"/>
      <c r="AB49" s="1030">
        <v>1.57</v>
      </c>
      <c r="AC49" s="1031"/>
      <c r="AD49" s="1032"/>
      <c r="AE49" s="1002">
        <f>AB50-AB49</f>
        <v>3.0000000000000027E-2</v>
      </c>
      <c r="AF49" s="1003"/>
      <c r="AG49" s="1004"/>
      <c r="AH49" s="1004"/>
      <c r="AI49" s="989"/>
      <c r="AJ49" s="989"/>
      <c r="AK49" s="80"/>
      <c r="AL49" s="78"/>
    </row>
    <row r="50" spans="1:47" ht="16.5" thickTop="1" thickBot="1" x14ac:dyDescent="0.3">
      <c r="A50" s="74"/>
      <c r="B50" s="477"/>
      <c r="C50" s="496"/>
      <c r="D50" s="477"/>
      <c r="E50" s="477"/>
      <c r="F50" s="477"/>
      <c r="G50" s="500">
        <f>ROUND((H50-H49),3)</f>
        <v>0.06</v>
      </c>
      <c r="H50" s="1019">
        <f>H42</f>
        <v>6.1580000000000004</v>
      </c>
      <c r="I50" s="1020"/>
      <c r="J50" s="1030">
        <v>-8.3699999999999992</v>
      </c>
      <c r="K50" s="1031"/>
      <c r="L50" s="1032"/>
      <c r="M50" s="1033">
        <f>M49/G50</f>
        <v>0.83333333333334525</v>
      </c>
      <c r="N50" s="1034"/>
      <c r="O50" s="990">
        <f>M50*O39</f>
        <v>5.2083333333338517E-3</v>
      </c>
      <c r="P50" s="990"/>
      <c r="Q50" s="989">
        <f>M50*Q39</f>
        <v>8.870462127198199E-3</v>
      </c>
      <c r="R50" s="989"/>
      <c r="S50" s="648"/>
      <c r="T50" s="495"/>
      <c r="U50" s="501"/>
      <c r="V50" s="478"/>
      <c r="W50" s="478"/>
      <c r="X50" s="478"/>
      <c r="Y50" s="500">
        <f>ROUND((Z50-Z49),3)</f>
        <v>0.06</v>
      </c>
      <c r="Z50" s="1019">
        <f>Z42</f>
        <v>13.358000000000001</v>
      </c>
      <c r="AA50" s="1020"/>
      <c r="AB50" s="1030">
        <v>1.6</v>
      </c>
      <c r="AC50" s="1031"/>
      <c r="AD50" s="1032"/>
      <c r="AE50" s="1033">
        <f>AE49/Y50</f>
        <v>0.50000000000000044</v>
      </c>
      <c r="AF50" s="1034"/>
      <c r="AG50" s="990">
        <f>AE50*AG39</f>
        <v>3.9125000000002109E-3</v>
      </c>
      <c r="AH50" s="990"/>
      <c r="AI50" s="989">
        <f>AE50*AI39</f>
        <v>-6.0596092513494123E-3</v>
      </c>
      <c r="AJ50" s="989"/>
      <c r="AK50" s="80"/>
      <c r="AL50" s="78"/>
    </row>
    <row r="51" spans="1:47" ht="16.5" thickTop="1" thickBot="1" x14ac:dyDescent="0.3">
      <c r="A51" s="74"/>
      <c r="B51" s="477"/>
      <c r="C51" s="496" t="s">
        <v>290</v>
      </c>
      <c r="D51" s="477"/>
      <c r="E51" s="477"/>
      <c r="F51" s="477"/>
      <c r="G51" s="506"/>
      <c r="H51" s="477"/>
      <c r="I51" s="477"/>
      <c r="J51" s="1035">
        <f>Planilha1!$K$16</f>
        <v>-8.4147999999999996</v>
      </c>
      <c r="K51" s="1036"/>
      <c r="L51" s="1037"/>
      <c r="M51" s="1038">
        <f>Planilha1!$K$33</f>
        <v>-8.4110999999999994</v>
      </c>
      <c r="N51" s="1039"/>
      <c r="O51" s="1040"/>
      <c r="P51" s="493"/>
      <c r="Q51" s="493"/>
      <c r="R51" s="493"/>
      <c r="S51" s="648"/>
      <c r="T51" s="495"/>
      <c r="U51" s="498" t="s">
        <v>290</v>
      </c>
      <c r="V51" s="478"/>
      <c r="W51" s="478"/>
      <c r="X51" s="478"/>
      <c r="Y51" s="478"/>
      <c r="Z51" s="478"/>
      <c r="AA51" s="478"/>
      <c r="AB51" s="1035">
        <f>Planilha1!$V$16</f>
        <v>1.5739000000000001</v>
      </c>
      <c r="AC51" s="1036"/>
      <c r="AD51" s="1037"/>
      <c r="AE51" s="1038">
        <f>Planilha1!$V$33</f>
        <v>1.5639000000000001</v>
      </c>
      <c r="AF51" s="1039"/>
      <c r="AG51" s="1040"/>
      <c r="AH51" s="481"/>
      <c r="AI51" s="481"/>
      <c r="AJ51" s="481"/>
      <c r="AK51" s="80"/>
      <c r="AL51" s="78"/>
    </row>
    <row r="52" spans="1:47" ht="16.5" thickTop="1" thickBot="1" x14ac:dyDescent="0.3">
      <c r="A52" s="74"/>
      <c r="B52" s="477"/>
      <c r="C52" s="502"/>
      <c r="D52" s="477"/>
      <c r="E52" s="477"/>
      <c r="F52" s="477"/>
      <c r="G52" s="477"/>
      <c r="H52" s="477"/>
      <c r="I52" s="477"/>
      <c r="J52" s="483"/>
      <c r="K52" s="477"/>
      <c r="L52" s="477"/>
      <c r="M52" s="493"/>
      <c r="N52" s="493"/>
      <c r="O52" s="493"/>
      <c r="P52" s="493"/>
      <c r="Q52" s="493"/>
      <c r="R52" s="493"/>
      <c r="S52" s="648"/>
      <c r="T52" s="495"/>
      <c r="U52" s="503"/>
      <c r="V52" s="478"/>
      <c r="W52" s="478"/>
      <c r="X52" s="478"/>
      <c r="Y52" s="478"/>
      <c r="Z52" s="478"/>
      <c r="AA52" s="478"/>
      <c r="AB52" s="485"/>
      <c r="AC52" s="478"/>
      <c r="AD52" s="478"/>
      <c r="AE52" s="481"/>
      <c r="AF52" s="481"/>
      <c r="AG52" s="481"/>
      <c r="AH52" s="481"/>
      <c r="AI52" s="481"/>
      <c r="AJ52" s="481"/>
      <c r="AK52" s="80"/>
      <c r="AL52" s="78"/>
    </row>
    <row r="53" spans="1:47" ht="16.5" thickTop="1" thickBot="1" x14ac:dyDescent="0.3">
      <c r="A53" s="74"/>
      <c r="B53" s="477"/>
      <c r="C53" s="496" t="s">
        <v>291</v>
      </c>
      <c r="D53" s="477"/>
      <c r="E53" s="477"/>
      <c r="F53" s="477"/>
      <c r="G53" s="477"/>
      <c r="H53" s="1019">
        <f>K31+0.5</f>
        <v>6.6042500000000004</v>
      </c>
      <c r="I53" s="1020"/>
      <c r="J53" s="1021">
        <v>952.4</v>
      </c>
      <c r="K53" s="1022"/>
      <c r="L53" s="1052"/>
      <c r="M53" s="82"/>
      <c r="N53" s="507"/>
      <c r="O53" s="493"/>
      <c r="P53" s="493"/>
      <c r="Q53" s="493"/>
      <c r="R53" s="493"/>
      <c r="S53" s="648"/>
      <c r="T53" s="495"/>
      <c r="U53" s="498" t="s">
        <v>291</v>
      </c>
      <c r="V53" s="478"/>
      <c r="W53" s="478"/>
      <c r="X53" s="478"/>
      <c r="Y53" s="478"/>
      <c r="Z53" s="1019">
        <f>AC31+0.5</f>
        <v>13.805825</v>
      </c>
      <c r="AA53" s="1020"/>
      <c r="AB53" s="1021">
        <v>1200.2</v>
      </c>
      <c r="AC53" s="1022"/>
      <c r="AD53" s="1052"/>
      <c r="AE53" s="83"/>
      <c r="AF53" s="500"/>
      <c r="AG53" s="481"/>
      <c r="AH53" s="481"/>
      <c r="AI53" s="481"/>
      <c r="AJ53" s="481"/>
      <c r="AK53" s="80"/>
      <c r="AL53" s="78"/>
    </row>
    <row r="54" spans="1:47" ht="16.5" thickTop="1" thickBot="1" x14ac:dyDescent="0.3">
      <c r="A54" s="74"/>
      <c r="B54" s="477"/>
      <c r="C54" s="496" t="s">
        <v>292</v>
      </c>
      <c r="D54" s="477"/>
      <c r="E54" s="477"/>
      <c r="F54" s="477"/>
      <c r="G54" s="477"/>
      <c r="H54" s="1019">
        <f>K31-0.5</f>
        <v>5.6042500000000004</v>
      </c>
      <c r="I54" s="1020"/>
      <c r="J54" s="1021">
        <v>922.1</v>
      </c>
      <c r="K54" s="1022"/>
      <c r="L54" s="1052"/>
      <c r="M54" s="82"/>
      <c r="N54" s="507"/>
      <c r="O54" s="493"/>
      <c r="P54" s="493"/>
      <c r="Q54" s="493"/>
      <c r="R54" s="493"/>
      <c r="S54" s="648"/>
      <c r="T54" s="495"/>
      <c r="U54" s="498" t="s">
        <v>292</v>
      </c>
      <c r="V54" s="478"/>
      <c r="W54" s="478"/>
      <c r="X54" s="478"/>
      <c r="Y54" s="478"/>
      <c r="Z54" s="1019">
        <f>AC31-0.5</f>
        <v>12.805825</v>
      </c>
      <c r="AA54" s="1020"/>
      <c r="AB54" s="1021">
        <v>1182</v>
      </c>
      <c r="AC54" s="1022"/>
      <c r="AD54" s="1052"/>
      <c r="AE54" s="83"/>
      <c r="AF54" s="500"/>
      <c r="AG54" s="481"/>
      <c r="AH54" s="481"/>
      <c r="AI54" s="481"/>
      <c r="AJ54" s="481"/>
      <c r="AK54" s="80"/>
      <c r="AL54" s="78"/>
    </row>
    <row r="55" spans="1:47" ht="16.5" thickTop="1" thickBot="1" x14ac:dyDescent="0.3">
      <c r="A55" s="74"/>
      <c r="B55" s="477"/>
      <c r="C55" s="496" t="s">
        <v>293</v>
      </c>
      <c r="D55" s="477"/>
      <c r="E55" s="477"/>
      <c r="F55" s="477"/>
      <c r="G55" s="477"/>
      <c r="H55" s="477"/>
      <c r="I55" s="477"/>
      <c r="J55" s="1027">
        <f>J53-J54</f>
        <v>30.299999999999955</v>
      </c>
      <c r="K55" s="1028"/>
      <c r="L55" s="1041"/>
      <c r="M55" s="82"/>
      <c r="N55" s="507"/>
      <c r="O55" s="493"/>
      <c r="P55" s="493"/>
      <c r="Q55" s="493"/>
      <c r="R55" s="493"/>
      <c r="S55" s="648"/>
      <c r="T55" s="495"/>
      <c r="U55" s="498" t="s">
        <v>293</v>
      </c>
      <c r="V55" s="478"/>
      <c r="W55" s="478"/>
      <c r="X55" s="478"/>
      <c r="Y55" s="478"/>
      <c r="Z55" s="478"/>
      <c r="AA55" s="478"/>
      <c r="AB55" s="1015">
        <f>AB53-AB54</f>
        <v>18.200000000000045</v>
      </c>
      <c r="AC55" s="1016"/>
      <c r="AD55" s="1042"/>
      <c r="AE55" s="83"/>
      <c r="AF55" s="500"/>
      <c r="AG55" s="481"/>
      <c r="AH55" s="481"/>
      <c r="AI55" s="481"/>
      <c r="AJ55" s="481"/>
      <c r="AK55" s="75"/>
    </row>
    <row r="56" spans="1:47" ht="17.25" thickTop="1" thickBot="1" x14ac:dyDescent="0.3">
      <c r="A56" s="74"/>
      <c r="B56" s="477"/>
      <c r="C56" s="502"/>
      <c r="D56" s="477"/>
      <c r="E56" s="477"/>
      <c r="F56" s="477"/>
      <c r="G56" s="477"/>
      <c r="H56" s="477"/>
      <c r="I56" s="477"/>
      <c r="J56" s="477"/>
      <c r="K56" s="477"/>
      <c r="L56" s="477"/>
      <c r="M56" s="493"/>
      <c r="N56" s="1043" t="s">
        <v>286</v>
      </c>
      <c r="O56" s="1044"/>
      <c r="P56" s="1044"/>
      <c r="Q56" s="1045"/>
      <c r="R56" s="493"/>
      <c r="S56" s="648"/>
      <c r="T56" s="495"/>
      <c r="U56" s="503"/>
      <c r="V56" s="478"/>
      <c r="W56" s="478"/>
      <c r="X56" s="478"/>
      <c r="Y56" s="478"/>
      <c r="Z56" s="478"/>
      <c r="AA56" s="478"/>
      <c r="AB56" s="478"/>
      <c r="AC56" s="478"/>
      <c r="AD56" s="478"/>
      <c r="AE56" s="481"/>
      <c r="AF56" s="1043" t="s">
        <v>286</v>
      </c>
      <c r="AG56" s="1044"/>
      <c r="AH56" s="1044"/>
      <c r="AI56" s="1045"/>
      <c r="AJ56" s="481"/>
      <c r="AK56" s="75"/>
    </row>
    <row r="57" spans="1:47" ht="16.5" customHeight="1" thickTop="1" thickBot="1" x14ac:dyDescent="0.3">
      <c r="A57" s="74"/>
      <c r="B57" s="477"/>
      <c r="C57" s="496" t="s">
        <v>294</v>
      </c>
      <c r="D57" s="477"/>
      <c r="E57" s="477"/>
      <c r="F57" s="477"/>
      <c r="G57" s="477"/>
      <c r="H57" s="1046">
        <f>(P29*J47)*(J51*100)/D11</f>
        <v>-95.06938697837829</v>
      </c>
      <c r="I57" s="1047"/>
      <c r="J57" s="1047"/>
      <c r="K57" s="1047"/>
      <c r="L57" s="1048"/>
      <c r="M57" s="507"/>
      <c r="N57" s="1049">
        <f>(P29*M47)*(M51*100)/D11</f>
        <v>-95.037928208107999</v>
      </c>
      <c r="O57" s="1050"/>
      <c r="P57" s="1050"/>
      <c r="Q57" s="1051"/>
      <c r="R57" s="493"/>
      <c r="S57" s="648"/>
      <c r="T57" s="495"/>
      <c r="U57" s="498" t="s">
        <v>294</v>
      </c>
      <c r="V57" s="478"/>
      <c r="W57" s="478"/>
      <c r="X57" s="478"/>
      <c r="Y57" s="478"/>
      <c r="Z57" s="1046">
        <f>(AH29*AB47)*(AB51*100)/V11</f>
        <v>2.913926967567555</v>
      </c>
      <c r="AA57" s="1047"/>
      <c r="AB57" s="1047"/>
      <c r="AC57" s="1047"/>
      <c r="AD57" s="1048"/>
      <c r="AE57" s="500"/>
      <c r="AF57" s="1049">
        <f>(AH29*AE47)*(AE51*100)/V11</f>
        <v>2.8954129135135016</v>
      </c>
      <c r="AG57" s="1050"/>
      <c r="AH57" s="1050"/>
      <c r="AI57" s="1051"/>
      <c r="AJ57" s="481"/>
      <c r="AK57" s="75"/>
    </row>
    <row r="58" spans="1:47" ht="16.5" customHeight="1" thickTop="1" thickBot="1" x14ac:dyDescent="0.3">
      <c r="A58" s="74"/>
      <c r="B58" s="477"/>
      <c r="C58" s="496" t="s">
        <v>295</v>
      </c>
      <c r="D58" s="477"/>
      <c r="E58" s="477"/>
      <c r="F58" s="477"/>
      <c r="G58" s="477"/>
      <c r="H58" s="1062">
        <f>(P29*P29)*(50*J55)/D11</f>
        <v>1.0379797297297266</v>
      </c>
      <c r="I58" s="1063"/>
      <c r="J58" s="1063"/>
      <c r="K58" s="1063"/>
      <c r="L58" s="1064"/>
      <c r="M58" s="507"/>
      <c r="N58" s="1049">
        <f>(P29*P29)*(50*J55)/D11</f>
        <v>1.0379797297297266</v>
      </c>
      <c r="O58" s="1050"/>
      <c r="P58" s="1050"/>
      <c r="Q58" s="1051"/>
      <c r="R58" s="493"/>
      <c r="S58" s="648"/>
      <c r="T58" s="495"/>
      <c r="U58" s="498" t="s">
        <v>295</v>
      </c>
      <c r="V58" s="478"/>
      <c r="W58" s="478"/>
      <c r="X58" s="478"/>
      <c r="Y58" s="478"/>
      <c r="Z58" s="1062">
        <f>(AH29*AH29)*(50*AB55)/V11</f>
        <v>1.4172389189189099E-2</v>
      </c>
      <c r="AA58" s="1063"/>
      <c r="AB58" s="1063"/>
      <c r="AC58" s="1063"/>
      <c r="AD58" s="1064"/>
      <c r="AE58" s="500"/>
      <c r="AF58" s="1049">
        <f>(AH29*AH29)*(50*AB55)/V11</f>
        <v>1.4172389189189099E-2</v>
      </c>
      <c r="AG58" s="1050"/>
      <c r="AH58" s="1050"/>
      <c r="AI58" s="1051"/>
      <c r="AJ58" s="481"/>
      <c r="AK58" s="75"/>
    </row>
    <row r="59" spans="1:47" ht="16.5" customHeight="1" thickTop="1" thickBot="1" x14ac:dyDescent="0.3">
      <c r="A59" s="74"/>
      <c r="B59" s="477"/>
      <c r="C59" s="496" t="s">
        <v>296</v>
      </c>
      <c r="D59" s="477"/>
      <c r="E59" s="477"/>
      <c r="F59" s="477"/>
      <c r="G59" s="477"/>
      <c r="H59" s="1065">
        <f>H57+H58</f>
        <v>-94.031407248648563</v>
      </c>
      <c r="I59" s="1066"/>
      <c r="J59" s="1066"/>
      <c r="K59" s="1066"/>
      <c r="L59" s="1067"/>
      <c r="M59" s="507"/>
      <c r="N59" s="1068">
        <f>N57+N58</f>
        <v>-93.999948478378272</v>
      </c>
      <c r="O59" s="1069"/>
      <c r="P59" s="1069"/>
      <c r="Q59" s="1070"/>
      <c r="R59" s="493"/>
      <c r="S59" s="648"/>
      <c r="T59" s="495"/>
      <c r="U59" s="498" t="s">
        <v>296</v>
      </c>
      <c r="V59" s="478"/>
      <c r="W59" s="478"/>
      <c r="X59" s="478"/>
      <c r="Y59" s="478"/>
      <c r="Z59" s="1065">
        <f>Z57+Z58</f>
        <v>2.9280993567567442</v>
      </c>
      <c r="AA59" s="1066"/>
      <c r="AB59" s="1066"/>
      <c r="AC59" s="1066"/>
      <c r="AD59" s="1067"/>
      <c r="AE59" s="500"/>
      <c r="AF59" s="1068">
        <f>AF57+AF58</f>
        <v>2.9095853027026908</v>
      </c>
      <c r="AG59" s="1069"/>
      <c r="AH59" s="1069"/>
      <c r="AI59" s="1070"/>
      <c r="AJ59" s="481"/>
      <c r="AK59" s="75"/>
    </row>
    <row r="60" spans="1:47" ht="15.75" thickBot="1" x14ac:dyDescent="0.3">
      <c r="A60" s="74"/>
      <c r="B60" s="477"/>
      <c r="C60" s="502"/>
      <c r="D60" s="477"/>
      <c r="E60" s="477"/>
      <c r="F60" s="477"/>
      <c r="G60" s="477"/>
      <c r="H60" s="482"/>
      <c r="I60" s="482"/>
      <c r="J60" s="484"/>
      <c r="K60" s="482"/>
      <c r="L60" s="482"/>
      <c r="M60" s="493"/>
      <c r="N60" s="651"/>
      <c r="O60" s="651"/>
      <c r="P60" s="651"/>
      <c r="Q60" s="651"/>
      <c r="R60" s="493"/>
      <c r="S60" s="648"/>
      <c r="T60" s="495"/>
      <c r="U60" s="503"/>
      <c r="V60" s="478"/>
      <c r="W60" s="478"/>
      <c r="X60" s="478"/>
      <c r="Y60" s="478"/>
      <c r="Z60" s="478"/>
      <c r="AA60" s="478"/>
      <c r="AB60" s="485"/>
      <c r="AC60" s="478"/>
      <c r="AD60" s="478"/>
      <c r="AE60" s="481"/>
      <c r="AF60" s="651"/>
      <c r="AG60" s="651"/>
      <c r="AH60" s="651"/>
      <c r="AI60" s="651"/>
      <c r="AJ60" s="481"/>
      <c r="AK60" s="75"/>
    </row>
    <row r="61" spans="1:47" ht="15.75" thickBot="1" x14ac:dyDescent="0.3">
      <c r="A61" s="74"/>
      <c r="B61" s="477"/>
      <c r="C61" s="496" t="s">
        <v>297</v>
      </c>
      <c r="D61" s="477"/>
      <c r="E61" s="477"/>
      <c r="F61" s="477"/>
      <c r="G61" s="477"/>
      <c r="H61" s="1046">
        <f>J43+H59</f>
        <v>37066.718592751349</v>
      </c>
      <c r="I61" s="1047"/>
      <c r="J61" s="1047"/>
      <c r="K61" s="1047"/>
      <c r="L61" s="1048"/>
      <c r="M61" s="493"/>
      <c r="N61" s="1053">
        <f>M43+N59</f>
        <v>37095.050051521626</v>
      </c>
      <c r="O61" s="1054"/>
      <c r="P61" s="1054"/>
      <c r="Q61" s="1055"/>
      <c r="R61" s="493"/>
      <c r="S61" s="648"/>
      <c r="T61" s="495"/>
      <c r="U61" s="498" t="s">
        <v>297</v>
      </c>
      <c r="V61" s="478"/>
      <c r="W61" s="478"/>
      <c r="X61" s="478"/>
      <c r="Y61" s="478"/>
      <c r="Z61" s="1046">
        <f>AB43+Z59</f>
        <v>85672.578099356746</v>
      </c>
      <c r="AA61" s="1047"/>
      <c r="AB61" s="1047"/>
      <c r="AC61" s="1047"/>
      <c r="AD61" s="1048"/>
      <c r="AE61" s="481"/>
      <c r="AF61" s="1053">
        <f>AE43+AF59</f>
        <v>85533.019585302696</v>
      </c>
      <c r="AG61" s="1054"/>
      <c r="AH61" s="1054"/>
      <c r="AI61" s="1055"/>
      <c r="AJ61" s="481"/>
      <c r="AK61" s="75"/>
    </row>
    <row r="62" spans="1:47" ht="16.5" thickTop="1" thickBot="1" x14ac:dyDescent="0.3">
      <c r="A62" s="74"/>
      <c r="B62" s="477"/>
      <c r="C62" s="508" t="s">
        <v>298</v>
      </c>
      <c r="D62" s="477"/>
      <c r="E62" s="477"/>
      <c r="F62" s="477"/>
      <c r="G62" s="477"/>
      <c r="H62" s="1056">
        <v>1.016</v>
      </c>
      <c r="I62" s="1057"/>
      <c r="J62" s="1057"/>
      <c r="K62" s="1057"/>
      <c r="L62" s="1058"/>
      <c r="M62" s="493"/>
      <c r="N62" s="1059">
        <f>H62</f>
        <v>1.016</v>
      </c>
      <c r="O62" s="1060"/>
      <c r="P62" s="1060"/>
      <c r="Q62" s="1061"/>
      <c r="R62" s="493"/>
      <c r="S62" s="648"/>
      <c r="T62" s="495"/>
      <c r="U62" s="498" t="s">
        <v>298</v>
      </c>
      <c r="V62" s="478"/>
      <c r="W62" s="478"/>
      <c r="X62" s="478"/>
      <c r="Y62" s="478"/>
      <c r="Z62" s="1056">
        <v>1.0145</v>
      </c>
      <c r="AA62" s="1057"/>
      <c r="AB62" s="1057"/>
      <c r="AC62" s="1057"/>
      <c r="AD62" s="1058"/>
      <c r="AE62" s="481"/>
      <c r="AF62" s="1059">
        <f>Z62</f>
        <v>1.0145</v>
      </c>
      <c r="AG62" s="1060"/>
      <c r="AH62" s="1060"/>
      <c r="AI62" s="1061"/>
      <c r="AJ62" s="481"/>
      <c r="AK62" s="75"/>
    </row>
    <row r="63" spans="1:47" ht="16.5" thickTop="1" thickBot="1" x14ac:dyDescent="0.3">
      <c r="A63" s="74"/>
      <c r="B63" s="477"/>
      <c r="C63" s="496" t="s">
        <v>299</v>
      </c>
      <c r="D63" s="477"/>
      <c r="E63" s="477"/>
      <c r="F63" s="477"/>
      <c r="G63" s="477"/>
      <c r="H63" s="1065">
        <f>(H61*H62)/1.025</f>
        <v>36741.254722180856</v>
      </c>
      <c r="I63" s="1066"/>
      <c r="J63" s="1066"/>
      <c r="K63" s="1066"/>
      <c r="L63" s="1067"/>
      <c r="M63" s="493"/>
      <c r="N63" s="1071">
        <f>(N61*N62)/1.025</f>
        <v>36769.337416922906</v>
      </c>
      <c r="O63" s="1072"/>
      <c r="P63" s="1072"/>
      <c r="Q63" s="1073"/>
      <c r="R63" s="493"/>
      <c r="S63" s="648"/>
      <c r="T63" s="495"/>
      <c r="U63" s="498" t="s">
        <v>299</v>
      </c>
      <c r="V63" s="478"/>
      <c r="W63" s="478"/>
      <c r="X63" s="478"/>
      <c r="Y63" s="478"/>
      <c r="Z63" s="1065">
        <f>(Z61*Z62)/1.025</f>
        <v>84794.956567607238</v>
      </c>
      <c r="AA63" s="1066"/>
      <c r="AB63" s="1066"/>
      <c r="AC63" s="1066"/>
      <c r="AD63" s="1067"/>
      <c r="AE63" s="481"/>
      <c r="AF63" s="1071">
        <f>(AF61*AF62)/1.025</f>
        <v>84656.827677355686</v>
      </c>
      <c r="AG63" s="1072"/>
      <c r="AH63" s="1072"/>
      <c r="AI63" s="1073"/>
      <c r="AJ63" s="481"/>
      <c r="AK63" s="75"/>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74"/>
      <c r="B65" s="477"/>
      <c r="C65" s="496" t="s">
        <v>300</v>
      </c>
      <c r="D65" s="477"/>
      <c r="E65" s="477"/>
      <c r="F65" s="477"/>
      <c r="G65" s="477"/>
      <c r="H65" s="1074">
        <v>1028.0899999999999</v>
      </c>
      <c r="I65" s="1075"/>
      <c r="J65" s="1075"/>
      <c r="K65" s="1075"/>
      <c r="L65" s="1076"/>
      <c r="M65" s="493"/>
      <c r="N65" s="1053">
        <f>H65</f>
        <v>1028.0899999999999</v>
      </c>
      <c r="O65" s="1054"/>
      <c r="P65" s="1054"/>
      <c r="Q65" s="1055"/>
      <c r="R65" s="493"/>
      <c r="S65" s="648"/>
      <c r="T65" s="495"/>
      <c r="U65" s="498" t="s">
        <v>300</v>
      </c>
      <c r="V65" s="478"/>
      <c r="W65" s="1077" t="str">
        <f>IF(Z65&gt;H65,"PEDIR BDN","")</f>
        <v/>
      </c>
      <c r="X65" s="1077"/>
      <c r="Y65" s="1077"/>
      <c r="Z65" s="1074">
        <v>1028.0899999999999</v>
      </c>
      <c r="AA65" s="1075"/>
      <c r="AB65" s="1075"/>
      <c r="AC65" s="1075"/>
      <c r="AD65" s="1076"/>
      <c r="AE65" s="481"/>
      <c r="AF65" s="1053">
        <f>Z65</f>
        <v>1028.0899999999999</v>
      </c>
      <c r="AG65" s="1054"/>
      <c r="AH65" s="1054"/>
      <c r="AI65" s="1055"/>
      <c r="AJ65" s="481"/>
      <c r="AK65" s="75"/>
    </row>
    <row r="66" spans="1:47" ht="16.5" thickTop="1" thickBot="1" x14ac:dyDescent="0.3">
      <c r="A66" s="74"/>
      <c r="B66" s="477"/>
      <c r="C66" s="496" t="s">
        <v>301</v>
      </c>
      <c r="D66" s="477"/>
      <c r="E66" s="477"/>
      <c r="F66" s="477"/>
      <c r="G66" s="477"/>
      <c r="H66" s="1078">
        <v>151.25</v>
      </c>
      <c r="I66" s="1079"/>
      <c r="J66" s="1079"/>
      <c r="K66" s="1079"/>
      <c r="L66" s="1080"/>
      <c r="M66" s="493"/>
      <c r="N66" s="1081">
        <f t="shared" ref="N66:N71" si="2">H66</f>
        <v>151.25</v>
      </c>
      <c r="O66" s="1082"/>
      <c r="P66" s="1082"/>
      <c r="Q66" s="1083"/>
      <c r="R66" s="493"/>
      <c r="S66" s="648"/>
      <c r="T66" s="495"/>
      <c r="U66" s="498" t="s">
        <v>301</v>
      </c>
      <c r="V66" s="478"/>
      <c r="W66" s="1077" t="str">
        <f>IF(Z66&gt;H66,"PEDIR BDN","")</f>
        <v/>
      </c>
      <c r="X66" s="1077"/>
      <c r="Y66" s="1077"/>
      <c r="Z66" s="1078">
        <v>131.91999999999999</v>
      </c>
      <c r="AA66" s="1079"/>
      <c r="AB66" s="1079"/>
      <c r="AC66" s="1079"/>
      <c r="AD66" s="1080"/>
      <c r="AE66" s="481"/>
      <c r="AF66" s="1081">
        <f t="shared" ref="AF66:AF71" si="3">Z66</f>
        <v>131.91999999999999</v>
      </c>
      <c r="AG66" s="1082"/>
      <c r="AH66" s="1082"/>
      <c r="AI66" s="1083"/>
      <c r="AJ66" s="481"/>
      <c r="AK66" s="75"/>
    </row>
    <row r="67" spans="1:47" ht="16.5" thickTop="1" thickBot="1" x14ac:dyDescent="0.3">
      <c r="A67" s="74"/>
      <c r="B67" s="477"/>
      <c r="C67" s="496" t="s">
        <v>302</v>
      </c>
      <c r="D67" s="477"/>
      <c r="E67" s="477"/>
      <c r="F67" s="477"/>
      <c r="G67" s="477"/>
      <c r="H67" s="1084" t="s">
        <v>778</v>
      </c>
      <c r="I67" s="1079"/>
      <c r="J67" s="1079"/>
      <c r="K67" s="1079"/>
      <c r="L67" s="1080"/>
      <c r="M67" s="493"/>
      <c r="N67" s="1081" t="str">
        <f t="shared" si="2"/>
        <v>K</v>
      </c>
      <c r="O67" s="1082"/>
      <c r="P67" s="1082"/>
      <c r="Q67" s="1083"/>
      <c r="R67" s="493"/>
      <c r="S67" s="648"/>
      <c r="T67" s="495"/>
      <c r="U67" s="498" t="s">
        <v>302</v>
      </c>
      <c r="V67" s="478"/>
      <c r="W67" s="478"/>
      <c r="X67" s="478"/>
      <c r="Y67" s="478"/>
      <c r="Z67" s="1084" t="s">
        <v>778</v>
      </c>
      <c r="AA67" s="1079"/>
      <c r="AB67" s="1079"/>
      <c r="AC67" s="1079"/>
      <c r="AD67" s="1080"/>
      <c r="AE67" s="481"/>
      <c r="AF67" s="1081" t="str">
        <f t="shared" si="3"/>
        <v>K</v>
      </c>
      <c r="AG67" s="1082"/>
      <c r="AH67" s="1082"/>
      <c r="AI67" s="1083"/>
      <c r="AJ67" s="481"/>
      <c r="AK67" s="75"/>
    </row>
    <row r="68" spans="1:47" ht="16.5" thickTop="1" thickBot="1" x14ac:dyDescent="0.3">
      <c r="A68" s="74"/>
      <c r="B68" s="477"/>
      <c r="C68" s="496" t="s">
        <v>303</v>
      </c>
      <c r="D68" s="477"/>
      <c r="E68" s="477"/>
      <c r="F68" s="477"/>
      <c r="G68" s="477"/>
      <c r="H68" s="1062">
        <f>Relato!$J$258</f>
        <v>21819</v>
      </c>
      <c r="I68" s="1063"/>
      <c r="J68" s="1063"/>
      <c r="K68" s="1063"/>
      <c r="L68" s="1064"/>
      <c r="M68" s="493"/>
      <c r="N68" s="1081">
        <f t="shared" si="2"/>
        <v>21819</v>
      </c>
      <c r="O68" s="1082"/>
      <c r="P68" s="1082"/>
      <c r="Q68" s="1083"/>
      <c r="R68" s="493"/>
      <c r="S68" s="648"/>
      <c r="T68" s="495"/>
      <c r="U68" s="498" t="s">
        <v>303</v>
      </c>
      <c r="V68" s="478"/>
      <c r="W68" s="478"/>
      <c r="X68" s="478"/>
      <c r="Y68" s="478"/>
      <c r="Z68" s="1062">
        <f>Relato!$J$294</f>
        <v>460.7</v>
      </c>
      <c r="AA68" s="1063"/>
      <c r="AB68" s="1063"/>
      <c r="AC68" s="1063"/>
      <c r="AD68" s="1064"/>
      <c r="AE68" s="481"/>
      <c r="AF68" s="1081">
        <f t="shared" si="3"/>
        <v>460.7</v>
      </c>
      <c r="AG68" s="1082"/>
      <c r="AH68" s="1082"/>
      <c r="AI68" s="1083"/>
      <c r="AJ68" s="481"/>
      <c r="AK68" s="75"/>
    </row>
    <row r="69" spans="1:47" ht="16.5" thickTop="1" thickBot="1" x14ac:dyDescent="0.3">
      <c r="A69" s="74"/>
      <c r="B69" s="477"/>
      <c r="C69" s="496" t="s">
        <v>304</v>
      </c>
      <c r="D69" s="477"/>
      <c r="E69" s="477"/>
      <c r="F69" s="477"/>
      <c r="G69" s="477"/>
      <c r="H69" s="1062">
        <f>Relato!$J$305</f>
        <v>120</v>
      </c>
      <c r="I69" s="1063"/>
      <c r="J69" s="1063"/>
      <c r="K69" s="1063"/>
      <c r="L69" s="1064"/>
      <c r="M69" s="493"/>
      <c r="N69" s="1081">
        <f t="shared" si="2"/>
        <v>120</v>
      </c>
      <c r="O69" s="1082"/>
      <c r="P69" s="1082"/>
      <c r="Q69" s="1083"/>
      <c r="R69" s="493"/>
      <c r="S69" s="648"/>
      <c r="T69" s="495"/>
      <c r="U69" s="498" t="s">
        <v>304</v>
      </c>
      <c r="V69" s="478"/>
      <c r="W69" s="478"/>
      <c r="X69" s="478"/>
      <c r="Y69" s="478"/>
      <c r="Z69" s="1062">
        <f>Relato!$J$315</f>
        <v>105</v>
      </c>
      <c r="AA69" s="1063"/>
      <c r="AB69" s="1063"/>
      <c r="AC69" s="1063"/>
      <c r="AD69" s="1064"/>
      <c r="AE69" s="481"/>
      <c r="AF69" s="1081">
        <f t="shared" si="3"/>
        <v>105</v>
      </c>
      <c r="AG69" s="1082"/>
      <c r="AH69" s="1082"/>
      <c r="AI69" s="1083"/>
      <c r="AJ69" s="481"/>
      <c r="AK69" s="75"/>
    </row>
    <row r="70" spans="1:47" ht="14.25" hidden="1" customHeight="1" thickTop="1" thickBot="1" x14ac:dyDescent="0.3">
      <c r="A70" s="74"/>
      <c r="B70" s="477"/>
      <c r="C70" s="496" t="s">
        <v>305</v>
      </c>
      <c r="D70" s="477"/>
      <c r="E70" s="477"/>
      <c r="F70" s="477"/>
      <c r="G70" s="477"/>
      <c r="H70" s="1085">
        <v>0</v>
      </c>
      <c r="I70" s="1086"/>
      <c r="J70" s="1086"/>
      <c r="K70" s="1086"/>
      <c r="L70" s="1087"/>
      <c r="M70" s="493"/>
      <c r="N70" s="1081">
        <f>H70</f>
        <v>0</v>
      </c>
      <c r="O70" s="1082"/>
      <c r="P70" s="1082"/>
      <c r="Q70" s="1083"/>
      <c r="R70" s="493"/>
      <c r="S70" s="648"/>
      <c r="T70" s="495"/>
      <c r="U70" s="498" t="s">
        <v>306</v>
      </c>
      <c r="V70" s="478"/>
      <c r="W70" s="478"/>
      <c r="X70" s="478"/>
      <c r="Y70" s="478"/>
      <c r="Z70" s="1085">
        <v>0</v>
      </c>
      <c r="AA70" s="1086"/>
      <c r="AB70" s="1086"/>
      <c r="AC70" s="1086"/>
      <c r="AD70" s="1087"/>
      <c r="AE70" s="481"/>
      <c r="AF70" s="1081">
        <f>Z70</f>
        <v>0</v>
      </c>
      <c r="AG70" s="1082"/>
      <c r="AH70" s="1082"/>
      <c r="AI70" s="1083"/>
      <c r="AJ70" s="481"/>
      <c r="AK70" s="75"/>
    </row>
    <row r="71" spans="1:47" ht="16.5" thickTop="1" thickBot="1" x14ac:dyDescent="0.3">
      <c r="A71" s="74"/>
      <c r="B71" s="477"/>
      <c r="C71" s="496" t="s">
        <v>307</v>
      </c>
      <c r="D71" s="477"/>
      <c r="E71" s="477"/>
      <c r="F71" s="477"/>
      <c r="G71" s="477"/>
      <c r="H71" s="1088">
        <v>0</v>
      </c>
      <c r="I71" s="1089"/>
      <c r="J71" s="1089"/>
      <c r="K71" s="1089"/>
      <c r="L71" s="1090"/>
      <c r="M71" s="493"/>
      <c r="N71" s="1081">
        <f t="shared" si="2"/>
        <v>0</v>
      </c>
      <c r="O71" s="1082"/>
      <c r="P71" s="1082"/>
      <c r="Q71" s="1083"/>
      <c r="R71" s="493"/>
      <c r="S71" s="648"/>
      <c r="T71" s="495"/>
      <c r="U71" s="498" t="s">
        <v>307</v>
      </c>
      <c r="V71" s="478"/>
      <c r="W71" s="478"/>
      <c r="X71" s="478"/>
      <c r="Y71" s="478"/>
      <c r="Z71" s="1088">
        <v>15</v>
      </c>
      <c r="AA71" s="1089"/>
      <c r="AB71" s="1089"/>
      <c r="AC71" s="1089"/>
      <c r="AD71" s="1090"/>
      <c r="AE71" s="481"/>
      <c r="AF71" s="1081">
        <f t="shared" si="3"/>
        <v>15</v>
      </c>
      <c r="AG71" s="1082"/>
      <c r="AH71" s="1082"/>
      <c r="AI71" s="1083"/>
      <c r="AJ71" s="481"/>
      <c r="AK71" s="75"/>
    </row>
    <row r="72" spans="1:47" ht="16.5" customHeight="1" thickTop="1" thickBot="1" x14ac:dyDescent="0.3">
      <c r="A72" s="74"/>
      <c r="B72" s="477"/>
      <c r="C72" s="496" t="s">
        <v>308</v>
      </c>
      <c r="D72" s="477"/>
      <c r="E72" s="477"/>
      <c r="F72" s="477"/>
      <c r="G72" s="477"/>
      <c r="H72" s="1098">
        <f>SUM(H65:L69,H71)</f>
        <v>23118.34</v>
      </c>
      <c r="I72" s="1099"/>
      <c r="J72" s="1099"/>
      <c r="K72" s="1099"/>
      <c r="L72" s="1100"/>
      <c r="M72" s="493"/>
      <c r="N72" s="1071">
        <f>SUM(H65:L71)</f>
        <v>23118.34</v>
      </c>
      <c r="O72" s="1072"/>
      <c r="P72" s="1072"/>
      <c r="Q72" s="1073"/>
      <c r="R72" s="493"/>
      <c r="S72" s="648"/>
      <c r="T72" s="495"/>
      <c r="U72" s="498" t="s">
        <v>308</v>
      </c>
      <c r="V72" s="478"/>
      <c r="W72" s="478"/>
      <c r="X72" s="478"/>
      <c r="Y72" s="478"/>
      <c r="Z72" s="1098">
        <f>SUM(Z65:AD71)</f>
        <v>1740.71</v>
      </c>
      <c r="AA72" s="1099"/>
      <c r="AB72" s="1099"/>
      <c r="AC72" s="1099"/>
      <c r="AD72" s="1100"/>
      <c r="AE72" s="481"/>
      <c r="AF72" s="1071">
        <f>SUM(Z65:AD71)</f>
        <v>1740.71</v>
      </c>
      <c r="AG72" s="1072"/>
      <c r="AH72" s="1072"/>
      <c r="AI72" s="1073"/>
      <c r="AJ72" s="481"/>
      <c r="AK72" s="75"/>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74"/>
      <c r="B74" s="477"/>
      <c r="C74" s="496" t="s">
        <v>309</v>
      </c>
      <c r="D74" s="477"/>
      <c r="E74" s="477"/>
      <c r="F74" s="477"/>
      <c r="G74" s="477"/>
      <c r="H74" s="1101">
        <f>H63-H72</f>
        <v>13622.914722180856</v>
      </c>
      <c r="I74" s="1102"/>
      <c r="J74" s="1102"/>
      <c r="K74" s="1102"/>
      <c r="L74" s="1103"/>
      <c r="M74" s="493"/>
      <c r="N74" s="1053">
        <f>N63-N72</f>
        <v>13650.997416922906</v>
      </c>
      <c r="O74" s="1054"/>
      <c r="P74" s="1054"/>
      <c r="Q74" s="1055"/>
      <c r="R74" s="493"/>
      <c r="S74" s="648"/>
      <c r="T74" s="495"/>
      <c r="U74" s="498" t="s">
        <v>309</v>
      </c>
      <c r="V74" s="478"/>
      <c r="W74" s="478"/>
      <c r="X74" s="478"/>
      <c r="Y74" s="478"/>
      <c r="Z74" s="1104">
        <f>Z63-Z72</f>
        <v>83054.246567607232</v>
      </c>
      <c r="AA74" s="1105"/>
      <c r="AB74" s="1105"/>
      <c r="AC74" s="1105"/>
      <c r="AD74" s="1106"/>
      <c r="AE74" s="481"/>
      <c r="AF74" s="1053">
        <f>AF63-AF72</f>
        <v>82916.11767735568</v>
      </c>
      <c r="AG74" s="1054"/>
      <c r="AH74" s="1054"/>
      <c r="AI74" s="1055"/>
      <c r="AJ74" s="481"/>
      <c r="AK74" s="75"/>
    </row>
    <row r="75" spans="1:47" ht="16.5" customHeight="1" thickTop="1" thickBot="1" x14ac:dyDescent="0.3">
      <c r="A75" s="74"/>
      <c r="B75" s="477"/>
      <c r="C75" s="496" t="s">
        <v>310</v>
      </c>
      <c r="D75" s="477"/>
      <c r="E75" s="477"/>
      <c r="F75" s="477"/>
      <c r="G75" s="477"/>
      <c r="H75" s="1093">
        <f>CAPA!$B$19</f>
        <v>13150.68</v>
      </c>
      <c r="I75" s="1094"/>
      <c r="J75" s="1094"/>
      <c r="K75" s="1094"/>
      <c r="L75" s="1095"/>
      <c r="M75" s="493"/>
      <c r="N75" s="1081">
        <f>H75</f>
        <v>13150.68</v>
      </c>
      <c r="O75" s="1082"/>
      <c r="P75" s="1082"/>
      <c r="Q75" s="1083"/>
      <c r="R75" s="493"/>
      <c r="S75" s="648"/>
      <c r="T75" s="495"/>
      <c r="U75" s="498" t="s">
        <v>311</v>
      </c>
      <c r="V75" s="478"/>
      <c r="W75" s="478"/>
      <c r="X75" s="478"/>
      <c r="Y75" s="478"/>
      <c r="Z75" s="1091">
        <f>H74</f>
        <v>13622.914722180856</v>
      </c>
      <c r="AA75" s="1028"/>
      <c r="AB75" s="1028"/>
      <c r="AC75" s="1028"/>
      <c r="AD75" s="1092"/>
      <c r="AE75" s="481"/>
      <c r="AF75" s="1081">
        <f>N74</f>
        <v>13650.997416922906</v>
      </c>
      <c r="AG75" s="1082"/>
      <c r="AH75" s="1082"/>
      <c r="AI75" s="1083"/>
      <c r="AJ75" s="481"/>
      <c r="AK75" s="75"/>
    </row>
    <row r="76" spans="1:47" ht="16.5" customHeight="1" thickTop="1" thickBot="1" x14ac:dyDescent="0.3">
      <c r="A76" s="74"/>
      <c r="B76" s="477"/>
      <c r="C76" s="496" t="s">
        <v>305</v>
      </c>
      <c r="D76" s="477"/>
      <c r="E76" s="477"/>
      <c r="F76" s="477"/>
      <c r="G76" s="477"/>
      <c r="H76" s="1093">
        <v>30</v>
      </c>
      <c r="I76" s="1094"/>
      <c r="J76" s="1094"/>
      <c r="K76" s="1094"/>
      <c r="L76" s="1095"/>
      <c r="M76" s="493"/>
      <c r="N76" s="1081">
        <f>H76</f>
        <v>30</v>
      </c>
      <c r="O76" s="1082"/>
      <c r="P76" s="1082"/>
      <c r="Q76" s="1083"/>
      <c r="R76" s="493"/>
      <c r="S76" s="648"/>
      <c r="T76" s="495"/>
      <c r="U76" s="498" t="s">
        <v>306</v>
      </c>
      <c r="V76" s="478"/>
      <c r="W76" s="478"/>
      <c r="X76" s="478"/>
      <c r="Y76" s="478"/>
      <c r="Z76" s="1096">
        <v>0</v>
      </c>
      <c r="AA76" s="1022"/>
      <c r="AB76" s="1022"/>
      <c r="AC76" s="1022"/>
      <c r="AD76" s="1097"/>
      <c r="AE76" s="481"/>
      <c r="AF76" s="1081">
        <f>Z76</f>
        <v>0</v>
      </c>
      <c r="AG76" s="1082"/>
      <c r="AH76" s="1082"/>
      <c r="AI76" s="1083"/>
      <c r="AJ76" s="481"/>
      <c r="AK76" s="75"/>
    </row>
    <row r="77" spans="1:47" ht="16.5" customHeight="1" thickTop="1" thickBot="1" x14ac:dyDescent="0.3">
      <c r="A77" s="74"/>
      <c r="B77" s="477"/>
      <c r="C77" s="496" t="s">
        <v>312</v>
      </c>
      <c r="D77" s="477"/>
      <c r="E77" s="477"/>
      <c r="F77" s="477"/>
      <c r="G77" s="477"/>
      <c r="H77" s="1120">
        <f>H74-(H75-H76)</f>
        <v>502.2347221808559</v>
      </c>
      <c r="I77" s="1121"/>
      <c r="J77" s="1121"/>
      <c r="K77" s="1121"/>
      <c r="L77" s="1122"/>
      <c r="M77" s="493"/>
      <c r="N77" s="1081">
        <f>N74-(N75-N76)</f>
        <v>530.31741692290598</v>
      </c>
      <c r="O77" s="1082"/>
      <c r="P77" s="1082"/>
      <c r="Q77" s="1083"/>
      <c r="R77" s="493"/>
      <c r="S77" s="648"/>
      <c r="T77" s="495"/>
      <c r="U77" s="498" t="s">
        <v>313</v>
      </c>
      <c r="V77" s="478"/>
      <c r="W77" s="478"/>
      <c r="X77" s="478"/>
      <c r="Y77" s="478"/>
      <c r="Z77" s="1091">
        <f>Z74-Z75-H76+Z76</f>
        <v>69401.331845426379</v>
      </c>
      <c r="AA77" s="1028"/>
      <c r="AB77" s="1028"/>
      <c r="AC77" s="1028"/>
      <c r="AD77" s="1092"/>
      <c r="AE77" s="481"/>
      <c r="AF77" s="1081">
        <f>AF74-AF75-N76+AF76</f>
        <v>69235.12026043277</v>
      </c>
      <c r="AG77" s="1082"/>
      <c r="AH77" s="1082"/>
      <c r="AI77" s="1083"/>
      <c r="AJ77" s="481"/>
      <c r="AK77" s="75"/>
    </row>
    <row r="78" spans="1:47" ht="16.5" thickTop="1" thickBot="1" x14ac:dyDescent="0.3">
      <c r="A78" s="74"/>
      <c r="B78" s="477"/>
      <c r="C78" s="496" t="s">
        <v>314</v>
      </c>
      <c r="D78" s="477"/>
      <c r="E78" s="477"/>
      <c r="F78" s="477"/>
      <c r="G78" s="477"/>
      <c r="H78" s="1123">
        <v>450</v>
      </c>
      <c r="I78" s="1124"/>
      <c r="J78" s="1124"/>
      <c r="K78" s="1124"/>
      <c r="L78" s="1125"/>
      <c r="M78" s="493"/>
      <c r="N78" s="1071">
        <f>H78</f>
        <v>450</v>
      </c>
      <c r="O78" s="1072"/>
      <c r="P78" s="1072"/>
      <c r="Q78" s="1073"/>
      <c r="R78" s="493"/>
      <c r="S78" s="648"/>
      <c r="T78" s="495"/>
      <c r="U78" s="498" t="s">
        <v>315</v>
      </c>
      <c r="V78" s="478"/>
      <c r="W78" s="478"/>
      <c r="X78" s="478"/>
      <c r="Y78" s="478"/>
      <c r="Z78" s="1126">
        <v>69171.05</v>
      </c>
      <c r="AA78" s="1016"/>
      <c r="AB78" s="1016"/>
      <c r="AC78" s="1016"/>
      <c r="AD78" s="1127"/>
      <c r="AE78" s="481"/>
      <c r="AF78" s="1081">
        <f>Z78</f>
        <v>69171.05</v>
      </c>
      <c r="AG78" s="1082"/>
      <c r="AH78" s="1082"/>
      <c r="AI78" s="1083"/>
      <c r="AJ78" s="481"/>
      <c r="AK78" s="75"/>
    </row>
    <row r="79" spans="1:47" ht="16.5" thickTop="1" thickBot="1" x14ac:dyDescent="0.3">
      <c r="A79" s="74"/>
      <c r="B79" s="477"/>
      <c r="C79" s="477"/>
      <c r="D79" s="477"/>
      <c r="E79" s="477"/>
      <c r="F79" s="477"/>
      <c r="G79" s="477"/>
      <c r="H79" s="477"/>
      <c r="I79" s="477"/>
      <c r="J79" s="477"/>
      <c r="K79" s="477"/>
      <c r="L79" s="477"/>
      <c r="M79" s="493"/>
      <c r="N79" s="493"/>
      <c r="O79" s="493"/>
      <c r="P79" s="493"/>
      <c r="Q79" s="493"/>
      <c r="R79" s="493"/>
      <c r="S79" s="648"/>
      <c r="T79" s="495"/>
      <c r="U79" s="498" t="s">
        <v>316</v>
      </c>
      <c r="V79" s="478"/>
      <c r="W79" s="478"/>
      <c r="X79" s="478"/>
      <c r="Y79" s="478"/>
      <c r="Z79" s="1138">
        <f>Z77-Z78</f>
        <v>230.28184542637609</v>
      </c>
      <c r="AA79" s="1139"/>
      <c r="AB79" s="1139"/>
      <c r="AC79" s="1140">
        <f>Z79/Z78*100</f>
        <v>0.33291650976293707</v>
      </c>
      <c r="AD79" s="1141"/>
      <c r="AE79" s="481"/>
      <c r="AF79" s="1107">
        <f>AF77-AF78</f>
        <v>64.0702604327671</v>
      </c>
      <c r="AG79" s="1108"/>
      <c r="AH79" s="1108"/>
      <c r="AI79" s="652">
        <f>AF79/AF78*100</f>
        <v>9.2625831807912548E-2</v>
      </c>
      <c r="AJ79" s="481"/>
      <c r="AK79" s="75"/>
    </row>
    <row r="80" spans="1:47" x14ac:dyDescent="0.2">
      <c r="A80" s="71"/>
      <c r="B80" s="72"/>
      <c r="C80" s="72"/>
      <c r="D80" s="72"/>
      <c r="E80" s="72"/>
      <c r="F80" s="72"/>
      <c r="G80" s="72"/>
      <c r="H80" s="72"/>
      <c r="I80" s="72"/>
      <c r="J80" s="72"/>
      <c r="K80" s="72"/>
      <c r="L80" s="72"/>
      <c r="M80" s="509"/>
      <c r="N80" s="509"/>
      <c r="O80" s="509"/>
      <c r="P80" s="509"/>
      <c r="Q80" s="509"/>
      <c r="R80" s="509"/>
      <c r="S80" s="649"/>
      <c r="T80" s="510"/>
      <c r="U80" s="511"/>
      <c r="V80" s="474"/>
      <c r="W80" s="474"/>
      <c r="X80" s="474"/>
      <c r="Y80" s="474"/>
      <c r="Z80" s="512"/>
      <c r="AA80" s="512"/>
      <c r="AB80" s="512"/>
      <c r="AC80" s="513"/>
      <c r="AD80" s="513"/>
      <c r="AE80" s="473"/>
      <c r="AF80" s="514"/>
      <c r="AG80" s="514"/>
      <c r="AH80" s="514"/>
      <c r="AI80" s="515"/>
      <c r="AJ80" s="473"/>
      <c r="AK80" s="73"/>
    </row>
    <row r="81" spans="1:39" ht="13.5" thickBot="1" x14ac:dyDescent="0.25">
      <c r="A81" s="71"/>
      <c r="B81" s="72"/>
      <c r="C81" s="72"/>
      <c r="D81" s="72"/>
      <c r="E81" s="72"/>
      <c r="F81" s="72"/>
      <c r="G81" s="72"/>
      <c r="H81" s="72"/>
      <c r="I81" s="72"/>
      <c r="J81" s="72"/>
      <c r="K81" s="72"/>
      <c r="L81" s="72"/>
      <c r="M81" s="510"/>
      <c r="N81" s="510"/>
      <c r="O81" s="510"/>
      <c r="P81" s="510"/>
      <c r="Q81" s="510"/>
      <c r="R81" s="510"/>
      <c r="S81" s="649"/>
      <c r="T81" s="510"/>
      <c r="U81" s="511"/>
      <c r="V81" s="474"/>
      <c r="W81" s="474"/>
      <c r="X81" s="474"/>
      <c r="Y81" s="474"/>
      <c r="AA81" s="1109" t="s">
        <v>317</v>
      </c>
      <c r="AB81" s="1109"/>
      <c r="AC81" s="1109" t="s">
        <v>136</v>
      </c>
      <c r="AD81" s="1109"/>
      <c r="AE81" s="473"/>
      <c r="AF81" s="514"/>
      <c r="AG81" s="514"/>
      <c r="AH81" s="514"/>
      <c r="AI81" s="515"/>
      <c r="AJ81" s="473"/>
      <c r="AK81" s="73"/>
      <c r="AM81" s="84" t="s">
        <v>318</v>
      </c>
    </row>
    <row r="82" spans="1:39" ht="14.25" customHeight="1" x14ac:dyDescent="0.2">
      <c r="A82" s="71"/>
      <c r="B82" s="72"/>
      <c r="C82" s="72"/>
      <c r="D82" s="72"/>
      <c r="E82" s="72"/>
      <c r="F82" s="72"/>
      <c r="G82" s="72"/>
      <c r="H82" s="1110" t="s">
        <v>319</v>
      </c>
      <c r="I82" s="1110"/>
      <c r="J82" s="1110"/>
      <c r="K82" s="1110"/>
      <c r="L82" s="1110"/>
      <c r="M82" s="1110"/>
      <c r="N82" s="1110"/>
      <c r="O82" s="1110"/>
      <c r="P82" s="1110"/>
      <c r="Q82" s="1110"/>
      <c r="R82" s="510"/>
      <c r="S82" s="649"/>
      <c r="T82" s="510"/>
      <c r="U82" s="1111" t="s">
        <v>138</v>
      </c>
      <c r="V82" s="1112"/>
      <c r="W82" s="1112"/>
      <c r="X82" s="1113">
        <v>69418.312999999995</v>
      </c>
      <c r="Y82" s="1113"/>
      <c r="Z82" s="1113"/>
      <c r="AA82" s="1113">
        <f>X82-Z78</f>
        <v>247.26299999999173</v>
      </c>
      <c r="AB82" s="1113"/>
      <c r="AC82" s="1116">
        <f>AA82/Z78*100</f>
        <v>0.35746602082806567</v>
      </c>
      <c r="AD82" s="1117"/>
      <c r="AE82" s="474"/>
      <c r="AF82" s="512"/>
      <c r="AG82" s="512"/>
      <c r="AH82" s="512"/>
      <c r="AI82" s="513"/>
      <c r="AJ82" s="474"/>
      <c r="AK82" s="73"/>
      <c r="AM82" s="84" t="s">
        <v>320</v>
      </c>
    </row>
    <row r="83" spans="1:39" ht="14.25" customHeight="1" x14ac:dyDescent="0.2">
      <c r="A83" s="71"/>
      <c r="B83" s="72"/>
      <c r="C83" s="72"/>
      <c r="D83" s="72"/>
      <c r="E83" s="72"/>
      <c r="F83" s="72"/>
      <c r="G83" s="72"/>
      <c r="H83" s="1110"/>
      <c r="I83" s="1110"/>
      <c r="J83" s="1110"/>
      <c r="K83" s="1110"/>
      <c r="L83" s="1110"/>
      <c r="M83" s="1110"/>
      <c r="N83" s="1110"/>
      <c r="O83" s="1110"/>
      <c r="P83" s="1110"/>
      <c r="Q83" s="1110"/>
      <c r="R83" s="510"/>
      <c r="S83" s="649"/>
      <c r="T83" s="510"/>
      <c r="U83" s="1114" t="s">
        <v>139</v>
      </c>
      <c r="V83" s="1115"/>
      <c r="W83" s="1115"/>
      <c r="X83" s="1136">
        <v>69195.657999999996</v>
      </c>
      <c r="Y83" s="1136"/>
      <c r="Z83" s="1136"/>
      <c r="AA83" s="1136">
        <f>X83-Z78</f>
        <v>24.607999999992899</v>
      </c>
      <c r="AB83" s="1136"/>
      <c r="AC83" s="1118">
        <f>AA83/Z78*100</f>
        <v>3.557557677669039E-2</v>
      </c>
      <c r="AD83" s="1119"/>
      <c r="AE83" s="474"/>
      <c r="AF83" s="512"/>
      <c r="AG83" s="512"/>
      <c r="AH83" s="512"/>
      <c r="AI83" s="513"/>
      <c r="AJ83" s="474"/>
      <c r="AK83" s="73"/>
      <c r="AM83" s="84" t="s">
        <v>321</v>
      </c>
    </row>
    <row r="84" spans="1:39" ht="16.5" customHeight="1" x14ac:dyDescent="0.2">
      <c r="A84" s="71"/>
      <c r="B84" s="72"/>
      <c r="C84" s="72"/>
      <c r="D84" s="72"/>
      <c r="E84" s="72"/>
      <c r="F84" s="72"/>
      <c r="G84" s="72"/>
      <c r="H84" s="1137" t="s">
        <v>322</v>
      </c>
      <c r="I84" s="1137"/>
      <c r="J84" s="1137"/>
      <c r="K84" s="1137"/>
      <c r="L84" s="1137"/>
      <c r="M84" s="1137"/>
      <c r="N84" s="1137"/>
      <c r="O84" s="1137"/>
      <c r="P84" s="1137"/>
      <c r="Q84" s="1137"/>
      <c r="R84" s="510"/>
      <c r="S84" s="649"/>
      <c r="T84" s="510"/>
      <c r="U84" s="1114"/>
      <c r="V84" s="1115"/>
      <c r="W84" s="1115"/>
      <c r="X84" s="1136"/>
      <c r="Y84" s="1136"/>
      <c r="Z84" s="1136"/>
      <c r="AA84" s="1136">
        <f>X84-Z78</f>
        <v>-69171.05</v>
      </c>
      <c r="AB84" s="1136"/>
      <c r="AC84" s="1118">
        <f>AA84/Z78*100</f>
        <v>-100</v>
      </c>
      <c r="AD84" s="1119"/>
      <c r="AE84" s="474"/>
      <c r="AF84" s="512"/>
      <c r="AG84" s="512"/>
      <c r="AH84" s="512"/>
      <c r="AI84" s="513"/>
      <c r="AJ84" s="474"/>
      <c r="AK84" s="73"/>
      <c r="AM84" s="84" t="s">
        <v>323</v>
      </c>
    </row>
    <row r="85" spans="1:39" ht="14.25" customHeight="1" x14ac:dyDescent="0.2">
      <c r="A85" s="71"/>
      <c r="B85" s="72"/>
      <c r="C85" s="72"/>
      <c r="D85" s="72"/>
      <c r="E85" s="72"/>
      <c r="F85" s="72"/>
      <c r="G85" s="72"/>
      <c r="H85" s="1137"/>
      <c r="I85" s="1137"/>
      <c r="J85" s="1137"/>
      <c r="K85" s="1137"/>
      <c r="L85" s="1137"/>
      <c r="M85" s="1137"/>
      <c r="N85" s="1137"/>
      <c r="O85" s="1137"/>
      <c r="P85" s="1137"/>
      <c r="Q85" s="1137"/>
      <c r="R85" s="510"/>
      <c r="S85" s="649"/>
      <c r="T85" s="510"/>
      <c r="U85" s="1114"/>
      <c r="V85" s="1115"/>
      <c r="W85" s="1115"/>
      <c r="X85" s="1136"/>
      <c r="Y85" s="1136"/>
      <c r="Z85" s="1136"/>
      <c r="AA85" s="1136">
        <f>X85-Z78</f>
        <v>-69171.05</v>
      </c>
      <c r="AB85" s="1136"/>
      <c r="AC85" s="1118">
        <f>AA85/Z78*100</f>
        <v>-100</v>
      </c>
      <c r="AD85" s="1119"/>
      <c r="AE85" s="474"/>
      <c r="AF85" s="512"/>
      <c r="AG85" s="512"/>
      <c r="AH85" s="512"/>
      <c r="AI85" s="513"/>
      <c r="AJ85" s="474"/>
      <c r="AK85" s="73"/>
      <c r="AM85" s="84" t="s">
        <v>324</v>
      </c>
    </row>
    <row r="86" spans="1:39" ht="16.5" customHeight="1" x14ac:dyDescent="0.2">
      <c r="A86" s="71"/>
      <c r="B86" s="72"/>
      <c r="C86" s="72"/>
      <c r="D86" s="72"/>
      <c r="E86" s="72"/>
      <c r="F86" s="72"/>
      <c r="G86" s="72"/>
      <c r="H86" s="516"/>
      <c r="I86" s="72"/>
      <c r="J86" s="72"/>
      <c r="K86" s="72"/>
      <c r="L86" s="72"/>
      <c r="M86" s="510"/>
      <c r="N86" s="510"/>
      <c r="O86" s="510"/>
      <c r="P86" s="510"/>
      <c r="Q86" s="510"/>
      <c r="R86" s="510"/>
      <c r="S86" s="649"/>
      <c r="T86" s="510"/>
      <c r="U86" s="1114"/>
      <c r="V86" s="1115"/>
      <c r="W86" s="1115"/>
      <c r="X86" s="1136"/>
      <c r="Y86" s="1136"/>
      <c r="Z86" s="1136"/>
      <c r="AA86" s="1136">
        <f>X86-Z78</f>
        <v>-69171.05</v>
      </c>
      <c r="AB86" s="1136"/>
      <c r="AC86" s="1118">
        <f>AA86/Z78*100</f>
        <v>-100</v>
      </c>
      <c r="AD86" s="1119"/>
      <c r="AE86" s="474"/>
      <c r="AF86" s="474"/>
      <c r="AG86" s="474"/>
      <c r="AH86" s="474"/>
      <c r="AI86" s="474"/>
      <c r="AJ86" s="474"/>
      <c r="AK86" s="73"/>
      <c r="AM86" s="84" t="s">
        <v>325</v>
      </c>
    </row>
    <row r="87" spans="1:39" ht="16.5" customHeight="1" thickBot="1" x14ac:dyDescent="0.25">
      <c r="A87" s="85"/>
      <c r="B87" s="86"/>
      <c r="C87" s="86"/>
      <c r="D87" s="86"/>
      <c r="E87" s="86"/>
      <c r="F87" s="86"/>
      <c r="G87" s="86"/>
      <c r="H87" s="517"/>
      <c r="I87" s="86"/>
      <c r="J87" s="86"/>
      <c r="K87" s="86"/>
      <c r="L87" s="86"/>
      <c r="M87" s="518"/>
      <c r="N87" s="518"/>
      <c r="O87" s="518"/>
      <c r="P87" s="518"/>
      <c r="Q87" s="518"/>
      <c r="R87" s="518"/>
      <c r="S87" s="650"/>
      <c r="T87" s="518"/>
      <c r="U87" s="1114"/>
      <c r="V87" s="1115"/>
      <c r="W87" s="1115"/>
      <c r="X87" s="1136"/>
      <c r="Y87" s="1136"/>
      <c r="Z87" s="1136"/>
      <c r="AA87" s="1136">
        <f>X87-Z78</f>
        <v>-69171.05</v>
      </c>
      <c r="AB87" s="1136"/>
      <c r="AC87" s="1118">
        <f>AA87/Z78*100</f>
        <v>-100</v>
      </c>
      <c r="AD87" s="1119"/>
      <c r="AE87" s="519"/>
      <c r="AF87" s="519"/>
      <c r="AG87" s="519"/>
      <c r="AH87" s="519"/>
      <c r="AI87" s="519"/>
      <c r="AJ87" s="519"/>
      <c r="AK87" s="88"/>
      <c r="AM87" s="84" t="s">
        <v>326</v>
      </c>
    </row>
    <row r="88" spans="1:39" ht="12" hidden="1" customHeight="1" x14ac:dyDescent="0.2">
      <c r="A88" s="85"/>
      <c r="B88" s="86"/>
      <c r="C88" s="86"/>
      <c r="D88" s="86"/>
      <c r="E88" s="86"/>
      <c r="F88" s="86"/>
      <c r="G88" s="86"/>
      <c r="H88" s="86"/>
      <c r="I88" s="86"/>
      <c r="J88" s="86"/>
      <c r="K88" s="86"/>
      <c r="L88" s="86"/>
      <c r="M88" s="86"/>
      <c r="N88" s="86"/>
      <c r="O88" s="86"/>
      <c r="P88" s="86"/>
      <c r="Q88" s="86"/>
      <c r="R88" s="86"/>
      <c r="S88" s="87"/>
      <c r="T88" s="86"/>
      <c r="U88" s="86"/>
      <c r="V88" s="86"/>
      <c r="W88" s="86"/>
      <c r="X88" s="86"/>
      <c r="Y88" s="86"/>
      <c r="Z88" s="86"/>
      <c r="AA88" s="86"/>
      <c r="AB88" s="86"/>
      <c r="AC88" s="86"/>
      <c r="AD88" s="86"/>
      <c r="AE88" s="86"/>
      <c r="AF88" s="86"/>
      <c r="AG88" s="86"/>
      <c r="AH88" s="86"/>
      <c r="AI88" s="86"/>
      <c r="AJ88" s="86"/>
      <c r="AK88" s="88"/>
      <c r="AM88" s="84"/>
    </row>
    <row r="89" spans="1:39" ht="15.75" customHeight="1" thickBot="1" x14ac:dyDescent="0.25">
      <c r="A89" s="1130" t="s">
        <v>327</v>
      </c>
      <c r="B89" s="1131"/>
      <c r="C89" s="1131"/>
      <c r="D89" s="1131"/>
      <c r="E89" s="1131"/>
      <c r="F89" s="1132">
        <v>8.3249999999999993</v>
      </c>
      <c r="G89" s="1133"/>
      <c r="H89" s="1128" t="s">
        <v>328</v>
      </c>
      <c r="I89" s="1128"/>
      <c r="J89" s="1128"/>
      <c r="K89" s="1132">
        <v>6</v>
      </c>
      <c r="L89" s="1133"/>
      <c r="M89" s="1134" t="s">
        <v>329</v>
      </c>
      <c r="N89" s="1135"/>
      <c r="O89" s="1132">
        <v>78</v>
      </c>
      <c r="P89" s="1133"/>
      <c r="Q89" s="1128" t="s">
        <v>330</v>
      </c>
      <c r="R89" s="1128"/>
      <c r="S89" s="1129">
        <f>-ROUND(IF(K89=0,0,(O89*O89*K89*27.5*0.0216)/1000+F89),1)</f>
        <v>-30</v>
      </c>
      <c r="T89" s="1129"/>
      <c r="U89" s="1129"/>
      <c r="V89" s="1129"/>
      <c r="W89" s="72"/>
      <c r="X89" s="72"/>
      <c r="Y89" s="72"/>
      <c r="Z89" s="72"/>
      <c r="AA89" s="72"/>
      <c r="AB89" s="72"/>
      <c r="AC89" s="72"/>
      <c r="AD89" s="72"/>
      <c r="AE89" s="72"/>
      <c r="AF89" s="72"/>
      <c r="AG89" s="72"/>
      <c r="AH89" s="72"/>
      <c r="AI89" s="72"/>
      <c r="AJ89" s="72"/>
      <c r="AK89" s="72"/>
      <c r="AM89" s="69" t="s">
        <v>63</v>
      </c>
    </row>
    <row r="90" spans="1:39" x14ac:dyDescent="0.2">
      <c r="A90" s="72"/>
      <c r="B90" s="72"/>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M90" s="69" t="s">
        <v>624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6" priority="19" operator="equal">
      <formula>0</formula>
    </cfRule>
  </conditionalFormatting>
  <conditionalFormatting sqref="F89:G89">
    <cfRule type="cellIs" dxfId="45" priority="18" operator="equal">
      <formula>0</formula>
    </cfRule>
  </conditionalFormatting>
  <conditionalFormatting sqref="O89:P89">
    <cfRule type="cellIs" dxfId="44" priority="16" operator="equal">
      <formula>0</formula>
    </cfRule>
  </conditionalFormatting>
  <conditionalFormatting sqref="K89:L89">
    <cfRule type="cellIs" dxfId="43" priority="17" operator="equal">
      <formula>0</formula>
    </cfRule>
  </conditionalFormatting>
  <conditionalFormatting sqref="H71 H76:L76 Z76 Z71">
    <cfRule type="cellIs" dxfId="4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1" priority="14" operator="equal">
      <formula>0</formula>
    </cfRule>
  </conditionalFormatting>
  <conditionalFormatting sqref="H65:L67">
    <cfRule type="cellIs" dxfId="40" priority="13" operator="equal">
      <formula>0</formula>
    </cfRule>
  </conditionalFormatting>
  <conditionalFormatting sqref="Z65:AD67">
    <cfRule type="cellIs" dxfId="39" priority="12" operator="equal">
      <formula>0</formula>
    </cfRule>
  </conditionalFormatting>
  <conditionalFormatting sqref="H75:L75">
    <cfRule type="cellIs" dxfId="38" priority="11" operator="equal">
      <formula>0</formula>
    </cfRule>
  </conditionalFormatting>
  <conditionalFormatting sqref="H78">
    <cfRule type="cellIs" dxfId="37" priority="10" operator="equal">
      <formula>0</formula>
    </cfRule>
  </conditionalFormatting>
  <conditionalFormatting sqref="Z78">
    <cfRule type="cellIs" dxfId="36" priority="9" operator="equal">
      <formula>0</formula>
    </cfRule>
  </conditionalFormatting>
  <conditionalFormatting sqref="X82:X83">
    <cfRule type="cellIs" dxfId="35" priority="8" operator="equal">
      <formula>0</formula>
    </cfRule>
  </conditionalFormatting>
  <conditionalFormatting sqref="O7:R8">
    <cfRule type="cellIs" dxfId="34" priority="7" operator="equal">
      <formula>0</formula>
    </cfRule>
  </conditionalFormatting>
  <conditionalFormatting sqref="X6:Z6">
    <cfRule type="cellIs" dxfId="33" priority="5" operator="equal">
      <formula>0</formula>
    </cfRule>
  </conditionalFormatting>
  <conditionalFormatting sqref="J6">
    <cfRule type="cellIs" dxfId="32" priority="4" operator="equal">
      <formula>0</formula>
    </cfRule>
  </conditionalFormatting>
  <conditionalFormatting sqref="AA6">
    <cfRule type="cellIs" dxfId="31" priority="3" operator="equal">
      <formula>0</formula>
    </cfRule>
  </conditionalFormatting>
  <conditionalFormatting sqref="AC6">
    <cfRule type="cellIs" dxfId="3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87" t="s">
        <v>599</v>
      </c>
      <c r="F4" s="582">
        <f>Draft!$D$11/2</f>
        <v>111</v>
      </c>
      <c r="G4" s="5"/>
      <c r="H4" s="583"/>
      <c r="I4" s="583"/>
      <c r="J4" s="583"/>
      <c r="K4" s="583"/>
      <c r="M4" s="581"/>
      <c r="N4" s="581"/>
      <c r="O4" s="581"/>
      <c r="P4" s="287" t="s">
        <v>599</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35"/>
      <c r="C6" s="585">
        <f>Draft!$K$31</f>
        <v>6.1042500000000004</v>
      </c>
      <c r="D6" s="584" t="str">
        <f>IF(C7="m","",INT(C6))</f>
        <v/>
      </c>
      <c r="E6" s="586" t="str">
        <f>IF(C7="m","",(C6-INT(C6))*12)</f>
        <v/>
      </c>
      <c r="F6" s="584"/>
      <c r="G6" s="583"/>
      <c r="H6" s="583"/>
      <c r="I6" s="583"/>
      <c r="J6" s="583"/>
      <c r="K6" s="583"/>
      <c r="M6" s="435"/>
      <c r="N6" s="585">
        <f>Draft!$AC$31</f>
        <v>13.305825</v>
      </c>
      <c r="O6" s="584" t="str">
        <f>IF(N7="m","",INT(N6))</f>
        <v/>
      </c>
      <c r="P6" s="586" t="str">
        <f>IF(N7="m","",(N6-INT(N6))*12)</f>
        <v/>
      </c>
      <c r="Q6" s="584"/>
      <c r="R6" s="583"/>
      <c r="S6" s="583"/>
      <c r="T6" s="583"/>
      <c r="U6" s="583"/>
      <c r="V6" s="583"/>
    </row>
    <row r="7" spans="2:22" ht="15.75" x14ac:dyDescent="0.25">
      <c r="B7" s="435"/>
      <c r="C7" s="584" t="s">
        <v>612</v>
      </c>
      <c r="D7" s="584" t="str">
        <f>IF(C7="m","","feet")</f>
        <v/>
      </c>
      <c r="E7" s="584" t="str">
        <f>IF(C7="m","","in")</f>
        <v/>
      </c>
      <c r="F7" s="584"/>
      <c r="G7" s="583"/>
      <c r="H7" s="583"/>
      <c r="I7" s="583"/>
      <c r="J7" s="583"/>
      <c r="K7" s="583"/>
      <c r="M7" s="435"/>
      <c r="N7" s="584" t="s">
        <v>612</v>
      </c>
      <c r="O7" s="584" t="str">
        <f>IF(N7="m","","feet")</f>
        <v/>
      </c>
      <c r="P7" s="584" t="str">
        <f>IF(N7="m","","in")</f>
        <v/>
      </c>
      <c r="Q7" s="584"/>
      <c r="R7" s="583"/>
      <c r="S7" s="583"/>
      <c r="T7" s="583"/>
      <c r="U7" s="583"/>
      <c r="V7" s="583"/>
    </row>
    <row r="8" spans="2:22" ht="19.5" thickBot="1" x14ac:dyDescent="0.3">
      <c r="B8" s="587"/>
      <c r="C8" s="584"/>
      <c r="D8" s="584"/>
      <c r="E8" s="588" t="s">
        <v>9</v>
      </c>
      <c r="F8" s="589">
        <f>Draft!$M$35</f>
        <v>0.40874087265711834</v>
      </c>
      <c r="G8" s="590" t="s">
        <v>600</v>
      </c>
      <c r="H8" s="583"/>
      <c r="I8" s="583"/>
      <c r="J8" s="583"/>
      <c r="K8" s="583"/>
      <c r="M8" s="587"/>
      <c r="N8" s="584"/>
      <c r="O8" s="584"/>
      <c r="P8" s="588" t="s">
        <v>9</v>
      </c>
      <c r="Q8" s="589">
        <f>Draft!$M$35</f>
        <v>0.40874087265711834</v>
      </c>
      <c r="R8" s="590" t="s">
        <v>600</v>
      </c>
      <c r="S8" s="583"/>
      <c r="T8" s="583"/>
      <c r="U8" s="583"/>
      <c r="V8" s="583"/>
    </row>
    <row r="9" spans="2:22" ht="17.25" thickTop="1" thickBot="1" x14ac:dyDescent="0.3">
      <c r="B9" s="591" t="s">
        <v>601</v>
      </c>
      <c r="C9" s="591" t="s">
        <v>368</v>
      </c>
      <c r="D9" s="584"/>
      <c r="E9" s="588" t="str">
        <f>Draft!$P$35</f>
        <v>P</v>
      </c>
      <c r="F9" s="592">
        <f>Draft!$G$35</f>
        <v>23</v>
      </c>
      <c r="G9" s="583" t="s">
        <v>613</v>
      </c>
      <c r="H9" s="583"/>
      <c r="I9" s="583"/>
      <c r="J9" s="583"/>
      <c r="K9" s="583"/>
      <c r="M9" s="591" t="s">
        <v>601</v>
      </c>
      <c r="N9" s="591" t="s">
        <v>368</v>
      </c>
      <c r="O9" s="584"/>
      <c r="P9" s="588" t="str">
        <f>Draft!$P$35</f>
        <v>P</v>
      </c>
      <c r="Q9" s="592">
        <f>Draft!$G$35</f>
        <v>23</v>
      </c>
      <c r="R9" s="583" t="s">
        <v>613</v>
      </c>
      <c r="S9" s="583"/>
      <c r="T9" s="583"/>
      <c r="U9" s="583"/>
      <c r="V9" s="583"/>
    </row>
    <row r="10" spans="2:22" ht="16.5" thickTop="1" x14ac:dyDescent="0.25">
      <c r="B10" s="587" t="s">
        <v>602</v>
      </c>
      <c r="C10" s="593">
        <f>Draft!$H$41</f>
        <v>6.0979999999999999</v>
      </c>
      <c r="D10" s="594">
        <f>INT(C6*100)</f>
        <v>610</v>
      </c>
      <c r="E10" s="588"/>
      <c r="F10" s="583"/>
      <c r="G10" s="583"/>
      <c r="H10" s="583"/>
      <c r="I10" s="583"/>
      <c r="J10" s="583"/>
      <c r="K10" s="583"/>
      <c r="M10" s="587" t="s">
        <v>602</v>
      </c>
      <c r="N10" s="593">
        <f>Draft!$Z$41</f>
        <v>13.298</v>
      </c>
      <c r="O10" s="594">
        <f>INT(N6*100)</f>
        <v>1330</v>
      </c>
      <c r="P10" s="588"/>
      <c r="Q10" s="583"/>
      <c r="R10" s="583"/>
      <c r="S10" s="583"/>
      <c r="T10" s="583"/>
      <c r="U10" s="583"/>
      <c r="V10" s="583"/>
    </row>
    <row r="11" spans="2:22" ht="15.75" x14ac:dyDescent="0.25">
      <c r="B11" s="587" t="s">
        <v>603</v>
      </c>
      <c r="C11" s="593">
        <f>Draft!$H$42</f>
        <v>6.1580000000000004</v>
      </c>
      <c r="D11" s="584"/>
      <c r="E11" s="588"/>
      <c r="F11" s="584"/>
      <c r="G11" s="583"/>
      <c r="H11" s="583"/>
      <c r="I11" s="583"/>
      <c r="J11" s="583"/>
      <c r="K11" s="583"/>
      <c r="M11" s="587" t="s">
        <v>603</v>
      </c>
      <c r="N11" s="593">
        <f>Draft!$Z$42</f>
        <v>13.358000000000001</v>
      </c>
      <c r="O11" s="584"/>
      <c r="P11" s="588"/>
      <c r="Q11" s="584"/>
      <c r="R11" s="583"/>
      <c r="S11" s="583"/>
      <c r="T11" s="583"/>
      <c r="U11" s="583"/>
      <c r="V11" s="583"/>
    </row>
    <row r="12" spans="2:22" ht="15.75" x14ac:dyDescent="0.25">
      <c r="B12" s="595" t="s">
        <v>604</v>
      </c>
      <c r="C12" s="596">
        <f>Draft!$J$41</f>
        <v>37120.5</v>
      </c>
      <c r="D12" s="597"/>
      <c r="E12" s="598" t="s">
        <v>605</v>
      </c>
      <c r="F12" s="5"/>
      <c r="G12" s="5"/>
      <c r="H12" s="583"/>
      <c r="I12" s="583"/>
      <c r="J12" s="583" t="s">
        <v>606</v>
      </c>
      <c r="K12" s="583"/>
      <c r="M12" s="595" t="s">
        <v>604</v>
      </c>
      <c r="N12" s="596">
        <f>Draft!$AB$41</f>
        <v>85614.9</v>
      </c>
      <c r="O12" s="597"/>
      <c r="P12" s="598" t="s">
        <v>605</v>
      </c>
      <c r="Q12" s="5"/>
      <c r="R12" s="5"/>
      <c r="S12" s="583"/>
      <c r="T12" s="583"/>
      <c r="U12" s="583" t="s">
        <v>606</v>
      </c>
      <c r="V12" s="583"/>
    </row>
    <row r="13" spans="2:22" ht="15.75" x14ac:dyDescent="0.25">
      <c r="B13" s="599" t="s">
        <v>607</v>
      </c>
      <c r="C13" s="600">
        <f>Draft!$J$42</f>
        <v>37506.9</v>
      </c>
      <c r="D13" s="601">
        <f>IF(E13=0,K13,E13)</f>
        <v>37160.800000000003</v>
      </c>
      <c r="E13" s="602">
        <v>0</v>
      </c>
      <c r="F13" s="5"/>
      <c r="G13" s="5"/>
      <c r="H13" s="583"/>
      <c r="I13" s="583"/>
      <c r="J13" s="583"/>
      <c r="K13" s="603">
        <f>ROUND((IF(E13=0,IF(C11=0,0,IF(C10=0,C13,IF(C7="m",(C6-C10)*(C13-C12)/(C11-C10)+C12,(E6-C10)*(C13-C12)/(C11-C10)+C12))),E13)),1)</f>
        <v>37160.800000000003</v>
      </c>
      <c r="M13" s="599" t="s">
        <v>607</v>
      </c>
      <c r="N13" s="600">
        <f>Draft!$AB$42</f>
        <v>86034.7</v>
      </c>
      <c r="O13" s="601">
        <f>IF(P13=0,V13,P13)</f>
        <v>85669.6</v>
      </c>
      <c r="P13" s="602">
        <v>0</v>
      </c>
      <c r="Q13" s="5"/>
      <c r="R13" s="5"/>
      <c r="S13" s="583"/>
      <c r="T13" s="583"/>
      <c r="U13" s="583"/>
      <c r="V13" s="603">
        <f>ROUND((IF(P13=0,IF(N11=0,0,IF(N10=0,N13,IF(N7="m",(N6-N10)*(N13-N12)/(N11-N10)+N12,(P6-N10)*(N13-N12)/(N11-N10)+N12))),P13)),1)</f>
        <v>85669.6</v>
      </c>
    </row>
    <row r="14" spans="2:22" ht="15.75" x14ac:dyDescent="0.25">
      <c r="B14" s="595" t="s">
        <v>608</v>
      </c>
      <c r="C14" s="604">
        <f>Draft!$J$45</f>
        <v>64.3</v>
      </c>
      <c r="D14" s="605"/>
      <c r="E14" s="287"/>
      <c r="F14" s="5"/>
      <c r="G14" s="5"/>
      <c r="H14" s="583"/>
      <c r="I14" s="583"/>
      <c r="J14" s="583" t="s">
        <v>135</v>
      </c>
      <c r="K14" s="583"/>
      <c r="M14" s="595" t="s">
        <v>608</v>
      </c>
      <c r="N14" s="604">
        <f>Draft!$AB$45</f>
        <v>69.900000000000006</v>
      </c>
      <c r="O14" s="605"/>
      <c r="P14" s="287"/>
      <c r="Q14" s="5"/>
      <c r="R14" s="5"/>
      <c r="S14" s="583"/>
      <c r="T14" s="583"/>
      <c r="U14" s="583" t="s">
        <v>135</v>
      </c>
      <c r="V14" s="583"/>
    </row>
    <row r="15" spans="2:22" ht="15.75" x14ac:dyDescent="0.25">
      <c r="B15" s="587" t="s">
        <v>609</v>
      </c>
      <c r="C15" s="604">
        <f>Draft!$J$46</f>
        <v>64.400000000000006</v>
      </c>
      <c r="D15" s="606">
        <f>IF(E15=0,K15,E15)</f>
        <v>64.310400000000001</v>
      </c>
      <c r="E15" s="607">
        <v>0</v>
      </c>
      <c r="F15" s="5"/>
      <c r="G15" s="5"/>
      <c r="H15" s="583"/>
      <c r="I15" s="583"/>
      <c r="J15" s="583"/>
      <c r="K15" s="608">
        <f>ROUND((IF(E15=0,IF(C11=0,0,IF(C10=0,C15,IF(C7="m",(C6-C10)*(C15-C14)/(C11-C10)+C14,(E6-C10)*(C15-C14)/(C11-C10)+C14))),E15)),4)</f>
        <v>64.310400000000001</v>
      </c>
      <c r="M15" s="587" t="s">
        <v>609</v>
      </c>
      <c r="N15" s="604">
        <f>Draft!$AB$46</f>
        <v>69.900000000000006</v>
      </c>
      <c r="O15" s="606">
        <f>IF(P15=0,V15,P15)</f>
        <v>69.900000000000006</v>
      </c>
      <c r="P15" s="607">
        <v>0</v>
      </c>
      <c r="Q15" s="5"/>
      <c r="R15" s="5"/>
      <c r="S15" s="583"/>
      <c r="T15" s="583"/>
      <c r="U15" s="583"/>
      <c r="V15" s="608">
        <f>ROUND((IF(P15=0,IF(N11=0,0,IF(N10=0,N15,IF(N7="m",(N6-N10)*(N15-N14)/(N11-N10)+N14,(P6-N10)*(N15-N14)/(N11-N10)+N14))),P15)),4)</f>
        <v>69.900000000000006</v>
      </c>
    </row>
    <row r="16" spans="2:22" ht="15.75" x14ac:dyDescent="0.25">
      <c r="B16" s="609" t="s">
        <v>610</v>
      </c>
      <c r="C16" s="610">
        <f>Draft!$J$49</f>
        <v>-8.42</v>
      </c>
      <c r="D16" s="611"/>
      <c r="E16" s="287"/>
      <c r="F16" s="5"/>
      <c r="G16" s="5"/>
      <c r="H16" s="583"/>
      <c r="I16" s="583"/>
      <c r="J16" s="583" t="s">
        <v>289</v>
      </c>
      <c r="K16" s="608">
        <f>IF(F4*0.75&gt;K17,K17,F4-K17)</f>
        <v>-8.4147999999999996</v>
      </c>
      <c r="M16" s="609" t="s">
        <v>610</v>
      </c>
      <c r="N16" s="610">
        <f>Draft!$AB$49</f>
        <v>1.57</v>
      </c>
      <c r="O16" s="611"/>
      <c r="P16" s="287"/>
      <c r="Q16" s="5"/>
      <c r="R16" s="5"/>
      <c r="S16" s="583"/>
      <c r="T16" s="583"/>
      <c r="U16" s="583" t="s">
        <v>289</v>
      </c>
      <c r="V16" s="608">
        <f>IF(Q4*0.75&gt;V17,V17,Q4-V17)</f>
        <v>1.5739000000000001</v>
      </c>
    </row>
    <row r="17" spans="2:22" ht="15.75" x14ac:dyDescent="0.25">
      <c r="B17" s="612" t="s">
        <v>611</v>
      </c>
      <c r="C17" s="613">
        <f>Draft!$J$50</f>
        <v>-8.3699999999999992</v>
      </c>
      <c r="D17" s="606">
        <f>IF(E17=0,K16,E17)</f>
        <v>-8.4147999999999996</v>
      </c>
      <c r="E17" s="607">
        <v>0</v>
      </c>
      <c r="F17" s="5"/>
      <c r="G17" s="5"/>
      <c r="H17" s="583"/>
      <c r="I17" s="583"/>
      <c r="J17" s="583"/>
      <c r="K17" s="583">
        <f>ROUND((IF(E17=0,IF(C11=0,0,IF(C10=0,C17,IF(C7="m",(C6-C10)*(C17-C16)/(C11-C10)+C16,(E6-C10)*(C17-C16)/(C11-C10)+C16))),E17)),4)</f>
        <v>-8.4147999999999996</v>
      </c>
      <c r="M17" s="612" t="s">
        <v>611</v>
      </c>
      <c r="N17" s="613">
        <f>Draft!$AB$50</f>
        <v>1.6</v>
      </c>
      <c r="O17" s="606">
        <f>IF(P17=0,V16,P17)</f>
        <v>1.5739000000000001</v>
      </c>
      <c r="P17" s="607">
        <v>0</v>
      </c>
      <c r="Q17" s="5"/>
      <c r="R17" s="5"/>
      <c r="S17" s="583"/>
      <c r="T17" s="583"/>
      <c r="U17" s="583"/>
      <c r="V17" s="583">
        <f>ROUND((IF(P17=0,IF(N11=0,0,IF(N10=0,N17,IF(N7="m",(N6-N10)*(N17-N16)/(N11-N10)+N16,(P6-N10)*(N17-N16)/(N11-N10)+N16))),P17)),4)</f>
        <v>1.5739000000000001</v>
      </c>
    </row>
    <row r="21" spans="2:22" ht="15.75" x14ac:dyDescent="0.25">
      <c r="B21" s="581"/>
      <c r="C21" s="581"/>
      <c r="D21" s="581"/>
      <c r="E21" s="287" t="s">
        <v>599</v>
      </c>
      <c r="F21" s="582">
        <f>Draft!$D$11/2</f>
        <v>111</v>
      </c>
      <c r="G21" s="5"/>
      <c r="H21" s="583"/>
      <c r="I21" s="583"/>
      <c r="J21" s="583"/>
      <c r="K21" s="583"/>
      <c r="M21" s="581"/>
      <c r="N21" s="581"/>
      <c r="O21" s="581"/>
      <c r="P21" s="287" t="s">
        <v>599</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35"/>
      <c r="C23" s="585">
        <f>Draft!$M$39</f>
        <v>6.1086445545526376</v>
      </c>
      <c r="D23" s="584" t="str">
        <f>IF(C24="m","",INT(C23))</f>
        <v/>
      </c>
      <c r="E23" s="586" t="str">
        <f>IF(C24="m","",(C23-INT(C23))*12)</f>
        <v/>
      </c>
      <c r="F23" s="584"/>
      <c r="G23" s="583"/>
      <c r="H23" s="583"/>
      <c r="I23" s="583"/>
      <c r="J23" s="583"/>
      <c r="K23" s="583"/>
      <c r="M23" s="435"/>
      <c r="N23" s="585">
        <f>Draft!$AE$39</f>
        <v>13.285880781497301</v>
      </c>
      <c r="O23" s="584" t="str">
        <f>IF(N24="m","",INT(N23))</f>
        <v/>
      </c>
      <c r="P23" s="586" t="str">
        <f>IF(N24="m","",(N23-INT(N23))*12)</f>
        <v/>
      </c>
      <c r="Q23" s="584"/>
      <c r="R23" s="583"/>
      <c r="S23" s="583"/>
      <c r="T23" s="583"/>
      <c r="U23" s="583"/>
      <c r="V23" s="583"/>
    </row>
    <row r="24" spans="2:22" ht="15.75" x14ac:dyDescent="0.25">
      <c r="B24" s="435"/>
      <c r="C24" s="584" t="s">
        <v>612</v>
      </c>
      <c r="D24" s="584" t="str">
        <f>IF(C24="m","","feet")</f>
        <v/>
      </c>
      <c r="E24" s="584" t="str">
        <f>IF(C24="m","","in")</f>
        <v/>
      </c>
      <c r="F24" s="584"/>
      <c r="G24" s="583"/>
      <c r="H24" s="583"/>
      <c r="I24" s="583"/>
      <c r="J24" s="583"/>
      <c r="K24" s="583"/>
      <c r="M24" s="435"/>
      <c r="N24" s="584" t="s">
        <v>612</v>
      </c>
      <c r="O24" s="584" t="str">
        <f>IF(N24="m","","feet")</f>
        <v/>
      </c>
      <c r="P24" s="584" t="str">
        <f>IF(N24="m","","in")</f>
        <v/>
      </c>
      <c r="Q24" s="584"/>
      <c r="R24" s="583"/>
      <c r="S24" s="583"/>
      <c r="T24" s="583"/>
      <c r="U24" s="583"/>
      <c r="V24" s="583"/>
    </row>
    <row r="25" spans="2:22" ht="19.5" thickBot="1" x14ac:dyDescent="0.3">
      <c r="B25" s="587"/>
      <c r="C25" s="584"/>
      <c r="D25" s="584"/>
      <c r="E25" s="588" t="s">
        <v>9</v>
      </c>
      <c r="F25" s="589">
        <f>Draft!$M$35</f>
        <v>0.40874087265711834</v>
      </c>
      <c r="G25" s="590" t="s">
        <v>600</v>
      </c>
      <c r="H25" s="583"/>
      <c r="I25" s="583"/>
      <c r="J25" s="583"/>
      <c r="K25" s="583"/>
      <c r="M25" s="587"/>
      <c r="N25" s="584"/>
      <c r="O25" s="584"/>
      <c r="P25" s="588" t="s">
        <v>9</v>
      </c>
      <c r="Q25" s="589">
        <f>Draft!$M$35</f>
        <v>0.40874087265711834</v>
      </c>
      <c r="R25" s="590" t="s">
        <v>600</v>
      </c>
      <c r="S25" s="583"/>
      <c r="T25" s="583"/>
      <c r="U25" s="583"/>
      <c r="V25" s="583"/>
    </row>
    <row r="26" spans="2:22" ht="17.25" thickTop="1" thickBot="1" x14ac:dyDescent="0.3">
      <c r="B26" s="591" t="s">
        <v>601</v>
      </c>
      <c r="C26" s="591" t="s">
        <v>368</v>
      </c>
      <c r="D26" s="584"/>
      <c r="E26" s="588" t="str">
        <f>Draft!$P35</f>
        <v>P</v>
      </c>
      <c r="F26" s="592">
        <f>Draft!$G$35</f>
        <v>23</v>
      </c>
      <c r="G26" s="583" t="s">
        <v>613</v>
      </c>
      <c r="H26" s="583"/>
      <c r="I26" s="583"/>
      <c r="J26" s="583"/>
      <c r="K26" s="583"/>
      <c r="M26" s="591" t="s">
        <v>601</v>
      </c>
      <c r="N26" s="591" t="s">
        <v>368</v>
      </c>
      <c r="O26" s="584"/>
      <c r="P26" s="588" t="str">
        <f>Draft!$P35</f>
        <v>P</v>
      </c>
      <c r="Q26" s="592">
        <f>Draft!$G$35</f>
        <v>23</v>
      </c>
      <c r="R26" s="583" t="s">
        <v>613</v>
      </c>
      <c r="S26" s="583"/>
      <c r="T26" s="583"/>
      <c r="U26" s="583"/>
      <c r="V26" s="583"/>
    </row>
    <row r="27" spans="2:22" ht="16.5" thickTop="1" x14ac:dyDescent="0.25">
      <c r="B27" s="587" t="s">
        <v>602</v>
      </c>
      <c r="C27" s="593">
        <f>Draft!$H$41</f>
        <v>6.0979999999999999</v>
      </c>
      <c r="D27" s="594">
        <f>INT(C23*100)</f>
        <v>610</v>
      </c>
      <c r="E27" s="588"/>
      <c r="F27" s="583"/>
      <c r="G27" s="583"/>
      <c r="H27" s="583"/>
      <c r="I27" s="583"/>
      <c r="J27" s="583"/>
      <c r="K27" s="583"/>
      <c r="M27" s="587" t="s">
        <v>602</v>
      </c>
      <c r="N27" s="593">
        <f>Draft!$Z$41</f>
        <v>13.298</v>
      </c>
      <c r="O27" s="594">
        <f>INT(N23*100)</f>
        <v>1328</v>
      </c>
      <c r="P27" s="588"/>
      <c r="Q27" s="583"/>
      <c r="R27" s="583"/>
      <c r="S27" s="583"/>
      <c r="T27" s="583"/>
      <c r="U27" s="583"/>
      <c r="V27" s="583"/>
    </row>
    <row r="28" spans="2:22" ht="15.75" x14ac:dyDescent="0.25">
      <c r="B28" s="587" t="s">
        <v>603</v>
      </c>
      <c r="C28" s="593">
        <f>Draft!$H$42</f>
        <v>6.1580000000000004</v>
      </c>
      <c r="D28" s="584"/>
      <c r="E28" s="588"/>
      <c r="F28" s="584"/>
      <c r="G28" s="583"/>
      <c r="H28" s="583"/>
      <c r="I28" s="583"/>
      <c r="J28" s="583"/>
      <c r="K28" s="583"/>
      <c r="M28" s="587" t="s">
        <v>603</v>
      </c>
      <c r="N28" s="593">
        <f>Draft!$Z$42</f>
        <v>13.358000000000001</v>
      </c>
      <c r="O28" s="584"/>
      <c r="P28" s="588"/>
      <c r="Q28" s="584"/>
      <c r="R28" s="583"/>
      <c r="S28" s="583"/>
      <c r="T28" s="583"/>
      <c r="U28" s="583"/>
      <c r="V28" s="583"/>
    </row>
    <row r="29" spans="2:22" ht="15.75" x14ac:dyDescent="0.25">
      <c r="B29" s="595" t="s">
        <v>604</v>
      </c>
      <c r="C29" s="596">
        <f>Draft!$J$41</f>
        <v>37120.5</v>
      </c>
      <c r="D29" s="597"/>
      <c r="E29" s="598" t="s">
        <v>605</v>
      </c>
      <c r="F29" s="5"/>
      <c r="G29" s="5"/>
      <c r="H29" s="583"/>
      <c r="I29" s="583"/>
      <c r="J29" s="583" t="s">
        <v>606</v>
      </c>
      <c r="K29" s="583"/>
      <c r="M29" s="595" t="s">
        <v>604</v>
      </c>
      <c r="N29" s="596">
        <f>Draft!$AB$41</f>
        <v>85614.9</v>
      </c>
      <c r="O29" s="597"/>
      <c r="P29" s="598" t="s">
        <v>605</v>
      </c>
      <c r="Q29" s="5"/>
      <c r="R29" s="5"/>
      <c r="S29" s="583"/>
      <c r="T29" s="583"/>
      <c r="U29" s="583" t="s">
        <v>606</v>
      </c>
      <c r="V29" s="583"/>
    </row>
    <row r="30" spans="2:22" ht="15.75" x14ac:dyDescent="0.25">
      <c r="B30" s="599" t="s">
        <v>607</v>
      </c>
      <c r="C30" s="600">
        <f>Draft!$J$42</f>
        <v>37506.9</v>
      </c>
      <c r="D30" s="601">
        <f>IF(E30=0,K30,E30)</f>
        <v>37189.1</v>
      </c>
      <c r="E30" s="602">
        <v>0</v>
      </c>
      <c r="F30" s="5"/>
      <c r="G30" s="5"/>
      <c r="H30" s="583"/>
      <c r="I30" s="583"/>
      <c r="J30" s="583"/>
      <c r="K30" s="603">
        <f>ROUND((IF(E30=0,IF(C28=0,0,IF(C27=0,C30,IF(C24="m",(C23-C27)*(C30-C29)/(C28-C27)+C29,(E23-C27)*(C30-C29)/(C28-C27)+C29))),E30)),1)</f>
        <v>37189.1</v>
      </c>
      <c r="M30" s="599" t="s">
        <v>607</v>
      </c>
      <c r="N30" s="600">
        <f>Draft!$AB$42</f>
        <v>86034.7</v>
      </c>
      <c r="O30" s="601">
        <f>IF(P30=0,V30,P30)</f>
        <v>85530.1</v>
      </c>
      <c r="P30" s="602">
        <v>0</v>
      </c>
      <c r="Q30" s="5"/>
      <c r="R30" s="5"/>
      <c r="S30" s="583"/>
      <c r="T30" s="583"/>
      <c r="U30" s="583"/>
      <c r="V30" s="603">
        <f>ROUND((IF(P30=0,IF(N28=0,0,IF(N27=0,N30,IF(N24="m",(N23-N27)*(N30-N29)/(N28-N27)+N29,(P23-N27)*(N30-N29)/(N28-N27)+N29))),P30)),1)</f>
        <v>85530.1</v>
      </c>
    </row>
    <row r="31" spans="2:22" ht="15.75" x14ac:dyDescent="0.25">
      <c r="B31" s="595" t="s">
        <v>608</v>
      </c>
      <c r="C31" s="604">
        <f>Draft!$J$45</f>
        <v>64.3</v>
      </c>
      <c r="D31" s="605"/>
      <c r="E31" s="287"/>
      <c r="F31" s="5"/>
      <c r="G31" s="5"/>
      <c r="H31" s="583"/>
      <c r="I31" s="583"/>
      <c r="J31" s="583" t="s">
        <v>135</v>
      </c>
      <c r="K31" s="583"/>
      <c r="M31" s="595" t="s">
        <v>608</v>
      </c>
      <c r="N31" s="604">
        <f>Draft!$AB$45</f>
        <v>69.900000000000006</v>
      </c>
      <c r="O31" s="605"/>
      <c r="P31" s="287"/>
      <c r="Q31" s="5"/>
      <c r="R31" s="5"/>
      <c r="S31" s="583"/>
      <c r="T31" s="583"/>
      <c r="U31" s="583" t="s">
        <v>135</v>
      </c>
      <c r="V31" s="583"/>
    </row>
    <row r="32" spans="2:22" ht="15.75" x14ac:dyDescent="0.25">
      <c r="B32" s="587" t="s">
        <v>609</v>
      </c>
      <c r="C32" s="604">
        <f>Draft!$J$46</f>
        <v>64.400000000000006</v>
      </c>
      <c r="D32" s="606">
        <f>IF(E32=0,K32,E32)</f>
        <v>64.317700000000002</v>
      </c>
      <c r="E32" s="607">
        <v>0</v>
      </c>
      <c r="F32" s="5"/>
      <c r="G32" s="5"/>
      <c r="H32" s="583"/>
      <c r="I32" s="583"/>
      <c r="J32" s="583"/>
      <c r="K32" s="608">
        <f>ROUND((IF(E32=0,IF(C28=0,0,IF(C27=0,C32,IF(C24="m",(C23-C27)*(C32-C31)/(C28-C27)+C31,(E23-C27)*(C32-C31)/(C28-C27)+C31))),E32)),4)</f>
        <v>64.317700000000002</v>
      </c>
      <c r="M32" s="587" t="s">
        <v>609</v>
      </c>
      <c r="N32" s="604">
        <f>Draft!$AB$46</f>
        <v>69.900000000000006</v>
      </c>
      <c r="O32" s="606">
        <f>IF(P32=0,V32,P32)</f>
        <v>69.900000000000006</v>
      </c>
      <c r="P32" s="607">
        <v>0</v>
      </c>
      <c r="Q32" s="5"/>
      <c r="R32" s="5"/>
      <c r="S32" s="583"/>
      <c r="T32" s="583"/>
      <c r="U32" s="583"/>
      <c r="V32" s="608">
        <f>ROUND((IF(P32=0,IF(N28=0,0,IF(N27=0,N32,IF(N24="m",(N23-N27)*(N32-N31)/(N28-N27)+N31,(P23-N27)*(N32-N31)/(N28-N27)+N31))),P32)),4)</f>
        <v>69.900000000000006</v>
      </c>
    </row>
    <row r="33" spans="2:22" ht="15.75" x14ac:dyDescent="0.25">
      <c r="B33" s="609" t="s">
        <v>610</v>
      </c>
      <c r="C33" s="610">
        <f>Draft!$J$49</f>
        <v>-8.42</v>
      </c>
      <c r="D33" s="611"/>
      <c r="E33" s="287"/>
      <c r="F33" s="5"/>
      <c r="G33" s="5"/>
      <c r="H33" s="583"/>
      <c r="I33" s="583"/>
      <c r="J33" s="583" t="s">
        <v>289</v>
      </c>
      <c r="K33" s="608">
        <f>IF(F21*0.75&gt;K34,K34,F21-K34)</f>
        <v>-8.4110999999999994</v>
      </c>
      <c r="M33" s="609" t="s">
        <v>610</v>
      </c>
      <c r="N33" s="610">
        <f>Draft!$AB$49</f>
        <v>1.57</v>
      </c>
      <c r="O33" s="611"/>
      <c r="P33" s="287"/>
      <c r="Q33" s="5"/>
      <c r="R33" s="5"/>
      <c r="S33" s="583"/>
      <c r="T33" s="583"/>
      <c r="U33" s="583" t="s">
        <v>289</v>
      </c>
      <c r="V33" s="608">
        <f>IF(Q21*0.75&gt;V34,V34,Q21-V34)</f>
        <v>1.5639000000000001</v>
      </c>
    </row>
    <row r="34" spans="2:22" ht="15.75" x14ac:dyDescent="0.25">
      <c r="B34" s="612" t="s">
        <v>611</v>
      </c>
      <c r="C34" s="613">
        <f>Draft!$J$50</f>
        <v>-8.3699999999999992</v>
      </c>
      <c r="D34" s="606">
        <f>IF(E34=0,K33,E34)</f>
        <v>-8.4110999999999994</v>
      </c>
      <c r="E34" s="607">
        <v>0</v>
      </c>
      <c r="F34" s="5"/>
      <c r="G34" s="5"/>
      <c r="H34" s="583"/>
      <c r="I34" s="583"/>
      <c r="J34" s="583"/>
      <c r="K34" s="583">
        <f>ROUND((IF(E34=0,IF(C28=0,0,IF(C27=0,C34,IF(C24="m",(C23-C27)*(C34-C33)/(C28-C27)+C33,(E23-C27)*(C34-C33)/(C28-C27)+C33))),E34)),4)</f>
        <v>-8.4110999999999994</v>
      </c>
      <c r="M34" s="612" t="s">
        <v>611</v>
      </c>
      <c r="N34" s="613">
        <f>Draft!$AB$50</f>
        <v>1.6</v>
      </c>
      <c r="O34" s="606">
        <f>IF(P34=0,V33,P34)</f>
        <v>1.5639000000000001</v>
      </c>
      <c r="P34" s="607">
        <v>0</v>
      </c>
      <c r="Q34" s="5"/>
      <c r="R34" s="5"/>
      <c r="S34" s="583"/>
      <c r="T34" s="583"/>
      <c r="U34" s="583"/>
      <c r="V34" s="583">
        <f>ROUND((IF(P34=0,IF(N28=0,0,IF(N27=0,N34,IF(N24="m",(N23-N27)*(N34-N33)/(N28-N27)+N33,(P23-N27)*(N34-N33)/(N28-N27)+N33))),P34)),4)</f>
        <v>1.5639000000000001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89" bestFit="1" customWidth="1"/>
    <col min="2" max="9" width="13.7109375" style="89" customWidth="1"/>
    <col min="10" max="16384" width="9.140625" style="89"/>
  </cols>
  <sheetData>
    <row r="2" spans="1:14" x14ac:dyDescent="0.2">
      <c r="A2" s="89" t="str">
        <f>Relato!A163</f>
        <v>PGUA/DS/068/26</v>
      </c>
    </row>
    <row r="4" spans="1:14" ht="15.75" x14ac:dyDescent="0.25">
      <c r="A4" s="629" t="s">
        <v>331</v>
      </c>
      <c r="B4" s="1153" t="str">
        <f>CAPA!$B$8</f>
        <v>STAR GENESIS</v>
      </c>
      <c r="C4" s="1153"/>
      <c r="D4" s="1153"/>
      <c r="E4" s="16"/>
      <c r="F4" s="16"/>
      <c r="G4" s="16"/>
      <c r="H4" s="16"/>
      <c r="I4" s="16"/>
      <c r="J4" s="16"/>
      <c r="K4" s="16"/>
      <c r="L4" s="630"/>
      <c r="M4" s="630"/>
      <c r="N4" s="630"/>
    </row>
    <row r="5" spans="1:14" ht="15.75" x14ac:dyDescent="0.25">
      <c r="A5" s="629" t="s">
        <v>332</v>
      </c>
      <c r="B5" s="1153" t="str">
        <f>CAPA!$A$41</f>
        <v>AGÊNCIA MARITIMA CARGONAVE LTDA</v>
      </c>
      <c r="C5" s="1153"/>
      <c r="D5" s="1153"/>
      <c r="E5" s="16"/>
      <c r="F5" s="16"/>
      <c r="G5" s="16"/>
      <c r="H5" s="16"/>
      <c r="I5" s="16"/>
      <c r="J5" s="16"/>
      <c r="K5" s="16"/>
      <c r="L5" s="630"/>
      <c r="M5" s="630"/>
      <c r="N5" s="630"/>
    </row>
    <row r="6" spans="1:14" ht="15.75" x14ac:dyDescent="0.25">
      <c r="A6" s="629" t="s">
        <v>333</v>
      </c>
      <c r="B6" s="1153" t="str">
        <f>CAPA!$A$43</f>
        <v>AGÊNCIA MARITIMA CARGONAVE LTDA</v>
      </c>
      <c r="C6" s="1153"/>
      <c r="D6" s="1153"/>
      <c r="E6" s="16"/>
      <c r="F6" s="16"/>
      <c r="G6" s="16"/>
      <c r="H6" s="16"/>
      <c r="I6" s="16"/>
      <c r="J6" s="16"/>
      <c r="K6" s="16"/>
      <c r="L6" s="630"/>
      <c r="M6" s="630"/>
      <c r="N6" s="630"/>
    </row>
    <row r="7" spans="1:14" ht="15.75" x14ac:dyDescent="0.25">
      <c r="A7" s="629" t="s">
        <v>334</v>
      </c>
      <c r="B7" s="1154">
        <f>Draft!$X$4</f>
        <v>46091</v>
      </c>
      <c r="C7" s="1154"/>
      <c r="D7" s="1154"/>
      <c r="E7" s="16"/>
      <c r="F7" s="16"/>
      <c r="G7" s="16"/>
      <c r="H7" s="16"/>
      <c r="I7" s="16"/>
      <c r="J7" s="16"/>
      <c r="K7" s="16"/>
      <c r="L7" s="630"/>
      <c r="M7" s="1142" t="s">
        <v>286</v>
      </c>
      <c r="N7" s="1143"/>
    </row>
    <row r="8" spans="1:14" ht="15.75" x14ac:dyDescent="0.25">
      <c r="A8" s="629" t="s">
        <v>335</v>
      </c>
      <c r="B8" s="1150">
        <f>($I$27)</f>
        <v>69171.05</v>
      </c>
      <c r="C8" s="1150"/>
      <c r="D8" s="1150"/>
      <c r="E8" s="16"/>
      <c r="F8" s="16"/>
      <c r="G8" s="16"/>
      <c r="H8" s="16"/>
      <c r="I8" s="16"/>
      <c r="J8" s="16"/>
      <c r="K8" s="16"/>
      <c r="L8" s="630"/>
      <c r="M8" s="1144"/>
      <c r="N8" s="1145"/>
    </row>
    <row r="9" spans="1:14" ht="15.75" x14ac:dyDescent="0.25">
      <c r="A9" s="629" t="s">
        <v>336</v>
      </c>
      <c r="B9" s="1150">
        <f>IF($M$9="SIM",Draft!$AF$77,Draft!$Z$77)</f>
        <v>69235.12026043277</v>
      </c>
      <c r="C9" s="1150"/>
      <c r="D9" s="1150"/>
      <c r="E9" s="16"/>
      <c r="F9" s="16"/>
      <c r="G9" s="16"/>
      <c r="H9" s="16"/>
      <c r="I9" s="16"/>
      <c r="J9" s="16"/>
      <c r="K9" s="16"/>
      <c r="L9" s="630"/>
      <c r="M9" s="1146" t="s">
        <v>593</v>
      </c>
      <c r="N9" s="1147"/>
    </row>
    <row r="10" spans="1:14" ht="15.75" x14ac:dyDescent="0.25">
      <c r="A10" s="629" t="s">
        <v>337</v>
      </c>
      <c r="B10" s="1150">
        <f>(-$B$8+$B$9)</f>
        <v>64.0702604327671</v>
      </c>
      <c r="C10" s="1150"/>
      <c r="D10" s="1150"/>
      <c r="E10" s="16"/>
      <c r="F10" s="16"/>
      <c r="G10" s="16"/>
      <c r="H10" s="16"/>
      <c r="I10" s="16"/>
      <c r="J10" s="16"/>
      <c r="K10" s="16"/>
      <c r="L10" s="630"/>
      <c r="M10" s="1148"/>
      <c r="N10" s="1149"/>
    </row>
    <row r="11" spans="1:14" ht="15.75" x14ac:dyDescent="0.25">
      <c r="A11" s="629" t="s">
        <v>338</v>
      </c>
      <c r="B11" s="1151">
        <f>($B$10/$B$8)</f>
        <v>9.2625831807912555E-4</v>
      </c>
      <c r="C11" s="1151"/>
      <c r="D11" s="1151"/>
      <c r="E11" s="16"/>
      <c r="F11" s="16"/>
      <c r="G11" s="16"/>
      <c r="H11" s="16"/>
      <c r="I11" s="16"/>
      <c r="J11" s="16"/>
      <c r="K11" s="16"/>
      <c r="L11" s="630"/>
      <c r="M11" s="630"/>
      <c r="N11" s="630"/>
    </row>
    <row r="12" spans="1:14" ht="15.75" x14ac:dyDescent="0.25">
      <c r="A12" s="629" t="s">
        <v>339</v>
      </c>
      <c r="B12" s="1152" t="s">
        <v>340</v>
      </c>
      <c r="C12" s="1152"/>
      <c r="D12" s="1152"/>
      <c r="E12" s="16"/>
      <c r="F12" s="16"/>
      <c r="G12" s="16"/>
      <c r="H12" s="16"/>
      <c r="I12" s="16"/>
      <c r="J12" s="16"/>
      <c r="K12" s="16"/>
      <c r="L12" s="630"/>
      <c r="M12" s="630"/>
      <c r="N12" s="630"/>
    </row>
    <row r="13" spans="1:14" ht="15.75" x14ac:dyDescent="0.25">
      <c r="A13" s="16"/>
      <c r="B13" s="16"/>
      <c r="C13" s="16"/>
      <c r="D13" s="16"/>
      <c r="E13" s="16"/>
      <c r="F13" s="16"/>
      <c r="G13" s="16"/>
      <c r="H13" s="16"/>
      <c r="I13" s="16"/>
      <c r="J13" s="16"/>
      <c r="K13" s="16"/>
      <c r="L13" s="630"/>
      <c r="M13" s="630"/>
      <c r="N13" s="630"/>
    </row>
    <row r="14" spans="1:14" ht="15.75" x14ac:dyDescent="0.25">
      <c r="A14" s="629" t="s">
        <v>341</v>
      </c>
      <c r="B14" s="712">
        <v>1</v>
      </c>
      <c r="C14" s="712">
        <v>2</v>
      </c>
      <c r="D14" s="712">
        <v>3</v>
      </c>
      <c r="E14" s="712">
        <v>4</v>
      </c>
      <c r="F14" s="712">
        <v>5</v>
      </c>
      <c r="G14" s="712">
        <v>6</v>
      </c>
      <c r="H14" s="712">
        <v>7</v>
      </c>
      <c r="I14" s="712" t="s">
        <v>14</v>
      </c>
      <c r="J14" s="16"/>
      <c r="K14" s="16"/>
      <c r="L14" s="630"/>
      <c r="M14" s="630"/>
      <c r="N14" s="630"/>
    </row>
    <row r="15" spans="1:14" ht="15.75" x14ac:dyDescent="0.25">
      <c r="A15" s="629" t="s">
        <v>342</v>
      </c>
      <c r="B15" s="713" t="s">
        <v>771</v>
      </c>
      <c r="C15" s="713" t="s">
        <v>771</v>
      </c>
      <c r="D15" s="713" t="s">
        <v>771</v>
      </c>
      <c r="E15" s="713" t="s">
        <v>771</v>
      </c>
      <c r="F15" s="713" t="s">
        <v>771</v>
      </c>
      <c r="G15" s="713" t="s">
        <v>771</v>
      </c>
      <c r="H15" s="713" t="s">
        <v>771</v>
      </c>
      <c r="I15" s="713"/>
      <c r="J15" s="16"/>
      <c r="K15" s="16"/>
      <c r="L15" s="630"/>
      <c r="M15" s="630"/>
      <c r="N15" s="630"/>
    </row>
    <row r="16" spans="1:14" ht="15.75" x14ac:dyDescent="0.25">
      <c r="A16" s="629" t="s">
        <v>343</v>
      </c>
      <c r="B16" s="713"/>
      <c r="C16" s="713"/>
      <c r="D16" s="713"/>
      <c r="E16" s="713"/>
      <c r="F16" s="713"/>
      <c r="G16" s="713"/>
      <c r="H16" s="713"/>
      <c r="I16" s="713">
        <f t="shared" ref="I16:I26" si="0">SUM(B16:H16)</f>
        <v>0</v>
      </c>
      <c r="J16" s="16"/>
      <c r="K16" s="16"/>
      <c r="L16" s="630"/>
      <c r="M16" s="630"/>
      <c r="N16" s="630"/>
    </row>
    <row r="17" spans="1:14" s="729" customFormat="1" ht="15.75" x14ac:dyDescent="0.25">
      <c r="A17" s="726" t="s">
        <v>344</v>
      </c>
      <c r="B17" s="727"/>
      <c r="C17" s="727"/>
      <c r="D17" s="727">
        <v>2667.5250000000001</v>
      </c>
      <c r="E17" s="727"/>
      <c r="F17" s="727"/>
      <c r="G17" s="727"/>
      <c r="H17" s="727"/>
      <c r="I17" s="727">
        <f t="shared" si="0"/>
        <v>2667.5250000000001</v>
      </c>
      <c r="J17" s="188"/>
      <c r="K17" s="188"/>
      <c r="L17" s="728"/>
      <c r="M17" s="728"/>
      <c r="N17" s="728"/>
    </row>
    <row r="18" spans="1:14" ht="15.75" x14ac:dyDescent="0.25">
      <c r="A18" s="629" t="s">
        <v>345</v>
      </c>
      <c r="B18" s="713"/>
      <c r="C18" s="713"/>
      <c r="D18" s="713"/>
      <c r="E18" s="713"/>
      <c r="F18" s="713"/>
      <c r="G18" s="713"/>
      <c r="H18" s="713"/>
      <c r="I18" s="713">
        <f t="shared" si="0"/>
        <v>0</v>
      </c>
      <c r="J18" s="16"/>
      <c r="K18" s="16"/>
      <c r="L18" s="630"/>
      <c r="M18" s="630"/>
      <c r="N18" s="630"/>
    </row>
    <row r="19" spans="1:14" s="729" customFormat="1" ht="15.75" x14ac:dyDescent="0.25">
      <c r="A19" s="726" t="s">
        <v>346</v>
      </c>
      <c r="B19" s="727">
        <v>7100.0249999999996</v>
      </c>
      <c r="C19" s="727">
        <v>4537.43</v>
      </c>
      <c r="D19" s="727">
        <v>7474.1350000000002</v>
      </c>
      <c r="E19" s="727"/>
      <c r="F19" s="727">
        <v>1788.41</v>
      </c>
      <c r="G19" s="727"/>
      <c r="H19" s="727"/>
      <c r="I19" s="727">
        <f t="shared" si="0"/>
        <v>20900</v>
      </c>
      <c r="J19" s="188"/>
      <c r="K19" s="188"/>
      <c r="L19" s="728"/>
      <c r="M19" s="728"/>
      <c r="N19" s="728"/>
    </row>
    <row r="20" spans="1:14" s="729" customFormat="1" ht="15.75" x14ac:dyDescent="0.25">
      <c r="A20" s="726" t="s">
        <v>347</v>
      </c>
      <c r="B20" s="727"/>
      <c r="C20" s="727"/>
      <c r="D20" s="727"/>
      <c r="E20" s="727">
        <v>8100</v>
      </c>
      <c r="F20" s="727"/>
      <c r="G20" s="727"/>
      <c r="H20" s="727"/>
      <c r="I20" s="727">
        <f t="shared" si="0"/>
        <v>8100</v>
      </c>
      <c r="J20" s="188"/>
      <c r="K20" s="188"/>
      <c r="L20" s="728"/>
      <c r="M20" s="728"/>
      <c r="N20" s="728"/>
    </row>
    <row r="21" spans="1:14" s="729" customFormat="1" ht="15.75" x14ac:dyDescent="0.25">
      <c r="A21" s="726" t="s">
        <v>770</v>
      </c>
      <c r="B21" s="727">
        <v>799.13</v>
      </c>
      <c r="C21" s="727">
        <v>800.29</v>
      </c>
      <c r="D21" s="727"/>
      <c r="E21" s="727">
        <v>2000.58</v>
      </c>
      <c r="F21" s="727">
        <v>3900.55</v>
      </c>
      <c r="G21" s="727">
        <v>7859.44</v>
      </c>
      <c r="H21" s="727">
        <v>5001.0600000000004</v>
      </c>
      <c r="I21" s="727">
        <f t="shared" si="0"/>
        <v>20361.05</v>
      </c>
      <c r="J21" s="188"/>
      <c r="K21" s="188"/>
      <c r="L21" s="728"/>
      <c r="M21" s="728"/>
      <c r="N21" s="728"/>
    </row>
    <row r="22" spans="1:14" ht="15.75" x14ac:dyDescent="0.25">
      <c r="A22" s="629" t="s">
        <v>349</v>
      </c>
      <c r="B22" s="713"/>
      <c r="C22" s="713"/>
      <c r="D22" s="713"/>
      <c r="E22" s="713"/>
      <c r="F22" s="713"/>
      <c r="G22" s="713"/>
      <c r="H22" s="713"/>
      <c r="I22" s="713">
        <f t="shared" si="0"/>
        <v>0</v>
      </c>
      <c r="J22" s="16"/>
      <c r="K22" s="16"/>
      <c r="L22" s="630"/>
      <c r="M22" s="630"/>
      <c r="N22" s="630"/>
    </row>
    <row r="23" spans="1:14" s="729" customFormat="1" ht="15.75" x14ac:dyDescent="0.25">
      <c r="A23" s="726" t="s">
        <v>350</v>
      </c>
      <c r="B23" s="727">
        <v>993.35500000000002</v>
      </c>
      <c r="C23" s="727">
        <v>2809.48</v>
      </c>
      <c r="D23" s="727"/>
      <c r="E23" s="727"/>
      <c r="F23" s="727">
        <v>2697.165</v>
      </c>
      <c r="G23" s="727"/>
      <c r="H23" s="727"/>
      <c r="I23" s="727">
        <f t="shared" si="0"/>
        <v>6500</v>
      </c>
      <c r="J23" s="188"/>
      <c r="K23" s="188"/>
      <c r="L23" s="728"/>
      <c r="M23" s="728"/>
      <c r="N23" s="728"/>
    </row>
    <row r="24" spans="1:14" ht="15.75" x14ac:dyDescent="0.25">
      <c r="A24" s="629" t="s">
        <v>351</v>
      </c>
      <c r="B24" s="713"/>
      <c r="C24" s="713"/>
      <c r="D24" s="713"/>
      <c r="E24" s="713"/>
      <c r="F24" s="713"/>
      <c r="G24" s="713"/>
      <c r="H24" s="713"/>
      <c r="I24" s="713">
        <f t="shared" si="0"/>
        <v>0</v>
      </c>
      <c r="J24" s="16"/>
      <c r="K24" s="16"/>
      <c r="L24" s="630"/>
      <c r="M24" s="630"/>
      <c r="N24" s="630"/>
    </row>
    <row r="25" spans="1:14" s="729" customFormat="1" ht="15.75" x14ac:dyDescent="0.25">
      <c r="A25" s="726" t="s">
        <v>769</v>
      </c>
      <c r="B25" s="727"/>
      <c r="C25" s="727"/>
      <c r="D25" s="727"/>
      <c r="E25" s="727"/>
      <c r="F25" s="727">
        <v>1764.9549999999999</v>
      </c>
      <c r="G25" s="727">
        <v>2278.98</v>
      </c>
      <c r="H25" s="727">
        <v>4788.54</v>
      </c>
      <c r="I25" s="727">
        <f t="shared" si="0"/>
        <v>8832.4750000000004</v>
      </c>
      <c r="J25" s="188"/>
      <c r="K25" s="188"/>
      <c r="L25" s="728"/>
      <c r="M25" s="728"/>
      <c r="N25" s="728"/>
    </row>
    <row r="26" spans="1:14" s="729" customFormat="1" ht="15.75" x14ac:dyDescent="0.25">
      <c r="A26" s="726" t="s">
        <v>353</v>
      </c>
      <c r="B26" s="727"/>
      <c r="C26" s="727">
        <v>1810</v>
      </c>
      <c r="D26" s="727"/>
      <c r="E26" s="727"/>
      <c r="F26" s="727"/>
      <c r="G26" s="727"/>
      <c r="H26" s="727"/>
      <c r="I26" s="727">
        <f t="shared" si="0"/>
        <v>1810</v>
      </c>
      <c r="J26" s="188"/>
      <c r="K26" s="188"/>
      <c r="L26" s="728"/>
      <c r="M26" s="728"/>
      <c r="N26" s="728"/>
    </row>
    <row r="27" spans="1:14" s="729" customFormat="1" ht="15.75" x14ac:dyDescent="0.25">
      <c r="A27" s="726" t="s">
        <v>14</v>
      </c>
      <c r="B27" s="727">
        <f t="shared" ref="B27:H27" si="1">SUM(B16:B26)</f>
        <v>8892.51</v>
      </c>
      <c r="C27" s="727">
        <f t="shared" si="1"/>
        <v>9957.2000000000007</v>
      </c>
      <c r="D27" s="727">
        <f t="shared" si="1"/>
        <v>10141.66</v>
      </c>
      <c r="E27" s="727">
        <f t="shared" si="1"/>
        <v>10100.58</v>
      </c>
      <c r="F27" s="727">
        <f t="shared" si="1"/>
        <v>10151.08</v>
      </c>
      <c r="G27" s="727">
        <f t="shared" si="1"/>
        <v>10138.42</v>
      </c>
      <c r="H27" s="727">
        <f t="shared" si="1"/>
        <v>9789.6</v>
      </c>
      <c r="I27" s="727">
        <f>SUM(I15:I26)</f>
        <v>69171.05</v>
      </c>
      <c r="J27" s="188"/>
      <c r="K27" s="188"/>
      <c r="L27" s="728"/>
      <c r="M27" s="728"/>
      <c r="N27" s="728"/>
    </row>
    <row r="28" spans="1:14" ht="15.75" x14ac:dyDescent="0.25">
      <c r="A28" s="629" t="s">
        <v>354</v>
      </c>
      <c r="B28" s="714">
        <v>430412</v>
      </c>
      <c r="C28" s="714">
        <v>490920</v>
      </c>
      <c r="D28" s="714">
        <v>491351</v>
      </c>
      <c r="E28" s="714">
        <v>491351</v>
      </c>
      <c r="F28" s="714">
        <v>491351</v>
      </c>
      <c r="G28" s="714">
        <v>491351</v>
      </c>
      <c r="H28" s="714">
        <v>474223</v>
      </c>
      <c r="I28" s="712"/>
      <c r="J28" s="16"/>
      <c r="K28" s="16"/>
      <c r="L28" s="630"/>
      <c r="M28" s="630"/>
      <c r="N28" s="630"/>
    </row>
    <row r="29" spans="1:14" ht="15.75" x14ac:dyDescent="0.25">
      <c r="A29" s="629" t="s">
        <v>355</v>
      </c>
      <c r="B29" s="715">
        <f>(B28/B27)</f>
        <v>48.401632385007154</v>
      </c>
      <c r="C29" s="715">
        <f t="shared" ref="C29:H29" si="2">(C28/C27)</f>
        <v>49.303016912385004</v>
      </c>
      <c r="D29" s="715">
        <f t="shared" si="2"/>
        <v>48.44877465819205</v>
      </c>
      <c r="E29" s="715">
        <f t="shared" si="2"/>
        <v>48.645820339030038</v>
      </c>
      <c r="F29" s="715">
        <f t="shared" si="2"/>
        <v>48.403815160554345</v>
      </c>
      <c r="G29" s="715">
        <f t="shared" si="2"/>
        <v>48.464257744303353</v>
      </c>
      <c r="H29" s="715">
        <f t="shared" si="2"/>
        <v>48.441509356868515</v>
      </c>
      <c r="I29" s="712"/>
      <c r="J29" s="16"/>
      <c r="K29" s="16"/>
      <c r="L29" s="630"/>
      <c r="M29" s="630"/>
      <c r="N29" s="630"/>
    </row>
    <row r="30" spans="1:14" ht="15.75" x14ac:dyDescent="0.25">
      <c r="A30" s="716" t="s">
        <v>356</v>
      </c>
      <c r="B30" s="714" t="s">
        <v>795</v>
      </c>
      <c r="C30" s="714" t="s">
        <v>795</v>
      </c>
      <c r="D30" s="714" t="s">
        <v>795</v>
      </c>
      <c r="E30" s="714" t="s">
        <v>795</v>
      </c>
      <c r="F30" s="714" t="s">
        <v>795</v>
      </c>
      <c r="G30" s="714" t="s">
        <v>795</v>
      </c>
      <c r="H30" s="714" t="s">
        <v>795</v>
      </c>
      <c r="I30" s="714"/>
      <c r="J30" s="16"/>
      <c r="K30" s="16"/>
      <c r="L30" s="630"/>
      <c r="M30" s="630"/>
      <c r="N30" s="630"/>
    </row>
    <row r="31" spans="1:14" ht="15.75" x14ac:dyDescent="0.25">
      <c r="A31" s="16"/>
      <c r="B31" s="16"/>
      <c r="C31" s="16"/>
      <c r="D31" s="16"/>
      <c r="E31" s="16"/>
      <c r="F31" s="16"/>
      <c r="G31" s="16"/>
      <c r="H31" s="16"/>
      <c r="I31" s="16"/>
      <c r="J31" s="16"/>
      <c r="K31" s="16"/>
      <c r="L31" s="630"/>
      <c r="M31" s="630"/>
      <c r="N31" s="630"/>
    </row>
    <row r="32" spans="1:14" ht="15.75" x14ac:dyDescent="0.25">
      <c r="A32" s="717" t="s">
        <v>357</v>
      </c>
      <c r="B32" s="718"/>
      <c r="C32" s="718"/>
      <c r="D32" s="718"/>
      <c r="E32" s="718"/>
      <c r="F32" s="718"/>
      <c r="G32" s="718"/>
      <c r="H32" s="718"/>
      <c r="I32" s="719"/>
      <c r="J32" s="16"/>
      <c r="K32" s="16"/>
      <c r="L32" s="630"/>
      <c r="M32" s="630"/>
      <c r="N32" s="630"/>
    </row>
    <row r="33" spans="1:14" ht="15.75" x14ac:dyDescent="0.25">
      <c r="A33" s="720"/>
      <c r="B33" s="721"/>
      <c r="C33" s="721"/>
      <c r="D33" s="721"/>
      <c r="E33" s="721"/>
      <c r="F33" s="721"/>
      <c r="G33" s="721"/>
      <c r="H33" s="721"/>
      <c r="I33" s="722"/>
      <c r="J33" s="16"/>
      <c r="K33" s="16"/>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2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8"/>
  </cols>
  <sheetData>
    <row r="1" spans="1:59" x14ac:dyDescent="0.2">
      <c r="A1" s="196" t="s">
        <v>455</v>
      </c>
    </row>
    <row r="2" spans="1:59" x14ac:dyDescent="0.2">
      <c r="A2" s="63" t="s">
        <v>456</v>
      </c>
    </row>
    <row r="3" spans="1:59" x14ac:dyDescent="0.2">
      <c r="A3" s="63" t="s">
        <v>457</v>
      </c>
    </row>
    <row r="4" spans="1:59" x14ac:dyDescent="0.2">
      <c r="A4" s="63" t="s">
        <v>458</v>
      </c>
    </row>
    <row r="5" spans="1:59" x14ac:dyDescent="0.2">
      <c r="A5" s="63" t="s">
        <v>459</v>
      </c>
    </row>
    <row r="6" spans="1:59" x14ac:dyDescent="0.2">
      <c r="A6" s="197" t="s">
        <v>460</v>
      </c>
    </row>
    <row r="9" spans="1:59" x14ac:dyDescent="0.2">
      <c r="A9" s="182" t="s">
        <v>461</v>
      </c>
      <c r="B9" s="63"/>
      <c r="C9" s="63"/>
      <c r="D9" s="63"/>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182"/>
    </row>
    <row r="10" spans="1:59" x14ac:dyDescent="0.2">
      <c r="A10" s="63" t="s">
        <v>462</v>
      </c>
      <c r="B10" s="63"/>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182"/>
      <c r="AY10" s="63"/>
      <c r="AZ10" s="63"/>
      <c r="BA10" s="63"/>
      <c r="BB10" s="63"/>
      <c r="BC10" s="182"/>
    </row>
    <row r="11" spans="1:59" x14ac:dyDescent="0.2">
      <c r="A11" s="63" t="s">
        <v>463</v>
      </c>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182"/>
      <c r="AY11" s="63"/>
      <c r="AZ11" s="63"/>
      <c r="BA11" s="63"/>
      <c r="BB11" s="63"/>
      <c r="BC11" s="182"/>
    </row>
    <row r="13" spans="1:59" ht="51" customHeight="1" x14ac:dyDescent="0.2">
      <c r="A13" s="1156" t="s">
        <v>464</v>
      </c>
      <c r="B13" s="1156"/>
      <c r="C13" s="1156"/>
      <c r="D13" s="1156"/>
      <c r="E13" s="1156"/>
      <c r="F13" s="1156"/>
      <c r="G13" s="1156"/>
      <c r="H13" s="1156"/>
      <c r="I13" s="1156"/>
      <c r="J13" s="1156"/>
      <c r="K13" s="1156"/>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157" t="s">
        <v>465</v>
      </c>
      <c r="B15" s="1156"/>
      <c r="C15" s="1156"/>
      <c r="D15" s="1156"/>
      <c r="E15" s="1156"/>
      <c r="F15" s="1156"/>
      <c r="G15" s="1156"/>
      <c r="H15" s="1156"/>
      <c r="I15" s="1156"/>
      <c r="J15" s="1156"/>
      <c r="K15" s="1156"/>
    </row>
    <row r="16" spans="1:59" x14ac:dyDescent="0.2">
      <c r="A16" s="182"/>
    </row>
    <row r="17" spans="1:54" x14ac:dyDescent="0.2">
      <c r="A17" s="182"/>
    </row>
    <row r="20" spans="1:54" x14ac:dyDescent="0.2">
      <c r="A20" s="199" t="s">
        <v>466</v>
      </c>
    </row>
    <row r="22" spans="1:54" x14ac:dyDescent="0.2">
      <c r="A22" s="199" t="s">
        <v>467</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158" t="s">
        <v>468</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3"/>
    </row>
    <row r="25" spans="1:54" ht="13.5" thickBot="1" x14ac:dyDescent="0.25"/>
    <row r="26" spans="1:54" ht="54" customHeight="1" thickTop="1" x14ac:dyDescent="0.2">
      <c r="A26" s="1157" t="s">
        <v>469</v>
      </c>
      <c r="B26" s="1156"/>
      <c r="C26" s="1156"/>
      <c r="D26" s="1156"/>
      <c r="E26" s="1156"/>
      <c r="F26" s="1156"/>
      <c r="G26" s="1156"/>
      <c r="H26" s="1156"/>
      <c r="I26" s="1156"/>
      <c r="J26" s="1156"/>
      <c r="K26" s="1156"/>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160" t="s">
        <v>470</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3" t="s">
        <v>471</v>
      </c>
    </row>
    <row r="31" spans="1:54" x14ac:dyDescent="0.2">
      <c r="A31" s="63" t="s">
        <v>472</v>
      </c>
    </row>
    <row r="32" spans="1:54" x14ac:dyDescent="0.2">
      <c r="A32" s="63" t="s">
        <v>473</v>
      </c>
    </row>
    <row r="33" spans="1:7" x14ac:dyDescent="0.2">
      <c r="A33" s="63"/>
    </row>
    <row r="34" spans="1:7" x14ac:dyDescent="0.2">
      <c r="A34" s="63" t="s">
        <v>474</v>
      </c>
    </row>
    <row r="36" spans="1:7" x14ac:dyDescent="0.2">
      <c r="A36" s="18" t="s">
        <v>475</v>
      </c>
    </row>
    <row r="37" spans="1:7" x14ac:dyDescent="0.2">
      <c r="A37" s="18" t="s">
        <v>476</v>
      </c>
    </row>
    <row r="39" spans="1:7" x14ac:dyDescent="0.2">
      <c r="A39" s="63" t="s">
        <v>477</v>
      </c>
    </row>
    <row r="40" spans="1:7" x14ac:dyDescent="0.2">
      <c r="A40" s="63" t="s">
        <v>478</v>
      </c>
    </row>
    <row r="41" spans="1:7" x14ac:dyDescent="0.2">
      <c r="A41" s="63" t="s">
        <v>479</v>
      </c>
    </row>
    <row r="44" spans="1:7" x14ac:dyDescent="0.2">
      <c r="A44" s="63" t="s">
        <v>480</v>
      </c>
      <c r="B44" s="204"/>
      <c r="C44" s="204"/>
      <c r="D44" s="204"/>
      <c r="E44" s="204"/>
      <c r="F44" s="204"/>
      <c r="G44" s="204"/>
    </row>
    <row r="45" spans="1:7" x14ac:dyDescent="0.2">
      <c r="A45" s="204"/>
      <c r="B45" s="63" t="s">
        <v>481</v>
      </c>
      <c r="C45" s="204"/>
      <c r="D45" s="204"/>
      <c r="E45" s="204"/>
      <c r="G45" s="204"/>
    </row>
    <row r="48" spans="1:7" ht="15" x14ac:dyDescent="0.2">
      <c r="A48" s="49" t="s">
        <v>482</v>
      </c>
    </row>
    <row r="51" spans="1:1" x14ac:dyDescent="0.2">
      <c r="A51" s="18" t="s">
        <v>483</v>
      </c>
    </row>
    <row r="53" spans="1:1" x14ac:dyDescent="0.2">
      <c r="A53" s="182" t="s">
        <v>484</v>
      </c>
    </row>
    <row r="55" spans="1:1" x14ac:dyDescent="0.2">
      <c r="A55" s="63" t="s">
        <v>485</v>
      </c>
    </row>
    <row r="58" spans="1:1" x14ac:dyDescent="0.2">
      <c r="A58" s="18" t="s">
        <v>485</v>
      </c>
    </row>
    <row r="61" spans="1:1" ht="15.75" x14ac:dyDescent="0.25">
      <c r="A61" s="205" t="s">
        <v>486</v>
      </c>
    </row>
    <row r="62" spans="1:1" ht="15.75" x14ac:dyDescent="0.25">
      <c r="A62" s="206" t="s">
        <v>487</v>
      </c>
    </row>
    <row r="63" spans="1:1" ht="15.75" x14ac:dyDescent="0.25">
      <c r="A63" s="206" t="s">
        <v>488</v>
      </c>
    </row>
    <row r="66" spans="1:10" x14ac:dyDescent="0.2">
      <c r="A66" s="18" t="s">
        <v>489</v>
      </c>
    </row>
    <row r="70" spans="1:10" x14ac:dyDescent="0.2">
      <c r="A70" s="63" t="s">
        <v>490</v>
      </c>
    </row>
    <row r="73" spans="1:10" x14ac:dyDescent="0.2">
      <c r="A73" s="63" t="s">
        <v>491</v>
      </c>
    </row>
    <row r="74" spans="1:10" x14ac:dyDescent="0.2">
      <c r="A74" s="63" t="s">
        <v>492</v>
      </c>
    </row>
    <row r="78" spans="1:10" ht="16.5" x14ac:dyDescent="0.3">
      <c r="A78" s="1155" t="s">
        <v>493</v>
      </c>
      <c r="B78" s="1155"/>
      <c r="C78" s="1155"/>
      <c r="D78" s="1155"/>
      <c r="E78" s="1155"/>
      <c r="F78" s="1155"/>
      <c r="G78" s="1155"/>
      <c r="H78" s="1155"/>
      <c r="I78" s="1155"/>
      <c r="J78" s="1155"/>
    </row>
    <row r="82" spans="1:1" x14ac:dyDescent="0.2">
      <c r="A82" s="18" t="s">
        <v>494</v>
      </c>
    </row>
    <row r="86" spans="1:1" x14ac:dyDescent="0.2">
      <c r="A86" s="18" t="s">
        <v>495</v>
      </c>
    </row>
    <row r="89" spans="1:1" x14ac:dyDescent="0.2">
      <c r="A89" s="18" t="s">
        <v>496</v>
      </c>
    </row>
    <row r="90" spans="1:1" x14ac:dyDescent="0.2">
      <c r="A90" s="18" t="s">
        <v>497</v>
      </c>
    </row>
    <row r="91" spans="1:1" x14ac:dyDescent="0.2">
      <c r="A91" s="18" t="s">
        <v>498</v>
      </c>
    </row>
    <row r="94" spans="1:1" ht="14.25" x14ac:dyDescent="0.2">
      <c r="A94" s="63" t="s">
        <v>499</v>
      </c>
    </row>
    <row r="97" spans="1:11" ht="55.5" customHeight="1" x14ac:dyDescent="0.2">
      <c r="A97" s="1157" t="s">
        <v>500</v>
      </c>
      <c r="B97" s="1157"/>
      <c r="C97" s="1157"/>
      <c r="D97" s="1157"/>
      <c r="E97" s="1157"/>
      <c r="F97" s="1157"/>
      <c r="G97" s="1157"/>
      <c r="H97" s="1157"/>
      <c r="I97" s="1157"/>
      <c r="J97" s="1157"/>
      <c r="K97" s="1157"/>
    </row>
    <row r="98" spans="1:11" x14ac:dyDescent="0.2">
      <c r="A98" s="199"/>
      <c r="B98" s="199"/>
    </row>
    <row r="99" spans="1:11" x14ac:dyDescent="0.2">
      <c r="A99" s="199"/>
      <c r="B99" s="199"/>
    </row>
    <row r="102" spans="1:11" ht="28.5" customHeight="1" x14ac:dyDescent="0.2">
      <c r="A102" s="1156" t="s">
        <v>501</v>
      </c>
      <c r="B102" s="1156"/>
      <c r="C102" s="1156"/>
      <c r="D102" s="1156"/>
      <c r="E102" s="1156"/>
      <c r="F102" s="1156"/>
      <c r="G102" s="1156"/>
      <c r="H102" s="1156"/>
      <c r="I102" s="1156"/>
      <c r="J102" s="1156"/>
      <c r="K102" s="1156"/>
    </row>
    <row r="106" spans="1:11" x14ac:dyDescent="0.2">
      <c r="A106" s="196" t="s">
        <v>455</v>
      </c>
    </row>
    <row r="107" spans="1:11" x14ac:dyDescent="0.2">
      <c r="A107" s="63" t="s">
        <v>456</v>
      </c>
    </row>
    <row r="108" spans="1:11" x14ac:dyDescent="0.2">
      <c r="A108" s="63" t="s">
        <v>457</v>
      </c>
    </row>
    <row r="109" spans="1:11" x14ac:dyDescent="0.2">
      <c r="A109" s="63" t="s">
        <v>458</v>
      </c>
    </row>
    <row r="110" spans="1:11" x14ac:dyDescent="0.2">
      <c r="A110" s="63" t="s">
        <v>459</v>
      </c>
    </row>
    <row r="111" spans="1:11" x14ac:dyDescent="0.2">
      <c r="A111" s="197" t="s">
        <v>460</v>
      </c>
    </row>
    <row r="113" spans="1:11" x14ac:dyDescent="0.2">
      <c r="A113" s="18" t="s">
        <v>502</v>
      </c>
    </row>
    <row r="114" spans="1:11" x14ac:dyDescent="0.2">
      <c r="A114" s="18" t="s">
        <v>503</v>
      </c>
    </row>
    <row r="116" spans="1:11" x14ac:dyDescent="0.2">
      <c r="A116" s="1161" t="s">
        <v>504</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56" t="s">
        <v>464</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62" t="s">
        <v>505</v>
      </c>
      <c r="B124" s="1162"/>
      <c r="C124" s="1162"/>
      <c r="D124" s="1162"/>
      <c r="E124" s="1162"/>
      <c r="F124" s="1162"/>
      <c r="G124" s="1162"/>
      <c r="H124" s="1162"/>
      <c r="I124" s="1162"/>
      <c r="J124" s="1162"/>
      <c r="K124" s="116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8"/>
    <col min="9" max="9" width="9.140625" style="18" hidden="1" customWidth="1"/>
    <col min="10" max="10" width="9.140625" style="18" customWidth="1"/>
    <col min="11" max="16384" width="9.140625" style="18"/>
  </cols>
  <sheetData>
    <row r="1" spans="1:16" x14ac:dyDescent="0.2">
      <c r="A1" s="207" t="s">
        <v>506</v>
      </c>
      <c r="B1" s="208"/>
      <c r="C1" s="208"/>
      <c r="D1" s="208"/>
      <c r="E1" s="208"/>
      <c r="F1" s="208"/>
      <c r="G1" s="208"/>
      <c r="H1" s="208"/>
      <c r="I1" s="208"/>
      <c r="J1" s="209"/>
    </row>
    <row r="2" spans="1:16" x14ac:dyDescent="0.2">
      <c r="A2" s="210"/>
      <c r="J2" s="211"/>
    </row>
    <row r="3" spans="1:16" ht="15" x14ac:dyDescent="0.25">
      <c r="A3" s="212" t="s">
        <v>507</v>
      </c>
      <c r="B3" s="18" t="s">
        <v>286</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18" t="s">
        <v>109</v>
      </c>
      <c r="J6" s="211"/>
      <c r="L6" s="18" t="s">
        <v>110</v>
      </c>
    </row>
    <row r="7" spans="1:16" ht="15" x14ac:dyDescent="0.25">
      <c r="A7" s="216">
        <f t="shared" si="0"/>
        <v>0.76500000000000001</v>
      </c>
      <c r="B7" s="215">
        <v>0.63</v>
      </c>
      <c r="J7" s="211"/>
    </row>
    <row r="8" spans="1:16" ht="15" x14ac:dyDescent="0.25">
      <c r="A8" s="216">
        <f t="shared" si="0"/>
        <v>0.76</v>
      </c>
      <c r="B8" s="215">
        <v>0.64</v>
      </c>
      <c r="D8" s="217" t="s">
        <v>508</v>
      </c>
      <c r="E8" s="218"/>
      <c r="F8" s="218"/>
      <c r="G8" s="218"/>
      <c r="H8" s="218"/>
      <c r="J8" s="211"/>
      <c r="L8" s="217" t="s">
        <v>508</v>
      </c>
      <c r="M8" s="218"/>
      <c r="N8" s="218"/>
      <c r="O8" s="218"/>
      <c r="P8" s="218"/>
    </row>
    <row r="9" spans="1:16" ht="15" x14ac:dyDescent="0.25">
      <c r="A9" s="216">
        <f t="shared" si="0"/>
        <v>0.755</v>
      </c>
      <c r="B9" s="215">
        <v>0.65</v>
      </c>
      <c r="J9" s="211"/>
    </row>
    <row r="10" spans="1:16" ht="15" x14ac:dyDescent="0.25">
      <c r="A10" s="216">
        <f t="shared" si="0"/>
        <v>0.75</v>
      </c>
      <c r="B10" s="215">
        <v>0.66</v>
      </c>
      <c r="D10" s="18" t="s">
        <v>509</v>
      </c>
      <c r="E10" s="219">
        <f>Draft!J$47</f>
        <v>64.310999999999993</v>
      </c>
      <c r="J10" s="211"/>
      <c r="L10" s="18" t="s">
        <v>509</v>
      </c>
      <c r="M10" s="219">
        <f>Draft!AB$47</f>
        <v>69.900000000000006</v>
      </c>
    </row>
    <row r="11" spans="1:16" ht="15" x14ac:dyDescent="0.25">
      <c r="A11" s="216">
        <f t="shared" si="0"/>
        <v>0.745</v>
      </c>
      <c r="B11" s="215">
        <v>0.67</v>
      </c>
      <c r="D11" s="18" t="s">
        <v>510</v>
      </c>
      <c r="E11" s="219">
        <f>Draft!D$11</f>
        <v>222</v>
      </c>
      <c r="G11" s="218" t="s">
        <v>511</v>
      </c>
      <c r="H11" s="218">
        <f>E10*97.545/(E11*E12)</f>
        <v>0.87648051983435038</v>
      </c>
      <c r="J11" s="211"/>
      <c r="L11" s="18" t="s">
        <v>510</v>
      </c>
      <c r="M11" s="219">
        <f>Draft!V$11</f>
        <v>222</v>
      </c>
      <c r="O11" s="218" t="s">
        <v>511</v>
      </c>
      <c r="P11" s="218">
        <f>M10*97.545/(M11*M12)</f>
        <v>0.95265177553484004</v>
      </c>
    </row>
    <row r="12" spans="1:16" ht="15" x14ac:dyDescent="0.25">
      <c r="A12" s="216">
        <f t="shared" si="0"/>
        <v>0.74</v>
      </c>
      <c r="B12" s="215">
        <v>0.68</v>
      </c>
      <c r="D12" s="18" t="s">
        <v>512</v>
      </c>
      <c r="E12" s="219">
        <f>Draft!L$11</f>
        <v>32.24</v>
      </c>
      <c r="J12" s="211"/>
      <c r="L12" s="18" t="s">
        <v>512</v>
      </c>
      <c r="M12" s="219">
        <f>E$12</f>
        <v>32.24</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513</v>
      </c>
      <c r="E15" s="218"/>
      <c r="F15" s="218"/>
      <c r="G15" s="218"/>
      <c r="H15" s="218"/>
      <c r="J15" s="211"/>
      <c r="L15" s="217" t="s">
        <v>513</v>
      </c>
      <c r="M15" s="218"/>
      <c r="N15" s="218"/>
      <c r="O15" s="218"/>
      <c r="P15" s="218"/>
    </row>
    <row r="16" spans="1:16" ht="15" x14ac:dyDescent="0.25">
      <c r="A16" s="216">
        <f t="shared" si="0"/>
        <v>0.72</v>
      </c>
      <c r="B16" s="220">
        <v>0.72</v>
      </c>
      <c r="D16" s="18" t="s">
        <v>514</v>
      </c>
      <c r="J16" s="211"/>
      <c r="L16" s="18" t="s">
        <v>514</v>
      </c>
    </row>
    <row r="17" spans="1:16" ht="15" x14ac:dyDescent="0.25">
      <c r="A17" s="216">
        <f t="shared" si="0"/>
        <v>0.71499999999999997</v>
      </c>
      <c r="B17" s="220">
        <v>0.73</v>
      </c>
      <c r="J17" s="211"/>
    </row>
    <row r="18" spans="1:16" ht="15.75" thickBot="1" x14ac:dyDescent="0.3">
      <c r="A18" s="216">
        <f t="shared" si="0"/>
        <v>0.71</v>
      </c>
      <c r="B18" s="220">
        <v>0.74</v>
      </c>
      <c r="D18" s="18" t="s">
        <v>515</v>
      </c>
      <c r="E18" s="18">
        <f>(Draft!$P$25+Draft!$P$27)/2</f>
        <v>6.1347000000000005</v>
      </c>
      <c r="J18" s="211"/>
      <c r="L18" s="18" t="s">
        <v>515</v>
      </c>
      <c r="M18" s="18">
        <f>(Draft!$AH$25+Draft!$AH$27)/2</f>
        <v>13.203600000000002</v>
      </c>
    </row>
    <row r="19" spans="1:16" ht="19.5" thickBot="1" x14ac:dyDescent="0.35">
      <c r="A19" s="216">
        <f t="shared" si="0"/>
        <v>0.70499999999999996</v>
      </c>
      <c r="B19" s="220">
        <v>0.75</v>
      </c>
      <c r="D19" s="221" t="s">
        <v>516</v>
      </c>
      <c r="E19" s="215">
        <f>(($H$11-$B$4)*(0.15)/(0.3))-0.78</f>
        <v>-0.64175974008282477</v>
      </c>
      <c r="G19" s="222" t="s">
        <v>517</v>
      </c>
      <c r="H19" s="223">
        <f>$E$18+($E$19*$E$20)</f>
        <v>6.1086445545526376</v>
      </c>
      <c r="J19" s="211"/>
      <c r="L19" s="221" t="s">
        <v>516</v>
      </c>
      <c r="M19" s="215">
        <f>(($P$11-$B$4)*(0.15)/(0.3))-0.78</f>
        <v>-0.60367411223257994</v>
      </c>
      <c r="O19" s="222" t="s">
        <v>517</v>
      </c>
      <c r="P19" s="223">
        <f>$M$18+($M$19*$M$20)</f>
        <v>13.285880781497301</v>
      </c>
    </row>
    <row r="20" spans="1:16" ht="15" x14ac:dyDescent="0.25">
      <c r="A20" s="216">
        <f t="shared" si="0"/>
        <v>0.7</v>
      </c>
      <c r="B20" s="220">
        <v>0.76</v>
      </c>
      <c r="D20" s="18" t="s">
        <v>518</v>
      </c>
      <c r="E20" s="18">
        <f>((Draft!$P$25+Draft!$P$27))/2-Draft!$P$26</f>
        <v>4.0600000000000414E-2</v>
      </c>
      <c r="J20" s="211"/>
      <c r="L20" s="18" t="s">
        <v>518</v>
      </c>
      <c r="M20" s="18">
        <f>(Draft!$AH$25+Draft!$AH$27)/2-(Draft!$AH$26)</f>
        <v>-0.13629999999999853</v>
      </c>
    </row>
    <row r="21" spans="1:16" ht="15" x14ac:dyDescent="0.25">
      <c r="A21" s="216">
        <f t="shared" si="0"/>
        <v>0.69499999999999995</v>
      </c>
      <c r="B21" s="220">
        <v>0.77</v>
      </c>
      <c r="J21" s="211"/>
    </row>
    <row r="22" spans="1:16" ht="15" x14ac:dyDescent="0.25">
      <c r="A22" s="216">
        <f t="shared" si="0"/>
        <v>0.69</v>
      </c>
      <c r="B22" s="220">
        <v>0.78</v>
      </c>
      <c r="D22" s="1163" t="s">
        <v>598</v>
      </c>
      <c r="E22" s="1164"/>
      <c r="F22" s="1164"/>
      <c r="G22" s="1164"/>
      <c r="H22" s="1164"/>
      <c r="I22" s="1164"/>
      <c r="J22" s="1164"/>
      <c r="K22" s="1164"/>
      <c r="L22" s="1164"/>
      <c r="M22" s="1164"/>
      <c r="N22" s="1164"/>
      <c r="O22" s="1164"/>
      <c r="P22" s="1165"/>
    </row>
    <row r="23" spans="1:16" ht="15" x14ac:dyDescent="0.25">
      <c r="A23" s="216">
        <f t="shared" si="0"/>
        <v>0.68499999999999994</v>
      </c>
      <c r="B23" s="220">
        <v>0.79</v>
      </c>
      <c r="D23" s="1166"/>
      <c r="E23" s="1167"/>
      <c r="F23" s="1167"/>
      <c r="G23" s="1167"/>
      <c r="H23" s="1167"/>
      <c r="I23" s="1167"/>
      <c r="J23" s="1167"/>
      <c r="K23" s="1167"/>
      <c r="L23" s="1167"/>
      <c r="M23" s="1167"/>
      <c r="N23" s="1167"/>
      <c r="O23" s="1167"/>
      <c r="P23" s="1168"/>
    </row>
    <row r="24" spans="1:16" ht="15" x14ac:dyDescent="0.25">
      <c r="A24" s="213">
        <f t="shared" si="0"/>
        <v>0.67999999999999994</v>
      </c>
      <c r="B24" s="214">
        <v>0.8</v>
      </c>
      <c r="D24" s="1166"/>
      <c r="E24" s="1167"/>
      <c r="F24" s="1167"/>
      <c r="G24" s="1167"/>
      <c r="H24" s="1167"/>
      <c r="I24" s="1167"/>
      <c r="J24" s="1167"/>
      <c r="K24" s="1167"/>
      <c r="L24" s="1167"/>
      <c r="M24" s="1167"/>
      <c r="N24" s="1167"/>
      <c r="O24" s="1167"/>
      <c r="P24" s="1168"/>
    </row>
    <row r="25" spans="1:16" ht="15" x14ac:dyDescent="0.25">
      <c r="A25" s="216">
        <f t="shared" si="0"/>
        <v>0.67499999999999993</v>
      </c>
      <c r="B25" s="220">
        <v>0.81</v>
      </c>
      <c r="D25" s="1169"/>
      <c r="E25" s="1170"/>
      <c r="F25" s="1170"/>
      <c r="G25" s="1170"/>
      <c r="H25" s="1170"/>
      <c r="I25" s="1170"/>
      <c r="J25" s="1170"/>
      <c r="K25" s="1170"/>
      <c r="L25" s="1170"/>
      <c r="M25" s="1170"/>
      <c r="N25" s="1170"/>
      <c r="O25" s="1170"/>
      <c r="P25" s="1171"/>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K176" sqref="K176"/>
    </sheetView>
  </sheetViews>
  <sheetFormatPr defaultColWidth="7.42578125" defaultRowHeight="12.75" x14ac:dyDescent="0.2"/>
  <cols>
    <col min="1" max="5" width="0" style="18" hidden="1" customWidth="1"/>
    <col min="6" max="17" width="7.42578125" style="18"/>
    <col min="18" max="33" width="0" style="18" hidden="1" customWidth="1"/>
    <col min="34" max="16384" width="7.42578125" style="18"/>
  </cols>
  <sheetData>
    <row r="1" spans="1:71" ht="15" x14ac:dyDescent="0.25">
      <c r="A1" s="34"/>
      <c r="B1" s="34"/>
      <c r="C1" s="34"/>
      <c r="D1" s="34"/>
      <c r="E1" s="34"/>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4"/>
      <c r="BN1" s="34"/>
      <c r="BO1" s="34"/>
      <c r="BP1" s="34"/>
      <c r="BQ1" s="34"/>
      <c r="BR1" s="34"/>
      <c r="BS1" s="34"/>
    </row>
    <row r="2" spans="1:71" ht="15.75" customHeight="1" x14ac:dyDescent="0.25">
      <c r="A2" s="34"/>
      <c r="B2" s="34"/>
      <c r="C2" s="34"/>
      <c r="D2" s="34"/>
      <c r="E2" s="34"/>
      <c r="F2" s="176" t="s">
        <v>371</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4"/>
      <c r="BN2" s="34"/>
      <c r="BO2" s="34"/>
      <c r="BP2" s="34"/>
      <c r="BQ2" s="34"/>
      <c r="BR2" s="34"/>
      <c r="BS2" s="34"/>
    </row>
    <row r="3" spans="1:71" ht="10.5" customHeight="1" x14ac:dyDescent="0.25">
      <c r="A3" s="34"/>
      <c r="B3" s="34"/>
      <c r="C3" s="34"/>
      <c r="D3" s="34"/>
      <c r="E3" s="34"/>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4"/>
      <c r="BN3" s="34"/>
      <c r="BO3" s="34"/>
      <c r="BP3" s="34"/>
      <c r="BQ3" s="34"/>
      <c r="BR3" s="34"/>
      <c r="BS3" s="34"/>
    </row>
    <row r="4" spans="1:71" ht="15" customHeight="1" x14ac:dyDescent="0.25">
      <c r="A4" s="34"/>
      <c r="B4" s="34"/>
      <c r="C4" s="34"/>
      <c r="D4" s="34"/>
      <c r="E4" s="34"/>
      <c r="F4" s="178"/>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row>
    <row r="5" spans="1:71" ht="15" x14ac:dyDescent="0.25">
      <c r="A5" s="34"/>
      <c r="B5" s="34"/>
      <c r="C5" s="34"/>
      <c r="D5" s="34"/>
      <c r="E5" s="34"/>
      <c r="F5" s="34" t="s">
        <v>372</v>
      </c>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row>
    <row r="6" spans="1:71" ht="15" x14ac:dyDescent="0.25">
      <c r="A6" s="34"/>
      <c r="B6" s="34"/>
      <c r="C6" s="34"/>
      <c r="D6" s="34"/>
      <c r="E6" s="34"/>
      <c r="F6" s="34" t="s">
        <v>373</v>
      </c>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row>
    <row r="7" spans="1:71" ht="15" x14ac:dyDescent="0.25">
      <c r="A7" s="34"/>
      <c r="B7" s="34"/>
      <c r="C7" s="34"/>
      <c r="D7" s="34"/>
      <c r="E7" s="34"/>
      <c r="F7" s="34" t="s">
        <v>374</v>
      </c>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row>
    <row r="8" spans="1:71" ht="15" x14ac:dyDescent="0.25">
      <c r="A8" s="34"/>
      <c r="B8" s="34"/>
      <c r="C8" s="34"/>
      <c r="D8" s="34"/>
      <c r="E8" s="34"/>
      <c r="F8" s="34" t="s">
        <v>375</v>
      </c>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row>
    <row r="9" spans="1:71" ht="15" x14ac:dyDescent="0.25">
      <c r="A9" s="34"/>
      <c r="B9" s="34"/>
      <c r="C9" s="34"/>
      <c r="D9" s="34"/>
      <c r="E9" s="34"/>
      <c r="F9" s="34" t="s">
        <v>376</v>
      </c>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row>
    <row r="10" spans="1:71" ht="15" x14ac:dyDescent="0.25">
      <c r="A10" s="34"/>
      <c r="B10" s="34"/>
      <c r="C10" s="34"/>
      <c r="D10" s="34"/>
      <c r="E10" s="34"/>
      <c r="F10" s="34" t="s">
        <v>377</v>
      </c>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row>
    <row r="11" spans="1:71" ht="15" x14ac:dyDescent="0.25">
      <c r="A11" s="34"/>
      <c r="B11" s="34"/>
      <c r="C11" s="34"/>
      <c r="D11" s="34"/>
      <c r="E11" s="34"/>
      <c r="F11" s="34" t="s">
        <v>378</v>
      </c>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row>
    <row r="12" spans="1:71" ht="15" x14ac:dyDescent="0.25">
      <c r="A12" s="34"/>
      <c r="B12" s="34"/>
      <c r="C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row>
    <row r="13" spans="1:71" ht="15" x14ac:dyDescent="0.25">
      <c r="A13" s="34"/>
      <c r="B13" s="34"/>
      <c r="C13" s="34"/>
      <c r="D13" s="34"/>
      <c r="E13" s="34"/>
      <c r="F13" s="33" t="s">
        <v>379</v>
      </c>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t="s">
        <v>380</v>
      </c>
      <c r="AI13" s="33"/>
      <c r="AJ13" s="33"/>
      <c r="AK13" s="33"/>
      <c r="AL13" s="65"/>
      <c r="AM13" s="65"/>
      <c r="AN13" s="33"/>
      <c r="AO13" s="33"/>
      <c r="AP13" s="33"/>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row>
    <row r="14" spans="1:71" ht="15" x14ac:dyDescent="0.25">
      <c r="A14" s="34"/>
      <c r="B14" s="34"/>
      <c r="C14" s="34"/>
      <c r="D14" s="34"/>
      <c r="E14" s="34"/>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I14" s="33"/>
      <c r="AJ14" s="33"/>
      <c r="AK14" s="33"/>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row>
    <row r="15" spans="1:71" ht="15" x14ac:dyDescent="0.25">
      <c r="A15" s="34"/>
      <c r="B15" s="34"/>
      <c r="C15" s="34"/>
      <c r="D15" s="34"/>
      <c r="E15" s="34"/>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row>
    <row r="16" spans="1:71" ht="15" x14ac:dyDescent="0.25">
      <c r="A16" s="34"/>
      <c r="B16" s="34"/>
      <c r="C16" s="34"/>
      <c r="D16" s="34"/>
      <c r="E16" s="34"/>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row>
    <row r="17" spans="1:92" ht="15" x14ac:dyDescent="0.25">
      <c r="A17" s="34"/>
      <c r="B17" s="34"/>
      <c r="C17" s="34"/>
      <c r="D17" s="34"/>
      <c r="E17" s="34"/>
      <c r="F17" s="34" t="s">
        <v>160</v>
      </c>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673" t="s">
        <v>382</v>
      </c>
      <c r="AI17" s="673"/>
      <c r="AJ17" s="673"/>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row>
    <row r="18" spans="1:92" ht="15" x14ac:dyDescent="0.25">
      <c r="A18" s="34"/>
      <c r="B18" s="34"/>
      <c r="C18" s="34"/>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627" t="s">
        <v>383</v>
      </c>
      <c r="AI18" s="627"/>
      <c r="AJ18" s="627"/>
      <c r="AK18" s="627"/>
      <c r="AL18" s="627"/>
      <c r="AM18" s="627"/>
      <c r="AN18" s="627"/>
      <c r="AO18" s="627"/>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row>
    <row r="19" spans="1:92" ht="15" x14ac:dyDescent="0.25">
      <c r="A19" s="34"/>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1172"/>
      <c r="AI19" s="1172"/>
      <c r="AJ19" s="179"/>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row>
    <row r="20" spans="1:92" ht="15" x14ac:dyDescent="0.25">
      <c r="A20" s="34"/>
      <c r="B20" s="34"/>
      <c r="C20" s="34"/>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row>
    <row r="21" spans="1:92" ht="15" x14ac:dyDescent="0.25">
      <c r="A21" s="34"/>
      <c r="B21" s="34"/>
      <c r="C21" s="34"/>
      <c r="D21" s="34"/>
      <c r="E21" s="34"/>
      <c r="F21" s="33" t="s">
        <v>384</v>
      </c>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t="s">
        <v>380</v>
      </c>
      <c r="AI21" s="33"/>
      <c r="AJ21" s="33"/>
      <c r="AK21" s="33"/>
      <c r="AL21" s="33"/>
      <c r="AM21" s="33"/>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row>
    <row r="22" spans="1:92" ht="15" x14ac:dyDescent="0.25">
      <c r="A22" s="34"/>
      <c r="B22" s="34"/>
      <c r="C22" s="34"/>
      <c r="D22" s="34"/>
      <c r="E22" s="34"/>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t="s">
        <v>634</v>
      </c>
      <c r="AI22" s="33"/>
      <c r="AJ22" s="33"/>
      <c r="AK22" s="33"/>
      <c r="AL22" s="33"/>
      <c r="AM22" s="33"/>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row>
    <row r="23" spans="1:92" ht="15" x14ac:dyDescent="0.25">
      <c r="A23" s="34"/>
      <c r="B23" s="34"/>
      <c r="C23" s="34"/>
      <c r="D23" s="34"/>
      <c r="E23" s="34"/>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I23" s="33"/>
      <c r="AJ23" s="33"/>
      <c r="AK23" s="33"/>
      <c r="AL23" s="33"/>
      <c r="AM23" s="33"/>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row>
    <row r="24" spans="1:92" ht="15" x14ac:dyDescent="0.25">
      <c r="A24" s="34"/>
      <c r="B24" s="34"/>
      <c r="C24" s="34"/>
      <c r="D24" s="34"/>
      <c r="E24" s="34"/>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row>
    <row r="25" spans="1:92" ht="15" x14ac:dyDescent="0.25">
      <c r="A25" s="34"/>
      <c r="B25" s="34"/>
      <c r="C25" s="34"/>
      <c r="D25" s="34"/>
      <c r="E25" s="34"/>
      <c r="F25" s="65" t="s">
        <v>385</v>
      </c>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t="s">
        <v>635</v>
      </c>
      <c r="AI25" s="65"/>
      <c r="AJ25" s="65"/>
      <c r="AK25" s="180"/>
      <c r="AL25" s="65"/>
      <c r="AM25" s="65"/>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row>
    <row r="26" spans="1:92" ht="15" x14ac:dyDescent="0.25">
      <c r="A26" s="34"/>
      <c r="B26" s="34"/>
      <c r="C26" s="34"/>
      <c r="D26" s="34"/>
      <c r="E26" s="34"/>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t="s">
        <v>636</v>
      </c>
      <c r="AI26" s="65"/>
      <c r="AJ26" s="65"/>
      <c r="AK26" s="180"/>
      <c r="AL26" s="65"/>
      <c r="AM26" s="65"/>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row>
    <row r="27" spans="1:92" ht="15.75" x14ac:dyDescent="0.25">
      <c r="A27" s="34"/>
      <c r="B27" s="34"/>
      <c r="C27" s="34"/>
      <c r="D27" s="34"/>
      <c r="E27" s="34"/>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t="s">
        <v>386</v>
      </c>
      <c r="AI27" s="65"/>
      <c r="AJ27" s="65"/>
      <c r="AK27" s="180"/>
      <c r="AL27" s="65"/>
      <c r="AM27" s="65"/>
      <c r="AN27" s="34"/>
      <c r="AO27" s="34"/>
      <c r="AP27" s="34"/>
      <c r="AQ27" s="34"/>
      <c r="AR27" s="34"/>
      <c r="AS27" s="34"/>
      <c r="AT27" s="34"/>
      <c r="AU27" s="34"/>
      <c r="AV27" s="34"/>
      <c r="AW27" s="34"/>
      <c r="AX27" s="34"/>
      <c r="AY27" s="34"/>
      <c r="AZ27" s="34"/>
      <c r="BA27" s="34"/>
      <c r="BB27" s="34"/>
      <c r="BC27" s="34"/>
      <c r="BD27" s="34"/>
      <c r="BE27" s="34"/>
      <c r="BF27" s="34"/>
      <c r="BG27" s="65"/>
      <c r="BH27" s="65"/>
      <c r="BI27" s="65"/>
      <c r="BJ27" s="65"/>
      <c r="BK27" s="65"/>
      <c r="BL27" s="65"/>
      <c r="BM27" s="65"/>
      <c r="BN27" s="65"/>
      <c r="BO27" s="65"/>
      <c r="BP27" s="65"/>
      <c r="BQ27" s="65"/>
      <c r="BR27" s="65"/>
      <c r="BS27" s="65"/>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4"/>
      <c r="B28" s="34"/>
      <c r="C28" s="34"/>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65"/>
      <c r="BH28" s="65"/>
      <c r="BI28" s="65"/>
      <c r="BJ28" s="65"/>
      <c r="BK28" s="65"/>
      <c r="BL28" s="65"/>
      <c r="BM28" s="65"/>
      <c r="BN28" s="65"/>
      <c r="BO28" s="65"/>
      <c r="BP28" s="65"/>
      <c r="BQ28" s="65"/>
      <c r="BR28" s="65"/>
      <c r="BS28" s="65"/>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4"/>
      <c r="B29" s="34"/>
      <c r="C29" s="34"/>
      <c r="D29" s="34"/>
      <c r="E29" s="34"/>
      <c r="F29" s="65" t="s">
        <v>387</v>
      </c>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t="s">
        <v>389</v>
      </c>
      <c r="AI29" s="65"/>
      <c r="AJ29" s="65"/>
      <c r="AK29" s="180"/>
      <c r="AL29" s="65"/>
      <c r="AM29" s="65"/>
      <c r="AN29" s="65"/>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row>
    <row r="30" spans="1:92" ht="15" x14ac:dyDescent="0.25">
      <c r="A30" s="34"/>
      <c r="B30" s="34"/>
      <c r="C30" s="34"/>
      <c r="D30" s="34"/>
      <c r="E30" s="34"/>
      <c r="F30" s="65" t="s">
        <v>388</v>
      </c>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18" t="s">
        <v>637</v>
      </c>
      <c r="AI30" s="65"/>
      <c r="AJ30" s="65"/>
      <c r="AK30" s="180"/>
      <c r="AL30" s="65"/>
      <c r="AM30" s="65"/>
      <c r="AN30" s="65"/>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row>
    <row r="31" spans="1:92" ht="15" x14ac:dyDescent="0.25">
      <c r="A31" s="34"/>
      <c r="B31" s="34"/>
      <c r="C31" s="34"/>
      <c r="D31" s="34"/>
      <c r="E31" s="34"/>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180"/>
      <c r="AL31" s="65"/>
      <c r="AM31" s="65"/>
      <c r="AN31" s="65"/>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row>
    <row r="32" spans="1:92" s="182" customFormat="1" ht="15" customHeight="1" x14ac:dyDescent="0.25">
      <c r="A32" s="65"/>
      <c r="B32" s="65"/>
      <c r="C32" s="65"/>
      <c r="D32" s="65"/>
      <c r="E32" s="65"/>
      <c r="F32" s="65" t="s">
        <v>390</v>
      </c>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t="s">
        <v>391</v>
      </c>
      <c r="AI32" s="65"/>
      <c r="AJ32" s="65"/>
      <c r="AK32" s="180"/>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row>
    <row r="33" spans="1:71" s="182" customFormat="1" ht="15" customHeight="1" x14ac:dyDescent="0.25">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t="s">
        <v>392</v>
      </c>
      <c r="AI33" s="65"/>
      <c r="AJ33" s="65"/>
      <c r="AK33" s="180"/>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row>
    <row r="34" spans="1:71" s="182" customFormat="1" ht="15" customHeight="1" x14ac:dyDescent="0.25">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I34" s="65"/>
      <c r="AJ34" s="65"/>
      <c r="AK34" s="180"/>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row>
    <row r="35" spans="1:71" s="182" customFormat="1" ht="15" customHeight="1" x14ac:dyDescent="0.25">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180"/>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row>
    <row r="36" spans="1:71" s="182" customFormat="1" ht="15" customHeight="1" x14ac:dyDescent="0.25">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180"/>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row>
    <row r="37" spans="1:71" ht="15" x14ac:dyDescent="0.25">
      <c r="A37" s="34"/>
      <c r="B37" s="34"/>
      <c r="C37" s="34"/>
      <c r="D37" s="34"/>
      <c r="E37" s="34"/>
      <c r="F37" s="34" t="s">
        <v>393</v>
      </c>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3"/>
      <c r="AH37" s="33" t="s">
        <v>394</v>
      </c>
      <c r="AI37" s="33"/>
      <c r="AJ37" s="33"/>
      <c r="AK37" s="33"/>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row>
    <row r="38" spans="1:71" ht="15" x14ac:dyDescent="0.25">
      <c r="A38" s="34"/>
      <c r="B38" s="34"/>
      <c r="C38" s="34"/>
      <c r="D38" s="34"/>
      <c r="E38" s="34"/>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t="s">
        <v>638</v>
      </c>
      <c r="AI38" s="33"/>
      <c r="AJ38" s="33"/>
      <c r="AK38" s="33"/>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row>
    <row r="39" spans="1:71" ht="15" x14ac:dyDescent="0.25">
      <c r="A39" s="34"/>
      <c r="B39" s="34"/>
      <c r="C39" s="34"/>
      <c r="D39" s="34"/>
      <c r="E39" s="34"/>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180"/>
      <c r="AL39" s="65"/>
      <c r="AM39" s="65"/>
      <c r="AN39" s="65"/>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row>
    <row r="40" spans="1:71" ht="15" x14ac:dyDescent="0.25">
      <c r="A40" s="34"/>
      <c r="B40" s="34"/>
      <c r="C40" s="34"/>
      <c r="D40" s="34"/>
      <c r="E40" s="34"/>
      <c r="F40" s="34" t="s">
        <v>395</v>
      </c>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t="s">
        <v>396</v>
      </c>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row>
    <row r="41" spans="1:71" ht="15" x14ac:dyDescent="0.25">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t="s">
        <v>639</v>
      </c>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row>
    <row r="42" spans="1:71" ht="15" x14ac:dyDescent="0.25">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row>
    <row r="43" spans="1:71" ht="15" x14ac:dyDescent="0.25">
      <c r="A43" s="34"/>
      <c r="B43" s="34"/>
      <c r="C43" s="34"/>
      <c r="D43" s="34"/>
      <c r="E43" s="34"/>
      <c r="F43" s="34" t="s">
        <v>617</v>
      </c>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t="s">
        <v>618</v>
      </c>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row>
    <row r="44" spans="1:71" ht="15" x14ac:dyDescent="0.25">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row>
    <row r="45" spans="1:71" ht="15" x14ac:dyDescent="0.25">
      <c r="A45" s="34"/>
      <c r="B45" s="34"/>
      <c r="C45" s="34"/>
      <c r="D45" s="34"/>
      <c r="E45" s="34"/>
      <c r="F45" s="34" t="s">
        <v>619</v>
      </c>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t="s">
        <v>620</v>
      </c>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row>
    <row r="46" spans="1:71" ht="15" x14ac:dyDescent="0.25">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row>
    <row r="47" spans="1:71" ht="15" x14ac:dyDescent="0.25">
      <c r="A47" s="34"/>
      <c r="B47" s="34"/>
      <c r="C47" s="34"/>
      <c r="D47" s="34"/>
      <c r="E47" s="34"/>
      <c r="F47" s="34" t="s">
        <v>640</v>
      </c>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t="s">
        <v>641</v>
      </c>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row>
    <row r="48" spans="1:71" ht="15" x14ac:dyDescent="0.25">
      <c r="A48" s="34"/>
      <c r="B48" s="34"/>
      <c r="C48" s="34"/>
      <c r="D48" s="34"/>
      <c r="E48" s="34"/>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row>
    <row r="49" spans="1:71" ht="15" x14ac:dyDescent="0.25">
      <c r="A49" s="34"/>
      <c r="B49" s="34"/>
      <c r="C49" s="34"/>
      <c r="D49" s="34"/>
      <c r="E49" s="34"/>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4"/>
      <c r="BN49" s="34"/>
      <c r="BO49" s="34"/>
      <c r="BP49" s="34"/>
      <c r="BQ49" s="34"/>
      <c r="BR49" s="34"/>
      <c r="BS49" s="34"/>
    </row>
    <row r="50" spans="1:71" ht="15.75" x14ac:dyDescent="0.25">
      <c r="A50" s="34"/>
      <c r="B50" s="34"/>
      <c r="C50" s="34" t="str">
        <f>CAPA!$A$41</f>
        <v>AGÊNCIA MARITIMA CARGONAVE LTDA</v>
      </c>
      <c r="D50" s="34" t="str">
        <f>IFERROR(_xlfn.IFS(C50=F55,AH55,C50=F61,AH61,C50=F68,AH68,C50=F76,AH76,C50=F84,AH84,C50=F93,AH93,C50=F99,AH99,C50=F106,AH106,C50=F112,AH112,C50=F118,AH118,C50=F126,AH126,C50=F132,AH132,C50=F142,AH142,C50=F148,AH148,C50=F154,AH154,C50=F160,AH160,C50=F166,AH166,C50=F172,AH172,C50=F88,AH88)," ")</f>
        <v>Mr. Alan F. Oliveira</v>
      </c>
      <c r="E50" s="34"/>
      <c r="F50" s="176" t="s">
        <v>397</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4"/>
      <c r="BN50" s="34"/>
      <c r="BO50" s="34"/>
      <c r="BP50" s="34"/>
      <c r="BQ50" s="34"/>
      <c r="BR50" s="34"/>
      <c r="BS50" s="34"/>
    </row>
    <row r="51" spans="1:71" ht="15" x14ac:dyDescent="0.25">
      <c r="A51" s="34"/>
      <c r="B51" s="34"/>
      <c r="C51" s="34"/>
      <c r="D51" s="34" t="str">
        <f>IFERROR(_xlfn.IFS(C50=F55,AH56,C50=F61,AH62,C50=F68,AH69,C50=F76,AH77,C50=F84,AH85,C50=F93,AH94,C50=F99,AH100,C50=F106,AH107,C50=F112,AH113,C50=F118,AH119,C50=F126,AH127,C50=F132,AH133,C50=F142,AH143,C50=F148,AH149,C50=F154,AH155,C50=F160,AH161,C50=F166,AH167,C50=F172,AH173,C50=F88,AH89)," ")</f>
        <v>Mr. Renan Calixto</v>
      </c>
      <c r="E51" s="34"/>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4"/>
      <c r="BN51" s="34"/>
      <c r="BO51" s="34"/>
      <c r="BP51" s="34"/>
      <c r="BQ51" s="34"/>
      <c r="BR51" s="34"/>
      <c r="BS51" s="34"/>
    </row>
    <row r="52" spans="1:71" ht="15" x14ac:dyDescent="0.25">
      <c r="A52" s="34"/>
      <c r="B52" s="34"/>
      <c r="C52" s="34"/>
      <c r="D52" s="34" t="str">
        <f>IFERROR(_xlfn.IFS(C50=F61,AH63,C50=F68,AH70,C50=F76,AH78,C50=F84,AH86,C50=F99,AH101,C50=F118,AH120,C50=F132,AH134,C50=F172,AH174,C50=F55,AH57,C50=F112,AH114,C50=F88,AH90)," ")</f>
        <v>Mr. Lorram Gabriel Florentino</v>
      </c>
      <c r="E52" s="34"/>
      <c r="F52" s="178"/>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row>
    <row r="53" spans="1:71" ht="15" x14ac:dyDescent="0.25">
      <c r="A53" s="34"/>
      <c r="B53" s="34"/>
      <c r="C53" s="34"/>
      <c r="D53" s="34">
        <f>IFERROR(_xlfn.IFS(C50=F68,AH71,C50=F84,AH87,C50=F118,AH121,C50=F132,AH135,C50=F172,AH175,C50=F88,AH91)," ")</f>
        <v>0</v>
      </c>
      <c r="E53" s="34"/>
      <c r="F53" s="43" t="s">
        <v>398</v>
      </c>
      <c r="G53" s="43"/>
      <c r="H53" s="43"/>
      <c r="I53" s="43"/>
      <c r="J53" s="43"/>
      <c r="K53" s="43"/>
      <c r="L53" s="43"/>
      <c r="M53" s="43"/>
      <c r="N53" s="43"/>
      <c r="O53" s="186"/>
      <c r="P53" s="186"/>
      <c r="Q53" s="186"/>
      <c r="R53" s="186"/>
      <c r="S53" s="186"/>
      <c r="T53" s="186"/>
      <c r="U53" s="186"/>
      <c r="V53" s="186"/>
      <c r="W53" s="186"/>
      <c r="X53" s="186"/>
      <c r="Y53" s="186"/>
      <c r="Z53" s="186"/>
      <c r="AA53" s="186"/>
      <c r="AB53" s="186"/>
      <c r="AC53" s="186"/>
      <c r="AD53" s="186"/>
      <c r="AE53" s="186"/>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row>
    <row r="54" spans="1:71" ht="15" x14ac:dyDescent="0.25">
      <c r="A54" s="34"/>
      <c r="B54" s="34"/>
      <c r="C54" s="34"/>
      <c r="D54" s="34" t="str">
        <f>IFERROR(_xlfn.IFS(C50=F132,AH136,C50=F172,AH176)," ")</f>
        <v xml:space="preserve"> </v>
      </c>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row>
    <row r="55" spans="1:71" s="68" customFormat="1" ht="15" x14ac:dyDescent="0.25">
      <c r="A55" s="65"/>
      <c r="B55" s="65"/>
      <c r="C55" s="65"/>
      <c r="D55" s="65" t="str">
        <f>IFERROR(_xlfn.IFS(C50=F132,AH137,C50=F172,AH177)," ")</f>
        <v xml:space="preserve"> </v>
      </c>
      <c r="E55" s="65"/>
      <c r="F55" s="33" t="s">
        <v>158</v>
      </c>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t="s">
        <v>735</v>
      </c>
      <c r="AI55" s="33"/>
      <c r="AJ55" s="33"/>
      <c r="AK55" s="33"/>
      <c r="AL55" s="33"/>
      <c r="AM55" s="33"/>
      <c r="AN55" s="33"/>
      <c r="AO55" s="33"/>
      <c r="AP55" s="33"/>
      <c r="AQ55" s="33"/>
      <c r="AR55" s="33"/>
      <c r="AS55" s="33"/>
      <c r="AT55" s="33"/>
      <c r="AU55" s="33"/>
      <c r="AV55" s="33"/>
      <c r="AW55" s="33"/>
      <c r="AX55" s="33"/>
      <c r="AY55" s="33"/>
      <c r="AZ55" s="65"/>
      <c r="BA55" s="65"/>
      <c r="BB55" s="65"/>
      <c r="BC55" s="65"/>
      <c r="BD55" s="65"/>
      <c r="BE55" s="65"/>
      <c r="BF55" s="65"/>
      <c r="BG55" s="65"/>
      <c r="BH55" s="65"/>
      <c r="BI55" s="65"/>
      <c r="BJ55" s="65"/>
      <c r="BK55" s="65"/>
      <c r="BL55" s="65"/>
      <c r="BM55" s="65"/>
      <c r="BN55" s="65"/>
      <c r="BO55" s="65"/>
      <c r="BP55" s="65"/>
      <c r="BQ55" s="65"/>
      <c r="BR55" s="65"/>
      <c r="BS55" s="65"/>
    </row>
    <row r="56" spans="1:71" s="68" customFormat="1" ht="15" x14ac:dyDescent="0.25">
      <c r="A56" s="65"/>
      <c r="B56" s="65"/>
      <c r="C56" s="65"/>
      <c r="D56" s="65"/>
      <c r="E56" s="65"/>
      <c r="F56" s="33" t="s">
        <v>399</v>
      </c>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t="s">
        <v>736</v>
      </c>
      <c r="AI56" s="33"/>
      <c r="AJ56" s="33"/>
      <c r="AK56" s="33"/>
      <c r="AL56" s="33"/>
      <c r="AM56" s="33"/>
      <c r="AN56" s="33"/>
      <c r="AO56" s="33"/>
      <c r="AP56" s="33"/>
      <c r="AQ56" s="33"/>
      <c r="AR56" s="33"/>
      <c r="AS56" s="33"/>
      <c r="AT56" s="33"/>
      <c r="AU56" s="33"/>
      <c r="AV56" s="33"/>
      <c r="AW56" s="33"/>
      <c r="AX56" s="33"/>
      <c r="AY56" s="33"/>
      <c r="AZ56" s="65"/>
      <c r="BA56" s="65"/>
      <c r="BB56" s="65"/>
      <c r="BC56" s="65"/>
      <c r="BD56" s="65"/>
      <c r="BE56" s="65"/>
      <c r="BF56" s="65"/>
      <c r="BG56" s="65"/>
      <c r="BH56" s="65"/>
      <c r="BI56" s="65"/>
      <c r="BJ56" s="65"/>
      <c r="BK56" s="65"/>
      <c r="BL56" s="65"/>
      <c r="BM56" s="65"/>
      <c r="BN56" s="65"/>
      <c r="BO56" s="65"/>
      <c r="BP56" s="65"/>
      <c r="BQ56" s="65"/>
      <c r="BR56" s="65"/>
      <c r="BS56" s="65"/>
    </row>
    <row r="57" spans="1:71" s="68" customFormat="1" ht="15" x14ac:dyDescent="0.25">
      <c r="A57" s="65"/>
      <c r="B57" s="65"/>
      <c r="C57" s="65"/>
      <c r="D57" s="65"/>
      <c r="E57" s="65"/>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t="s">
        <v>743</v>
      </c>
      <c r="AI57" s="33"/>
      <c r="AJ57" s="33"/>
      <c r="AK57" s="33"/>
      <c r="AL57" s="33"/>
      <c r="AM57" s="33"/>
      <c r="AN57" s="33"/>
      <c r="AO57" s="33"/>
      <c r="AP57" s="33"/>
      <c r="AQ57" s="33"/>
      <c r="AR57" s="33"/>
      <c r="AS57" s="33"/>
      <c r="AT57" s="33"/>
      <c r="AU57" s="33"/>
      <c r="AV57" s="33"/>
      <c r="AW57" s="33"/>
      <c r="AX57" s="33"/>
      <c r="AY57" s="33"/>
      <c r="AZ57" s="65"/>
      <c r="BA57" s="65"/>
      <c r="BB57" s="65"/>
      <c r="BC57" s="65"/>
      <c r="BD57" s="65"/>
      <c r="BE57" s="65"/>
      <c r="BF57" s="65"/>
      <c r="BG57" s="65"/>
      <c r="BH57" s="65"/>
      <c r="BI57" s="65"/>
      <c r="BJ57" s="65"/>
      <c r="BK57" s="65"/>
      <c r="BL57" s="65"/>
      <c r="BM57" s="65"/>
      <c r="BN57" s="65"/>
      <c r="BO57" s="65"/>
      <c r="BP57" s="65"/>
      <c r="BQ57" s="65"/>
      <c r="BR57" s="65"/>
      <c r="BS57" s="65"/>
    </row>
    <row r="58" spans="1:71" s="68" customFormat="1" ht="15" x14ac:dyDescent="0.25">
      <c r="A58" s="65"/>
      <c r="B58" s="65"/>
      <c r="C58" s="65"/>
      <c r="D58" s="65"/>
      <c r="E58" s="65"/>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65"/>
      <c r="BA58" s="65"/>
      <c r="BB58" s="65"/>
      <c r="BC58" s="65"/>
      <c r="BD58" s="65"/>
      <c r="BE58" s="65"/>
      <c r="BF58" s="65"/>
      <c r="BG58" s="65"/>
      <c r="BH58" s="65"/>
      <c r="BI58" s="65"/>
      <c r="BJ58" s="65"/>
      <c r="BK58" s="65"/>
      <c r="BL58" s="65"/>
      <c r="BM58" s="65"/>
      <c r="BN58" s="65"/>
      <c r="BO58" s="65"/>
      <c r="BP58" s="65"/>
      <c r="BQ58" s="65"/>
      <c r="BR58" s="65"/>
      <c r="BS58" s="65"/>
    </row>
    <row r="59" spans="1:71" ht="15" x14ac:dyDescent="0.25">
      <c r="A59" s="34"/>
      <c r="B59" s="34"/>
      <c r="C59" s="34"/>
      <c r="D59" s="34"/>
      <c r="E59" s="34"/>
      <c r="F59" s="43" t="s">
        <v>400</v>
      </c>
      <c r="G59" s="43"/>
      <c r="H59" s="43"/>
      <c r="I59" s="43"/>
      <c r="J59" s="43"/>
      <c r="K59" s="43"/>
      <c r="L59" s="43"/>
      <c r="M59" s="43"/>
      <c r="N59" s="43"/>
      <c r="O59" s="186"/>
      <c r="P59" s="186"/>
      <c r="Q59" s="186"/>
      <c r="R59" s="186"/>
      <c r="S59" s="186"/>
      <c r="T59" s="186"/>
      <c r="U59" s="186"/>
      <c r="V59" s="186"/>
      <c r="W59" s="186"/>
      <c r="X59" s="186"/>
      <c r="Y59" s="186"/>
      <c r="Z59" s="186"/>
      <c r="AA59" s="186"/>
      <c r="AB59" s="186"/>
      <c r="AC59" s="186"/>
      <c r="AD59" s="186"/>
      <c r="AE59" s="186"/>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row>
    <row r="60" spans="1:71" ht="15" x14ac:dyDescent="0.25">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row>
    <row r="61" spans="1:71" s="181" customFormat="1" ht="15" customHeight="1" x14ac:dyDescent="0.25">
      <c r="A61" s="65"/>
      <c r="B61" s="65"/>
      <c r="C61" s="65"/>
      <c r="D61" s="65"/>
      <c r="E61" s="65"/>
      <c r="F61" s="33" t="s">
        <v>159</v>
      </c>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t="s">
        <v>737</v>
      </c>
      <c r="AI61" s="33"/>
      <c r="AJ61" s="33"/>
      <c r="AK61" s="33"/>
      <c r="AL61" s="33"/>
      <c r="AM61" s="33"/>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187"/>
      <c r="BN61" s="65"/>
      <c r="BO61" s="65"/>
      <c r="BP61" s="65"/>
      <c r="BQ61" s="65"/>
      <c r="BR61" s="65"/>
      <c r="BS61" s="65"/>
    </row>
    <row r="62" spans="1:71" s="181" customFormat="1" ht="15" customHeight="1" x14ac:dyDescent="0.25">
      <c r="A62" s="65"/>
      <c r="B62" s="65"/>
      <c r="C62" s="65"/>
      <c r="D62" s="65"/>
      <c r="E62" s="65"/>
      <c r="F62" s="33" t="s">
        <v>42</v>
      </c>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t="s">
        <v>738</v>
      </c>
      <c r="AI62" s="33"/>
      <c r="AJ62" s="33"/>
      <c r="AK62" s="33"/>
      <c r="AL62" s="33"/>
      <c r="AM62" s="33"/>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row>
    <row r="63" spans="1:71" s="181" customFormat="1" ht="15" customHeight="1" x14ac:dyDescent="0.25">
      <c r="A63" s="65"/>
      <c r="B63" s="65"/>
      <c r="C63" s="65"/>
      <c r="D63" s="65"/>
      <c r="E63" s="65"/>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row>
    <row r="64" spans="1:71" s="181" customFormat="1" ht="15" customHeight="1" x14ac:dyDescent="0.25">
      <c r="A64" s="65"/>
      <c r="B64" s="65"/>
      <c r="C64" s="65"/>
      <c r="D64" s="65"/>
      <c r="E64" s="65"/>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row>
    <row r="65" spans="1:71" s="181" customFormat="1" ht="15" customHeight="1" x14ac:dyDescent="0.25">
      <c r="A65" s="65"/>
      <c r="B65" s="65"/>
      <c r="C65" s="65"/>
      <c r="D65" s="65"/>
      <c r="E65" s="65"/>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row>
    <row r="66" spans="1:71" ht="15" x14ac:dyDescent="0.25">
      <c r="A66" s="34"/>
      <c r="B66" s="34"/>
      <c r="C66" s="34"/>
      <c r="D66" s="34"/>
      <c r="E66" s="34"/>
      <c r="F66" s="43" t="s">
        <v>642</v>
      </c>
      <c r="G66" s="43"/>
      <c r="H66" s="43"/>
      <c r="I66" s="43"/>
      <c r="J66" s="43"/>
      <c r="K66" s="43"/>
      <c r="L66" s="43"/>
      <c r="M66" s="43"/>
      <c r="N66" s="43"/>
      <c r="O66" s="186"/>
      <c r="P66" s="186"/>
      <c r="Q66" s="186"/>
      <c r="R66" s="186"/>
      <c r="S66" s="186"/>
      <c r="T66" s="186"/>
      <c r="U66" s="186"/>
      <c r="V66" s="186"/>
      <c r="W66" s="186"/>
      <c r="X66" s="186"/>
      <c r="Y66" s="186"/>
      <c r="Z66" s="186"/>
      <c r="AA66" s="186"/>
      <c r="AB66" s="186"/>
      <c r="AC66" s="186"/>
      <c r="AD66" s="186"/>
      <c r="AE66" s="186"/>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row>
    <row r="67" spans="1:71" ht="15" x14ac:dyDescent="0.25">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row>
    <row r="68" spans="1:71" s="181" customFormat="1" ht="15" customHeight="1" x14ac:dyDescent="0.25">
      <c r="A68" s="65"/>
      <c r="B68" s="65"/>
      <c r="C68" s="65"/>
      <c r="D68" s="65"/>
      <c r="E68" s="65"/>
      <c r="F68" s="33" t="s">
        <v>643</v>
      </c>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t="s">
        <v>739</v>
      </c>
      <c r="AI68" s="33"/>
      <c r="AJ68" s="33"/>
      <c r="AK68" s="33"/>
      <c r="AL68" s="33"/>
      <c r="AM68" s="33"/>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187"/>
      <c r="BN68" s="65"/>
      <c r="BO68" s="65"/>
      <c r="BP68" s="65"/>
      <c r="BQ68" s="65"/>
      <c r="BR68" s="65"/>
      <c r="BS68" s="65"/>
    </row>
    <row r="69" spans="1:71" s="181" customFormat="1" ht="15" customHeight="1" x14ac:dyDescent="0.25">
      <c r="A69" s="65"/>
      <c r="B69" s="65"/>
      <c r="C69" s="65"/>
      <c r="D69" s="65"/>
      <c r="E69" s="65"/>
      <c r="F69" s="33" t="s">
        <v>42</v>
      </c>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t="s">
        <v>740</v>
      </c>
      <c r="AI69" s="33"/>
      <c r="AJ69" s="33"/>
      <c r="AK69" s="33"/>
      <c r="AL69" s="33"/>
      <c r="AM69" s="33"/>
      <c r="AN69" s="65"/>
      <c r="AO69" s="65"/>
      <c r="AP69" s="65"/>
      <c r="AQ69" s="65"/>
      <c r="AR69" s="65"/>
      <c r="AS69" s="65"/>
      <c r="AT69" s="65"/>
      <c r="AU69" s="65"/>
      <c r="AV69" s="65"/>
      <c r="AW69" s="65"/>
      <c r="AX69" s="65"/>
      <c r="AY69" s="65"/>
      <c r="AZ69" s="65"/>
      <c r="BA69" s="65"/>
      <c r="BB69" s="65"/>
      <c r="BC69" s="65"/>
      <c r="BD69" s="65"/>
      <c r="BE69" s="65"/>
      <c r="BF69" s="65"/>
      <c r="BG69" s="65"/>
      <c r="BH69" s="65"/>
      <c r="BI69" s="65"/>
      <c r="BJ69" s="65"/>
      <c r="BK69" s="65"/>
      <c r="BL69" s="65"/>
      <c r="BM69" s="65"/>
      <c r="BN69" s="65"/>
      <c r="BO69" s="65"/>
      <c r="BP69" s="65"/>
      <c r="BQ69" s="65"/>
      <c r="BR69" s="65"/>
      <c r="BS69" s="65"/>
    </row>
    <row r="70" spans="1:71" s="181" customFormat="1" ht="15" customHeight="1" x14ac:dyDescent="0.25">
      <c r="A70" s="65"/>
      <c r="B70" s="65"/>
      <c r="C70" s="65"/>
      <c r="D70" s="65"/>
      <c r="E70" s="65"/>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row>
    <row r="71" spans="1:71" s="181" customFormat="1" ht="15" customHeight="1" x14ac:dyDescent="0.25">
      <c r="A71" s="65"/>
      <c r="B71" s="65"/>
      <c r="C71" s="65"/>
      <c r="D71" s="65"/>
      <c r="E71" s="65"/>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row>
    <row r="72" spans="1:71" s="181" customFormat="1" ht="15" customHeight="1" x14ac:dyDescent="0.25">
      <c r="A72" s="65"/>
      <c r="B72" s="65"/>
      <c r="C72" s="65"/>
      <c r="D72" s="65"/>
      <c r="E72" s="65"/>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5"/>
      <c r="BR72" s="65"/>
      <c r="BS72" s="65"/>
    </row>
    <row r="73" spans="1:71" s="181" customFormat="1" ht="15" customHeight="1" x14ac:dyDescent="0.25">
      <c r="A73" s="65"/>
      <c r="B73" s="65"/>
      <c r="C73" s="65"/>
      <c r="D73" s="65"/>
      <c r="E73" s="65"/>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row>
    <row r="74" spans="1:71" ht="15" x14ac:dyDescent="0.25">
      <c r="A74" s="34"/>
      <c r="B74" s="34"/>
      <c r="C74" s="34"/>
      <c r="D74" s="34"/>
      <c r="E74" s="34"/>
      <c r="F74" s="43" t="s">
        <v>344</v>
      </c>
      <c r="G74" s="43"/>
      <c r="H74" s="43"/>
      <c r="I74" s="43"/>
      <c r="J74" s="43"/>
      <c r="K74" s="43"/>
      <c r="L74" s="43"/>
      <c r="M74" s="43"/>
      <c r="N74" s="43"/>
      <c r="O74" s="186"/>
      <c r="P74" s="186"/>
      <c r="Q74" s="186"/>
      <c r="R74" s="186"/>
      <c r="S74" s="186"/>
      <c r="T74" s="186"/>
      <c r="U74" s="186"/>
      <c r="V74" s="186"/>
      <c r="W74" s="186"/>
      <c r="X74" s="186"/>
      <c r="Y74" s="186"/>
      <c r="Z74" s="186"/>
      <c r="AA74" s="186"/>
      <c r="AB74" s="186"/>
      <c r="AC74" s="186"/>
      <c r="AD74" s="186"/>
      <c r="AE74" s="186"/>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row>
    <row r="75" spans="1:71" ht="15" x14ac:dyDescent="0.25">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row>
    <row r="76" spans="1:71" ht="15" x14ac:dyDescent="0.25">
      <c r="A76" s="34"/>
      <c r="B76" s="34"/>
      <c r="C76" s="34"/>
      <c r="D76" s="34"/>
      <c r="E76" s="34"/>
      <c r="F76" s="34" t="s">
        <v>160</v>
      </c>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t="s">
        <v>402</v>
      </c>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row>
    <row r="77" spans="1:71" ht="15" x14ac:dyDescent="0.25">
      <c r="A77" s="34"/>
      <c r="B77" s="34"/>
      <c r="C77" s="34"/>
      <c r="D77" s="34"/>
      <c r="E77" s="34"/>
      <c r="F77" s="34" t="s">
        <v>42</v>
      </c>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t="s">
        <v>741</v>
      </c>
      <c r="AI77" s="34"/>
      <c r="AJ77" s="34"/>
      <c r="AK77" s="34"/>
      <c r="AL77" s="34"/>
      <c r="AM77" s="34"/>
      <c r="AN77" s="33"/>
      <c r="AO77" s="33"/>
      <c r="AP77" s="33"/>
      <c r="AQ77" s="33"/>
      <c r="AR77" s="33"/>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row>
    <row r="78" spans="1:71" ht="15" x14ac:dyDescent="0.25">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row>
    <row r="79" spans="1:71" ht="15" x14ac:dyDescent="0.25">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row>
    <row r="80" spans="1:71" ht="15" x14ac:dyDescent="0.25">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row>
    <row r="81" spans="1:71" ht="15" x14ac:dyDescent="0.25">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row>
    <row r="82" spans="1:71" ht="15" x14ac:dyDescent="0.25">
      <c r="A82" s="34"/>
      <c r="B82" s="34"/>
      <c r="C82" s="34"/>
      <c r="D82" s="34"/>
      <c r="E82" s="34"/>
      <c r="F82" s="43" t="s">
        <v>644</v>
      </c>
      <c r="G82" s="43"/>
      <c r="H82" s="43"/>
      <c r="I82" s="43"/>
      <c r="J82" s="43"/>
      <c r="K82" s="43"/>
      <c r="L82" s="43"/>
      <c r="M82" s="43"/>
      <c r="N82" s="43"/>
      <c r="O82" s="186"/>
      <c r="P82" s="186"/>
      <c r="Q82" s="186"/>
      <c r="R82" s="186"/>
      <c r="S82" s="186"/>
      <c r="T82" s="186"/>
      <c r="U82" s="186"/>
      <c r="V82" s="186"/>
      <c r="W82" s="186"/>
      <c r="X82" s="186"/>
      <c r="Y82" s="186"/>
      <c r="Z82" s="186"/>
      <c r="AA82" s="186"/>
      <c r="AB82" s="186"/>
      <c r="AC82" s="186"/>
      <c r="AD82" s="186"/>
      <c r="AE82" s="186"/>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row>
    <row r="83" spans="1:71" ht="15" x14ac:dyDescent="0.25">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row>
    <row r="84" spans="1:71" ht="15" x14ac:dyDescent="0.25">
      <c r="A84" s="34"/>
      <c r="B84" s="34"/>
      <c r="C84" s="34"/>
      <c r="D84" s="34"/>
      <c r="E84" s="34"/>
      <c r="F84" s="34" t="s">
        <v>645</v>
      </c>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t="s">
        <v>646</v>
      </c>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row>
    <row r="85" spans="1:71" ht="15" x14ac:dyDescent="0.25">
      <c r="A85" s="34"/>
      <c r="B85" s="34"/>
      <c r="C85" s="34"/>
      <c r="D85" s="34"/>
      <c r="E85" s="34"/>
      <c r="F85" s="34" t="s">
        <v>42</v>
      </c>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t="s">
        <v>647</v>
      </c>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row>
    <row r="86" spans="1:71" ht="15" x14ac:dyDescent="0.25">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row>
    <row r="87" spans="1:71" ht="15" x14ac:dyDescent="0.25">
      <c r="A87" s="34"/>
      <c r="B87" s="34"/>
      <c r="C87" s="34"/>
      <c r="D87" s="34"/>
      <c r="E87" s="34"/>
      <c r="F87" s="34" t="s">
        <v>648</v>
      </c>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row>
    <row r="88" spans="1:71" ht="15" x14ac:dyDescent="0.25">
      <c r="A88" s="34"/>
      <c r="B88" s="34"/>
      <c r="C88" s="34"/>
      <c r="D88" s="34"/>
      <c r="E88" s="34"/>
      <c r="F88" s="34" t="s">
        <v>162</v>
      </c>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t="s">
        <v>698</v>
      </c>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row>
    <row r="89" spans="1:71" ht="15" x14ac:dyDescent="0.25">
      <c r="A89" s="34"/>
      <c r="B89" s="34"/>
      <c r="C89" s="34"/>
      <c r="D89" s="34"/>
      <c r="E89" s="34"/>
      <c r="F89" s="34" t="s">
        <v>42</v>
      </c>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t="s">
        <v>401</v>
      </c>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row>
    <row r="90" spans="1:71" ht="15" x14ac:dyDescent="0.25">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t="s">
        <v>742</v>
      </c>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row>
    <row r="91" spans="1:71" ht="15" x14ac:dyDescent="0.25">
      <c r="A91" s="34"/>
      <c r="B91" s="34"/>
      <c r="C91" s="34"/>
      <c r="D91" s="34"/>
      <c r="E91" s="34"/>
      <c r="F91" s="43"/>
      <c r="G91" s="43"/>
      <c r="H91" s="43"/>
      <c r="I91" s="43"/>
      <c r="J91" s="43"/>
      <c r="K91" s="43"/>
      <c r="L91" s="43"/>
      <c r="M91" s="43"/>
      <c r="N91" s="43"/>
      <c r="O91" s="186"/>
      <c r="P91" s="186"/>
      <c r="Q91" s="186"/>
      <c r="R91" s="186"/>
      <c r="S91" s="186"/>
      <c r="T91" s="186"/>
      <c r="U91" s="186"/>
      <c r="V91" s="186"/>
      <c r="W91" s="186"/>
      <c r="X91" s="186"/>
      <c r="Y91" s="186"/>
      <c r="Z91" s="186"/>
      <c r="AA91" s="186"/>
      <c r="AB91" s="186"/>
      <c r="AC91" s="186"/>
      <c r="AD91" s="186"/>
      <c r="AE91" s="186"/>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row>
    <row r="92" spans="1:71" ht="15" x14ac:dyDescent="0.25">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row>
    <row r="93" spans="1:71" ht="15" x14ac:dyDescent="0.25">
      <c r="A93" s="34"/>
      <c r="B93" s="34"/>
      <c r="C93" s="34"/>
      <c r="D93" s="34"/>
      <c r="E93" s="34"/>
      <c r="F93" s="34" t="s">
        <v>165</v>
      </c>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row>
    <row r="94" spans="1:71" ht="15" x14ac:dyDescent="0.25">
      <c r="A94" s="34"/>
      <c r="B94" s="34"/>
      <c r="C94" s="34"/>
      <c r="D94" s="34"/>
      <c r="E94" s="34"/>
      <c r="F94" s="34" t="s">
        <v>42</v>
      </c>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row>
    <row r="95" spans="1:71" ht="15" x14ac:dyDescent="0.25">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row>
    <row r="96" spans="1:71" ht="15" x14ac:dyDescent="0.25">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row>
    <row r="97" spans="1:71" ht="15" x14ac:dyDescent="0.25">
      <c r="A97" s="34"/>
      <c r="B97" s="34"/>
      <c r="C97" s="34"/>
      <c r="D97" s="34"/>
      <c r="E97" s="34"/>
      <c r="F97" s="43" t="s">
        <v>404</v>
      </c>
      <c r="G97" s="43"/>
      <c r="H97" s="43"/>
      <c r="I97" s="43"/>
      <c r="J97" s="43"/>
      <c r="K97" s="43"/>
      <c r="L97" s="43"/>
      <c r="M97" s="43"/>
      <c r="N97" s="43"/>
      <c r="O97" s="186"/>
      <c r="P97" s="186"/>
      <c r="Q97" s="186"/>
      <c r="R97" s="186"/>
      <c r="S97" s="186"/>
      <c r="T97" s="186"/>
      <c r="U97" s="186"/>
      <c r="V97" s="186"/>
      <c r="W97" s="186"/>
      <c r="X97" s="186"/>
      <c r="Y97" s="186"/>
      <c r="Z97" s="186"/>
      <c r="AA97" s="186"/>
      <c r="AB97" s="186"/>
      <c r="AC97" s="186"/>
      <c r="AD97" s="186"/>
      <c r="AE97" s="186"/>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row>
    <row r="98" spans="1:71" ht="15" x14ac:dyDescent="0.25">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row>
    <row r="99" spans="1:71" ht="15" x14ac:dyDescent="0.25">
      <c r="A99" s="34"/>
      <c r="B99" s="34"/>
      <c r="C99" s="34"/>
      <c r="D99" s="34"/>
      <c r="E99" s="34"/>
      <c r="F99" s="33" t="s">
        <v>164</v>
      </c>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t="s">
        <v>649</v>
      </c>
      <c r="AI99" s="33"/>
      <c r="AJ99" s="33"/>
      <c r="AK99" s="33"/>
      <c r="AL99" s="33"/>
      <c r="AM99" s="33"/>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row>
    <row r="100" spans="1:71" ht="15" x14ac:dyDescent="0.25">
      <c r="A100" s="34"/>
      <c r="B100" s="34"/>
      <c r="C100" s="34"/>
      <c r="D100" s="34"/>
      <c r="E100" s="34"/>
      <c r="F100" s="33" t="s">
        <v>42</v>
      </c>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t="s">
        <v>406</v>
      </c>
      <c r="AI100" s="33"/>
      <c r="AJ100" s="33"/>
      <c r="AK100" s="33"/>
      <c r="AL100" s="33"/>
      <c r="AM100" s="33"/>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row>
    <row r="101" spans="1:71" ht="15" x14ac:dyDescent="0.25">
      <c r="A101" s="34"/>
      <c r="B101" s="34"/>
      <c r="C101" s="34"/>
      <c r="D101" s="34"/>
      <c r="E101" s="34"/>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t="s">
        <v>407</v>
      </c>
      <c r="AI101" s="33"/>
      <c r="AJ101" s="33"/>
      <c r="AK101" s="33"/>
      <c r="AL101" s="33"/>
      <c r="AM101" s="33"/>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row>
    <row r="102" spans="1:71" ht="15" x14ac:dyDescent="0.25">
      <c r="A102" s="34"/>
      <c r="B102" s="34"/>
      <c r="C102" s="34"/>
      <c r="D102" s="34"/>
      <c r="E102" s="34"/>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row>
    <row r="103" spans="1:71" s="181" customFormat="1" ht="15" customHeight="1" x14ac:dyDescent="0.25">
      <c r="A103" s="65"/>
      <c r="B103" s="65"/>
      <c r="C103" s="65"/>
      <c r="D103" s="65"/>
      <c r="E103" s="65"/>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row>
    <row r="104" spans="1:71" ht="15" x14ac:dyDescent="0.25">
      <c r="A104" s="34"/>
      <c r="B104" s="34"/>
      <c r="C104" s="34"/>
      <c r="D104" s="34"/>
      <c r="E104" s="34"/>
      <c r="F104" s="43" t="s">
        <v>408</v>
      </c>
      <c r="G104" s="43"/>
      <c r="H104" s="43"/>
      <c r="I104" s="43"/>
      <c r="J104" s="43"/>
      <c r="K104" s="43"/>
      <c r="L104" s="43"/>
      <c r="M104" s="43"/>
      <c r="N104" s="43"/>
      <c r="O104" s="186"/>
      <c r="P104" s="186"/>
      <c r="Q104" s="186"/>
      <c r="R104" s="186"/>
      <c r="S104" s="186"/>
      <c r="T104" s="186"/>
      <c r="U104" s="186"/>
      <c r="V104" s="186"/>
      <c r="W104" s="186"/>
      <c r="X104" s="186"/>
      <c r="Y104" s="186"/>
      <c r="Z104" s="186"/>
      <c r="AA104" s="186"/>
      <c r="AB104" s="186"/>
      <c r="AC104" s="186"/>
      <c r="AD104" s="186"/>
      <c r="AE104" s="186"/>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row>
    <row r="105" spans="1:71" ht="15" x14ac:dyDescent="0.25">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row>
    <row r="106" spans="1:71" ht="15" x14ac:dyDescent="0.25">
      <c r="A106" s="34"/>
      <c r="B106" s="34"/>
      <c r="C106" s="34"/>
      <c r="D106" s="34"/>
      <c r="E106" s="34"/>
      <c r="F106" s="33" t="s">
        <v>168</v>
      </c>
      <c r="G106" s="33"/>
      <c r="H106" s="33"/>
      <c r="I106" s="33"/>
      <c r="J106" s="33"/>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t="s">
        <v>729</v>
      </c>
      <c r="AI106" s="33"/>
      <c r="AJ106" s="33"/>
      <c r="AK106" s="33"/>
      <c r="AL106" s="33"/>
      <c r="AM106" s="33"/>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row>
    <row r="107" spans="1:71" ht="15" x14ac:dyDescent="0.25">
      <c r="A107" s="34"/>
      <c r="B107" s="34"/>
      <c r="C107" s="34"/>
      <c r="D107" s="34"/>
      <c r="E107" s="34"/>
      <c r="F107" s="33" t="s">
        <v>42</v>
      </c>
      <c r="G107" s="33"/>
      <c r="H107" s="33"/>
      <c r="I107" s="33"/>
      <c r="J107" s="33"/>
      <c r="K107" s="33"/>
      <c r="L107" s="33"/>
      <c r="M107" s="33"/>
      <c r="N107" s="33"/>
      <c r="O107" s="33"/>
      <c r="P107" s="33"/>
      <c r="Q107" s="33"/>
      <c r="R107" s="33"/>
      <c r="S107" s="33"/>
      <c r="T107" s="33"/>
      <c r="U107" s="33"/>
      <c r="V107" s="33"/>
      <c r="W107" s="33"/>
      <c r="X107" s="33"/>
      <c r="Y107" s="33"/>
      <c r="Z107" s="33"/>
      <c r="AA107" s="33"/>
      <c r="AB107" s="33"/>
      <c r="AC107" s="33"/>
      <c r="AD107" s="33"/>
      <c r="AE107" s="33"/>
      <c r="AF107" s="33"/>
      <c r="AG107" s="33"/>
      <c r="AH107" s="33" t="s">
        <v>730</v>
      </c>
      <c r="AI107" s="33"/>
      <c r="AJ107" s="33"/>
      <c r="AK107" s="33"/>
      <c r="AL107" s="33"/>
      <c r="AM107" s="33"/>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row>
    <row r="108" spans="1:71" ht="15" x14ac:dyDescent="0.25">
      <c r="A108" s="34"/>
      <c r="B108" s="34"/>
      <c r="C108" s="34"/>
      <c r="D108" s="34"/>
      <c r="E108" s="34"/>
      <c r="F108" s="33"/>
      <c r="G108" s="33"/>
      <c r="H108" s="33"/>
      <c r="I108" s="33"/>
      <c r="J108" s="33"/>
      <c r="K108" s="33"/>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row>
    <row r="109" spans="1:71" s="181" customFormat="1" ht="15" customHeight="1" x14ac:dyDescent="0.25">
      <c r="A109" s="65"/>
      <c r="B109" s="65"/>
      <c r="C109" s="65"/>
      <c r="D109" s="65"/>
      <c r="E109" s="65"/>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row>
    <row r="110" spans="1:71" ht="15" x14ac:dyDescent="0.25">
      <c r="A110" s="34"/>
      <c r="B110" s="34"/>
      <c r="C110" s="34"/>
      <c r="D110" s="34"/>
      <c r="E110" s="34"/>
      <c r="F110" s="43" t="s">
        <v>409</v>
      </c>
      <c r="G110" s="43"/>
      <c r="H110" s="43"/>
      <c r="I110" s="43"/>
      <c r="J110" s="43"/>
      <c r="K110" s="43"/>
      <c r="L110" s="43"/>
      <c r="M110" s="43"/>
      <c r="N110" s="43"/>
      <c r="O110" s="186"/>
      <c r="P110" s="186"/>
      <c r="Q110" s="186"/>
      <c r="R110" s="186"/>
      <c r="S110" s="186"/>
      <c r="T110" s="186"/>
      <c r="U110" s="186"/>
      <c r="V110" s="186"/>
      <c r="W110" s="186"/>
      <c r="X110" s="186"/>
      <c r="Y110" s="186"/>
      <c r="Z110" s="186"/>
      <c r="AA110" s="186"/>
      <c r="AB110" s="186"/>
      <c r="AC110" s="186"/>
      <c r="AD110" s="186"/>
      <c r="AE110" s="186"/>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row>
    <row r="111" spans="1:71" ht="15" x14ac:dyDescent="0.25">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650</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651</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652</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1" customFormat="1" ht="15" customHeight="1" x14ac:dyDescent="0.25">
      <c r="A115" s="65"/>
      <c r="B115" s="65"/>
      <c r="C115" s="65"/>
      <c r="D115" s="65"/>
      <c r="E115" s="65"/>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65"/>
      <c r="AV115" s="65"/>
      <c r="AW115" s="65"/>
      <c r="AX115" s="65"/>
      <c r="AY115" s="65"/>
      <c r="AZ115" s="65"/>
      <c r="BA115" s="65"/>
      <c r="BB115" s="65"/>
      <c r="BC115" s="65"/>
      <c r="BD115" s="65"/>
      <c r="BE115" s="65"/>
      <c r="BF115" s="65"/>
      <c r="BG115" s="65"/>
      <c r="BH115" s="65"/>
      <c r="BI115" s="65"/>
      <c r="BJ115" s="65"/>
      <c r="BK115" s="65"/>
      <c r="BL115" s="65"/>
      <c r="BM115" s="65"/>
      <c r="BN115" s="65"/>
      <c r="BO115" s="65"/>
      <c r="BP115" s="65"/>
      <c r="BQ115" s="65"/>
      <c r="BR115" s="65"/>
      <c r="BS115" s="65"/>
    </row>
    <row r="116" spans="1:71" ht="15" x14ac:dyDescent="0.25">
      <c r="A116" s="34"/>
      <c r="B116" s="34"/>
      <c r="C116" s="34"/>
      <c r="D116" s="34"/>
      <c r="E116" s="34"/>
      <c r="F116" s="43" t="s">
        <v>410</v>
      </c>
      <c r="G116" s="43"/>
      <c r="H116" s="43"/>
      <c r="I116" s="43"/>
      <c r="J116" s="43"/>
      <c r="K116" s="43"/>
      <c r="L116" s="43"/>
      <c r="M116" s="43"/>
      <c r="N116" s="43"/>
      <c r="O116" s="186"/>
      <c r="P116" s="186"/>
      <c r="Q116" s="186"/>
      <c r="R116" s="186"/>
      <c r="S116" s="186"/>
      <c r="T116" s="186"/>
      <c r="U116" s="186"/>
      <c r="V116" s="186"/>
      <c r="W116" s="186"/>
      <c r="X116" s="186"/>
      <c r="Y116" s="186"/>
      <c r="Z116" s="186"/>
      <c r="AA116" s="186"/>
      <c r="AB116" s="186"/>
      <c r="AC116" s="186"/>
      <c r="AD116" s="186"/>
      <c r="AE116" s="186"/>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row>
    <row r="117" spans="1:71" ht="15" x14ac:dyDescent="0.25">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row>
    <row r="118" spans="1:71" ht="15" x14ac:dyDescent="0.25">
      <c r="A118" s="34"/>
      <c r="B118" s="34"/>
      <c r="C118" s="34"/>
      <c r="D118" s="34"/>
      <c r="E118" s="34"/>
      <c r="F118" s="33" t="s">
        <v>166</v>
      </c>
      <c r="G118" s="33"/>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c r="AG118" s="33"/>
      <c r="AH118" s="33" t="s">
        <v>411</v>
      </c>
      <c r="AI118" s="33"/>
      <c r="AJ118" s="33"/>
      <c r="AK118" s="33"/>
      <c r="AL118" s="65"/>
      <c r="AM118" s="65"/>
      <c r="AN118" s="33"/>
      <c r="AO118" s="33"/>
      <c r="AP118" s="33"/>
      <c r="AQ118" s="33"/>
      <c r="AR118" s="33"/>
      <c r="AS118" s="33"/>
      <c r="AT118" s="33"/>
      <c r="AU118" s="33"/>
      <c r="AV118" s="33"/>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row>
    <row r="119" spans="1:71" ht="15" x14ac:dyDescent="0.25">
      <c r="A119" s="34"/>
      <c r="B119" s="34"/>
      <c r="C119" s="34"/>
      <c r="D119" s="34"/>
      <c r="E119" s="34"/>
      <c r="F119" s="33" t="s">
        <v>42</v>
      </c>
      <c r="G119" s="33"/>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c r="AG119" s="33"/>
      <c r="AH119" s="33" t="s">
        <v>412</v>
      </c>
      <c r="AI119" s="33"/>
      <c r="AJ119" s="33"/>
      <c r="AK119" s="33"/>
      <c r="AL119" s="65"/>
      <c r="AM119" s="65"/>
      <c r="AN119" s="33"/>
      <c r="AO119" s="33"/>
      <c r="AP119" s="33"/>
      <c r="AQ119" s="33"/>
      <c r="AR119" s="33"/>
      <c r="AS119" s="33"/>
      <c r="AT119" s="33"/>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row>
    <row r="120" spans="1:71" ht="15" x14ac:dyDescent="0.25">
      <c r="A120" s="34"/>
      <c r="B120" s="34"/>
      <c r="C120" s="34"/>
      <c r="D120" s="34"/>
      <c r="E120" s="34"/>
      <c r="F120" s="34"/>
      <c r="G120" s="34"/>
      <c r="H120" s="34"/>
      <c r="I120" s="34"/>
      <c r="J120" s="34"/>
      <c r="K120" s="34"/>
      <c r="L120" s="34"/>
      <c r="M120" s="33"/>
      <c r="N120" s="33"/>
      <c r="O120" s="33"/>
      <c r="P120" s="33"/>
      <c r="Q120" s="33"/>
      <c r="R120" s="33"/>
      <c r="S120" s="33"/>
      <c r="T120" s="33"/>
      <c r="U120" s="33"/>
      <c r="V120" s="33"/>
      <c r="W120" s="33"/>
      <c r="X120" s="33"/>
      <c r="Y120" s="33"/>
      <c r="Z120" s="33"/>
      <c r="AA120" s="33"/>
      <c r="AB120" s="33"/>
      <c r="AC120" s="33"/>
      <c r="AD120" s="33"/>
      <c r="AE120" s="33"/>
      <c r="AF120" s="33"/>
      <c r="AG120" s="33"/>
      <c r="AH120" s="33" t="s">
        <v>413</v>
      </c>
      <c r="AI120" s="33"/>
      <c r="AJ120" s="33"/>
      <c r="AK120" s="33"/>
      <c r="AL120" s="33"/>
      <c r="AM120" s="33"/>
      <c r="AN120" s="33"/>
      <c r="AO120" s="33"/>
      <c r="AP120" s="33"/>
      <c r="AQ120" s="33"/>
      <c r="AR120" s="33"/>
      <c r="AS120" s="33"/>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row>
    <row r="121" spans="1:71" ht="15" x14ac:dyDescent="0.25">
      <c r="A121" s="34"/>
      <c r="B121" s="34"/>
      <c r="C121" s="34"/>
      <c r="D121" s="34"/>
      <c r="E121" s="34"/>
      <c r="F121" s="34"/>
      <c r="G121" s="34"/>
      <c r="H121" s="34"/>
      <c r="I121" s="34"/>
      <c r="J121" s="34"/>
      <c r="K121" s="34"/>
      <c r="L121" s="34"/>
      <c r="M121" s="33"/>
      <c r="N121" s="33"/>
      <c r="O121" s="33"/>
      <c r="P121" s="33"/>
      <c r="Q121" s="33"/>
      <c r="R121" s="33"/>
      <c r="S121" s="33"/>
      <c r="T121" s="33"/>
      <c r="U121" s="33"/>
      <c r="V121" s="33"/>
      <c r="W121" s="33"/>
      <c r="X121" s="33"/>
      <c r="Y121" s="33"/>
      <c r="Z121" s="33"/>
      <c r="AA121" s="33"/>
      <c r="AB121" s="33"/>
      <c r="AC121" s="33"/>
      <c r="AD121" s="33"/>
      <c r="AE121" s="33"/>
      <c r="AF121" s="33"/>
      <c r="AG121" s="33"/>
      <c r="AH121" s="33" t="s">
        <v>414</v>
      </c>
      <c r="AI121" s="33"/>
      <c r="AJ121" s="33"/>
      <c r="AK121" s="33"/>
      <c r="AL121" s="33"/>
      <c r="AM121" s="33"/>
      <c r="AN121" s="33"/>
      <c r="AO121" s="33"/>
      <c r="AP121" s="33"/>
      <c r="AQ121" s="33"/>
      <c r="AR121" s="33"/>
      <c r="AS121" s="33"/>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row>
    <row r="122" spans="1:71" ht="15" x14ac:dyDescent="0.25">
      <c r="A122" s="34"/>
      <c r="B122" s="34"/>
      <c r="C122" s="34"/>
      <c r="D122" s="34"/>
      <c r="E122" s="34"/>
      <c r="F122" s="34"/>
      <c r="G122" s="34"/>
      <c r="H122" s="34"/>
      <c r="I122" s="34"/>
      <c r="J122" s="34"/>
      <c r="K122" s="34"/>
      <c r="L122" s="34"/>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row>
    <row r="123" spans="1:71" ht="15" x14ac:dyDescent="0.25">
      <c r="A123" s="34"/>
      <c r="B123" s="34"/>
      <c r="C123" s="34"/>
      <c r="D123" s="34"/>
      <c r="E123" s="34"/>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row>
    <row r="124" spans="1:71" ht="15" x14ac:dyDescent="0.25">
      <c r="A124" s="34"/>
      <c r="B124" s="34"/>
      <c r="C124" s="34"/>
      <c r="D124" s="34"/>
      <c r="E124" s="34"/>
      <c r="F124" s="43" t="s">
        <v>415</v>
      </c>
      <c r="G124" s="43"/>
      <c r="H124" s="43"/>
      <c r="I124" s="43"/>
      <c r="J124" s="43"/>
      <c r="K124" s="43"/>
      <c r="L124" s="43"/>
      <c r="M124" s="43"/>
      <c r="N124" s="43"/>
      <c r="O124" s="186"/>
      <c r="P124" s="186"/>
      <c r="Q124" s="186"/>
      <c r="R124" s="186"/>
      <c r="S124" s="186"/>
      <c r="T124" s="186"/>
      <c r="U124" s="186"/>
      <c r="V124" s="186"/>
      <c r="W124" s="186"/>
      <c r="X124" s="186"/>
      <c r="Y124" s="186"/>
      <c r="Z124" s="186"/>
      <c r="AA124" s="186"/>
      <c r="AB124" s="186"/>
      <c r="AC124" s="186"/>
      <c r="AD124" s="186"/>
      <c r="AE124" s="186"/>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row>
    <row r="125" spans="1:71" ht="15" x14ac:dyDescent="0.25">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row>
    <row r="126" spans="1:71" ht="15" x14ac:dyDescent="0.25">
      <c r="A126" s="34"/>
      <c r="B126" s="34"/>
      <c r="C126" s="34"/>
      <c r="D126" s="34"/>
      <c r="E126" s="34"/>
      <c r="F126" s="34" t="s">
        <v>170</v>
      </c>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t="s">
        <v>416</v>
      </c>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row>
    <row r="127" spans="1:71" ht="15" x14ac:dyDescent="0.25">
      <c r="A127" s="34"/>
      <c r="B127" s="34"/>
      <c r="C127" s="34"/>
      <c r="D127" s="34"/>
      <c r="E127" s="34"/>
      <c r="F127" s="34" t="s">
        <v>42</v>
      </c>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t="s">
        <v>731</v>
      </c>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row>
    <row r="128" spans="1:71" ht="15" x14ac:dyDescent="0.25">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row>
    <row r="129" spans="1:71" ht="15" x14ac:dyDescent="0.25">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row>
    <row r="130" spans="1:71" ht="15" x14ac:dyDescent="0.25">
      <c r="A130" s="34"/>
      <c r="B130" s="34"/>
      <c r="C130" s="34"/>
      <c r="D130" s="34"/>
      <c r="E130" s="34"/>
      <c r="F130" s="43" t="s">
        <v>417</v>
      </c>
      <c r="G130" s="43"/>
      <c r="H130" s="43"/>
      <c r="I130" s="43"/>
      <c r="J130" s="43"/>
      <c r="K130" s="43"/>
      <c r="L130" s="43"/>
      <c r="M130" s="43"/>
      <c r="N130" s="43"/>
      <c r="O130" s="186"/>
      <c r="P130" s="186"/>
      <c r="Q130" s="186"/>
      <c r="R130" s="186"/>
      <c r="S130" s="186"/>
      <c r="T130" s="186"/>
      <c r="U130" s="186"/>
      <c r="V130" s="186"/>
      <c r="W130" s="186"/>
      <c r="X130" s="186"/>
      <c r="Y130" s="186"/>
      <c r="Z130" s="186"/>
      <c r="AA130" s="186"/>
      <c r="AB130" s="186"/>
      <c r="AC130" s="186"/>
      <c r="AD130" s="186"/>
      <c r="AE130" s="186"/>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row>
    <row r="131" spans="1:71" ht="15" x14ac:dyDescent="0.25">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row>
    <row r="132" spans="1:71" ht="15" x14ac:dyDescent="0.25">
      <c r="A132" s="34"/>
      <c r="B132" s="34"/>
      <c r="C132" s="34"/>
      <c r="D132" s="34"/>
      <c r="E132" s="34"/>
      <c r="F132" s="33" t="s">
        <v>171</v>
      </c>
      <c r="G132" s="33"/>
      <c r="H132" s="33"/>
      <c r="I132" s="33"/>
      <c r="J132" s="33"/>
      <c r="K132" s="33"/>
      <c r="L132" s="33"/>
      <c r="M132" s="33"/>
      <c r="N132" s="33"/>
      <c r="O132" s="33"/>
      <c r="P132" s="33"/>
      <c r="Q132" s="33"/>
      <c r="R132" s="33"/>
      <c r="S132" s="33"/>
      <c r="T132" s="33"/>
      <c r="U132" s="33"/>
      <c r="V132" s="33"/>
      <c r="W132" s="33"/>
      <c r="X132" s="33"/>
      <c r="Y132" s="33"/>
      <c r="Z132" s="33"/>
      <c r="AA132" s="33"/>
      <c r="AB132" s="33"/>
      <c r="AC132" s="33"/>
      <c r="AD132" s="33"/>
      <c r="AE132" s="33"/>
      <c r="AF132" s="33"/>
      <c r="AG132" s="33"/>
      <c r="AH132" s="33" t="s">
        <v>732</v>
      </c>
      <c r="AI132" s="33"/>
      <c r="AJ132" s="33"/>
      <c r="AK132" s="33"/>
      <c r="AL132" s="65"/>
      <c r="AM132" s="65"/>
      <c r="AN132" s="34"/>
      <c r="AO132" s="33"/>
      <c r="AP132" s="33"/>
      <c r="AQ132" s="33"/>
      <c r="AR132" s="33"/>
      <c r="AS132" s="33"/>
      <c r="AT132" s="33"/>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row>
    <row r="133" spans="1:71" ht="15" x14ac:dyDescent="0.25">
      <c r="A133" s="34"/>
      <c r="B133" s="34"/>
      <c r="C133" s="34"/>
      <c r="D133" s="34"/>
      <c r="E133" s="34"/>
      <c r="F133" s="34" t="s">
        <v>42</v>
      </c>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3" t="s">
        <v>744</v>
      </c>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row>
    <row r="134" spans="1:71" ht="15" x14ac:dyDescent="0.25">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3" t="s">
        <v>745</v>
      </c>
      <c r="AI134" s="34"/>
      <c r="AJ134" s="34"/>
      <c r="AK134" s="34"/>
      <c r="AL134" s="34"/>
      <c r="AM134" s="34"/>
      <c r="AN134" s="34"/>
      <c r="AO134" s="34"/>
      <c r="AP134" s="34"/>
      <c r="AQ134" s="34"/>
      <c r="AR134" s="34"/>
      <c r="AS134" s="34"/>
      <c r="AT134" s="34"/>
      <c r="AU134" s="65"/>
      <c r="AV134" s="65"/>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row>
    <row r="135" spans="1:71" ht="15" x14ac:dyDescent="0.25">
      <c r="A135" s="34"/>
      <c r="B135" s="34"/>
      <c r="C135" s="34"/>
      <c r="D135" s="34"/>
      <c r="E135" s="34"/>
      <c r="F135" s="33"/>
      <c r="G135" s="33"/>
      <c r="H135" s="33"/>
      <c r="I135" s="33"/>
      <c r="J135" s="33"/>
      <c r="K135" s="33"/>
      <c r="L135" s="33"/>
      <c r="M135" s="33"/>
      <c r="N135" s="33"/>
      <c r="O135" s="33"/>
      <c r="P135" s="33"/>
      <c r="Q135" s="33"/>
      <c r="R135" s="33"/>
      <c r="S135" s="33"/>
      <c r="T135" s="33"/>
      <c r="U135" s="33"/>
      <c r="V135" s="33"/>
      <c r="W135" s="33"/>
      <c r="X135" s="33"/>
      <c r="Y135" s="33"/>
      <c r="Z135" s="33"/>
      <c r="AA135" s="33"/>
      <c r="AB135" s="33"/>
      <c r="AC135" s="33"/>
      <c r="AD135" s="33"/>
      <c r="AE135" s="33"/>
      <c r="AF135" s="33"/>
      <c r="AG135" s="33"/>
      <c r="AH135" s="33" t="s">
        <v>746</v>
      </c>
      <c r="AI135" s="33"/>
      <c r="AJ135" s="33"/>
      <c r="AK135" s="33"/>
      <c r="AL135" s="33"/>
      <c r="AM135" s="33"/>
      <c r="AN135" s="65"/>
      <c r="AO135" s="65"/>
      <c r="AP135" s="65"/>
      <c r="AQ135" s="65"/>
      <c r="AR135" s="65"/>
      <c r="AS135" s="65"/>
      <c r="AT135" s="65"/>
      <c r="AU135" s="65"/>
      <c r="AV135" s="65"/>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row>
    <row r="136" spans="1:71" ht="15" x14ac:dyDescent="0.25">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3"/>
      <c r="AI136" s="34"/>
      <c r="AJ136" s="34"/>
      <c r="AK136" s="34"/>
      <c r="AL136" s="34"/>
      <c r="AM136" s="34"/>
      <c r="AN136" s="65"/>
      <c r="AO136" s="65"/>
      <c r="AP136" s="65"/>
      <c r="AQ136" s="65"/>
      <c r="AR136" s="65"/>
      <c r="AS136" s="65"/>
      <c r="AT136" s="65"/>
      <c r="AU136" s="65"/>
      <c r="AV136" s="65"/>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row>
    <row r="137" spans="1:71" ht="15" x14ac:dyDescent="0.25">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3"/>
      <c r="AI137" s="34"/>
      <c r="AJ137" s="34"/>
      <c r="AK137" s="34"/>
      <c r="AL137" s="34"/>
      <c r="AM137" s="34"/>
      <c r="AN137" s="65"/>
      <c r="AO137" s="65"/>
      <c r="AP137" s="65"/>
      <c r="AQ137" s="65"/>
      <c r="AR137" s="65"/>
      <c r="AS137" s="65"/>
      <c r="AT137" s="65"/>
      <c r="AU137" s="33"/>
      <c r="AV137" s="33"/>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row>
    <row r="138" spans="1:71" ht="15" x14ac:dyDescent="0.25">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3"/>
      <c r="AI138" s="34"/>
      <c r="AJ138" s="34"/>
      <c r="AK138" s="34"/>
      <c r="AL138" s="34"/>
      <c r="AM138" s="34"/>
      <c r="AN138" s="65"/>
      <c r="AO138" s="65"/>
      <c r="AP138" s="65"/>
      <c r="AQ138" s="65"/>
      <c r="AR138" s="65"/>
      <c r="AS138" s="65"/>
      <c r="AT138" s="65"/>
      <c r="AU138" s="33"/>
      <c r="AV138" s="33"/>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row>
    <row r="139" spans="1:71" ht="15" x14ac:dyDescent="0.25">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3"/>
      <c r="AO139" s="33"/>
      <c r="AP139" s="33"/>
      <c r="AQ139" s="33"/>
      <c r="AR139" s="33"/>
      <c r="AS139" s="33"/>
      <c r="AT139" s="33"/>
      <c r="AU139" s="33"/>
      <c r="AV139" s="33"/>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row>
    <row r="140" spans="1:71" ht="15" x14ac:dyDescent="0.25">
      <c r="A140" s="34"/>
      <c r="B140" s="34"/>
      <c r="C140" s="34"/>
      <c r="D140" s="34"/>
      <c r="E140" s="34"/>
      <c r="F140" s="43" t="s">
        <v>418</v>
      </c>
      <c r="G140" s="43"/>
      <c r="H140" s="43"/>
      <c r="I140" s="43"/>
      <c r="J140" s="43"/>
      <c r="K140" s="43"/>
      <c r="L140" s="43"/>
      <c r="M140" s="43"/>
      <c r="N140" s="43"/>
      <c r="O140" s="186"/>
      <c r="P140" s="186"/>
      <c r="Q140" s="186"/>
      <c r="R140" s="186"/>
      <c r="S140" s="186"/>
      <c r="T140" s="186"/>
      <c r="U140" s="186"/>
      <c r="V140" s="186"/>
      <c r="W140" s="186"/>
      <c r="X140" s="186"/>
      <c r="Y140" s="186"/>
      <c r="Z140" s="186"/>
      <c r="AA140" s="186"/>
      <c r="AB140" s="186"/>
      <c r="AC140" s="186"/>
      <c r="AD140" s="186"/>
      <c r="AE140" s="186"/>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row>
    <row r="141" spans="1:71" ht="15" x14ac:dyDescent="0.25">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row>
    <row r="142" spans="1:71" ht="15" x14ac:dyDescent="0.25">
      <c r="A142" s="34"/>
      <c r="B142" s="34"/>
      <c r="C142" s="34"/>
      <c r="D142" s="34"/>
      <c r="E142" s="34"/>
      <c r="F142" s="33" t="s">
        <v>173</v>
      </c>
      <c r="G142" s="33"/>
      <c r="H142" s="33"/>
      <c r="I142" s="33"/>
      <c r="J142" s="33"/>
      <c r="K142" s="33"/>
      <c r="L142" s="33"/>
      <c r="M142" s="33"/>
      <c r="N142" s="33"/>
      <c r="O142" s="33"/>
      <c r="P142" s="33"/>
      <c r="Q142" s="33"/>
      <c r="R142" s="33"/>
      <c r="S142" s="33"/>
      <c r="T142" s="33"/>
      <c r="U142" s="33"/>
      <c r="V142" s="33"/>
      <c r="W142" s="33"/>
      <c r="X142" s="33"/>
      <c r="Y142" s="33"/>
      <c r="Z142" s="33"/>
      <c r="AA142" s="33"/>
      <c r="AB142" s="33"/>
      <c r="AC142" s="33"/>
      <c r="AD142" s="33"/>
      <c r="AE142" s="33"/>
      <c r="AF142" s="33"/>
      <c r="AG142" s="33"/>
      <c r="AH142" s="33" t="s">
        <v>419</v>
      </c>
      <c r="AI142" s="33"/>
      <c r="AJ142" s="33"/>
      <c r="AK142" s="33"/>
      <c r="AL142" s="33"/>
      <c r="AM142" s="33"/>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row>
    <row r="143" spans="1:71" ht="15" x14ac:dyDescent="0.25">
      <c r="A143" s="34"/>
      <c r="B143" s="34"/>
      <c r="C143" s="34"/>
      <c r="D143" s="34"/>
      <c r="E143" s="34"/>
      <c r="F143" s="33" t="s">
        <v>42</v>
      </c>
      <c r="G143" s="33"/>
      <c r="H143" s="33"/>
      <c r="I143" s="33"/>
      <c r="J143" s="33"/>
      <c r="K143" s="33"/>
      <c r="L143" s="33"/>
      <c r="M143" s="33"/>
      <c r="N143" s="33"/>
      <c r="O143" s="33"/>
      <c r="P143" s="33"/>
      <c r="Q143" s="33"/>
      <c r="R143" s="33"/>
      <c r="S143" s="33"/>
      <c r="T143" s="33"/>
      <c r="U143" s="33"/>
      <c r="V143" s="33"/>
      <c r="W143" s="33"/>
      <c r="X143" s="33"/>
      <c r="Y143" s="33"/>
      <c r="Z143" s="33"/>
      <c r="AA143" s="33"/>
      <c r="AB143" s="33"/>
      <c r="AC143" s="33"/>
      <c r="AD143" s="33"/>
      <c r="AE143" s="33"/>
      <c r="AF143" s="33"/>
      <c r="AG143" s="33"/>
      <c r="AH143" s="33" t="s">
        <v>747</v>
      </c>
      <c r="AI143" s="33"/>
      <c r="AJ143" s="33"/>
      <c r="AK143" s="33"/>
      <c r="AL143" s="33"/>
      <c r="AM143" s="33"/>
      <c r="AN143" s="34"/>
      <c r="AO143" s="34"/>
      <c r="AP143" s="34"/>
      <c r="AQ143" s="34"/>
      <c r="AR143" s="34"/>
      <c r="AS143" s="34"/>
      <c r="AT143" s="34"/>
      <c r="AU143" s="65"/>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row>
    <row r="144" spans="1:71" ht="15" x14ac:dyDescent="0.25">
      <c r="A144" s="34"/>
      <c r="B144" s="34"/>
      <c r="C144" s="34"/>
      <c r="D144" s="34"/>
      <c r="E144" s="34"/>
      <c r="F144" s="33"/>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65"/>
      <c r="AI144" s="34"/>
      <c r="AJ144" s="34"/>
      <c r="AK144" s="34"/>
      <c r="AL144" s="34"/>
      <c r="AM144" s="34"/>
      <c r="AN144" s="65"/>
      <c r="AO144" s="65"/>
      <c r="AP144" s="65"/>
      <c r="AQ144" s="65"/>
      <c r="AR144" s="65"/>
      <c r="AS144" s="65"/>
      <c r="AT144" s="65"/>
      <c r="AU144" s="65"/>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row>
    <row r="145" spans="1:71" ht="15" x14ac:dyDescent="0.25">
      <c r="A145" s="34"/>
      <c r="B145" s="34"/>
      <c r="C145" s="34"/>
      <c r="D145" s="34"/>
      <c r="E145" s="34"/>
      <c r="F145" s="33"/>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row>
    <row r="146" spans="1:71" ht="15" x14ac:dyDescent="0.25">
      <c r="A146" s="34"/>
      <c r="B146" s="34"/>
      <c r="C146" s="34"/>
      <c r="D146" s="34"/>
      <c r="E146" s="34"/>
      <c r="F146" s="43" t="s">
        <v>420</v>
      </c>
      <c r="G146" s="43"/>
      <c r="H146" s="43"/>
      <c r="I146" s="43"/>
      <c r="J146" s="43"/>
      <c r="K146" s="43"/>
      <c r="L146" s="43"/>
      <c r="M146" s="43"/>
      <c r="N146" s="43"/>
      <c r="O146" s="186"/>
      <c r="P146" s="186"/>
      <c r="Q146" s="186"/>
      <c r="R146" s="186"/>
      <c r="S146" s="186"/>
      <c r="T146" s="186"/>
      <c r="U146" s="186"/>
      <c r="V146" s="186"/>
      <c r="W146" s="186"/>
      <c r="X146" s="186"/>
      <c r="Y146" s="186"/>
      <c r="Z146" s="186"/>
      <c r="AA146" s="186"/>
      <c r="AB146" s="186"/>
      <c r="AC146" s="186"/>
      <c r="AD146" s="186"/>
      <c r="AE146" s="186"/>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row>
    <row r="147" spans="1:71" ht="15" x14ac:dyDescent="0.25">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row>
    <row r="148" spans="1:71" ht="15" x14ac:dyDescent="0.25">
      <c r="A148" s="34"/>
      <c r="B148" s="34"/>
      <c r="C148" s="34"/>
      <c r="D148" s="34"/>
      <c r="E148" s="34"/>
      <c r="F148" s="33" t="s">
        <v>169</v>
      </c>
      <c r="G148" s="33"/>
      <c r="H148" s="33"/>
      <c r="I148" s="33"/>
      <c r="J148" s="33"/>
      <c r="K148" s="33"/>
      <c r="L148" s="33"/>
      <c r="M148" s="33"/>
      <c r="N148" s="33"/>
      <c r="O148" s="33"/>
      <c r="P148" s="33"/>
      <c r="Q148" s="33"/>
      <c r="R148" s="33"/>
      <c r="S148" s="33"/>
      <c r="T148" s="33"/>
      <c r="U148" s="33"/>
      <c r="V148" s="33"/>
      <c r="W148" s="33"/>
      <c r="X148" s="33"/>
      <c r="Y148" s="33"/>
      <c r="Z148" s="33"/>
      <c r="AA148" s="33"/>
      <c r="AB148" s="33"/>
      <c r="AC148" s="33"/>
      <c r="AD148" s="33"/>
      <c r="AE148" s="33"/>
      <c r="AF148" s="33"/>
      <c r="AG148" s="33"/>
      <c r="AH148" s="33" t="s">
        <v>421</v>
      </c>
      <c r="AI148" s="33"/>
      <c r="AJ148" s="33"/>
      <c r="AK148" s="33"/>
      <c r="AL148" s="33"/>
      <c r="AM148" s="33"/>
      <c r="AN148" s="33"/>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row>
    <row r="149" spans="1:71" ht="15" x14ac:dyDescent="0.25">
      <c r="A149" s="34"/>
      <c r="B149" s="34"/>
      <c r="C149" s="34"/>
      <c r="D149" s="34"/>
      <c r="E149" s="34"/>
      <c r="F149" s="33" t="s">
        <v>42</v>
      </c>
      <c r="G149" s="33"/>
      <c r="H149" s="33"/>
      <c r="I149" s="33"/>
      <c r="J149" s="33"/>
      <c r="K149" s="33"/>
      <c r="L149" s="33"/>
      <c r="M149" s="33"/>
      <c r="N149" s="33"/>
      <c r="O149" s="33"/>
      <c r="P149" s="33"/>
      <c r="Q149" s="33"/>
      <c r="R149" s="33"/>
      <c r="S149" s="33"/>
      <c r="T149" s="33"/>
      <c r="U149" s="33"/>
      <c r="V149" s="33"/>
      <c r="W149" s="33"/>
      <c r="X149" s="33"/>
      <c r="Y149" s="33"/>
      <c r="Z149" s="33"/>
      <c r="AA149" s="33"/>
      <c r="AB149" s="33"/>
      <c r="AC149" s="33"/>
      <c r="AD149" s="33"/>
      <c r="AE149" s="33"/>
      <c r="AF149" s="33"/>
      <c r="AG149" s="33"/>
      <c r="AH149" s="33" t="s">
        <v>422</v>
      </c>
      <c r="AI149" s="33"/>
      <c r="AJ149" s="33"/>
      <c r="AK149" s="33"/>
      <c r="AL149" s="33"/>
      <c r="AM149" s="33"/>
      <c r="AN149" s="33"/>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row>
    <row r="150" spans="1:71" ht="15" x14ac:dyDescent="0.25">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row>
    <row r="151" spans="1:71" ht="15" x14ac:dyDescent="0.25">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row>
    <row r="152" spans="1:71" ht="15" x14ac:dyDescent="0.25">
      <c r="A152" s="34"/>
      <c r="B152" s="34"/>
      <c r="C152" s="34"/>
      <c r="D152" s="34"/>
      <c r="E152" s="34"/>
      <c r="F152" s="43" t="s">
        <v>423</v>
      </c>
      <c r="G152" s="43"/>
      <c r="H152" s="43"/>
      <c r="I152" s="43"/>
      <c r="J152" s="43"/>
      <c r="K152" s="43"/>
      <c r="L152" s="43"/>
      <c r="M152" s="43"/>
      <c r="N152" s="43"/>
      <c r="O152" s="186"/>
      <c r="P152" s="186"/>
      <c r="Q152" s="186"/>
      <c r="R152" s="186"/>
      <c r="S152" s="186"/>
      <c r="T152" s="186"/>
      <c r="U152" s="186"/>
      <c r="V152" s="186"/>
      <c r="W152" s="186"/>
      <c r="X152" s="186"/>
      <c r="Y152" s="186"/>
      <c r="Z152" s="186"/>
      <c r="AA152" s="186"/>
      <c r="AB152" s="186"/>
      <c r="AC152" s="186"/>
      <c r="AD152" s="186"/>
      <c r="AE152" s="186"/>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row>
    <row r="153" spans="1:71" ht="15" x14ac:dyDescent="0.25">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row>
    <row r="154" spans="1:71" ht="15" x14ac:dyDescent="0.25">
      <c r="A154" s="34"/>
      <c r="B154" s="34"/>
      <c r="C154" s="34"/>
      <c r="D154" s="34"/>
      <c r="E154" s="34"/>
      <c r="F154" s="33" t="s">
        <v>176</v>
      </c>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t="s">
        <v>424</v>
      </c>
      <c r="AI154" s="33"/>
      <c r="AJ154" s="33"/>
      <c r="AK154" s="33"/>
      <c r="AL154" s="33"/>
      <c r="AM154" s="33"/>
      <c r="AN154" s="34"/>
      <c r="AO154" s="34"/>
      <c r="AP154" s="34"/>
      <c r="AQ154" s="34"/>
      <c r="AR154" s="34"/>
      <c r="AS154" s="33"/>
      <c r="AT154" s="33"/>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row>
    <row r="155" spans="1:71" ht="15" x14ac:dyDescent="0.25">
      <c r="A155" s="34"/>
      <c r="B155" s="34"/>
      <c r="C155" s="34"/>
      <c r="D155" s="34"/>
      <c r="E155" s="34"/>
      <c r="F155" s="34" t="s">
        <v>42</v>
      </c>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t="s">
        <v>733</v>
      </c>
      <c r="AI155" s="34"/>
      <c r="AJ155" s="34"/>
      <c r="AK155" s="34"/>
      <c r="AL155" s="34"/>
      <c r="AM155" s="34"/>
      <c r="AN155" s="33"/>
      <c r="AO155" s="33"/>
      <c r="AP155" s="33"/>
      <c r="AQ155" s="33"/>
      <c r="AR155" s="33"/>
      <c r="AS155" s="33"/>
      <c r="AT155" s="33"/>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row>
    <row r="156" spans="1:71" ht="15" x14ac:dyDescent="0.25">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row>
    <row r="157" spans="1:71" ht="15" x14ac:dyDescent="0.25">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3"/>
      <c r="AP157" s="33"/>
      <c r="AQ157" s="33"/>
      <c r="AR157" s="33"/>
      <c r="AS157" s="33"/>
      <c r="AT157" s="33"/>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row>
    <row r="158" spans="1:71" ht="15" x14ac:dyDescent="0.25">
      <c r="A158" s="34"/>
      <c r="B158" s="34"/>
      <c r="C158" s="34"/>
      <c r="D158" s="34"/>
      <c r="E158" s="34"/>
      <c r="F158" s="43" t="s">
        <v>425</v>
      </c>
      <c r="G158" s="43"/>
      <c r="H158" s="43"/>
      <c r="I158" s="43"/>
      <c r="J158" s="43"/>
      <c r="K158" s="43"/>
      <c r="L158" s="43"/>
      <c r="M158" s="43"/>
      <c r="N158" s="43"/>
      <c r="O158" s="186"/>
      <c r="P158" s="186"/>
      <c r="Q158" s="186"/>
      <c r="R158" s="186"/>
      <c r="S158" s="186"/>
      <c r="T158" s="186"/>
      <c r="U158" s="186"/>
      <c r="V158" s="186"/>
      <c r="W158" s="186"/>
      <c r="X158" s="186"/>
      <c r="Y158" s="186"/>
      <c r="Z158" s="186"/>
      <c r="AA158" s="186"/>
      <c r="AB158" s="186"/>
      <c r="AC158" s="186"/>
      <c r="AD158" s="186"/>
      <c r="AE158" s="186"/>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row>
    <row r="159" spans="1:71" ht="15" x14ac:dyDescent="0.25">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row>
    <row r="160" spans="1:71" s="65" customFormat="1" ht="15" x14ac:dyDescent="0.25">
      <c r="F160" s="33" t="s">
        <v>178</v>
      </c>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t="s">
        <v>426</v>
      </c>
      <c r="AI160" s="33"/>
      <c r="AJ160" s="33"/>
      <c r="AK160" s="33"/>
      <c r="AL160" s="33"/>
      <c r="AM160" s="33"/>
      <c r="AN160" s="33"/>
      <c r="AO160" s="33"/>
      <c r="AP160" s="33"/>
      <c r="AQ160" s="33"/>
      <c r="AR160" s="33"/>
      <c r="AS160" s="33"/>
      <c r="AT160" s="33"/>
      <c r="AU160" s="33"/>
      <c r="AV160" s="33"/>
      <c r="AW160" s="33"/>
      <c r="AX160" s="33"/>
      <c r="AY160" s="33"/>
    </row>
    <row r="161" spans="1:71" s="65" customFormat="1" ht="15" x14ac:dyDescent="0.25">
      <c r="F161" s="33" t="s">
        <v>42</v>
      </c>
      <c r="G161" s="33"/>
      <c r="H161" s="33"/>
      <c r="I161" s="33"/>
      <c r="J161" s="33"/>
      <c r="K161" s="33"/>
      <c r="L161" s="33"/>
      <c r="M161" s="33"/>
      <c r="N161" s="33"/>
      <c r="O161" s="33"/>
      <c r="P161" s="33"/>
      <c r="Q161" s="33"/>
      <c r="R161" s="33"/>
      <c r="S161" s="33"/>
      <c r="T161" s="33"/>
      <c r="U161" s="33"/>
      <c r="V161" s="33"/>
      <c r="W161" s="33"/>
      <c r="X161" s="33"/>
      <c r="Y161" s="33"/>
      <c r="Z161" s="33"/>
      <c r="AA161" s="33"/>
      <c r="AB161" s="33"/>
      <c r="AC161" s="33"/>
      <c r="AD161" s="33"/>
      <c r="AE161" s="33"/>
      <c r="AF161" s="33"/>
      <c r="AG161" s="33"/>
      <c r="AH161" s="33" t="s">
        <v>427</v>
      </c>
      <c r="AI161" s="33"/>
      <c r="AJ161" s="33"/>
      <c r="AK161" s="33"/>
      <c r="AL161" s="33"/>
      <c r="AM161" s="33"/>
      <c r="AN161" s="33"/>
      <c r="AO161" s="33"/>
      <c r="AP161" s="33"/>
      <c r="AQ161" s="33"/>
      <c r="AR161" s="33"/>
      <c r="AS161" s="33"/>
      <c r="AT161" s="33"/>
      <c r="AU161" s="33"/>
      <c r="AV161" s="33"/>
      <c r="AW161" s="33"/>
      <c r="AX161" s="33"/>
      <c r="AY161" s="33"/>
    </row>
    <row r="162" spans="1:71" s="65" customFormat="1" ht="15" x14ac:dyDescent="0.25">
      <c r="F162" s="33"/>
      <c r="G162" s="33"/>
      <c r="H162" s="33"/>
      <c r="I162" s="33"/>
      <c r="J162" s="33"/>
      <c r="K162" s="33"/>
      <c r="L162" s="33"/>
      <c r="M162" s="33"/>
      <c r="N162" s="33"/>
      <c r="O162" s="33"/>
      <c r="P162" s="33"/>
      <c r="Q162" s="33"/>
      <c r="R162" s="33"/>
      <c r="S162" s="33"/>
      <c r="T162" s="33"/>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3"/>
      <c r="AV162" s="33"/>
      <c r="AW162" s="33"/>
      <c r="AX162" s="33"/>
      <c r="AY162" s="33"/>
    </row>
    <row r="163" spans="1:71" s="65" customFormat="1" ht="15" x14ac:dyDescent="0.25">
      <c r="F163" s="33"/>
      <c r="G163" s="33"/>
      <c r="H163" s="33"/>
      <c r="I163" s="33"/>
      <c r="J163" s="33"/>
      <c r="K163" s="33"/>
      <c r="L163" s="33"/>
      <c r="M163" s="33"/>
      <c r="N163" s="33"/>
      <c r="O163" s="33"/>
      <c r="P163" s="33"/>
      <c r="Q163" s="33"/>
      <c r="R163" s="33"/>
      <c r="S163" s="33"/>
      <c r="T163" s="33"/>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3"/>
      <c r="AV163" s="33"/>
      <c r="AW163" s="33"/>
      <c r="AX163" s="33"/>
      <c r="AY163" s="33"/>
    </row>
    <row r="164" spans="1:71" ht="15" x14ac:dyDescent="0.25">
      <c r="A164" s="34"/>
      <c r="B164" s="34"/>
      <c r="C164" s="34"/>
      <c r="D164" s="34"/>
      <c r="E164" s="34"/>
      <c r="F164" s="43" t="s">
        <v>428</v>
      </c>
      <c r="G164" s="43"/>
      <c r="H164" s="43"/>
      <c r="I164" s="43"/>
      <c r="J164" s="43"/>
      <c r="K164" s="43"/>
      <c r="L164" s="43"/>
      <c r="M164" s="43"/>
      <c r="N164" s="43"/>
      <c r="O164" s="186"/>
      <c r="P164" s="186"/>
      <c r="Q164" s="186"/>
      <c r="R164" s="186"/>
      <c r="S164" s="186"/>
      <c r="T164" s="186"/>
      <c r="U164" s="186"/>
      <c r="V164" s="186"/>
      <c r="W164" s="186"/>
      <c r="X164" s="186"/>
      <c r="Y164" s="186"/>
      <c r="Z164" s="186"/>
      <c r="AA164" s="186"/>
      <c r="AB164" s="186"/>
      <c r="AC164" s="186"/>
      <c r="AD164" s="186"/>
      <c r="AE164" s="186"/>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row>
    <row r="165" spans="1:71" ht="15" x14ac:dyDescent="0.25">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row>
    <row r="166" spans="1:71" s="68" customFormat="1" ht="15" x14ac:dyDescent="0.25">
      <c r="A166" s="65"/>
      <c r="B166" s="65"/>
      <c r="C166" s="65"/>
      <c r="D166" s="65"/>
      <c r="E166" s="65"/>
      <c r="F166" s="33" t="s">
        <v>179</v>
      </c>
      <c r="G166" s="33"/>
      <c r="H166" s="33"/>
      <c r="I166" s="33"/>
      <c r="J166" s="33"/>
      <c r="K166" s="33"/>
      <c r="L166" s="33"/>
      <c r="M166" s="33"/>
      <c r="N166" s="33"/>
      <c r="O166" s="33"/>
      <c r="P166" s="33"/>
      <c r="Q166" s="33"/>
      <c r="R166" s="33"/>
      <c r="S166" s="33"/>
      <c r="T166" s="33"/>
      <c r="U166" s="33"/>
      <c r="V166" s="33"/>
      <c r="W166" s="33"/>
      <c r="X166" s="33"/>
      <c r="Y166" s="33"/>
      <c r="Z166" s="33"/>
      <c r="AA166" s="33"/>
      <c r="AB166" s="33"/>
      <c r="AC166" s="33"/>
      <c r="AD166" s="33"/>
      <c r="AE166" s="33"/>
      <c r="AF166" s="33"/>
      <c r="AG166" s="33"/>
      <c r="AH166" s="33" t="s">
        <v>748</v>
      </c>
      <c r="AI166" s="33"/>
      <c r="AJ166" s="33"/>
      <c r="AK166" s="33"/>
      <c r="AL166" s="33"/>
      <c r="AM166" s="33"/>
      <c r="AN166" s="33"/>
      <c r="AO166" s="33"/>
      <c r="AP166" s="33"/>
      <c r="AQ166" s="33"/>
      <c r="AR166" s="33"/>
      <c r="AS166" s="33"/>
      <c r="AT166" s="33"/>
      <c r="AU166" s="33"/>
      <c r="AV166" s="33"/>
      <c r="AW166" s="33"/>
      <c r="AX166" s="33"/>
      <c r="AY166" s="33"/>
      <c r="AZ166" s="65"/>
      <c r="BA166" s="65"/>
      <c r="BB166" s="65"/>
      <c r="BC166" s="65"/>
      <c r="BD166" s="65"/>
      <c r="BE166" s="65"/>
      <c r="BF166" s="65"/>
      <c r="BG166" s="65"/>
      <c r="BH166" s="65"/>
      <c r="BI166" s="65"/>
      <c r="BJ166" s="65"/>
      <c r="BK166" s="65"/>
      <c r="BL166" s="65"/>
      <c r="BM166" s="65"/>
      <c r="BN166" s="65"/>
      <c r="BO166" s="65"/>
      <c r="BP166" s="65"/>
      <c r="BQ166" s="65"/>
      <c r="BR166" s="65"/>
      <c r="BS166" s="65"/>
    </row>
    <row r="167" spans="1:71" s="68" customFormat="1" ht="15" x14ac:dyDescent="0.25">
      <c r="A167" s="65"/>
      <c r="B167" s="65"/>
      <c r="C167" s="65"/>
      <c r="D167" s="65"/>
      <c r="E167" s="65"/>
      <c r="F167" s="33" t="s">
        <v>429</v>
      </c>
      <c r="G167" s="33"/>
      <c r="H167" s="33"/>
      <c r="I167" s="33"/>
      <c r="J167" s="33"/>
      <c r="K167" s="33"/>
      <c r="L167" s="33"/>
      <c r="M167" s="33"/>
      <c r="N167" s="33"/>
      <c r="O167" s="33"/>
      <c r="P167" s="33"/>
      <c r="Q167" s="33"/>
      <c r="R167" s="33"/>
      <c r="S167" s="33"/>
      <c r="T167" s="33"/>
      <c r="U167" s="33"/>
      <c r="V167" s="33"/>
      <c r="W167" s="33"/>
      <c r="X167" s="33"/>
      <c r="Y167" s="33"/>
      <c r="Z167" s="33"/>
      <c r="AA167" s="33"/>
      <c r="AB167" s="33"/>
      <c r="AC167" s="33"/>
      <c r="AD167" s="33"/>
      <c r="AE167" s="33"/>
      <c r="AF167" s="33"/>
      <c r="AG167" s="33"/>
      <c r="AI167" s="33"/>
      <c r="AJ167" s="33"/>
      <c r="AK167" s="33"/>
      <c r="AL167" s="33"/>
      <c r="AM167" s="33"/>
      <c r="AN167" s="33"/>
      <c r="AO167" s="33"/>
      <c r="AP167" s="33"/>
      <c r="AQ167" s="33"/>
      <c r="AR167" s="33"/>
      <c r="AS167" s="33"/>
      <c r="AT167" s="33"/>
      <c r="AU167" s="33"/>
      <c r="AV167" s="33"/>
      <c r="AW167" s="33"/>
      <c r="AX167" s="33"/>
      <c r="AY167" s="33"/>
      <c r="AZ167" s="65"/>
      <c r="BA167" s="65"/>
      <c r="BB167" s="65"/>
      <c r="BC167" s="65"/>
      <c r="BD167" s="65"/>
      <c r="BE167" s="65"/>
      <c r="BF167" s="65"/>
      <c r="BG167" s="65"/>
      <c r="BH167" s="65"/>
      <c r="BI167" s="65"/>
      <c r="BJ167" s="65"/>
      <c r="BK167" s="65"/>
      <c r="BL167" s="65"/>
      <c r="BM167" s="65"/>
      <c r="BN167" s="65"/>
      <c r="BO167" s="65"/>
      <c r="BP167" s="65"/>
      <c r="BQ167" s="65"/>
      <c r="BR167" s="65"/>
      <c r="BS167" s="65"/>
    </row>
    <row r="168" spans="1:71" s="68" customFormat="1" ht="15" x14ac:dyDescent="0.25">
      <c r="A168" s="65"/>
      <c r="B168" s="65"/>
      <c r="C168" s="65"/>
      <c r="D168" s="65"/>
      <c r="E168" s="65"/>
      <c r="F168" s="33"/>
      <c r="G168" s="33"/>
      <c r="H168" s="33"/>
      <c r="I168" s="33"/>
      <c r="J168" s="33"/>
      <c r="K168" s="33"/>
      <c r="L168" s="33"/>
      <c r="M168" s="33"/>
      <c r="N168" s="33"/>
      <c r="O168" s="33"/>
      <c r="P168" s="33"/>
      <c r="Q168" s="33"/>
      <c r="R168" s="33"/>
      <c r="S168" s="33"/>
      <c r="T168" s="33"/>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3"/>
      <c r="AV168" s="33"/>
      <c r="AW168" s="33"/>
      <c r="AX168" s="33"/>
      <c r="AY168" s="33"/>
      <c r="AZ168" s="65"/>
      <c r="BA168" s="65"/>
      <c r="BB168" s="65"/>
      <c r="BC168" s="65"/>
      <c r="BD168" s="65"/>
      <c r="BE168" s="65"/>
      <c r="BF168" s="65"/>
      <c r="BG168" s="65"/>
      <c r="BH168" s="65"/>
      <c r="BI168" s="65"/>
      <c r="BJ168" s="65"/>
      <c r="BK168" s="65"/>
      <c r="BL168" s="65"/>
      <c r="BM168" s="65"/>
      <c r="BN168" s="65"/>
      <c r="BO168" s="65"/>
      <c r="BP168" s="65"/>
      <c r="BQ168" s="65"/>
      <c r="BR168" s="65"/>
      <c r="BS168" s="65"/>
    </row>
    <row r="169" spans="1:71" s="68" customFormat="1" ht="15" x14ac:dyDescent="0.25">
      <c r="A169" s="65"/>
      <c r="B169" s="65"/>
      <c r="C169" s="65"/>
      <c r="D169" s="65"/>
      <c r="E169" s="65"/>
      <c r="F169" s="33"/>
      <c r="G169" s="33"/>
      <c r="H169" s="33"/>
      <c r="I169" s="33"/>
      <c r="J169" s="33"/>
      <c r="K169" s="33"/>
      <c r="L169" s="33"/>
      <c r="M169" s="33"/>
      <c r="N169" s="33"/>
      <c r="O169" s="33"/>
      <c r="P169" s="33"/>
      <c r="Q169" s="33"/>
      <c r="R169" s="33"/>
      <c r="S169" s="33"/>
      <c r="T169" s="33"/>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3"/>
      <c r="AV169" s="33"/>
      <c r="AW169" s="33"/>
      <c r="AX169" s="33"/>
      <c r="AY169" s="33"/>
      <c r="AZ169" s="65"/>
      <c r="BA169" s="65"/>
      <c r="BB169" s="65"/>
      <c r="BC169" s="65"/>
      <c r="BD169" s="65"/>
      <c r="BE169" s="65"/>
      <c r="BF169" s="65"/>
      <c r="BG169" s="65"/>
      <c r="BH169" s="65"/>
      <c r="BI169" s="65"/>
      <c r="BJ169" s="65"/>
      <c r="BK169" s="65"/>
      <c r="BL169" s="65"/>
      <c r="BM169" s="65"/>
      <c r="BN169" s="65"/>
      <c r="BO169" s="65"/>
      <c r="BP169" s="65"/>
      <c r="BQ169" s="65"/>
      <c r="BR169" s="65"/>
      <c r="BS169" s="65"/>
    </row>
    <row r="170" spans="1:71" ht="15" x14ac:dyDescent="0.25">
      <c r="A170" s="34"/>
      <c r="B170" s="34"/>
      <c r="C170" s="34"/>
      <c r="D170" s="34"/>
      <c r="E170" s="34"/>
      <c r="F170" s="43" t="s">
        <v>430</v>
      </c>
      <c r="G170" s="43"/>
      <c r="H170" s="43"/>
      <c r="I170" s="43"/>
      <c r="J170" s="43"/>
      <c r="K170" s="43"/>
      <c r="L170" s="43"/>
      <c r="M170" s="43"/>
      <c r="N170" s="43"/>
      <c r="O170" s="186"/>
      <c r="P170" s="186"/>
      <c r="Q170" s="186"/>
      <c r="R170" s="186"/>
      <c r="S170" s="186"/>
      <c r="T170" s="186"/>
      <c r="U170" s="186"/>
      <c r="V170" s="186"/>
      <c r="W170" s="186"/>
      <c r="X170" s="186"/>
      <c r="Y170" s="186"/>
      <c r="Z170" s="186"/>
      <c r="AA170" s="186"/>
      <c r="AB170" s="186"/>
      <c r="AC170" s="186"/>
      <c r="AD170" s="186"/>
      <c r="AE170" s="186"/>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row>
    <row r="171" spans="1:71" ht="15" x14ac:dyDescent="0.25">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row>
    <row r="172" spans="1:71" ht="15" x14ac:dyDescent="0.25">
      <c r="A172" s="34"/>
      <c r="B172" s="34"/>
      <c r="C172" s="34"/>
      <c r="D172" s="34"/>
      <c r="E172" s="34"/>
      <c r="F172" s="34" t="s">
        <v>180</v>
      </c>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t="s">
        <v>431</v>
      </c>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row>
    <row r="173" spans="1:71" ht="15" x14ac:dyDescent="0.25">
      <c r="A173" s="34"/>
      <c r="B173" s="34"/>
      <c r="C173" s="34"/>
      <c r="D173" s="34"/>
      <c r="E173" s="34"/>
      <c r="F173" s="34" t="s">
        <v>42</v>
      </c>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t="s">
        <v>749</v>
      </c>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row>
    <row r="174" spans="1:71" ht="15" x14ac:dyDescent="0.25">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row>
    <row r="175" spans="1:71" ht="15" x14ac:dyDescent="0.25">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row>
    <row r="176" spans="1:71" ht="15" x14ac:dyDescent="0.25">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row>
    <row r="177" spans="1:71" ht="15" x14ac:dyDescent="0.25">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row>
    <row r="178" spans="1:71" ht="15" x14ac:dyDescent="0.25">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row>
    <row r="179" spans="1:71" ht="15" x14ac:dyDescent="0.25">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row>
    <row r="180" spans="1:71" ht="15.75" x14ac:dyDescent="0.25">
      <c r="A180" s="34"/>
      <c r="B180" s="34"/>
      <c r="C180" s="34"/>
      <c r="D180" s="34"/>
      <c r="E180" s="34"/>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4"/>
      <c r="BP180" s="34"/>
      <c r="BQ180" s="34"/>
      <c r="BR180" s="34"/>
      <c r="BS180" s="34"/>
    </row>
    <row r="181" spans="1:71" ht="15.75" x14ac:dyDescent="0.25">
      <c r="A181" s="34"/>
      <c r="B181" s="34"/>
      <c r="C181" s="34" t="str">
        <f>CAPA!$A$43</f>
        <v>AGÊNCIA MARITIMA CARGONAVE LTDA</v>
      </c>
      <c r="D181" s="34" t="str">
        <f>IFERROR(_xlfn.IFS(C181=F186,AH186,C181=F191,AH191,C181=F199,AH199,C181=F208,AH208,C181=F214,AH214,C181=F221,AH221,C181=F229,AH229,C181=F235,AH235,C181=F241,AH241),"")</f>
        <v>Mr. Azemir do Rosario</v>
      </c>
      <c r="E181" s="34"/>
      <c r="F181" s="176" t="s">
        <v>432</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4"/>
      <c r="BP181" s="34"/>
      <c r="BQ181" s="34"/>
      <c r="BR181" s="34"/>
      <c r="BS181" s="34"/>
    </row>
    <row r="182" spans="1:71" ht="15.75" x14ac:dyDescent="0.25">
      <c r="A182" s="34"/>
      <c r="B182" s="34"/>
      <c r="C182" s="34"/>
      <c r="D182" s="34" t="str">
        <f>IFERROR(_xlfn.IFS(C181=F186,AH187,C181=F191,AH192,C181=F199,AH200,C181=F208,AH209,C181=F214,AH215,C181=F221,AH222,C181=F229,AH230,C181=F235,AH236,C181=F241,AH242)," ")</f>
        <v>Mr. Willian Cordeiro</v>
      </c>
      <c r="E182" s="34"/>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4"/>
      <c r="BP182" s="34"/>
      <c r="BQ182" s="34"/>
      <c r="BR182" s="34"/>
      <c r="BS182" s="34"/>
    </row>
    <row r="183" spans="1:71" ht="15" x14ac:dyDescent="0.25">
      <c r="A183" s="34"/>
      <c r="B183" s="34"/>
      <c r="C183" s="34"/>
      <c r="D183" s="34">
        <f>IFERROR(_xlfn.IFS(C181=F191,AH193,C181=F199,AH201,C181=F214,AH216,C181=F221,AH223)," ")</f>
        <v>0</v>
      </c>
      <c r="E183" s="34"/>
      <c r="F183" s="178"/>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row>
    <row r="184" spans="1:71" ht="15" x14ac:dyDescent="0.25">
      <c r="A184" s="34"/>
      <c r="B184" s="34"/>
      <c r="C184" s="34"/>
      <c r="D184" s="34">
        <f>IFERROR(_xlfn.IFS(C181=F199,AH202,C181=F221,AH224)," ")</f>
        <v>0</v>
      </c>
      <c r="E184" s="34"/>
      <c r="F184" s="43" t="s">
        <v>398</v>
      </c>
      <c r="G184" s="43"/>
      <c r="H184" s="43"/>
      <c r="I184" s="43"/>
      <c r="J184" s="43"/>
      <c r="K184" s="43"/>
      <c r="L184" s="43"/>
      <c r="M184" s="43"/>
      <c r="N184" s="43"/>
      <c r="O184" s="186"/>
      <c r="P184" s="186"/>
      <c r="Q184" s="186"/>
      <c r="R184" s="186"/>
      <c r="S184" s="186"/>
      <c r="T184" s="186"/>
      <c r="U184" s="186"/>
      <c r="V184" s="186"/>
      <c r="W184" s="186"/>
      <c r="X184" s="186"/>
      <c r="Y184" s="186"/>
      <c r="Z184" s="186"/>
      <c r="AA184" s="186"/>
      <c r="AB184" s="186"/>
      <c r="AC184" s="186"/>
      <c r="AD184" s="186"/>
      <c r="AE184" s="186"/>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row>
    <row r="185" spans="1:71" ht="15" x14ac:dyDescent="0.25">
      <c r="A185" s="34"/>
      <c r="B185" s="34"/>
      <c r="C185" s="34"/>
      <c r="D185" s="34">
        <f>IFERROR(_xlfn.IFS(C181=F199,AH203,C181=F221,AH224)," ")</f>
        <v>0</v>
      </c>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row>
    <row r="186" spans="1:71" s="68" customFormat="1" ht="15" x14ac:dyDescent="0.25">
      <c r="A186" s="65"/>
      <c r="B186" s="65"/>
      <c r="C186" s="65"/>
      <c r="D186" s="65"/>
      <c r="E186" s="65"/>
      <c r="F186" s="33" t="s">
        <v>158</v>
      </c>
      <c r="G186" s="33"/>
      <c r="H186" s="33"/>
      <c r="I186" s="33"/>
      <c r="J186" s="33"/>
      <c r="K186" s="33"/>
      <c r="L186" s="33"/>
      <c r="M186" s="33"/>
      <c r="N186" s="33"/>
      <c r="O186" s="33"/>
      <c r="P186" s="33"/>
      <c r="Q186" s="33"/>
      <c r="R186" s="33"/>
      <c r="S186" s="33"/>
      <c r="T186" s="33"/>
      <c r="U186" s="33"/>
      <c r="V186" s="33"/>
      <c r="W186" s="33"/>
      <c r="X186" s="33"/>
      <c r="Y186" s="33"/>
      <c r="Z186" s="33"/>
      <c r="AA186" s="33"/>
      <c r="AB186" s="33"/>
      <c r="AC186" s="33"/>
      <c r="AD186" s="33"/>
      <c r="AE186" s="33"/>
      <c r="AF186" s="33"/>
      <c r="AG186" s="33"/>
      <c r="AH186" s="33" t="s">
        <v>750</v>
      </c>
      <c r="AI186" s="33"/>
      <c r="AJ186" s="33"/>
      <c r="AK186" s="33"/>
      <c r="AL186" s="33"/>
      <c r="AM186" s="33"/>
      <c r="AN186" s="33"/>
      <c r="AO186" s="33"/>
      <c r="AP186" s="33"/>
      <c r="AQ186" s="33"/>
      <c r="AR186" s="33"/>
      <c r="AS186" s="33"/>
      <c r="AT186" s="33"/>
      <c r="AU186" s="33"/>
      <c r="AV186" s="33"/>
      <c r="AW186" s="33"/>
      <c r="AX186" s="33"/>
      <c r="AY186" s="33"/>
      <c r="AZ186" s="65"/>
      <c r="BA186" s="65"/>
      <c r="BB186" s="65"/>
      <c r="BC186" s="65"/>
      <c r="BD186" s="65"/>
      <c r="BE186" s="65"/>
      <c r="BF186" s="65"/>
      <c r="BG186" s="65"/>
      <c r="BH186" s="65"/>
      <c r="BI186" s="65"/>
      <c r="BJ186" s="65"/>
      <c r="BK186" s="65"/>
      <c r="BL186" s="65"/>
      <c r="BM186" s="65"/>
      <c r="BN186" s="65"/>
      <c r="BO186" s="65"/>
      <c r="BP186" s="65"/>
      <c r="BQ186" s="65"/>
      <c r="BR186" s="65"/>
      <c r="BS186" s="65"/>
    </row>
    <row r="187" spans="1:71" s="68" customFormat="1" ht="15" x14ac:dyDescent="0.25">
      <c r="A187" s="65"/>
      <c r="B187" s="65"/>
      <c r="C187" s="65"/>
      <c r="D187" s="65"/>
      <c r="E187" s="65"/>
      <c r="F187" s="33" t="s">
        <v>399</v>
      </c>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3"/>
      <c r="AV187" s="33"/>
      <c r="AW187" s="33"/>
      <c r="AX187" s="33"/>
      <c r="AY187" s="33"/>
      <c r="AZ187" s="65"/>
      <c r="BA187" s="65"/>
      <c r="BB187" s="65"/>
      <c r="BC187" s="65"/>
      <c r="BD187" s="65"/>
      <c r="BE187" s="65"/>
      <c r="BF187" s="65"/>
      <c r="BG187" s="65"/>
      <c r="BH187" s="65"/>
      <c r="BI187" s="65"/>
      <c r="BJ187" s="65"/>
      <c r="BK187" s="65"/>
      <c r="BL187" s="65"/>
      <c r="BM187" s="65"/>
      <c r="BN187" s="65"/>
      <c r="BO187" s="65"/>
      <c r="BP187" s="65"/>
      <c r="BQ187" s="65"/>
      <c r="BR187" s="65"/>
      <c r="BS187" s="65"/>
    </row>
    <row r="188" spans="1:71" s="68" customFormat="1" ht="15" x14ac:dyDescent="0.25">
      <c r="A188" s="65"/>
      <c r="B188" s="65"/>
      <c r="C188" s="65"/>
      <c r="D188" s="65"/>
      <c r="E188" s="65"/>
      <c r="F188" s="33"/>
      <c r="G188" s="33"/>
      <c r="H188" s="33"/>
      <c r="I188" s="33"/>
      <c r="J188" s="33"/>
      <c r="K188" s="33"/>
      <c r="L188" s="33"/>
      <c r="M188" s="33"/>
      <c r="N188" s="33"/>
      <c r="O188" s="33"/>
      <c r="P188" s="33"/>
      <c r="Q188" s="33"/>
      <c r="R188" s="33"/>
      <c r="S188" s="33"/>
      <c r="T188" s="33"/>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3"/>
      <c r="AV188" s="33"/>
      <c r="AW188" s="33"/>
      <c r="AX188" s="33"/>
      <c r="AY188" s="33"/>
      <c r="AZ188" s="65"/>
      <c r="BA188" s="65"/>
      <c r="BB188" s="65"/>
      <c r="BC188" s="65"/>
      <c r="BD188" s="65"/>
      <c r="BE188" s="65"/>
      <c r="BF188" s="65"/>
      <c r="BG188" s="65"/>
      <c r="BH188" s="65"/>
      <c r="BI188" s="65"/>
      <c r="BJ188" s="65"/>
      <c r="BK188" s="65"/>
      <c r="BL188" s="65"/>
      <c r="BM188" s="65"/>
      <c r="BN188" s="65"/>
      <c r="BO188" s="65"/>
      <c r="BP188" s="65"/>
      <c r="BQ188" s="65"/>
      <c r="BR188" s="65"/>
      <c r="BS188" s="65"/>
    </row>
    <row r="189" spans="1:71" ht="15" x14ac:dyDescent="0.25">
      <c r="A189" s="34"/>
      <c r="B189" s="34"/>
      <c r="C189" s="34"/>
      <c r="D189" s="34"/>
      <c r="E189" s="34"/>
      <c r="F189" s="43" t="s">
        <v>344</v>
      </c>
      <c r="G189" s="43"/>
      <c r="H189" s="43"/>
      <c r="I189" s="43"/>
      <c r="J189" s="43"/>
      <c r="K189" s="43"/>
      <c r="L189" s="43"/>
      <c r="M189" s="43"/>
      <c r="N189" s="43"/>
      <c r="O189" s="186"/>
      <c r="P189" s="186"/>
      <c r="Q189" s="186"/>
      <c r="R189" s="186"/>
      <c r="S189" s="186"/>
      <c r="T189" s="186"/>
      <c r="U189" s="186"/>
      <c r="V189" s="186"/>
      <c r="W189" s="186"/>
      <c r="X189" s="186"/>
      <c r="Y189" s="186"/>
      <c r="Z189" s="186"/>
      <c r="AA189" s="186"/>
      <c r="AB189" s="186"/>
      <c r="AC189" s="186"/>
      <c r="AD189" s="186"/>
      <c r="AE189" s="186"/>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row>
    <row r="190" spans="1:71" ht="15" x14ac:dyDescent="0.25">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row>
    <row r="191" spans="1:71" ht="15" x14ac:dyDescent="0.25">
      <c r="A191" s="34"/>
      <c r="B191" s="34"/>
      <c r="C191" s="34"/>
      <c r="D191" s="34"/>
      <c r="E191" s="34"/>
      <c r="F191" s="34" t="s">
        <v>160</v>
      </c>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t="s">
        <v>402</v>
      </c>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row>
    <row r="192" spans="1:71" ht="15" x14ac:dyDescent="0.25">
      <c r="A192" s="34"/>
      <c r="B192" s="34"/>
      <c r="C192" s="34"/>
      <c r="D192" s="34"/>
      <c r="E192" s="34"/>
      <c r="F192" s="34" t="s">
        <v>41</v>
      </c>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t="s">
        <v>741</v>
      </c>
      <c r="AI192" s="34"/>
      <c r="AJ192" s="34"/>
      <c r="AK192" s="34"/>
      <c r="AL192" s="34"/>
      <c r="AM192" s="34"/>
      <c r="AN192" s="33"/>
      <c r="AO192" s="33"/>
      <c r="AP192" s="33"/>
      <c r="AQ192" s="33"/>
      <c r="AR192" s="33"/>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row>
    <row r="193" spans="1:71" ht="15" x14ac:dyDescent="0.25">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row>
    <row r="194" spans="1:71" ht="15" x14ac:dyDescent="0.25">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row>
    <row r="195" spans="1:71" ht="15" x14ac:dyDescent="0.25">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row>
    <row r="196" spans="1:71" ht="15" x14ac:dyDescent="0.25">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row>
    <row r="197" spans="1:71" ht="15" x14ac:dyDescent="0.25">
      <c r="A197" s="34"/>
      <c r="B197" s="34"/>
      <c r="C197" s="34"/>
      <c r="D197" s="34"/>
      <c r="E197" s="34"/>
      <c r="F197" s="43" t="s">
        <v>403</v>
      </c>
      <c r="G197" s="43"/>
      <c r="H197" s="43"/>
      <c r="I197" s="43"/>
      <c r="J197" s="43"/>
      <c r="K197" s="43"/>
      <c r="L197" s="43"/>
      <c r="M197" s="43"/>
      <c r="N197" s="43"/>
      <c r="O197" s="186"/>
      <c r="P197" s="186"/>
      <c r="Q197" s="186"/>
      <c r="R197" s="186"/>
      <c r="S197" s="186"/>
      <c r="T197" s="186"/>
      <c r="U197" s="186"/>
      <c r="V197" s="186"/>
      <c r="W197" s="186"/>
      <c r="X197" s="186"/>
      <c r="Y197" s="186"/>
      <c r="Z197" s="186"/>
      <c r="AA197" s="186"/>
      <c r="AB197" s="186"/>
      <c r="AC197" s="186"/>
      <c r="AD197" s="186"/>
      <c r="AE197" s="186"/>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row>
    <row r="198" spans="1:71" ht="15" x14ac:dyDescent="0.25">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row>
    <row r="199" spans="1:71" ht="15" x14ac:dyDescent="0.25">
      <c r="A199" s="34"/>
      <c r="B199" s="34"/>
      <c r="C199" s="34"/>
      <c r="D199" s="34"/>
      <c r="E199" s="34"/>
      <c r="F199" s="34" t="s">
        <v>162</v>
      </c>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t="s">
        <v>699</v>
      </c>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row>
    <row r="200" spans="1:71" ht="15" x14ac:dyDescent="0.25">
      <c r="A200" s="34"/>
      <c r="B200" s="34"/>
      <c r="C200" s="34"/>
      <c r="D200" s="34"/>
      <c r="E200" s="34"/>
      <c r="F200" s="34" t="s">
        <v>41</v>
      </c>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t="s">
        <v>700</v>
      </c>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row>
    <row r="201" spans="1:71" ht="15" x14ac:dyDescent="0.25">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row>
    <row r="202" spans="1:71" ht="15" x14ac:dyDescent="0.25">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row>
    <row r="203" spans="1:71" ht="15" x14ac:dyDescent="0.25">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row>
    <row r="204" spans="1:71" ht="15" x14ac:dyDescent="0.25">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row>
    <row r="205" spans="1:71" ht="15" x14ac:dyDescent="0.25">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row>
    <row r="206" spans="1:71" ht="15" x14ac:dyDescent="0.25">
      <c r="A206" s="34"/>
      <c r="B206" s="34"/>
      <c r="C206" s="34"/>
      <c r="D206" s="34"/>
      <c r="E206" s="34"/>
      <c r="F206" s="43" t="s">
        <v>433</v>
      </c>
      <c r="G206" s="43"/>
      <c r="H206" s="43"/>
      <c r="I206" s="43"/>
      <c r="J206" s="43"/>
      <c r="K206" s="43"/>
      <c r="L206" s="43"/>
      <c r="M206" s="43"/>
      <c r="N206" s="43"/>
      <c r="O206" s="186"/>
      <c r="P206" s="186"/>
      <c r="Q206" s="186"/>
      <c r="R206" s="186"/>
      <c r="S206" s="186"/>
      <c r="T206" s="186"/>
      <c r="U206" s="186"/>
      <c r="V206" s="186"/>
      <c r="W206" s="186"/>
      <c r="X206" s="186"/>
      <c r="Y206" s="186"/>
      <c r="Z206" s="186"/>
      <c r="AA206" s="186"/>
      <c r="AB206" s="186"/>
      <c r="AC206" s="186"/>
      <c r="AD206" s="186"/>
      <c r="AE206" s="186"/>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row>
    <row r="207" spans="1:71" ht="15" x14ac:dyDescent="0.25">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row>
    <row r="208" spans="1:71" ht="15" x14ac:dyDescent="0.25">
      <c r="A208" s="34"/>
      <c r="B208" s="34"/>
      <c r="C208" s="34"/>
      <c r="D208" s="34"/>
      <c r="E208" s="34"/>
      <c r="F208" s="34" t="s">
        <v>163</v>
      </c>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t="s">
        <v>434</v>
      </c>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row>
    <row r="209" spans="1:71" ht="15" x14ac:dyDescent="0.25">
      <c r="A209" s="34"/>
      <c r="B209" s="34"/>
      <c r="C209" s="34"/>
      <c r="D209" s="34"/>
      <c r="E209" s="34"/>
      <c r="F209" s="34" t="s">
        <v>41</v>
      </c>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row>
    <row r="210" spans="1:71" ht="15" x14ac:dyDescent="0.25">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row>
    <row r="211" spans="1:71" ht="15" x14ac:dyDescent="0.25">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row>
    <row r="212" spans="1:71" ht="15" x14ac:dyDescent="0.25">
      <c r="A212" s="34"/>
      <c r="B212" s="34"/>
      <c r="C212" s="34"/>
      <c r="D212" s="34"/>
      <c r="E212" s="34"/>
      <c r="F212" s="43" t="s">
        <v>404</v>
      </c>
      <c r="G212" s="43"/>
      <c r="H212" s="43"/>
      <c r="I212" s="43"/>
      <c r="J212" s="43"/>
      <c r="K212" s="43"/>
      <c r="L212" s="43"/>
      <c r="M212" s="43"/>
      <c r="N212" s="43"/>
      <c r="O212" s="186"/>
      <c r="P212" s="186"/>
      <c r="Q212" s="186"/>
      <c r="R212" s="186"/>
      <c r="S212" s="186"/>
      <c r="T212" s="186"/>
      <c r="U212" s="186"/>
      <c r="V212" s="186"/>
      <c r="W212" s="186"/>
      <c r="X212" s="186"/>
      <c r="Y212" s="186"/>
      <c r="Z212" s="186"/>
      <c r="AA212" s="186"/>
      <c r="AB212" s="186"/>
      <c r="AC212" s="186"/>
      <c r="AD212" s="186"/>
      <c r="AE212" s="186"/>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row>
    <row r="213" spans="1:71" ht="15" x14ac:dyDescent="0.25">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row>
    <row r="214" spans="1:71" ht="15" x14ac:dyDescent="0.25">
      <c r="A214" s="34"/>
      <c r="B214" s="34"/>
      <c r="C214" s="34"/>
      <c r="D214" s="34"/>
      <c r="E214" s="34"/>
      <c r="F214" s="33" t="s">
        <v>164</v>
      </c>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t="s">
        <v>405</v>
      </c>
      <c r="AI214" s="33"/>
      <c r="AJ214" s="33"/>
      <c r="AK214" s="33"/>
      <c r="AL214" s="33"/>
      <c r="AM214" s="33"/>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row>
    <row r="215" spans="1:71" ht="15" x14ac:dyDescent="0.25">
      <c r="A215" s="34"/>
      <c r="B215" s="34"/>
      <c r="C215" s="34"/>
      <c r="D215" s="34"/>
      <c r="E215" s="34"/>
      <c r="F215" s="33" t="s">
        <v>42</v>
      </c>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t="s">
        <v>406</v>
      </c>
      <c r="AI215" s="33"/>
      <c r="AJ215" s="33"/>
      <c r="AK215" s="33"/>
      <c r="AL215" s="33"/>
      <c r="AM215" s="33"/>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row>
    <row r="216" spans="1:71" ht="15" x14ac:dyDescent="0.25">
      <c r="A216" s="34"/>
      <c r="B216" s="34"/>
      <c r="C216" s="34"/>
      <c r="D216" s="34"/>
      <c r="E216" s="34"/>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t="s">
        <v>407</v>
      </c>
      <c r="AI216" s="33"/>
      <c r="AJ216" s="33"/>
      <c r="AK216" s="33"/>
      <c r="AL216" s="33"/>
      <c r="AM216" s="33"/>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row>
    <row r="217" spans="1:71" ht="15" x14ac:dyDescent="0.25">
      <c r="A217" s="34"/>
      <c r="B217" s="34"/>
      <c r="C217" s="34"/>
      <c r="D217" s="34"/>
      <c r="E217" s="34"/>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row>
    <row r="218" spans="1:71" s="181" customFormat="1" ht="15" customHeight="1" x14ac:dyDescent="0.25">
      <c r="A218" s="65"/>
      <c r="B218" s="65"/>
      <c r="C218" s="65"/>
      <c r="D218" s="65"/>
      <c r="E218" s="65"/>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65"/>
      <c r="AV218" s="65"/>
      <c r="AW218" s="65"/>
      <c r="AX218" s="65"/>
      <c r="AY218" s="65"/>
      <c r="AZ218" s="65"/>
      <c r="BA218" s="65"/>
      <c r="BB218" s="65"/>
      <c r="BC218" s="65"/>
      <c r="BD218" s="65"/>
      <c r="BE218" s="65"/>
      <c r="BF218" s="65"/>
      <c r="BG218" s="65"/>
      <c r="BH218" s="65"/>
      <c r="BI218" s="65"/>
      <c r="BJ218" s="65"/>
      <c r="BK218" s="65"/>
      <c r="BL218" s="65"/>
      <c r="BM218" s="65"/>
      <c r="BN218" s="65"/>
      <c r="BO218" s="65"/>
      <c r="BP218" s="65"/>
      <c r="BQ218" s="65"/>
      <c r="BR218" s="65"/>
      <c r="BS218" s="65"/>
    </row>
    <row r="219" spans="1:71" ht="15" x14ac:dyDescent="0.25">
      <c r="A219" s="34"/>
      <c r="B219" s="34"/>
      <c r="C219" s="34"/>
      <c r="D219" s="34"/>
      <c r="E219" s="34"/>
      <c r="F219" s="43" t="s">
        <v>410</v>
      </c>
      <c r="G219" s="43"/>
      <c r="H219" s="43"/>
      <c r="I219" s="43"/>
      <c r="J219" s="43"/>
      <c r="K219" s="43"/>
      <c r="L219" s="43"/>
      <c r="M219" s="43"/>
      <c r="N219" s="43"/>
      <c r="O219" s="186"/>
      <c r="P219" s="186"/>
      <c r="Q219" s="186"/>
      <c r="R219" s="186"/>
      <c r="S219" s="186"/>
      <c r="T219" s="186"/>
      <c r="U219" s="186"/>
      <c r="V219" s="186"/>
      <c r="W219" s="186"/>
      <c r="X219" s="186"/>
      <c r="Y219" s="186"/>
      <c r="Z219" s="186"/>
      <c r="AA219" s="186"/>
      <c r="AB219" s="186"/>
      <c r="AC219" s="186"/>
      <c r="AD219" s="186"/>
      <c r="AE219" s="186"/>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row>
    <row r="220" spans="1:71" ht="15" x14ac:dyDescent="0.25">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row>
    <row r="221" spans="1:71" ht="15" x14ac:dyDescent="0.25">
      <c r="A221" s="34"/>
      <c r="B221" s="34"/>
      <c r="C221" s="34"/>
      <c r="D221" s="34"/>
      <c r="E221" s="34"/>
      <c r="F221" s="33" t="s">
        <v>166</v>
      </c>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t="s">
        <v>411</v>
      </c>
      <c r="AI221" s="33"/>
      <c r="AJ221" s="33"/>
      <c r="AK221" s="33"/>
      <c r="AL221" s="65"/>
      <c r="AM221" s="65"/>
      <c r="AN221" s="33"/>
      <c r="AO221" s="33"/>
      <c r="AP221" s="33"/>
      <c r="AQ221" s="33"/>
      <c r="AR221" s="33"/>
      <c r="AS221" s="33"/>
      <c r="AT221" s="33"/>
      <c r="AU221" s="33"/>
      <c r="AV221" s="33"/>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row>
    <row r="222" spans="1:71" ht="15" x14ac:dyDescent="0.25">
      <c r="A222" s="34"/>
      <c r="B222" s="34"/>
      <c r="C222" s="34"/>
      <c r="D222" s="34"/>
      <c r="E222" s="34"/>
      <c r="F222" s="33" t="s">
        <v>41</v>
      </c>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t="s">
        <v>412</v>
      </c>
      <c r="AI222" s="33"/>
      <c r="AJ222" s="33"/>
      <c r="AK222" s="33"/>
      <c r="AL222" s="65"/>
      <c r="AM222" s="65"/>
      <c r="AN222" s="33"/>
      <c r="AO222" s="33"/>
      <c r="AP222" s="33"/>
      <c r="AQ222" s="33"/>
      <c r="AR222" s="33"/>
      <c r="AS222" s="33"/>
      <c r="AT222" s="33"/>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row>
    <row r="223" spans="1:71" ht="15" x14ac:dyDescent="0.25">
      <c r="A223" s="34"/>
      <c r="B223" s="34"/>
      <c r="C223" s="34"/>
      <c r="D223" s="34"/>
      <c r="E223" s="34"/>
      <c r="F223" s="34"/>
      <c r="G223" s="34"/>
      <c r="H223" s="34"/>
      <c r="I223" s="34"/>
      <c r="J223" s="34"/>
      <c r="K223" s="34"/>
      <c r="L223" s="34"/>
      <c r="M223" s="33"/>
      <c r="N223" s="33"/>
      <c r="O223" s="33"/>
      <c r="P223" s="33"/>
      <c r="Q223" s="33"/>
      <c r="R223" s="33"/>
      <c r="S223" s="33"/>
      <c r="T223" s="33"/>
      <c r="U223" s="33"/>
      <c r="V223" s="33"/>
      <c r="W223" s="33"/>
      <c r="X223" s="33"/>
      <c r="Y223" s="33"/>
      <c r="Z223" s="33"/>
      <c r="AA223" s="33"/>
      <c r="AB223" s="33"/>
      <c r="AC223" s="33"/>
      <c r="AD223" s="33"/>
      <c r="AE223" s="33"/>
      <c r="AF223" s="33"/>
      <c r="AG223" s="33"/>
      <c r="AH223" s="33" t="s">
        <v>413</v>
      </c>
      <c r="AI223" s="33"/>
      <c r="AJ223" s="33"/>
      <c r="AK223" s="33"/>
      <c r="AL223" s="33"/>
      <c r="AM223" s="33"/>
      <c r="AN223" s="33"/>
      <c r="AO223" s="33"/>
      <c r="AP223" s="33"/>
      <c r="AQ223" s="33"/>
      <c r="AR223" s="33"/>
      <c r="AS223" s="33"/>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row>
    <row r="224" spans="1:71" ht="15" x14ac:dyDescent="0.25">
      <c r="A224" s="34"/>
      <c r="B224" s="34"/>
      <c r="C224" s="34"/>
      <c r="D224" s="34"/>
      <c r="E224" s="34"/>
      <c r="F224" s="34"/>
      <c r="G224" s="34"/>
      <c r="H224" s="34"/>
      <c r="I224" s="34"/>
      <c r="J224" s="34"/>
      <c r="K224" s="34"/>
      <c r="L224" s="34"/>
      <c r="M224" s="33"/>
      <c r="N224" s="33"/>
      <c r="O224" s="33"/>
      <c r="P224" s="33"/>
      <c r="Q224" s="33"/>
      <c r="R224" s="33"/>
      <c r="S224" s="33"/>
      <c r="T224" s="33"/>
      <c r="U224" s="33"/>
      <c r="V224" s="33"/>
      <c r="W224" s="33"/>
      <c r="X224" s="33"/>
      <c r="Y224" s="33"/>
      <c r="Z224" s="33"/>
      <c r="AA224" s="33"/>
      <c r="AB224" s="33"/>
      <c r="AC224" s="33"/>
      <c r="AD224" s="33"/>
      <c r="AE224" s="33"/>
      <c r="AF224" s="33"/>
      <c r="AG224" s="33"/>
      <c r="AH224" s="33" t="s">
        <v>414</v>
      </c>
      <c r="AI224" s="33"/>
      <c r="AJ224" s="33"/>
      <c r="AK224" s="33"/>
      <c r="AL224" s="33"/>
      <c r="AM224" s="33"/>
      <c r="AN224" s="33"/>
      <c r="AO224" s="33"/>
      <c r="AP224" s="33"/>
      <c r="AQ224" s="33"/>
      <c r="AR224" s="33"/>
      <c r="AS224" s="33"/>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row>
    <row r="225" spans="1:71" ht="15" x14ac:dyDescent="0.25">
      <c r="A225" s="34"/>
      <c r="B225" s="34"/>
      <c r="C225" s="34"/>
      <c r="D225" s="34"/>
      <c r="E225" s="34"/>
      <c r="F225" s="34"/>
      <c r="G225" s="34"/>
      <c r="H225" s="34"/>
      <c r="I225" s="34"/>
      <c r="J225" s="34"/>
      <c r="K225" s="34"/>
      <c r="L225" s="34"/>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row>
    <row r="226" spans="1:71" ht="15" x14ac:dyDescent="0.25">
      <c r="A226" s="34"/>
      <c r="B226" s="34"/>
      <c r="C226" s="34"/>
      <c r="D226" s="34"/>
      <c r="E226" s="34"/>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row>
    <row r="227" spans="1:71" ht="15" x14ac:dyDescent="0.25">
      <c r="A227" s="34"/>
      <c r="B227" s="34"/>
      <c r="C227" s="34"/>
      <c r="D227" s="34"/>
      <c r="E227" s="34"/>
      <c r="F227" s="43" t="s">
        <v>353</v>
      </c>
      <c r="G227" s="43"/>
      <c r="H227" s="43"/>
      <c r="I227" s="43"/>
      <c r="J227" s="43"/>
      <c r="K227" s="43"/>
      <c r="L227" s="43"/>
      <c r="M227" s="43"/>
      <c r="N227" s="43"/>
      <c r="O227" s="186"/>
      <c r="P227" s="186"/>
      <c r="Q227" s="186"/>
      <c r="R227" s="186"/>
      <c r="S227" s="186"/>
      <c r="T227" s="186"/>
      <c r="U227" s="186"/>
      <c r="V227" s="186"/>
      <c r="W227" s="186"/>
      <c r="X227" s="186"/>
      <c r="Y227" s="186"/>
      <c r="Z227" s="186"/>
      <c r="AA227" s="186"/>
      <c r="AB227" s="186"/>
      <c r="AC227" s="186"/>
      <c r="AD227" s="186"/>
      <c r="AE227" s="186"/>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row>
    <row r="228" spans="1:71" ht="15" x14ac:dyDescent="0.25">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row>
    <row r="229" spans="1:71" ht="15" x14ac:dyDescent="0.25">
      <c r="A229" s="34"/>
      <c r="B229" s="34"/>
      <c r="C229" s="34"/>
      <c r="D229" s="34"/>
      <c r="E229" s="34"/>
      <c r="F229" s="33" t="s">
        <v>167</v>
      </c>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t="s">
        <v>435</v>
      </c>
      <c r="AI229" s="33"/>
      <c r="AJ229" s="33"/>
      <c r="AK229" s="33"/>
      <c r="AL229" s="33"/>
      <c r="AM229" s="33"/>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row>
    <row r="230" spans="1:71" ht="15" x14ac:dyDescent="0.25">
      <c r="A230" s="34"/>
      <c r="B230" s="34"/>
      <c r="C230" s="34"/>
      <c r="D230" s="34"/>
      <c r="E230" s="34"/>
      <c r="F230" s="33" t="s">
        <v>41</v>
      </c>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4"/>
      <c r="AO230" s="34"/>
      <c r="AP230" s="34"/>
      <c r="AQ230" s="34"/>
      <c r="AR230" s="34"/>
      <c r="AS230" s="34"/>
      <c r="AT230" s="34"/>
      <c r="AU230" s="65"/>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row>
    <row r="231" spans="1:71" ht="15" x14ac:dyDescent="0.25">
      <c r="A231" s="34"/>
      <c r="B231" s="34"/>
      <c r="C231" s="34"/>
      <c r="D231" s="34"/>
      <c r="E231" s="34"/>
      <c r="F231" s="33"/>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65"/>
      <c r="AI231" s="34"/>
      <c r="AJ231" s="34"/>
      <c r="AK231" s="34"/>
      <c r="AL231" s="34"/>
      <c r="AM231" s="34"/>
      <c r="AN231" s="65"/>
      <c r="AO231" s="65"/>
      <c r="AP231" s="65"/>
      <c r="AQ231" s="65"/>
      <c r="AR231" s="65"/>
      <c r="AS231" s="65"/>
      <c r="AT231" s="65"/>
      <c r="AU231" s="65"/>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row>
    <row r="232" spans="1:71" ht="15" x14ac:dyDescent="0.25">
      <c r="A232" s="34"/>
      <c r="B232" s="34"/>
      <c r="C232" s="34"/>
      <c r="D232" s="34"/>
      <c r="E232" s="34"/>
      <c r="F232" s="33"/>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row>
    <row r="233" spans="1:71" ht="15" x14ac:dyDescent="0.25">
      <c r="A233" s="34"/>
      <c r="B233" s="34"/>
      <c r="C233" s="34"/>
      <c r="D233" s="34"/>
      <c r="E233" s="34"/>
      <c r="F233" s="43" t="s">
        <v>420</v>
      </c>
      <c r="G233" s="43"/>
      <c r="H233" s="43"/>
      <c r="I233" s="43"/>
      <c r="J233" s="43"/>
      <c r="K233" s="43"/>
      <c r="L233" s="43"/>
      <c r="M233" s="43"/>
      <c r="N233" s="43"/>
      <c r="O233" s="186"/>
      <c r="P233" s="186"/>
      <c r="Q233" s="186"/>
      <c r="R233" s="186"/>
      <c r="S233" s="186"/>
      <c r="T233" s="186"/>
      <c r="U233" s="186"/>
      <c r="V233" s="186"/>
      <c r="W233" s="186"/>
      <c r="X233" s="186"/>
      <c r="Y233" s="186"/>
      <c r="Z233" s="186"/>
      <c r="AA233" s="186"/>
      <c r="AB233" s="186"/>
      <c r="AC233" s="186"/>
      <c r="AD233" s="186"/>
      <c r="AE233" s="186"/>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row>
    <row r="234" spans="1:71" ht="15" x14ac:dyDescent="0.25">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row>
    <row r="235" spans="1:71" ht="15" x14ac:dyDescent="0.25">
      <c r="A235" s="34"/>
      <c r="B235" s="34"/>
      <c r="C235" s="34"/>
      <c r="D235" s="34"/>
      <c r="E235" s="34"/>
      <c r="F235" s="33" t="s">
        <v>169</v>
      </c>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t="s">
        <v>422</v>
      </c>
      <c r="AI235" s="33"/>
      <c r="AJ235" s="33"/>
      <c r="AK235" s="33"/>
      <c r="AL235" s="33"/>
      <c r="AM235" s="33"/>
      <c r="AN235" s="33"/>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row>
    <row r="236" spans="1:71" ht="15" x14ac:dyDescent="0.25">
      <c r="A236" s="34"/>
      <c r="B236" s="34"/>
      <c r="C236" s="34"/>
      <c r="D236" s="34"/>
      <c r="E236" s="34"/>
      <c r="F236" s="33" t="s">
        <v>41</v>
      </c>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t="s">
        <v>751</v>
      </c>
      <c r="AI236" s="33"/>
      <c r="AJ236" s="33"/>
      <c r="AK236" s="33"/>
      <c r="AL236" s="33"/>
      <c r="AM236" s="33"/>
      <c r="AN236" s="33"/>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row>
    <row r="237" spans="1:71" ht="15" x14ac:dyDescent="0.25">
      <c r="A237" s="34"/>
      <c r="B237" s="34"/>
      <c r="C237" s="34"/>
      <c r="D237" s="34"/>
      <c r="E237" s="34"/>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row>
    <row r="238" spans="1:71" ht="15" x14ac:dyDescent="0.25">
      <c r="A238" s="34"/>
      <c r="B238" s="34"/>
      <c r="C238" s="34"/>
      <c r="D238" s="34"/>
      <c r="E238" s="34"/>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row>
    <row r="239" spans="1:71" ht="15" x14ac:dyDescent="0.25">
      <c r="A239" s="34"/>
      <c r="B239" s="34"/>
      <c r="C239" s="34"/>
      <c r="D239" s="34"/>
      <c r="E239" s="34"/>
      <c r="F239" s="678" t="s">
        <v>653</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3"/>
      <c r="AG239" s="33"/>
      <c r="AH239" s="33"/>
      <c r="AI239" s="33"/>
      <c r="AJ239" s="33"/>
      <c r="AK239" s="33"/>
      <c r="AL239" s="33"/>
      <c r="AM239" s="33"/>
      <c r="AN239" s="33"/>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row>
    <row r="240" spans="1:71" ht="15" x14ac:dyDescent="0.25">
      <c r="A240" s="34"/>
      <c r="B240" s="34"/>
      <c r="C240" s="34"/>
      <c r="D240" s="34"/>
      <c r="E240" s="34"/>
      <c r="F240" s="680"/>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row>
    <row r="241" spans="1:71" ht="15" x14ac:dyDescent="0.25">
      <c r="A241" s="34"/>
      <c r="B241" s="34"/>
      <c r="C241" s="34"/>
      <c r="D241" s="34"/>
      <c r="E241" s="34"/>
      <c r="F241" s="33" t="s">
        <v>654</v>
      </c>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t="s">
        <v>655</v>
      </c>
      <c r="AI241" s="33"/>
      <c r="AJ241" s="33"/>
      <c r="AK241" s="33"/>
      <c r="AL241" s="33"/>
      <c r="AM241" s="33"/>
      <c r="AN241" s="33"/>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row>
    <row r="242" spans="1:71" ht="15" x14ac:dyDescent="0.25">
      <c r="A242" s="34"/>
      <c r="B242" s="34"/>
      <c r="C242" s="34"/>
      <c r="D242" s="34"/>
      <c r="E242" s="34"/>
      <c r="F242" s="34" t="s">
        <v>656</v>
      </c>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row>
    <row r="243" spans="1:71" ht="15" x14ac:dyDescent="0.25">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4"/>
      <c r="BP244" s="34"/>
      <c r="BQ244" s="34"/>
      <c r="BR244" s="34"/>
      <c r="BS244" s="34"/>
    </row>
    <row r="245" spans="1:71" ht="15" x14ac:dyDescent="0.25">
      <c r="A245" s="178"/>
      <c r="B245" s="178"/>
      <c r="C245" s="178"/>
      <c r="D245" s="178"/>
      <c r="E245" s="178"/>
      <c r="F245" s="177" t="s">
        <v>436</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4"/>
      <c r="BP245" s="34"/>
      <c r="BQ245" s="34"/>
      <c r="BR245" s="34"/>
      <c r="BS245" s="34"/>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4"/>
      <c r="BP246" s="34"/>
      <c r="BQ246" s="34"/>
      <c r="BR246" s="34"/>
      <c r="BS246" s="34"/>
    </row>
    <row r="247" spans="1:71" ht="15" x14ac:dyDescent="0.25">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row>
    <row r="248" spans="1:71" ht="15" x14ac:dyDescent="0.25">
      <c r="A248" s="34"/>
      <c r="B248" s="34"/>
      <c r="C248" s="34"/>
      <c r="D248" s="34"/>
      <c r="E248" s="34"/>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4"/>
      <c r="AI248" s="33"/>
      <c r="AJ248" s="34"/>
      <c r="AK248" s="33"/>
      <c r="AL248" s="33"/>
      <c r="AM248" s="33"/>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row>
    <row r="249" spans="1:71" ht="15" x14ac:dyDescent="0.25">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t="s">
        <v>213</v>
      </c>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row>
    <row r="250" spans="1:71" ht="15" x14ac:dyDescent="0.25">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t="s">
        <v>214</v>
      </c>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row>
    <row r="251" spans="1:71" ht="15" x14ac:dyDescent="0.25">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t="s">
        <v>216</v>
      </c>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row>
    <row r="252" spans="1:71" ht="15" x14ac:dyDescent="0.25">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t="s">
        <v>217</v>
      </c>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row>
    <row r="253" spans="1:71" ht="15" x14ac:dyDescent="0.25">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t="s">
        <v>218</v>
      </c>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row>
    <row r="254" spans="1:71" ht="15" x14ac:dyDescent="0.25">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3" t="s">
        <v>220</v>
      </c>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row>
    <row r="255" spans="1:71" ht="15" x14ac:dyDescent="0.25">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3"/>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row>
    <row r="256" spans="1:71" ht="15" x14ac:dyDescent="0.25">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t="s">
        <v>221</v>
      </c>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row>
    <row r="257" spans="1:71" ht="15" x14ac:dyDescent="0.25">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3" t="s">
        <v>223</v>
      </c>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row>
    <row r="258" spans="1:71" ht="15" x14ac:dyDescent="0.25">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t="s">
        <v>224</v>
      </c>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row>
    <row r="259" spans="1:71" ht="15" x14ac:dyDescent="0.25">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t="s">
        <v>225</v>
      </c>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row>
    <row r="260" spans="1:71" ht="15" x14ac:dyDescent="0.25">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65" t="s">
        <v>227</v>
      </c>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row>
    <row r="261" spans="1:71" ht="15" x14ac:dyDescent="0.25">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65" t="s">
        <v>228</v>
      </c>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row>
    <row r="262" spans="1:71" ht="15" x14ac:dyDescent="0.25">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t="s">
        <v>229</v>
      </c>
      <c r="AI262" s="34"/>
      <c r="AJ262" s="34"/>
      <c r="AK262" s="34"/>
      <c r="AL262" s="34"/>
      <c r="AM262" s="34"/>
      <c r="AN262" s="33"/>
      <c r="AO262" s="33"/>
      <c r="AP262" s="33"/>
      <c r="AQ262" s="33"/>
      <c r="AR262" s="33"/>
      <c r="AS262" s="33"/>
      <c r="AT262" s="33"/>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row>
    <row r="263" spans="1:71" ht="15" x14ac:dyDescent="0.25">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t="s">
        <v>230</v>
      </c>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row>
    <row r="264" spans="1:71" ht="15" x14ac:dyDescent="0.25">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t="s">
        <v>657</v>
      </c>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row>
    <row r="265" spans="1:71" ht="15" x14ac:dyDescent="0.25">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row>
    <row r="266" spans="1:71" ht="15.75" x14ac:dyDescent="0.25">
      <c r="A266" s="16"/>
      <c r="B266" s="16"/>
      <c r="C266" s="16"/>
      <c r="D266" s="16"/>
      <c r="E266" s="16"/>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6"/>
      <c r="BN266" s="16"/>
      <c r="BO266" s="34"/>
      <c r="BP266" s="34"/>
      <c r="BQ266" s="34"/>
      <c r="BR266" s="34"/>
      <c r="BS266" s="34"/>
    </row>
    <row r="267" spans="1:71" ht="15.75" x14ac:dyDescent="0.25">
      <c r="A267" s="16"/>
      <c r="B267" s="16"/>
      <c r="C267" s="16">
        <f>CAPA!$A$88</f>
        <v>0</v>
      </c>
      <c r="D267" s="16"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6"/>
      <c r="F267" s="176" t="s">
        <v>437</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6"/>
      <c r="BN267" s="16"/>
      <c r="BO267" s="34"/>
      <c r="BP267" s="34"/>
      <c r="BQ267" s="34"/>
      <c r="BR267" s="34"/>
      <c r="BS267" s="34"/>
    </row>
    <row r="268" spans="1:71" ht="15.75" x14ac:dyDescent="0.25">
      <c r="A268" s="16"/>
      <c r="B268" s="16"/>
      <c r="C268" s="16"/>
      <c r="D268" s="16" t="str">
        <f>IFERROR(_xlfn.IFS(C267=F270,AH271,C267=F273,AH274,C267=F278,AH279,C267=F282,AH283,C267=F285,AH286,C267=F291,AH292,C267=F297,AH298,C267=F300,AH301,C267=F308,AH309,C267=F311,AH312,C267=F314,AH315,C267=F304,AH305,C267=F317,AH318)," ")</f>
        <v xml:space="preserve"> </v>
      </c>
      <c r="E268" s="16"/>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6"/>
      <c r="BN268" s="16"/>
      <c r="BO268" s="34"/>
      <c r="BP268" s="34"/>
      <c r="BQ268" s="34"/>
      <c r="BR268" s="34"/>
      <c r="BS268" s="34"/>
    </row>
    <row r="269" spans="1:71" ht="15" x14ac:dyDescent="0.25">
      <c r="A269" s="34"/>
      <c r="B269" s="34"/>
      <c r="C269" s="34"/>
      <c r="D269" s="34"/>
      <c r="E269" s="34"/>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33"/>
      <c r="AP269" s="33"/>
      <c r="AQ269" s="33"/>
      <c r="AR269" s="33"/>
      <c r="AS269" s="33"/>
      <c r="AT269" s="33"/>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row>
    <row r="270" spans="1:71" ht="15" x14ac:dyDescent="0.25">
      <c r="A270" s="34"/>
      <c r="B270" s="34"/>
      <c r="C270" s="34"/>
      <c r="D270" s="34"/>
      <c r="E270" s="34"/>
      <c r="F270" s="34" t="s">
        <v>231</v>
      </c>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t="s">
        <v>438</v>
      </c>
      <c r="AI270" s="34"/>
      <c r="AJ270" s="34"/>
      <c r="AK270" s="34"/>
      <c r="AL270" s="34"/>
      <c r="AM270" s="33"/>
      <c r="AN270" s="33"/>
      <c r="AO270" s="33"/>
      <c r="AP270" s="33"/>
      <c r="AQ270" s="33"/>
      <c r="AR270" s="33"/>
      <c r="AS270" s="33"/>
      <c r="AT270" s="33"/>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row>
    <row r="271" spans="1:71" ht="15" x14ac:dyDescent="0.25">
      <c r="A271" s="34"/>
      <c r="B271" s="34"/>
      <c r="C271" s="34">
        <f>CAPA!$A$91</f>
        <v>0</v>
      </c>
      <c r="D271" s="34"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t="s">
        <v>225</v>
      </c>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row>
    <row r="272" spans="1:71" ht="15" x14ac:dyDescent="0.25">
      <c r="A272" s="34"/>
      <c r="B272" s="34"/>
      <c r="C272" s="34"/>
      <c r="D272" s="34" t="str">
        <f>IFERROR(_xlfn.IFS(C271=F270,AH271,C271=F278,AH279,C271=F282,AH283,C271=F285,AH286,C271=F291,AH292,C271=F297,AH298,C271=F300,AH301,C271=F308,AH309,C271=F311,AH312,C271=F314,AH315,C271=F317,AH318,271=F304,AH305)," ")</f>
        <v xml:space="preserve"> </v>
      </c>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row>
    <row r="273" spans="1:71" ht="15" x14ac:dyDescent="0.25">
      <c r="A273" s="34"/>
      <c r="B273" s="34"/>
      <c r="C273" s="34"/>
      <c r="D273" s="34"/>
      <c r="E273" s="34"/>
      <c r="F273" s="33" t="s">
        <v>232</v>
      </c>
      <c r="G273" s="33"/>
      <c r="H273" s="33"/>
      <c r="I273" s="33"/>
      <c r="J273" s="33"/>
      <c r="K273" s="33"/>
      <c r="L273" s="33"/>
      <c r="M273" s="33"/>
      <c r="N273" s="33"/>
      <c r="O273" s="33"/>
      <c r="P273" s="33"/>
      <c r="Q273" s="33"/>
      <c r="R273" s="33"/>
      <c r="S273" s="33"/>
      <c r="T273" s="33"/>
      <c r="U273" s="33"/>
      <c r="V273" s="33"/>
      <c r="W273" s="33"/>
      <c r="X273" s="33"/>
      <c r="Y273" s="33"/>
      <c r="Z273" s="33"/>
      <c r="AA273" s="33"/>
      <c r="AB273" s="33"/>
      <c r="AC273" s="33"/>
      <c r="AD273" s="33"/>
      <c r="AE273" s="33"/>
      <c r="AF273" s="33"/>
      <c r="AG273" s="33"/>
      <c r="AH273" s="33" t="s">
        <v>439</v>
      </c>
      <c r="AI273" s="33"/>
      <c r="AJ273" s="33"/>
      <c r="AK273" s="33"/>
      <c r="AL273" s="33"/>
      <c r="AM273" s="33"/>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row>
    <row r="274" spans="1:71" ht="15" x14ac:dyDescent="0.25">
      <c r="A274" s="34"/>
      <c r="B274" s="34"/>
      <c r="C274" s="34"/>
      <c r="D274" s="34"/>
      <c r="E274" s="34"/>
      <c r="F274" s="33"/>
      <c r="G274" s="33"/>
      <c r="H274" s="33"/>
      <c r="I274" s="33"/>
      <c r="J274" s="33"/>
      <c r="K274" s="33"/>
      <c r="L274" s="33"/>
      <c r="M274" s="33"/>
      <c r="N274" s="33"/>
      <c r="O274" s="33"/>
      <c r="P274" s="33"/>
      <c r="Q274" s="33"/>
      <c r="R274" s="33"/>
      <c r="S274" s="33"/>
      <c r="T274" s="33"/>
      <c r="U274" s="33"/>
      <c r="V274" s="33"/>
      <c r="W274" s="33"/>
      <c r="X274" s="33"/>
      <c r="Y274" s="33"/>
      <c r="Z274" s="33"/>
      <c r="AA274" s="33"/>
      <c r="AB274" s="33"/>
      <c r="AC274" s="33"/>
      <c r="AD274" s="33"/>
      <c r="AE274" s="33"/>
      <c r="AF274" s="33"/>
      <c r="AG274" s="33"/>
      <c r="AI274" s="33"/>
      <c r="AJ274" s="33"/>
      <c r="AK274" s="33"/>
      <c r="AL274" s="33"/>
      <c r="AM274" s="33"/>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row>
    <row r="275" spans="1:71" ht="15" x14ac:dyDescent="0.25">
      <c r="A275" s="34"/>
      <c r="B275" s="34"/>
      <c r="C275" s="34">
        <f>CAPA!$A$94</f>
        <v>0</v>
      </c>
      <c r="D275" s="34"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row>
    <row r="276" spans="1:71" ht="15" x14ac:dyDescent="0.25">
      <c r="A276" s="34"/>
      <c r="B276" s="34"/>
      <c r="C276" s="34"/>
      <c r="D276" s="34" t="str">
        <f>IFERROR(_xlfn.IFS(C275=F270,AH271,C275=F278,AH279,C275=F282,AH283,C275=F285,AH286,C275=F291,AH292,C275=F297,AH298,C275=F300,AH301,C275=F308,AH309,C275=F311,AH312,C275=F314,AH315,C275=F304,AH305,C275=F317,AH318)," ")</f>
        <v xml:space="preserve"> </v>
      </c>
      <c r="E276" s="34"/>
      <c r="F276" s="33" t="s">
        <v>233</v>
      </c>
      <c r="G276" s="33"/>
      <c r="H276" s="33"/>
      <c r="I276" s="33"/>
      <c r="J276" s="33"/>
      <c r="K276" s="33"/>
      <c r="L276" s="33"/>
      <c r="M276" s="33"/>
      <c r="N276" s="33"/>
      <c r="O276" s="33"/>
      <c r="P276" s="33"/>
      <c r="Q276" s="33"/>
      <c r="R276" s="33"/>
      <c r="S276" s="33"/>
      <c r="T276" s="33"/>
      <c r="U276" s="33"/>
      <c r="V276" s="33"/>
      <c r="W276" s="33"/>
      <c r="X276" s="33"/>
      <c r="Y276" s="33"/>
      <c r="Z276" s="33"/>
      <c r="AA276" s="33"/>
      <c r="AB276" s="33"/>
      <c r="AC276" s="33"/>
      <c r="AD276" s="33"/>
      <c r="AE276" s="33"/>
      <c r="AF276" s="33"/>
      <c r="AG276" s="33"/>
      <c r="AH276" s="33" t="s">
        <v>658</v>
      </c>
      <c r="AI276" s="33"/>
      <c r="AJ276" s="33"/>
      <c r="AK276" s="33"/>
      <c r="AL276" s="33"/>
      <c r="AM276" s="33"/>
      <c r="AN276" s="33"/>
      <c r="AO276" s="33"/>
      <c r="AP276" s="33"/>
      <c r="AQ276" s="33"/>
      <c r="AR276" s="65"/>
      <c r="AS276" s="65"/>
      <c r="AT276" s="65"/>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row>
    <row r="277" spans="1:71" ht="15" x14ac:dyDescent="0.25">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row>
    <row r="278" spans="1:71" ht="15" x14ac:dyDescent="0.25">
      <c r="A278" s="34"/>
      <c r="B278" s="34"/>
      <c r="C278" s="34"/>
      <c r="D278" s="34"/>
      <c r="E278" s="34"/>
      <c r="F278" s="34" t="s">
        <v>234</v>
      </c>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t="s">
        <v>391</v>
      </c>
      <c r="AI278" s="34"/>
      <c r="AJ278" s="34"/>
      <c r="AK278" s="34"/>
      <c r="AL278" s="34"/>
      <c r="AM278" s="34"/>
      <c r="AN278" s="33"/>
      <c r="AO278" s="33"/>
      <c r="AP278" s="33"/>
      <c r="AQ278" s="33"/>
      <c r="AR278" s="33"/>
      <c r="AS278" s="33"/>
      <c r="AT278" s="33"/>
      <c r="AU278" s="33"/>
      <c r="AV278" s="33"/>
      <c r="AW278" s="33"/>
      <c r="AX278" s="33"/>
      <c r="AY278" s="33"/>
      <c r="AZ278" s="65"/>
      <c r="BA278" s="65"/>
      <c r="BB278" s="65"/>
      <c r="BC278" s="65"/>
      <c r="BD278" s="65"/>
      <c r="BE278" s="65"/>
      <c r="BF278" s="65"/>
      <c r="BG278" s="34"/>
      <c r="BH278" s="34"/>
      <c r="BI278" s="34"/>
      <c r="BJ278" s="34"/>
      <c r="BK278" s="34"/>
      <c r="BL278" s="34"/>
      <c r="BM278" s="34"/>
      <c r="BN278" s="34"/>
      <c r="BO278" s="34"/>
      <c r="BP278" s="34"/>
      <c r="BQ278" s="34"/>
      <c r="BR278" s="34"/>
      <c r="BS278" s="34"/>
    </row>
    <row r="279" spans="1:71" ht="15" x14ac:dyDescent="0.25">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t="s">
        <v>440</v>
      </c>
      <c r="AI279" s="34"/>
      <c r="AJ279" s="34"/>
      <c r="AK279" s="34"/>
      <c r="AL279" s="34"/>
      <c r="AM279" s="34"/>
      <c r="AN279" s="33"/>
      <c r="AO279" s="33"/>
      <c r="AP279" s="33"/>
      <c r="AQ279" s="33"/>
      <c r="AR279" s="33"/>
      <c r="AS279" s="33"/>
      <c r="AT279" s="33"/>
      <c r="AU279" s="33"/>
      <c r="AV279" s="33"/>
      <c r="AW279" s="33"/>
      <c r="AX279" s="33"/>
      <c r="AY279" s="33"/>
      <c r="AZ279" s="65"/>
      <c r="BA279" s="65"/>
      <c r="BB279" s="65"/>
      <c r="BC279" s="65"/>
      <c r="BD279" s="65"/>
      <c r="BE279" s="65"/>
      <c r="BF279" s="65"/>
      <c r="BG279" s="34"/>
      <c r="BH279" s="34"/>
      <c r="BI279" s="34"/>
      <c r="BJ279" s="34"/>
      <c r="BK279" s="34"/>
      <c r="BL279" s="34"/>
      <c r="BM279" s="34"/>
      <c r="BN279" s="34"/>
      <c r="BO279" s="34"/>
      <c r="BP279" s="34"/>
      <c r="BQ279" s="34"/>
      <c r="BR279" s="34"/>
      <c r="BS279" s="34"/>
    </row>
    <row r="280" spans="1:71" ht="15" x14ac:dyDescent="0.25">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I280" s="34"/>
      <c r="AJ280" s="34"/>
      <c r="AK280" s="34"/>
      <c r="AL280" s="34"/>
      <c r="AM280" s="34"/>
      <c r="AN280" s="34"/>
      <c r="AO280" s="34"/>
      <c r="AP280" s="34"/>
      <c r="AQ280" s="34"/>
      <c r="AR280" s="33"/>
      <c r="AS280" s="33"/>
      <c r="AT280" s="33"/>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row>
    <row r="281" spans="1:71" ht="15" x14ac:dyDescent="0.25">
      <c r="A281" s="34"/>
      <c r="B281" s="34"/>
      <c r="C281" s="34"/>
      <c r="D281" s="34"/>
      <c r="E281" s="34"/>
      <c r="F281" s="33"/>
      <c r="G281" s="33"/>
      <c r="H281" s="33"/>
      <c r="I281" s="33"/>
      <c r="J281" s="33"/>
      <c r="K281" s="33"/>
      <c r="L281" s="33"/>
      <c r="M281" s="33"/>
      <c r="N281" s="33"/>
      <c r="O281" s="33"/>
      <c r="P281" s="33"/>
      <c r="Q281" s="33"/>
      <c r="R281" s="33"/>
      <c r="S281" s="33"/>
      <c r="T281" s="33"/>
      <c r="U281" s="33"/>
      <c r="V281" s="33"/>
      <c r="W281" s="33"/>
      <c r="X281" s="33"/>
      <c r="Y281" s="33"/>
      <c r="Z281" s="33"/>
      <c r="AA281" s="33"/>
      <c r="AB281" s="33"/>
      <c r="AC281" s="33"/>
      <c r="AD281" s="33"/>
      <c r="AE281" s="33"/>
      <c r="AF281" s="33"/>
      <c r="AG281" s="33"/>
      <c r="AH281" s="33"/>
      <c r="AI281" s="33"/>
      <c r="AJ281" s="33"/>
      <c r="AK281" s="33"/>
      <c r="AL281" s="33"/>
      <c r="AM281" s="33"/>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row>
    <row r="282" spans="1:71" ht="15" x14ac:dyDescent="0.25">
      <c r="A282" s="34"/>
      <c r="B282" s="34"/>
      <c r="C282" s="34"/>
      <c r="D282" s="34"/>
      <c r="E282" s="34"/>
      <c r="F282" s="65" t="s">
        <v>235</v>
      </c>
      <c r="G282" s="65"/>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t="s">
        <v>441</v>
      </c>
      <c r="AI282" s="65"/>
      <c r="AJ282" s="65"/>
      <c r="AK282" s="65"/>
      <c r="AL282" s="65"/>
      <c r="AM282" s="65"/>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row>
    <row r="283" spans="1:71" ht="15" x14ac:dyDescent="0.25">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65" t="s">
        <v>754</v>
      </c>
      <c r="AI283" s="34"/>
      <c r="AJ283" s="34"/>
      <c r="AK283" s="34"/>
      <c r="AL283" s="34"/>
      <c r="AM283" s="34"/>
      <c r="AN283" s="33"/>
      <c r="AO283" s="33"/>
      <c r="AP283" s="33"/>
      <c r="AQ283" s="33"/>
      <c r="AR283" s="33"/>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row>
    <row r="284" spans="1:71" ht="15" x14ac:dyDescent="0.25">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65"/>
      <c r="AI284" s="34"/>
      <c r="AJ284" s="34"/>
      <c r="AK284" s="34"/>
      <c r="AL284" s="34"/>
      <c r="AM284" s="34"/>
      <c r="AN284" s="33"/>
      <c r="AO284" s="33"/>
      <c r="AP284" s="33"/>
      <c r="AQ284" s="33"/>
      <c r="AR284" s="33"/>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row>
    <row r="285" spans="1:71" ht="15" x14ac:dyDescent="0.25">
      <c r="A285" s="34"/>
      <c r="B285" s="34"/>
      <c r="C285" s="34"/>
      <c r="D285" s="34"/>
      <c r="E285" s="34"/>
      <c r="F285" s="33" t="s">
        <v>236</v>
      </c>
      <c r="G285" s="33"/>
      <c r="H285" s="33"/>
      <c r="I285" s="33"/>
      <c r="J285" s="33"/>
      <c r="K285" s="33"/>
      <c r="L285" s="33"/>
      <c r="M285" s="33"/>
      <c r="N285" s="33"/>
      <c r="O285" s="33"/>
      <c r="P285" s="33"/>
      <c r="Q285" s="33"/>
      <c r="R285" s="33"/>
      <c r="S285" s="33"/>
      <c r="T285" s="33"/>
      <c r="U285" s="33"/>
      <c r="V285" s="33"/>
      <c r="W285" s="33"/>
      <c r="X285" s="33"/>
      <c r="Y285" s="33"/>
      <c r="Z285" s="33"/>
      <c r="AA285" s="33"/>
      <c r="AB285" s="33"/>
      <c r="AC285" s="33"/>
      <c r="AD285" s="33"/>
      <c r="AE285" s="33"/>
      <c r="AF285" s="33"/>
      <c r="AG285" s="33"/>
      <c r="AH285" s="33" t="s">
        <v>442</v>
      </c>
      <c r="AI285" s="33"/>
      <c r="AJ285" s="33"/>
      <c r="AK285" s="33"/>
      <c r="AL285" s="33"/>
      <c r="AM285" s="33"/>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row>
    <row r="286" spans="1:71" ht="15" x14ac:dyDescent="0.25">
      <c r="A286" s="34"/>
      <c r="B286" s="34"/>
      <c r="C286" s="34"/>
      <c r="D286" s="34"/>
      <c r="E286" s="34"/>
      <c r="F286" s="33" t="s">
        <v>443</v>
      </c>
      <c r="G286" s="33"/>
      <c r="H286" s="33"/>
      <c r="I286" s="33"/>
      <c r="J286" s="33"/>
      <c r="K286" s="33"/>
      <c r="L286" s="33"/>
      <c r="M286" s="33"/>
      <c r="N286" s="33"/>
      <c r="O286" s="33"/>
      <c r="P286" s="33"/>
      <c r="Q286" s="33"/>
      <c r="R286" s="33"/>
      <c r="S286" s="33"/>
      <c r="T286" s="33"/>
      <c r="U286" s="33"/>
      <c r="V286" s="33"/>
      <c r="W286" s="33"/>
      <c r="X286" s="33"/>
      <c r="Y286" s="33"/>
      <c r="Z286" s="33"/>
      <c r="AA286" s="33"/>
      <c r="AB286" s="33"/>
      <c r="AC286" s="33"/>
      <c r="AD286" s="33"/>
      <c r="AE286" s="33"/>
      <c r="AF286" s="33"/>
      <c r="AG286" s="33"/>
      <c r="AH286" s="33" t="s">
        <v>444</v>
      </c>
      <c r="AI286" s="33"/>
      <c r="AJ286" s="33"/>
      <c r="AK286" s="33"/>
      <c r="AL286" s="33"/>
      <c r="AM286" s="33"/>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row>
    <row r="287" spans="1:71" ht="15" x14ac:dyDescent="0.25">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row>
    <row r="288" spans="1:71" ht="15" x14ac:dyDescent="0.25">
      <c r="A288" s="34"/>
      <c r="B288" s="34"/>
      <c r="C288" s="34"/>
      <c r="D288" s="34"/>
      <c r="E288" s="34"/>
      <c r="F288" s="33" t="s">
        <v>237</v>
      </c>
      <c r="G288" s="33"/>
      <c r="H288" s="33"/>
      <c r="I288" s="33"/>
      <c r="J288" s="33"/>
      <c r="K288" s="33"/>
      <c r="L288" s="33"/>
      <c r="M288" s="33"/>
      <c r="N288" s="33"/>
      <c r="O288" s="33"/>
      <c r="P288" s="33"/>
      <c r="Q288" s="33"/>
      <c r="R288" s="33"/>
      <c r="S288" s="33"/>
      <c r="T288" s="33"/>
      <c r="U288" s="33"/>
      <c r="V288" s="33"/>
      <c r="W288" s="33"/>
      <c r="X288" s="33"/>
      <c r="Y288" s="33"/>
      <c r="Z288" s="33"/>
      <c r="AA288" s="33"/>
      <c r="AB288" s="33"/>
      <c r="AC288" s="33"/>
      <c r="AD288" s="33"/>
      <c r="AE288" s="33"/>
      <c r="AF288" s="33"/>
      <c r="AG288" s="33"/>
      <c r="AH288" s="33"/>
      <c r="AI288" s="33"/>
      <c r="AJ288" s="33"/>
      <c r="AK288" s="33"/>
      <c r="AL288" s="33"/>
      <c r="AM288" s="34"/>
      <c r="AN288" s="34"/>
      <c r="AO288" s="34"/>
      <c r="AP288" s="34"/>
      <c r="AQ288" s="34"/>
      <c r="AR288" s="34"/>
      <c r="AS288" s="34"/>
      <c r="AT288" s="34"/>
      <c r="AU288" s="33"/>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row>
    <row r="289" spans="1:71" ht="15" x14ac:dyDescent="0.25">
      <c r="A289" s="34"/>
      <c r="B289" s="34"/>
      <c r="C289" s="34"/>
      <c r="D289" s="34"/>
      <c r="E289" s="34"/>
      <c r="F289" s="33" t="s">
        <v>445</v>
      </c>
      <c r="G289" s="33"/>
      <c r="H289" s="33"/>
      <c r="I289" s="33"/>
      <c r="J289" s="33"/>
      <c r="K289" s="33"/>
      <c r="L289" s="33"/>
      <c r="M289" s="33"/>
      <c r="N289" s="33"/>
      <c r="O289" s="33"/>
      <c r="P289" s="33"/>
      <c r="Q289" s="33"/>
      <c r="R289" s="33"/>
      <c r="S289" s="33"/>
      <c r="T289" s="33"/>
      <c r="U289" s="33"/>
      <c r="V289" s="33"/>
      <c r="W289" s="33"/>
      <c r="X289" s="33"/>
      <c r="Y289" s="33"/>
      <c r="Z289" s="33"/>
      <c r="AA289" s="33"/>
      <c r="AB289" s="33"/>
      <c r="AC289" s="33"/>
      <c r="AD289" s="33"/>
      <c r="AE289" s="33"/>
      <c r="AF289" s="33"/>
      <c r="AG289" s="33"/>
      <c r="AH289" s="33"/>
      <c r="AI289" s="33"/>
      <c r="AJ289" s="33"/>
      <c r="AK289" s="33"/>
      <c r="AL289" s="33"/>
      <c r="AM289" s="34"/>
      <c r="AN289" s="34"/>
      <c r="AO289" s="34"/>
      <c r="AP289" s="34"/>
      <c r="AQ289" s="34"/>
      <c r="AR289" s="34"/>
      <c r="AS289" s="33"/>
      <c r="AT289" s="33"/>
      <c r="AU289" s="33"/>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row>
    <row r="290" spans="1:71" ht="15" x14ac:dyDescent="0.25">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3"/>
      <c r="AT290" s="33"/>
      <c r="AU290" s="33"/>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row>
    <row r="291" spans="1:71" ht="15" x14ac:dyDescent="0.25">
      <c r="A291" s="34"/>
      <c r="B291" s="34"/>
      <c r="C291" s="34"/>
      <c r="D291" s="34"/>
      <c r="E291" s="34"/>
      <c r="F291" s="33" t="s">
        <v>238</v>
      </c>
      <c r="G291" s="33"/>
      <c r="H291" s="33"/>
      <c r="I291" s="33"/>
      <c r="J291" s="33"/>
      <c r="K291" s="33"/>
      <c r="L291" s="33"/>
      <c r="M291" s="33"/>
      <c r="N291" s="33"/>
      <c r="O291" s="33"/>
      <c r="P291" s="33"/>
      <c r="Q291" s="33"/>
      <c r="R291" s="33"/>
      <c r="S291" s="33"/>
      <c r="T291" s="33"/>
      <c r="U291" s="33"/>
      <c r="V291" s="33"/>
      <c r="W291" s="33"/>
      <c r="X291" s="33"/>
      <c r="Y291" s="33"/>
      <c r="Z291" s="33"/>
      <c r="AA291" s="33"/>
      <c r="AB291" s="33"/>
      <c r="AC291" s="33"/>
      <c r="AD291" s="33"/>
      <c r="AE291" s="33"/>
      <c r="AF291" s="33"/>
      <c r="AG291" s="33"/>
      <c r="AH291" s="33" t="s">
        <v>446</v>
      </c>
      <c r="AI291" s="33"/>
      <c r="AJ291" s="33"/>
      <c r="AK291" s="34"/>
      <c r="AL291" s="34"/>
      <c r="AM291" s="34"/>
      <c r="AN291" s="33"/>
      <c r="AO291" s="33"/>
      <c r="AP291" s="33"/>
      <c r="AQ291" s="33"/>
      <c r="AR291" s="33"/>
      <c r="AS291" s="33"/>
      <c r="AT291" s="33"/>
      <c r="AU291" s="33"/>
      <c r="AV291" s="33"/>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row>
    <row r="292" spans="1:71" ht="15" x14ac:dyDescent="0.25">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3"/>
      <c r="AO292" s="33"/>
      <c r="AP292" s="33"/>
      <c r="AQ292" s="33"/>
      <c r="AR292" s="33"/>
      <c r="AS292" s="33"/>
      <c r="AT292" s="33"/>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row>
    <row r="293" spans="1:71" ht="15" x14ac:dyDescent="0.25">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row>
    <row r="294" spans="1:71" s="181" customFormat="1" ht="15" customHeight="1" x14ac:dyDescent="0.25">
      <c r="A294" s="65"/>
      <c r="B294" s="65"/>
      <c r="C294" s="65"/>
      <c r="D294" s="65"/>
      <c r="E294" s="65"/>
      <c r="F294" s="34" t="s">
        <v>239</v>
      </c>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3"/>
      <c r="AI294" s="65"/>
      <c r="AJ294" s="65"/>
      <c r="AK294" s="65"/>
      <c r="AL294" s="65"/>
      <c r="AM294" s="65"/>
      <c r="AN294" s="65"/>
      <c r="AO294" s="65"/>
      <c r="AP294" s="65"/>
      <c r="AQ294" s="34"/>
      <c r="AR294" s="34"/>
      <c r="AS294" s="34"/>
      <c r="AT294" s="34"/>
      <c r="AU294" s="65"/>
      <c r="AV294" s="65"/>
      <c r="AW294" s="65"/>
      <c r="AX294" s="65"/>
      <c r="AY294" s="65"/>
      <c r="AZ294" s="65"/>
      <c r="BA294" s="65"/>
      <c r="BB294" s="65"/>
      <c r="BC294" s="65"/>
      <c r="BD294" s="65"/>
      <c r="BE294" s="65"/>
      <c r="BF294" s="65"/>
      <c r="BG294" s="65"/>
      <c r="BH294" s="65"/>
      <c r="BI294" s="65"/>
      <c r="BJ294" s="65"/>
      <c r="BK294" s="65"/>
      <c r="BL294" s="65"/>
      <c r="BM294" s="65"/>
      <c r="BN294" s="65"/>
      <c r="BO294" s="65"/>
      <c r="BP294" s="65"/>
      <c r="BQ294" s="65"/>
      <c r="BR294" s="65"/>
      <c r="BS294" s="65"/>
    </row>
    <row r="295" spans="1:71" s="181" customFormat="1" ht="15" customHeight="1" x14ac:dyDescent="0.25">
      <c r="A295" s="65"/>
      <c r="B295" s="65"/>
      <c r="C295" s="65"/>
      <c r="D295" s="65"/>
      <c r="E295" s="65"/>
      <c r="F295" s="34" t="s">
        <v>448</v>
      </c>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3"/>
      <c r="AJ295" s="33"/>
      <c r="AK295" s="33"/>
      <c r="AL295" s="33"/>
      <c r="AM295" s="33"/>
      <c r="AN295" s="65"/>
      <c r="AO295" s="65"/>
      <c r="AP295" s="65"/>
      <c r="AQ295" s="65"/>
      <c r="AR295" s="65"/>
      <c r="AS295" s="65"/>
      <c r="AT295" s="65"/>
      <c r="AU295" s="65"/>
      <c r="AV295" s="65"/>
      <c r="AW295" s="65"/>
      <c r="AX295" s="65"/>
      <c r="AY295" s="65"/>
      <c r="AZ295" s="65"/>
      <c r="BA295" s="65"/>
      <c r="BB295" s="65"/>
      <c r="BC295" s="65"/>
      <c r="BD295" s="65"/>
      <c r="BE295" s="65"/>
      <c r="BF295" s="65"/>
      <c r="BG295" s="65"/>
      <c r="BH295" s="65"/>
      <c r="BI295" s="65"/>
      <c r="BJ295" s="65"/>
      <c r="BK295" s="65"/>
      <c r="BL295" s="65"/>
      <c r="BM295" s="65"/>
      <c r="BN295" s="65"/>
      <c r="BO295" s="65"/>
      <c r="BP295" s="65"/>
      <c r="BQ295" s="65"/>
      <c r="BR295" s="65"/>
      <c r="BS295" s="65"/>
    </row>
    <row r="296" spans="1:71" s="181" customFormat="1" ht="15" customHeight="1" x14ac:dyDescent="0.25">
      <c r="A296" s="65"/>
      <c r="B296" s="65"/>
      <c r="C296" s="65"/>
      <c r="D296" s="65"/>
      <c r="E296" s="65"/>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65"/>
      <c r="AO296" s="65"/>
      <c r="AP296" s="65"/>
      <c r="AQ296" s="65"/>
      <c r="AR296" s="65"/>
      <c r="AS296" s="65"/>
      <c r="AT296" s="65"/>
      <c r="AU296" s="65"/>
      <c r="AV296" s="65"/>
      <c r="AW296" s="65"/>
      <c r="AX296" s="65"/>
      <c r="AY296" s="65"/>
      <c r="AZ296" s="65"/>
      <c r="BA296" s="65"/>
      <c r="BB296" s="65"/>
      <c r="BC296" s="65"/>
      <c r="BD296" s="65"/>
      <c r="BE296" s="65"/>
      <c r="BF296" s="65"/>
      <c r="BG296" s="65"/>
      <c r="BH296" s="65"/>
      <c r="BI296" s="65"/>
      <c r="BJ296" s="65"/>
      <c r="BK296" s="65"/>
      <c r="BL296" s="65"/>
      <c r="BM296" s="65"/>
      <c r="BN296" s="65"/>
      <c r="BO296" s="65"/>
      <c r="BP296" s="65"/>
      <c r="BQ296" s="65"/>
      <c r="BR296" s="65"/>
      <c r="BS296" s="65"/>
    </row>
    <row r="297" spans="1:71" ht="15" x14ac:dyDescent="0.25">
      <c r="A297" s="34"/>
      <c r="B297" s="34"/>
      <c r="C297" s="34"/>
      <c r="D297" s="34"/>
      <c r="E297" s="34"/>
      <c r="F297" s="34" t="s">
        <v>240</v>
      </c>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191" t="s">
        <v>734</v>
      </c>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row>
    <row r="298" spans="1:71" ht="15" x14ac:dyDescent="0.25">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row>
    <row r="299" spans="1:71" ht="15" x14ac:dyDescent="0.25">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3"/>
      <c r="AV299" s="33"/>
      <c r="AW299" s="33"/>
      <c r="AX299" s="33"/>
      <c r="AY299" s="33"/>
      <c r="AZ299" s="33"/>
      <c r="BA299" s="34"/>
      <c r="BB299" s="34"/>
      <c r="BC299" s="34"/>
      <c r="BD299" s="34"/>
      <c r="BE299" s="34"/>
      <c r="BF299" s="34"/>
      <c r="BG299" s="34"/>
      <c r="BH299" s="34"/>
      <c r="BI299" s="34"/>
      <c r="BJ299" s="34"/>
      <c r="BK299" s="34"/>
      <c r="BL299" s="34"/>
      <c r="BM299" s="34"/>
      <c r="BN299" s="34"/>
      <c r="BO299" s="34"/>
      <c r="BP299" s="34"/>
      <c r="BQ299" s="34"/>
      <c r="BR299" s="34"/>
      <c r="BS299" s="34"/>
    </row>
    <row r="300" spans="1:71" ht="15" x14ac:dyDescent="0.25">
      <c r="A300" s="34"/>
      <c r="B300" s="34"/>
      <c r="C300" s="34"/>
      <c r="D300" s="34"/>
      <c r="E300" s="34"/>
      <c r="F300" s="33" t="s">
        <v>241</v>
      </c>
      <c r="G300" s="33"/>
      <c r="H300" s="33"/>
      <c r="I300" s="33"/>
      <c r="J300" s="33"/>
      <c r="K300" s="33"/>
      <c r="L300" s="33"/>
      <c r="M300" s="33"/>
      <c r="N300" s="33"/>
      <c r="O300" s="33"/>
      <c r="P300" s="33"/>
      <c r="Q300" s="33"/>
      <c r="R300" s="33"/>
      <c r="S300" s="33"/>
      <c r="T300" s="33"/>
      <c r="U300" s="33"/>
      <c r="V300" s="33"/>
      <c r="W300" s="33"/>
      <c r="X300" s="33"/>
      <c r="Y300" s="33"/>
      <c r="Z300" s="33"/>
      <c r="AA300" s="33"/>
      <c r="AB300" s="33"/>
      <c r="AC300" s="33"/>
      <c r="AD300" s="33"/>
      <c r="AE300" s="33"/>
      <c r="AF300" s="33"/>
      <c r="AG300" s="33"/>
      <c r="AH300" s="33" t="s">
        <v>446</v>
      </c>
      <c r="AI300" s="33"/>
      <c r="AJ300" s="33"/>
      <c r="AK300" s="34"/>
      <c r="AL300" s="34"/>
      <c r="AM300" s="34"/>
      <c r="AN300" s="33"/>
      <c r="AO300" s="33"/>
      <c r="AP300" s="33"/>
      <c r="AQ300" s="33"/>
      <c r="AR300" s="33"/>
      <c r="AS300" s="33"/>
      <c r="AT300" s="33"/>
      <c r="AU300" s="33"/>
      <c r="AV300" s="33"/>
      <c r="AW300" s="34"/>
      <c r="AX300" s="34"/>
      <c r="AY300" s="34"/>
      <c r="AZ300" s="34"/>
      <c r="BA300" s="34"/>
      <c r="BB300" s="34"/>
      <c r="BC300" s="34"/>
      <c r="BD300" s="34"/>
      <c r="BE300" s="34"/>
      <c r="BF300" s="34"/>
      <c r="BG300" s="34"/>
      <c r="BH300" s="34"/>
      <c r="BI300" s="34"/>
      <c r="BJ300" s="34"/>
      <c r="BK300" s="34"/>
      <c r="BL300" s="34"/>
      <c r="BM300" s="34"/>
      <c r="BN300" s="34"/>
      <c r="BO300" s="34"/>
      <c r="BP300" s="34"/>
      <c r="BQ300" s="34"/>
      <c r="BR300" s="34"/>
      <c r="BS300" s="34"/>
    </row>
    <row r="301" spans="1:71" ht="15" x14ac:dyDescent="0.25">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3"/>
      <c r="AO301" s="33"/>
      <c r="AP301" s="33"/>
      <c r="AQ301" s="33"/>
      <c r="AR301" s="33"/>
      <c r="AS301" s="33"/>
      <c r="AT301" s="33"/>
      <c r="AU301" s="34"/>
      <c r="AV301" s="34"/>
      <c r="AW301" s="34"/>
      <c r="AX301" s="34"/>
      <c r="AY301" s="34"/>
      <c r="AZ301" s="34"/>
      <c r="BA301" s="34"/>
      <c r="BB301" s="34"/>
      <c r="BC301" s="34"/>
      <c r="BD301" s="34"/>
      <c r="BE301" s="34"/>
      <c r="BF301" s="34"/>
      <c r="BG301" s="34"/>
      <c r="BH301" s="34"/>
      <c r="BI301" s="34"/>
      <c r="BJ301" s="34"/>
      <c r="BK301" s="34"/>
      <c r="BL301" s="34"/>
      <c r="BM301" s="34"/>
      <c r="BN301" s="34"/>
      <c r="BO301" s="34"/>
      <c r="BP301" s="34"/>
      <c r="BQ301" s="34"/>
      <c r="BR301" s="34"/>
      <c r="BS301" s="34"/>
    </row>
    <row r="302" spans="1:71" ht="15" x14ac:dyDescent="0.25">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3"/>
      <c r="AO302" s="33"/>
      <c r="AP302" s="33"/>
      <c r="AQ302" s="33"/>
      <c r="AR302" s="33"/>
      <c r="AS302" s="33"/>
      <c r="AT302" s="33"/>
      <c r="AU302" s="34"/>
      <c r="AV302" s="34"/>
      <c r="AW302" s="34"/>
      <c r="AX302" s="34"/>
      <c r="AY302" s="34"/>
      <c r="AZ302" s="34"/>
      <c r="BA302" s="34"/>
      <c r="BB302" s="34"/>
      <c r="BC302" s="34"/>
      <c r="BD302" s="34"/>
      <c r="BE302" s="34"/>
      <c r="BF302" s="34"/>
      <c r="BG302" s="34"/>
      <c r="BH302" s="34"/>
      <c r="BI302" s="34"/>
      <c r="BJ302" s="34"/>
      <c r="BK302" s="34"/>
      <c r="BL302" s="34"/>
      <c r="BM302" s="34"/>
      <c r="BN302" s="34"/>
      <c r="BO302" s="34"/>
      <c r="BP302" s="34"/>
      <c r="BQ302" s="34"/>
      <c r="BR302" s="34"/>
      <c r="BS302" s="34"/>
    </row>
    <row r="303" spans="1:71" ht="15" x14ac:dyDescent="0.25">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3"/>
      <c r="AO303" s="33"/>
      <c r="AP303" s="33"/>
      <c r="AQ303" s="33"/>
      <c r="AR303" s="33"/>
      <c r="AS303" s="33"/>
      <c r="AT303" s="33"/>
      <c r="AU303" s="34"/>
      <c r="AV303" s="34"/>
      <c r="AW303" s="34"/>
      <c r="AX303" s="34"/>
      <c r="AY303" s="34"/>
      <c r="AZ303" s="34"/>
      <c r="BA303" s="34"/>
      <c r="BB303" s="34"/>
      <c r="BC303" s="34"/>
      <c r="BD303" s="34"/>
      <c r="BE303" s="34"/>
      <c r="BF303" s="34"/>
      <c r="BG303" s="34"/>
      <c r="BH303" s="34"/>
      <c r="BI303" s="34"/>
      <c r="BJ303" s="34"/>
      <c r="BK303" s="34"/>
      <c r="BL303" s="34"/>
      <c r="BM303" s="34"/>
      <c r="BN303" s="34"/>
      <c r="BO303" s="34"/>
      <c r="BP303" s="34"/>
      <c r="BQ303" s="34"/>
      <c r="BR303" s="34"/>
      <c r="BS303" s="34"/>
    </row>
    <row r="304" spans="1:71" ht="15" x14ac:dyDescent="0.25">
      <c r="A304" s="34"/>
      <c r="B304" s="34"/>
      <c r="C304" s="34"/>
      <c r="D304" s="34"/>
      <c r="E304" s="34"/>
      <c r="F304" s="33" t="s">
        <v>245</v>
      </c>
      <c r="G304" s="33"/>
      <c r="H304" s="33"/>
      <c r="I304" s="33"/>
      <c r="J304" s="33"/>
      <c r="K304" s="33"/>
      <c r="L304" s="33"/>
      <c r="M304" s="33"/>
      <c r="N304" s="33"/>
      <c r="O304" s="33"/>
      <c r="P304" s="33"/>
      <c r="Q304" s="33"/>
      <c r="R304" s="33"/>
      <c r="S304" s="33"/>
      <c r="T304" s="33"/>
      <c r="U304" s="33"/>
      <c r="V304" s="33"/>
      <c r="W304" s="33"/>
      <c r="X304" s="33"/>
      <c r="Y304" s="33"/>
      <c r="Z304" s="33"/>
      <c r="AA304" s="33"/>
      <c r="AB304" s="33"/>
      <c r="AC304" s="33"/>
      <c r="AD304" s="33"/>
      <c r="AE304" s="33"/>
      <c r="AF304" s="33"/>
      <c r="AG304" s="33"/>
      <c r="AH304" s="33" t="s">
        <v>381</v>
      </c>
      <c r="AI304" s="33"/>
      <c r="AJ304" s="33"/>
      <c r="AK304" s="34"/>
      <c r="AL304" s="34"/>
      <c r="AM304" s="34"/>
      <c r="AN304" s="33"/>
      <c r="AO304" s="33"/>
      <c r="AP304" s="33"/>
      <c r="AQ304" s="33"/>
      <c r="AR304" s="33"/>
      <c r="AS304" s="33"/>
      <c r="AT304" s="33"/>
      <c r="AU304" s="33"/>
      <c r="AV304" s="33"/>
      <c r="AW304" s="34"/>
      <c r="AX304" s="34"/>
      <c r="AY304" s="34"/>
      <c r="AZ304" s="34"/>
      <c r="BA304" s="34"/>
      <c r="BB304" s="34"/>
      <c r="BC304" s="34"/>
      <c r="BD304" s="34"/>
      <c r="BE304" s="34"/>
      <c r="BF304" s="34"/>
      <c r="BG304" s="34"/>
      <c r="BH304" s="34"/>
      <c r="BI304" s="34"/>
      <c r="BJ304" s="34"/>
      <c r="BK304" s="34"/>
      <c r="BL304" s="34"/>
      <c r="BM304" s="34"/>
      <c r="BN304" s="34"/>
      <c r="BO304" s="34"/>
      <c r="BP304" s="34"/>
      <c r="BQ304" s="34"/>
      <c r="BR304" s="34"/>
      <c r="BS304" s="34"/>
    </row>
    <row r="305" spans="1:71" ht="15" x14ac:dyDescent="0.25">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3"/>
      <c r="AO305" s="33"/>
      <c r="AP305" s="33"/>
      <c r="AQ305" s="33"/>
      <c r="AR305" s="33"/>
      <c r="AS305" s="33"/>
      <c r="AT305" s="33"/>
      <c r="AU305" s="34"/>
      <c r="AV305" s="34"/>
      <c r="AW305" s="34"/>
      <c r="AX305" s="34"/>
      <c r="AY305" s="34"/>
      <c r="AZ305" s="34"/>
      <c r="BA305" s="34"/>
      <c r="BB305" s="34"/>
      <c r="BC305" s="34"/>
      <c r="BD305" s="34"/>
      <c r="BE305" s="34"/>
      <c r="BF305" s="34"/>
      <c r="BG305" s="34"/>
      <c r="BH305" s="34"/>
      <c r="BI305" s="34"/>
      <c r="BJ305" s="34"/>
      <c r="BK305" s="34"/>
      <c r="BL305" s="34"/>
      <c r="BM305" s="34"/>
      <c r="BN305" s="34"/>
      <c r="BO305" s="34"/>
      <c r="BP305" s="34"/>
      <c r="BQ305" s="34"/>
      <c r="BR305" s="34"/>
      <c r="BS305" s="34"/>
    </row>
    <row r="306" spans="1:71" ht="15" x14ac:dyDescent="0.25">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c r="BI306" s="34"/>
      <c r="BJ306" s="34"/>
      <c r="BK306" s="34"/>
      <c r="BL306" s="34"/>
      <c r="BM306" s="34"/>
      <c r="BN306" s="34"/>
      <c r="BO306" s="34"/>
      <c r="BP306" s="34"/>
      <c r="BQ306" s="34"/>
      <c r="BR306" s="34"/>
      <c r="BS306" s="34"/>
    </row>
    <row r="307" spans="1:71" ht="15" x14ac:dyDescent="0.25">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c r="BI307" s="34"/>
      <c r="BJ307" s="34"/>
      <c r="BK307" s="34"/>
      <c r="BL307" s="34"/>
      <c r="BM307" s="34"/>
      <c r="BN307" s="34"/>
      <c r="BO307" s="34"/>
      <c r="BP307" s="34"/>
      <c r="BQ307" s="34"/>
      <c r="BR307" s="34"/>
      <c r="BS307" s="34"/>
    </row>
    <row r="308" spans="1:71" ht="15" x14ac:dyDescent="0.25">
      <c r="A308" s="34"/>
      <c r="B308" s="34"/>
      <c r="C308" s="34"/>
      <c r="D308" s="34"/>
      <c r="E308" s="34"/>
      <c r="F308" s="34" t="s">
        <v>242</v>
      </c>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t="s">
        <v>449</v>
      </c>
      <c r="AI308" s="34"/>
      <c r="AJ308" s="34"/>
      <c r="AK308" s="34"/>
      <c r="AL308" s="34"/>
      <c r="AM308" s="34"/>
      <c r="AN308" s="33"/>
      <c r="AO308" s="34"/>
      <c r="AP308" s="34"/>
      <c r="AQ308" s="34"/>
      <c r="AR308" s="34"/>
      <c r="AS308" s="34"/>
      <c r="AT308" s="34"/>
      <c r="AU308" s="34"/>
      <c r="AV308" s="34"/>
      <c r="AW308" s="34"/>
      <c r="AX308" s="34"/>
      <c r="AY308" s="34"/>
      <c r="AZ308" s="34"/>
      <c r="BA308" s="34"/>
      <c r="BB308" s="34"/>
      <c r="BC308" s="34"/>
      <c r="BD308" s="34"/>
      <c r="BE308" s="34"/>
      <c r="BF308" s="34"/>
      <c r="BG308" s="34"/>
      <c r="BH308" s="34"/>
      <c r="BI308" s="34"/>
      <c r="BJ308" s="34"/>
      <c r="BK308" s="34"/>
      <c r="BL308" s="34"/>
      <c r="BM308" s="34"/>
      <c r="BN308" s="34"/>
      <c r="BO308" s="34"/>
      <c r="BP308" s="34"/>
      <c r="BQ308" s="34"/>
      <c r="BR308" s="34"/>
      <c r="BS308" s="34"/>
    </row>
    <row r="309" spans="1:71" ht="15" x14ac:dyDescent="0.25">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t="s">
        <v>752</v>
      </c>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c r="BI309" s="34"/>
      <c r="BJ309" s="34"/>
      <c r="BK309" s="34"/>
      <c r="BL309" s="34"/>
      <c r="BM309" s="34"/>
      <c r="BN309" s="34"/>
      <c r="BO309" s="34"/>
      <c r="BP309" s="34"/>
      <c r="BQ309" s="34"/>
      <c r="BR309" s="34"/>
      <c r="BS309" s="34"/>
    </row>
    <row r="310" spans="1:71" ht="15" x14ac:dyDescent="0.25">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3"/>
      <c r="AV310" s="33"/>
      <c r="AW310" s="33"/>
      <c r="AX310" s="33"/>
      <c r="AY310" s="33"/>
      <c r="AZ310" s="34"/>
      <c r="BA310" s="34"/>
      <c r="BB310" s="34"/>
      <c r="BC310" s="34"/>
      <c r="BD310" s="34"/>
      <c r="BE310" s="34"/>
      <c r="BF310" s="34"/>
      <c r="BG310" s="34"/>
      <c r="BH310" s="34"/>
      <c r="BI310" s="34"/>
      <c r="BJ310" s="34"/>
      <c r="BK310" s="34"/>
      <c r="BL310" s="34"/>
      <c r="BM310" s="34"/>
      <c r="BN310" s="34"/>
      <c r="BO310" s="34"/>
      <c r="BP310" s="34"/>
      <c r="BQ310" s="34"/>
      <c r="BR310" s="34"/>
      <c r="BS310" s="34"/>
    </row>
    <row r="311" spans="1:71" ht="15" x14ac:dyDescent="0.25">
      <c r="A311" s="34"/>
      <c r="B311" s="34"/>
      <c r="C311" s="34"/>
      <c r="D311" s="34"/>
      <c r="E311" s="34"/>
      <c r="F311" s="33" t="s">
        <v>243</v>
      </c>
      <c r="G311" s="33"/>
      <c r="H311" s="33"/>
      <c r="I311" s="33"/>
      <c r="J311" s="33"/>
      <c r="K311" s="33"/>
      <c r="L311" s="33"/>
      <c r="M311" s="33"/>
      <c r="N311" s="33"/>
      <c r="O311" s="33"/>
      <c r="P311" s="33"/>
      <c r="Q311" s="33"/>
      <c r="R311" s="33"/>
      <c r="S311" s="33"/>
      <c r="T311" s="33"/>
      <c r="U311" s="33"/>
      <c r="V311" s="33"/>
      <c r="W311" s="33"/>
      <c r="X311" s="33"/>
      <c r="Y311" s="33"/>
      <c r="Z311" s="33"/>
      <c r="AA311" s="33"/>
      <c r="AB311" s="33"/>
      <c r="AC311" s="33"/>
      <c r="AD311" s="33"/>
      <c r="AE311" s="33"/>
      <c r="AF311" s="33"/>
      <c r="AG311" s="33"/>
      <c r="AH311" s="33" t="s">
        <v>450</v>
      </c>
      <c r="AI311" s="33"/>
      <c r="AJ311" s="33"/>
      <c r="AK311" s="33"/>
      <c r="AL311" s="33"/>
      <c r="AM311" s="34"/>
      <c r="AN311" s="33"/>
      <c r="AO311" s="33"/>
      <c r="AP311" s="33"/>
      <c r="AQ311" s="33"/>
      <c r="AR311" s="33"/>
      <c r="AS311" s="33"/>
      <c r="AT311" s="33"/>
      <c r="AU311" s="33"/>
      <c r="AV311" s="33"/>
      <c r="AW311" s="33"/>
      <c r="AX311" s="33"/>
      <c r="AY311" s="33"/>
      <c r="AZ311" s="34"/>
      <c r="BA311" s="34"/>
      <c r="BB311" s="34"/>
      <c r="BC311" s="34"/>
      <c r="BD311" s="34"/>
      <c r="BE311" s="34"/>
      <c r="BF311" s="34"/>
      <c r="BG311" s="34"/>
      <c r="BH311" s="34"/>
      <c r="BI311" s="34"/>
      <c r="BJ311" s="34"/>
      <c r="BK311" s="34"/>
      <c r="BL311" s="34"/>
      <c r="BM311" s="34"/>
      <c r="BN311" s="34"/>
      <c r="BO311" s="34"/>
      <c r="BP311" s="34"/>
      <c r="BQ311" s="34"/>
      <c r="BR311" s="34"/>
      <c r="BS311" s="34"/>
    </row>
    <row r="312" spans="1:71" s="68" customFormat="1" ht="15" x14ac:dyDescent="0.25">
      <c r="A312" s="65"/>
      <c r="B312" s="65"/>
      <c r="C312" s="65"/>
      <c r="D312" s="65"/>
      <c r="E312" s="65"/>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3" t="s">
        <v>451</v>
      </c>
      <c r="AI312" s="34"/>
      <c r="AJ312" s="34"/>
      <c r="AK312" s="34"/>
      <c r="AL312" s="34"/>
      <c r="AM312" s="34"/>
      <c r="AN312" s="33"/>
      <c r="AO312" s="33"/>
      <c r="AP312" s="33"/>
      <c r="AQ312" s="33"/>
      <c r="AR312" s="33"/>
      <c r="AS312" s="33"/>
      <c r="AT312" s="33"/>
      <c r="AU312" s="33"/>
      <c r="AV312" s="33"/>
      <c r="AW312" s="33"/>
      <c r="AX312" s="33"/>
      <c r="AY312" s="33"/>
      <c r="AZ312" s="33"/>
      <c r="BA312" s="65"/>
      <c r="BB312" s="65"/>
      <c r="BC312" s="65"/>
      <c r="BD312" s="65"/>
      <c r="BE312" s="65"/>
      <c r="BF312" s="65"/>
      <c r="BG312" s="65"/>
      <c r="BH312" s="65"/>
      <c r="BI312" s="65"/>
      <c r="BJ312" s="65"/>
      <c r="BK312" s="65"/>
      <c r="BL312" s="65"/>
      <c r="BM312" s="65"/>
      <c r="BN312" s="65"/>
      <c r="BO312" s="65"/>
      <c r="BP312" s="65"/>
      <c r="BQ312" s="65"/>
      <c r="BR312" s="65"/>
      <c r="BS312" s="65"/>
    </row>
    <row r="313" spans="1:71" s="68" customFormat="1" ht="15" x14ac:dyDescent="0.25">
      <c r="A313" s="65"/>
      <c r="B313" s="65"/>
      <c r="C313" s="65"/>
      <c r="D313" s="65"/>
      <c r="E313" s="65"/>
      <c r="F313" s="33"/>
      <c r="G313" s="33"/>
      <c r="H313" s="33"/>
      <c r="I313" s="33"/>
      <c r="J313" s="33"/>
      <c r="K313" s="33"/>
      <c r="L313" s="33"/>
      <c r="M313" s="33"/>
      <c r="N313" s="33"/>
      <c r="O313" s="33"/>
      <c r="P313" s="33"/>
      <c r="Q313" s="33"/>
      <c r="R313" s="33"/>
      <c r="S313" s="33"/>
      <c r="T313" s="33"/>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3"/>
      <c r="AV313" s="33"/>
      <c r="AW313" s="33"/>
      <c r="AX313" s="33"/>
      <c r="AY313" s="33"/>
      <c r="AZ313" s="33"/>
      <c r="BA313" s="65"/>
      <c r="BB313" s="65"/>
      <c r="BC313" s="65"/>
      <c r="BD313" s="65"/>
      <c r="BE313" s="65"/>
      <c r="BF313" s="65"/>
      <c r="BG313" s="65"/>
      <c r="BH313" s="65"/>
      <c r="BI313" s="65"/>
      <c r="BJ313" s="65"/>
      <c r="BK313" s="65"/>
      <c r="BL313" s="65"/>
      <c r="BM313" s="65"/>
      <c r="BN313" s="65"/>
      <c r="BO313" s="65"/>
      <c r="BP313" s="65"/>
      <c r="BQ313" s="65"/>
      <c r="BR313" s="65"/>
      <c r="BS313" s="65"/>
    </row>
    <row r="314" spans="1:71" ht="15" x14ac:dyDescent="0.25">
      <c r="A314" s="34"/>
      <c r="B314" s="34"/>
      <c r="C314" s="34"/>
      <c r="D314" s="34"/>
      <c r="E314" s="34"/>
      <c r="F314" s="33" t="s">
        <v>244</v>
      </c>
      <c r="G314" s="33"/>
      <c r="H314" s="33"/>
      <c r="I314" s="33"/>
      <c r="J314" s="33"/>
      <c r="K314" s="33"/>
      <c r="L314" s="33"/>
      <c r="M314" s="33"/>
      <c r="N314" s="33"/>
      <c r="O314" s="33"/>
      <c r="P314" s="33"/>
      <c r="Q314" s="33"/>
      <c r="R314" s="33"/>
      <c r="S314" s="33"/>
      <c r="T314" s="33"/>
      <c r="U314" s="33"/>
      <c r="V314" s="33"/>
      <c r="W314" s="33"/>
      <c r="X314" s="33"/>
      <c r="Y314" s="33"/>
      <c r="Z314" s="33"/>
      <c r="AA314" s="33"/>
      <c r="AB314" s="33"/>
      <c r="AC314" s="33"/>
      <c r="AD314" s="33"/>
      <c r="AE314" s="33"/>
      <c r="AF314" s="33"/>
      <c r="AG314" s="33"/>
      <c r="AH314" s="33" t="s">
        <v>439</v>
      </c>
      <c r="AI314" s="33"/>
      <c r="AJ314" s="33"/>
      <c r="AK314" s="33"/>
      <c r="AL314" s="33"/>
      <c r="AM314" s="33"/>
      <c r="AN314" s="34"/>
      <c r="AO314" s="34"/>
      <c r="AP314" s="34"/>
      <c r="AQ314" s="34"/>
      <c r="AR314" s="34"/>
      <c r="AS314" s="34"/>
      <c r="AT314" s="34"/>
      <c r="AU314" s="34"/>
      <c r="AV314" s="34"/>
      <c r="AW314" s="34"/>
      <c r="AX314" s="34"/>
      <c r="AY314" s="34"/>
      <c r="AZ314" s="34"/>
      <c r="BA314" s="34"/>
      <c r="BB314" s="34"/>
      <c r="BC314" s="34"/>
      <c r="BD314" s="34"/>
      <c r="BE314" s="34"/>
      <c r="BF314" s="34"/>
      <c r="BG314" s="34"/>
      <c r="BH314" s="34"/>
      <c r="BI314" s="34"/>
      <c r="BJ314" s="34"/>
      <c r="BK314" s="34"/>
      <c r="BL314" s="34"/>
      <c r="BM314" s="34"/>
      <c r="BN314" s="34"/>
      <c r="BO314" s="34"/>
      <c r="BP314" s="34"/>
      <c r="BQ314" s="34"/>
      <c r="BR314" s="34"/>
      <c r="BS314" s="34"/>
    </row>
    <row r="315" spans="1:71" ht="15" x14ac:dyDescent="0.25">
      <c r="A315" s="34"/>
      <c r="B315" s="34"/>
      <c r="C315" s="34"/>
      <c r="D315" s="34"/>
      <c r="E315" s="34"/>
      <c r="F315" s="33"/>
      <c r="G315" s="33"/>
      <c r="H315" s="33"/>
      <c r="I315" s="33"/>
      <c r="J315" s="33"/>
      <c r="K315" s="33"/>
      <c r="L315" s="33"/>
      <c r="M315" s="33"/>
      <c r="N315" s="33"/>
      <c r="O315" s="33"/>
      <c r="P315" s="33"/>
      <c r="Q315" s="33"/>
      <c r="R315" s="33"/>
      <c r="S315" s="33"/>
      <c r="T315" s="33"/>
      <c r="U315" s="33"/>
      <c r="V315" s="33"/>
      <c r="W315" s="33"/>
      <c r="X315" s="33"/>
      <c r="Y315" s="33"/>
      <c r="Z315" s="33"/>
      <c r="AA315" s="33"/>
      <c r="AB315" s="33"/>
      <c r="AC315" s="33"/>
      <c r="AD315" s="33"/>
      <c r="AE315" s="33"/>
      <c r="AF315" s="33"/>
      <c r="AG315" s="33"/>
      <c r="AH315" s="33" t="s">
        <v>452</v>
      </c>
      <c r="AI315" s="33"/>
      <c r="AJ315" s="33"/>
      <c r="AK315" s="33"/>
      <c r="AL315" s="33"/>
      <c r="AM315" s="33"/>
      <c r="AN315" s="34"/>
      <c r="AO315" s="34"/>
      <c r="AP315" s="34"/>
      <c r="AQ315" s="34"/>
      <c r="AR315" s="34"/>
      <c r="AS315" s="34"/>
      <c r="AT315" s="34"/>
      <c r="AU315" s="34"/>
      <c r="AV315" s="34"/>
      <c r="AW315" s="34"/>
      <c r="AX315" s="34"/>
      <c r="AY315" s="34"/>
      <c r="AZ315" s="34"/>
      <c r="BA315" s="34"/>
      <c r="BB315" s="34"/>
      <c r="BC315" s="34"/>
      <c r="BD315" s="34"/>
      <c r="BE315" s="34"/>
      <c r="BF315" s="34"/>
      <c r="BG315" s="34"/>
      <c r="BH315" s="34"/>
      <c r="BI315" s="34"/>
      <c r="BJ315" s="34"/>
      <c r="BK315" s="34"/>
      <c r="BL315" s="34"/>
      <c r="BM315" s="34"/>
      <c r="BN315" s="34"/>
      <c r="BO315" s="34"/>
      <c r="BP315" s="34"/>
      <c r="BQ315" s="34"/>
      <c r="BR315" s="34"/>
      <c r="BS315" s="34"/>
    </row>
    <row r="316" spans="1:71" ht="15" x14ac:dyDescent="0.25">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c r="BI316" s="34"/>
      <c r="BJ316" s="34"/>
      <c r="BK316" s="34"/>
      <c r="BL316" s="34"/>
      <c r="BM316" s="34"/>
      <c r="BN316" s="34"/>
      <c r="BO316" s="34"/>
      <c r="BP316" s="34"/>
      <c r="BQ316" s="34"/>
      <c r="BR316" s="34"/>
      <c r="BS316" s="34"/>
    </row>
    <row r="317" spans="1:71" ht="15" x14ac:dyDescent="0.25">
      <c r="A317" s="34"/>
      <c r="B317" s="34"/>
      <c r="C317" s="34"/>
      <c r="D317" s="34"/>
      <c r="E317" s="34"/>
      <c r="F317" s="33" t="s">
        <v>246</v>
      </c>
      <c r="G317" s="33"/>
      <c r="H317" s="33"/>
      <c r="I317" s="33"/>
      <c r="J317" s="33"/>
      <c r="K317" s="33"/>
      <c r="L317" s="33"/>
      <c r="M317" s="33"/>
      <c r="N317" s="33"/>
      <c r="O317" s="33"/>
      <c r="P317" s="33"/>
      <c r="Q317" s="33"/>
      <c r="R317" s="33"/>
      <c r="S317" s="33"/>
      <c r="T317" s="33"/>
      <c r="U317" s="33"/>
      <c r="V317" s="33"/>
      <c r="W317" s="33"/>
      <c r="X317" s="33"/>
      <c r="Y317" s="33"/>
      <c r="Z317" s="33"/>
      <c r="AA317" s="33"/>
      <c r="AB317" s="33"/>
      <c r="AC317" s="33"/>
      <c r="AD317" s="33"/>
      <c r="AE317" s="33"/>
      <c r="AF317" s="33"/>
      <c r="AG317" s="33"/>
      <c r="AH317" s="33" t="s">
        <v>453</v>
      </c>
      <c r="AI317" s="33"/>
      <c r="AJ317" s="33"/>
      <c r="AK317" s="33"/>
      <c r="AL317" s="33"/>
      <c r="AM317" s="33"/>
      <c r="AN317" s="33"/>
      <c r="AO317" s="33"/>
      <c r="AP317" s="33"/>
      <c r="AQ317" s="33"/>
      <c r="AR317" s="33"/>
      <c r="AS317" s="33"/>
      <c r="AT317" s="33"/>
      <c r="AU317" s="34"/>
      <c r="AV317" s="34"/>
      <c r="AW317" s="34"/>
      <c r="AX317" s="34"/>
      <c r="AY317" s="34"/>
      <c r="AZ317" s="34"/>
      <c r="BA317" s="34"/>
      <c r="BB317" s="34"/>
      <c r="BC317" s="34"/>
      <c r="BD317" s="34"/>
      <c r="BE317" s="34"/>
      <c r="BF317" s="34"/>
      <c r="BG317" s="34"/>
      <c r="BH317" s="34"/>
      <c r="BI317" s="34"/>
      <c r="BJ317" s="34"/>
      <c r="BK317" s="34"/>
      <c r="BL317" s="34"/>
      <c r="BM317" s="34"/>
      <c r="BN317" s="34"/>
      <c r="BO317" s="34"/>
      <c r="BP317" s="34"/>
      <c r="BQ317" s="34"/>
      <c r="BR317" s="34"/>
      <c r="BS317" s="34"/>
    </row>
    <row r="318" spans="1:71" ht="15" x14ac:dyDescent="0.25">
      <c r="A318" s="34"/>
      <c r="B318" s="34"/>
      <c r="C318" s="34"/>
      <c r="D318" s="34"/>
      <c r="E318" s="34"/>
      <c r="F318" s="33" t="s">
        <v>445</v>
      </c>
      <c r="G318" s="33"/>
      <c r="H318" s="33"/>
      <c r="I318" s="33"/>
      <c r="J318" s="33"/>
      <c r="K318" s="33"/>
      <c r="L318" s="33"/>
      <c r="M318" s="33"/>
      <c r="N318" s="33"/>
      <c r="O318" s="33"/>
      <c r="P318" s="33"/>
      <c r="Q318" s="33"/>
      <c r="R318" s="33"/>
      <c r="S318" s="33"/>
      <c r="T318" s="33"/>
      <c r="U318" s="33"/>
      <c r="V318" s="33"/>
      <c r="W318" s="33"/>
      <c r="X318" s="33"/>
      <c r="Y318" s="33"/>
      <c r="Z318" s="33"/>
      <c r="AA318" s="33"/>
      <c r="AB318" s="33"/>
      <c r="AC318" s="33"/>
      <c r="AD318" s="33"/>
      <c r="AE318" s="33"/>
      <c r="AF318" s="33"/>
      <c r="AG318" s="33"/>
      <c r="AH318" s="33" t="s">
        <v>454</v>
      </c>
      <c r="AI318" s="33"/>
      <c r="AJ318" s="33"/>
      <c r="AK318" s="33"/>
      <c r="AL318" s="33"/>
      <c r="AM318" s="34"/>
      <c r="AN318" s="34"/>
      <c r="AO318" s="34"/>
      <c r="AP318" s="34"/>
      <c r="AQ318" s="34"/>
      <c r="AR318" s="34"/>
      <c r="AS318" s="33"/>
      <c r="AT318" s="33"/>
      <c r="AU318" s="33"/>
      <c r="AV318" s="34"/>
      <c r="AW318" s="34"/>
      <c r="AX318" s="34"/>
      <c r="AY318" s="34"/>
      <c r="AZ318" s="34"/>
      <c r="BA318" s="34"/>
      <c r="BB318" s="34"/>
      <c r="BC318" s="34"/>
      <c r="BD318" s="34"/>
      <c r="BE318" s="34"/>
      <c r="BF318" s="34"/>
      <c r="BG318" s="34"/>
      <c r="BH318" s="34"/>
      <c r="BI318" s="34"/>
      <c r="BJ318" s="34"/>
      <c r="BK318" s="34"/>
      <c r="BL318" s="34"/>
      <c r="BM318" s="34"/>
      <c r="BN318" s="34"/>
      <c r="BO318" s="34"/>
      <c r="BP318" s="34"/>
      <c r="BQ318" s="34"/>
      <c r="BR318" s="34"/>
      <c r="BS318" s="34"/>
    </row>
    <row r="319" spans="1:71" ht="15" x14ac:dyDescent="0.25">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c r="BI319" s="34"/>
      <c r="BJ319" s="34"/>
      <c r="BK319" s="34"/>
      <c r="BL319" s="34"/>
      <c r="BM319" s="34"/>
      <c r="BN319" s="34"/>
      <c r="BO319" s="34"/>
      <c r="BP319" s="34"/>
      <c r="BQ319" s="34"/>
      <c r="BR319" s="34"/>
      <c r="BS319" s="34"/>
    </row>
    <row r="320" spans="1:71" ht="15" x14ac:dyDescent="0.25">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3"/>
      <c r="AO320" s="33"/>
      <c r="AP320" s="33"/>
      <c r="AQ320" s="33"/>
      <c r="AR320" s="33"/>
      <c r="AS320" s="33"/>
      <c r="AT320" s="34"/>
      <c r="AU320" s="34"/>
      <c r="AV320" s="34"/>
      <c r="AW320" s="34"/>
      <c r="AX320" s="34"/>
      <c r="AY320" s="34"/>
      <c r="AZ320" s="34"/>
      <c r="BA320" s="34"/>
      <c r="BB320" s="34"/>
      <c r="BC320" s="34"/>
      <c r="BD320" s="34"/>
      <c r="BE320" s="34"/>
      <c r="BF320" s="34"/>
      <c r="BG320" s="34"/>
      <c r="BH320" s="34"/>
      <c r="BI320" s="34"/>
      <c r="BJ320" s="34"/>
      <c r="BK320" s="34"/>
      <c r="BL320" s="34"/>
      <c r="BM320" s="34"/>
      <c r="BN320" s="34"/>
      <c r="BO320" s="34"/>
      <c r="BP320" s="34"/>
      <c r="BQ320" s="34"/>
      <c r="BR320" s="34"/>
      <c r="BS320" s="34"/>
    </row>
    <row r="321" spans="1:71" ht="15" x14ac:dyDescent="0.25">
      <c r="A321" s="34"/>
      <c r="B321" s="34"/>
      <c r="C321" s="34"/>
      <c r="D321" s="34"/>
      <c r="E321" s="34"/>
      <c r="F321" s="34" t="s">
        <v>597</v>
      </c>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t="s">
        <v>596</v>
      </c>
      <c r="AI321" s="34"/>
      <c r="AJ321" s="34"/>
      <c r="AK321" s="34"/>
      <c r="AL321" s="34"/>
      <c r="AM321" s="34"/>
      <c r="AN321" s="33"/>
      <c r="AO321" s="33"/>
      <c r="AP321" s="33"/>
      <c r="AQ321" s="33"/>
      <c r="AR321" s="33"/>
      <c r="AS321" s="33"/>
      <c r="AT321" s="34"/>
      <c r="AU321" s="34"/>
      <c r="AV321" s="34"/>
      <c r="AW321" s="34"/>
      <c r="AX321" s="34"/>
      <c r="AY321" s="34"/>
      <c r="AZ321" s="34"/>
      <c r="BA321" s="34"/>
      <c r="BB321" s="34"/>
      <c r="BC321" s="34"/>
      <c r="BD321" s="34"/>
      <c r="BE321" s="34"/>
      <c r="BF321" s="34"/>
      <c r="BG321" s="34"/>
      <c r="BH321" s="34"/>
      <c r="BI321" s="34"/>
      <c r="BJ321" s="34"/>
      <c r="BK321" s="34"/>
      <c r="BL321" s="34"/>
      <c r="BM321" s="34"/>
      <c r="BN321" s="34"/>
      <c r="BO321" s="34"/>
      <c r="BP321" s="34"/>
      <c r="BQ321" s="34"/>
      <c r="BR321" s="34"/>
      <c r="BS321" s="34"/>
    </row>
    <row r="322" spans="1:71" ht="15" x14ac:dyDescent="0.25">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3"/>
      <c r="AO322" s="33"/>
      <c r="AP322" s="33"/>
      <c r="AQ322" s="33"/>
      <c r="AR322" s="33"/>
      <c r="AS322" s="33"/>
      <c r="AT322" s="34"/>
      <c r="AU322" s="34"/>
      <c r="AV322" s="34"/>
      <c r="AW322" s="34"/>
      <c r="AX322" s="34"/>
      <c r="AY322" s="34"/>
      <c r="AZ322" s="34"/>
      <c r="BA322" s="34"/>
      <c r="BB322" s="34"/>
      <c r="BC322" s="34"/>
      <c r="BD322" s="34"/>
      <c r="BE322" s="34"/>
      <c r="BF322" s="34"/>
      <c r="BG322" s="34"/>
      <c r="BH322" s="34"/>
      <c r="BI322" s="34"/>
      <c r="BJ322" s="34"/>
      <c r="BK322" s="34"/>
      <c r="BL322" s="34"/>
      <c r="BM322" s="34"/>
      <c r="BN322" s="34"/>
      <c r="BO322" s="34"/>
      <c r="BP322" s="34"/>
      <c r="BQ322" s="34"/>
      <c r="BR322" s="34"/>
      <c r="BS322" s="34"/>
    </row>
    <row r="323" spans="1:71" ht="15" x14ac:dyDescent="0.25">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65"/>
      <c r="AV323" s="65"/>
      <c r="AW323" s="65"/>
      <c r="AX323" s="65"/>
      <c r="AY323" s="65"/>
      <c r="AZ323" s="65"/>
      <c r="BA323" s="34"/>
      <c r="BB323" s="34"/>
      <c r="BC323" s="34"/>
      <c r="BD323" s="34"/>
      <c r="BE323" s="34"/>
      <c r="BF323" s="34"/>
      <c r="BG323" s="34"/>
      <c r="BH323" s="34"/>
      <c r="BI323" s="34"/>
      <c r="BJ323" s="34"/>
      <c r="BK323" s="34"/>
      <c r="BL323" s="34"/>
      <c r="BM323" s="34"/>
      <c r="BN323" s="34"/>
      <c r="BO323" s="34"/>
      <c r="BP323" s="34"/>
      <c r="BQ323" s="34"/>
      <c r="BR323" s="34"/>
      <c r="BS323" s="34"/>
    </row>
    <row r="324" spans="1:71" ht="15.75" x14ac:dyDescent="0.25">
      <c r="F324" s="34" t="s">
        <v>659</v>
      </c>
      <c r="AH324" s="18" t="s">
        <v>660</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t="s">
        <v>753</v>
      </c>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18" t="s">
        <v>661</v>
      </c>
      <c r="AH327" s="18" t="s">
        <v>662</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3"/>
      <c r="BO345" s="63"/>
      <c r="BP345" s="63"/>
      <c r="BQ345" s="63"/>
      <c r="BR345" s="63"/>
      <c r="BS345" s="63"/>
      <c r="BT345" s="63"/>
      <c r="BU345" s="63"/>
      <c r="BV345" s="63"/>
      <c r="BW345" s="63"/>
      <c r="BX345" s="63"/>
      <c r="BY345" s="63"/>
      <c r="BZ345" s="63"/>
      <c r="CA345" s="63"/>
      <c r="CB345" s="63"/>
      <c r="CC345" s="63"/>
      <c r="CD345" s="63"/>
      <c r="CE345" s="63"/>
      <c r="CF345" s="63"/>
      <c r="CG345" s="63"/>
      <c r="CH345" s="63"/>
      <c r="CI345" s="63"/>
      <c r="CJ345" s="63"/>
      <c r="CK345" s="63"/>
      <c r="CL345" s="63"/>
      <c r="CM345" s="63"/>
      <c r="CN345" s="63"/>
      <c r="CO345" s="63"/>
      <c r="CP345" s="63"/>
      <c r="CQ345" s="63"/>
      <c r="CR345" s="63"/>
      <c r="CS345" s="63"/>
      <c r="CT345" s="63"/>
      <c r="CU345" s="63"/>
      <c r="CV345" s="63"/>
      <c r="CW345" s="63"/>
      <c r="CX345" s="63"/>
      <c r="CY345" s="63"/>
      <c r="CZ345" s="63"/>
      <c r="DA345" s="63"/>
      <c r="DB345" s="63"/>
      <c r="DC345" s="63"/>
      <c r="DD345" s="63"/>
      <c r="DE345" s="63"/>
      <c r="DF345" s="63"/>
      <c r="DG345" s="63"/>
      <c r="DH345" s="63"/>
      <c r="DI345" s="63"/>
      <c r="DJ345" s="63"/>
      <c r="DK345" s="63"/>
      <c r="DL345" s="63"/>
      <c r="DM345" s="63"/>
      <c r="DN345" s="63"/>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3"/>
      <c r="BN346" s="63"/>
      <c r="BO346" s="63"/>
      <c r="BP346" s="63"/>
      <c r="BQ346" s="63"/>
      <c r="BR346" s="63"/>
      <c r="BS346" s="63"/>
      <c r="BT346" s="63"/>
      <c r="BU346" s="63"/>
      <c r="BV346" s="63"/>
      <c r="BW346" s="63"/>
      <c r="BX346" s="63"/>
      <c r="BY346" s="63"/>
      <c r="BZ346" s="63"/>
      <c r="CA346" s="63"/>
      <c r="CB346" s="63"/>
      <c r="CC346" s="63"/>
      <c r="CD346" s="63"/>
      <c r="CE346" s="63"/>
      <c r="CF346" s="63"/>
      <c r="CG346" s="63"/>
      <c r="CH346" s="63"/>
      <c r="CI346" s="63"/>
      <c r="CJ346" s="63"/>
      <c r="CK346" s="63"/>
      <c r="CL346" s="63"/>
      <c r="CM346" s="63"/>
      <c r="CN346" s="63"/>
      <c r="CO346" s="63"/>
      <c r="CP346" s="63"/>
      <c r="CQ346" s="63"/>
      <c r="CR346" s="63"/>
      <c r="CS346" s="63"/>
      <c r="CT346" s="63"/>
      <c r="CU346" s="63"/>
      <c r="CV346" s="63"/>
      <c r="CW346" s="63"/>
      <c r="CX346" s="63"/>
      <c r="CY346" s="63"/>
      <c r="CZ346" s="63"/>
      <c r="DA346" s="63"/>
      <c r="DB346" s="63"/>
      <c r="DC346" s="63"/>
      <c r="DD346" s="63"/>
      <c r="DE346" s="63"/>
      <c r="DF346" s="63"/>
      <c r="DG346" s="63"/>
      <c r="DH346" s="63"/>
      <c r="DI346" s="63"/>
      <c r="DJ346" s="182"/>
      <c r="DK346" s="63"/>
      <c r="DL346" s="63"/>
      <c r="DM346" s="63"/>
      <c r="DN346" s="63"/>
    </row>
    <row r="347" spans="6:118" x14ac:dyDescent="0.2">
      <c r="BM347" s="63"/>
      <c r="BN347" s="63"/>
      <c r="BO347" s="63"/>
      <c r="BP347" s="63"/>
      <c r="BQ347" s="63"/>
      <c r="BR347" s="63"/>
      <c r="BS347" s="63"/>
      <c r="BT347" s="63"/>
      <c r="BU347" s="63"/>
      <c r="BV347" s="63"/>
      <c r="BW347" s="63"/>
      <c r="BX347" s="63"/>
      <c r="BY347" s="63"/>
      <c r="BZ347" s="63"/>
      <c r="CA347" s="63"/>
      <c r="CB347" s="63"/>
      <c r="CC347" s="63"/>
      <c r="CD347" s="63"/>
      <c r="CE347" s="63"/>
      <c r="CF347" s="63"/>
      <c r="CG347" s="63"/>
      <c r="CH347" s="63"/>
      <c r="CI347" s="63"/>
      <c r="CJ347" s="63"/>
      <c r="CK347" s="63"/>
      <c r="CL347" s="63"/>
      <c r="CM347" s="63"/>
      <c r="CN347" s="63"/>
      <c r="CO347" s="63"/>
      <c r="CP347" s="63"/>
      <c r="CQ347" s="63"/>
      <c r="CR347" s="63"/>
      <c r="CS347" s="63"/>
      <c r="CT347" s="63"/>
      <c r="CU347" s="63"/>
      <c r="CV347" s="63"/>
      <c r="CW347" s="63"/>
      <c r="CX347" s="63"/>
      <c r="CY347" s="63"/>
      <c r="CZ347" s="63"/>
      <c r="DA347" s="63"/>
      <c r="DB347" s="63"/>
      <c r="DC347" s="63"/>
      <c r="DD347" s="63"/>
      <c r="DE347" s="63"/>
      <c r="DF347" s="63"/>
      <c r="DG347" s="63"/>
      <c r="DH347" s="63"/>
      <c r="DI347" s="63"/>
      <c r="DJ347" s="182"/>
      <c r="DK347" s="63"/>
      <c r="DL347" s="63"/>
      <c r="DM347" s="63"/>
      <c r="DN347" s="63"/>
    </row>
    <row r="349" spans="6:118" x14ac:dyDescent="0.2">
      <c r="BM349" s="196"/>
      <c r="BN349" s="63"/>
      <c r="BO349" s="63"/>
      <c r="BP349" s="63"/>
      <c r="BQ349" s="63"/>
      <c r="BR349" s="63"/>
      <c r="BS349" s="63"/>
      <c r="BT349" s="63"/>
      <c r="BU349" s="63"/>
      <c r="BV349" s="63"/>
      <c r="BW349" s="63"/>
      <c r="BX349" s="63"/>
      <c r="BY349" s="63"/>
      <c r="BZ349" s="63"/>
      <c r="CA349" s="63"/>
      <c r="CB349" s="63"/>
      <c r="CC349" s="63"/>
      <c r="CD349" s="63"/>
      <c r="CE349" s="63"/>
      <c r="CF349" s="63"/>
      <c r="CG349" s="63"/>
      <c r="CH349" s="63"/>
      <c r="CI349" s="63"/>
      <c r="CJ349" s="63"/>
      <c r="CK349" s="63"/>
      <c r="CL349" s="63"/>
      <c r="CM349" s="63"/>
      <c r="CN349" s="63"/>
      <c r="CO349" s="63"/>
      <c r="CP349" s="63"/>
      <c r="CQ349" s="63"/>
      <c r="CR349" s="63"/>
      <c r="CS349" s="63"/>
      <c r="CT349" s="63"/>
      <c r="CU349" s="63"/>
      <c r="CV349" s="63"/>
      <c r="CW349" s="63"/>
      <c r="CX349" s="63"/>
      <c r="CY349" s="63"/>
      <c r="CZ349" s="63"/>
      <c r="DA349" s="63"/>
      <c r="DB349" s="63"/>
      <c r="DC349" s="63"/>
      <c r="DD349" s="63"/>
      <c r="DE349" s="63"/>
      <c r="DF349" s="63"/>
      <c r="DG349" s="63"/>
      <c r="DH349" s="63"/>
      <c r="DI349" s="63"/>
      <c r="DJ349" s="63"/>
      <c r="DK349" s="63"/>
      <c r="DL349" s="63"/>
      <c r="DM349" s="63"/>
      <c r="DN349" s="63"/>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7"/>
  <sheetViews>
    <sheetView view="pageBreakPreview" topLeftCell="C204" zoomScaleNormal="93" zoomScaleSheetLayoutView="100" workbookViewId="0">
      <selection activeCell="L217" sqref="L21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1" t="str">
        <f>_xlfn.CONCAT("M/V"," """,CAPA!B8,""" ")</f>
        <v xml:space="preserve">M/V "STAR GENESIS" </v>
      </c>
      <c r="B1" s="861"/>
      <c r="C1" s="861"/>
      <c r="D1" s="861"/>
      <c r="E1" s="861"/>
      <c r="F1" s="861"/>
      <c r="G1" s="861"/>
      <c r="H1" s="861"/>
      <c r="I1" s="861"/>
      <c r="J1" s="861"/>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862" t="str">
        <f>_xlfn.CONCAT(CAPA!A5,CAPA!B5)</f>
        <v>PGUA/DS/068/26</v>
      </c>
      <c r="H3" s="862"/>
      <c r="I3" s="862"/>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711</v>
      </c>
      <c r="B9" s="253"/>
      <c r="C9" s="253"/>
      <c r="D9" s="253"/>
      <c r="E9" s="253"/>
      <c r="F9" s="253"/>
      <c r="G9" s="253"/>
      <c r="H9" s="255"/>
      <c r="I9" s="578" t="s">
        <v>17</v>
      </c>
    </row>
    <row r="10" spans="1:10" ht="19.5" x14ac:dyDescent="0.4">
      <c r="A10" s="254" t="s">
        <v>18</v>
      </c>
      <c r="B10" s="253"/>
      <c r="C10" s="253"/>
      <c r="D10" s="253"/>
      <c r="E10" s="253"/>
      <c r="F10" s="253"/>
      <c r="G10" s="253"/>
      <c r="H10" s="255"/>
      <c r="I10" s="578" t="s">
        <v>19</v>
      </c>
    </row>
    <row r="11" spans="1:10" ht="19.5" x14ac:dyDescent="0.4">
      <c r="A11" s="254" t="s">
        <v>20</v>
      </c>
      <c r="B11" s="253"/>
      <c r="C11" s="253"/>
      <c r="D11" s="253"/>
      <c r="E11" s="253"/>
      <c r="F11" s="253"/>
      <c r="G11" s="253"/>
      <c r="H11" s="255"/>
      <c r="I11" s="578" t="s">
        <v>19</v>
      </c>
    </row>
    <row r="12" spans="1:10" ht="19.5" x14ac:dyDescent="0.4">
      <c r="A12" s="256" t="s">
        <v>713</v>
      </c>
      <c r="B12" s="253"/>
      <c r="C12" s="253"/>
      <c r="D12" s="253"/>
      <c r="E12" s="253"/>
      <c r="F12" s="253"/>
      <c r="G12" s="253"/>
      <c r="H12" s="255"/>
      <c r="I12" s="578" t="s">
        <v>19</v>
      </c>
    </row>
    <row r="13" spans="1:10" ht="19.5" x14ac:dyDescent="0.4">
      <c r="A13" s="254" t="s">
        <v>21</v>
      </c>
      <c r="B13" s="253"/>
      <c r="C13" s="253"/>
      <c r="D13" s="253"/>
      <c r="E13" s="253"/>
      <c r="F13" s="253"/>
      <c r="G13" s="253"/>
      <c r="H13" s="255"/>
      <c r="I13" s="578" t="s">
        <v>22</v>
      </c>
    </row>
    <row r="14" spans="1:10" ht="19.5" x14ac:dyDescent="0.4">
      <c r="A14" s="254" t="s">
        <v>717</v>
      </c>
      <c r="B14" s="253"/>
      <c r="C14" s="253"/>
      <c r="D14" s="253"/>
      <c r="E14" s="253"/>
      <c r="F14" s="253"/>
      <c r="G14" s="253"/>
      <c r="H14" s="255"/>
      <c r="I14" s="578" t="s">
        <v>22</v>
      </c>
    </row>
    <row r="15" spans="1:10" ht="19.5" x14ac:dyDescent="0.4">
      <c r="A15" s="254" t="s">
        <v>718</v>
      </c>
      <c r="B15" s="253"/>
      <c r="C15" s="253"/>
      <c r="D15" s="253"/>
      <c r="E15" s="253"/>
      <c r="F15" s="253"/>
      <c r="G15" s="253"/>
      <c r="H15" s="255"/>
      <c r="I15" s="578" t="s">
        <v>22</v>
      </c>
    </row>
    <row r="16" spans="1:10" ht="19.5" x14ac:dyDescent="0.4">
      <c r="A16" s="254" t="s">
        <v>23</v>
      </c>
      <c r="B16" s="253"/>
      <c r="C16" s="253"/>
      <c r="D16" s="253"/>
      <c r="E16" s="253"/>
      <c r="F16" s="253"/>
      <c r="G16" s="253"/>
      <c r="H16" s="255"/>
      <c r="I16" s="578" t="s">
        <v>22</v>
      </c>
    </row>
    <row r="17" spans="1:16" ht="19.5" x14ac:dyDescent="0.4">
      <c r="A17" s="254" t="s">
        <v>709</v>
      </c>
      <c r="B17" s="253"/>
      <c r="C17" s="253"/>
      <c r="D17" s="253"/>
      <c r="E17" s="253"/>
      <c r="F17" s="253"/>
      <c r="G17" s="253"/>
      <c r="H17" s="255"/>
      <c r="I17" s="578" t="s">
        <v>24</v>
      </c>
    </row>
    <row r="18" spans="1:16" ht="19.5" x14ac:dyDescent="0.4">
      <c r="A18" s="254" t="s">
        <v>25</v>
      </c>
      <c r="B18" s="253"/>
      <c r="C18" s="253"/>
      <c r="D18" s="253"/>
      <c r="E18" s="253"/>
      <c r="F18" s="253"/>
      <c r="G18" s="253"/>
      <c r="H18" s="255"/>
      <c r="I18" s="578" t="s">
        <v>26</v>
      </c>
    </row>
    <row r="19" spans="1:16" ht="20.25" x14ac:dyDescent="0.4">
      <c r="A19" s="254" t="s">
        <v>27</v>
      </c>
      <c r="B19" s="253"/>
      <c r="C19" s="253"/>
      <c r="D19" s="253"/>
      <c r="E19" s="253"/>
      <c r="F19" s="253"/>
      <c r="G19" s="253"/>
      <c r="H19" s="255"/>
      <c r="I19" s="578">
        <v>6</v>
      </c>
      <c r="L19" s="426" t="s">
        <v>594</v>
      </c>
    </row>
    <row r="20" spans="1:16" ht="19.5" x14ac:dyDescent="0.4">
      <c r="A20" s="254" t="s">
        <v>28</v>
      </c>
      <c r="B20" s="253"/>
      <c r="C20" s="253"/>
      <c r="D20" s="253"/>
      <c r="E20" s="253"/>
      <c r="F20" s="253"/>
      <c r="G20" s="253"/>
      <c r="H20" s="255"/>
      <c r="I20" s="578">
        <f>I19+1</f>
        <v>7</v>
      </c>
    </row>
    <row r="21" spans="1:16" ht="19.5" x14ac:dyDescent="0.4">
      <c r="A21" s="254" t="s">
        <v>29</v>
      </c>
      <c r="B21" s="253"/>
      <c r="C21" s="253"/>
      <c r="D21" s="253"/>
      <c r="E21" s="253"/>
      <c r="F21" s="253"/>
      <c r="G21" s="253"/>
      <c r="H21" s="255"/>
      <c r="I21" s="578">
        <f>$I$20</f>
        <v>7</v>
      </c>
    </row>
    <row r="22" spans="1:16" ht="19.5" x14ac:dyDescent="0.4">
      <c r="A22" s="254" t="s">
        <v>710</v>
      </c>
      <c r="B22" s="253"/>
      <c r="C22" s="253"/>
      <c r="D22" s="253"/>
      <c r="E22" s="253"/>
      <c r="F22" s="253"/>
      <c r="G22" s="253"/>
      <c r="H22" s="255"/>
      <c r="I22" s="578">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36</v>
      </c>
      <c r="B30" s="254"/>
      <c r="C30" s="254"/>
      <c r="D30" s="254"/>
      <c r="E30" s="254"/>
      <c r="F30" s="254"/>
      <c r="G30" s="254"/>
      <c r="H30" s="254"/>
      <c r="I30" s="257"/>
      <c r="L30" s="455"/>
      <c r="M30" s="455"/>
      <c r="N30" s="455"/>
      <c r="O30" s="455"/>
      <c r="P30" s="455"/>
    </row>
    <row r="31" spans="1:16" ht="19.5" x14ac:dyDescent="0.4">
      <c r="A31" s="254" t="s">
        <v>37</v>
      </c>
      <c r="B31" s="254"/>
      <c r="C31" s="254"/>
      <c r="D31" s="254"/>
      <c r="E31" s="254"/>
      <c r="F31" s="254"/>
      <c r="G31" s="254"/>
      <c r="H31" s="254"/>
      <c r="I31" s="257"/>
      <c r="L31" s="455"/>
      <c r="M31" s="455"/>
      <c r="N31" s="455"/>
      <c r="O31" s="455"/>
      <c r="P31" s="455"/>
    </row>
    <row r="32" spans="1:16" ht="19.5" x14ac:dyDescent="0.4">
      <c r="A32" s="254" t="s">
        <v>38</v>
      </c>
      <c r="B32" s="254"/>
      <c r="C32" s="254"/>
      <c r="D32" s="254"/>
      <c r="E32" s="254"/>
      <c r="F32" s="254"/>
      <c r="G32" s="254"/>
      <c r="H32" s="254"/>
      <c r="I32" s="257"/>
      <c r="L32" s="455"/>
      <c r="M32" s="455"/>
      <c r="N32" s="455"/>
      <c r="O32" s="455"/>
      <c r="P32" s="455"/>
    </row>
    <row r="33" spans="1:16" ht="19.5" x14ac:dyDescent="0.4">
      <c r="A33" s="254" t="s">
        <v>633</v>
      </c>
      <c r="B33" s="254"/>
      <c r="C33" s="254"/>
      <c r="D33" s="254"/>
      <c r="E33" s="254"/>
      <c r="F33" s="254"/>
      <c r="G33" s="254"/>
      <c r="H33" s="254"/>
      <c r="I33" s="254"/>
      <c r="L33" s="455"/>
      <c r="M33" s="455"/>
      <c r="N33" s="455"/>
      <c r="O33" s="455"/>
      <c r="P33" s="455"/>
    </row>
    <row r="34" spans="1:16" ht="23.25" x14ac:dyDescent="0.35">
      <c r="A34" s="863" t="str">
        <f>$A$1</f>
        <v xml:space="preserve">M/V "STAR GENESIS" </v>
      </c>
      <c r="B34" s="863"/>
      <c r="C34" s="863"/>
      <c r="D34" s="863"/>
      <c r="E34" s="863"/>
      <c r="F34" s="863"/>
      <c r="G34" s="863"/>
      <c r="H34" s="863"/>
      <c r="I34" s="863"/>
      <c r="J34" s="863"/>
      <c r="L34" s="455"/>
      <c r="M34" s="455"/>
      <c r="N34" s="455"/>
      <c r="O34" s="455"/>
      <c r="P34" s="455"/>
    </row>
    <row r="35" spans="1:16" ht="15.75" x14ac:dyDescent="0.25">
      <c r="A35" s="860" t="str">
        <f>$G$3</f>
        <v>PGUA/DS/068/26</v>
      </c>
      <c r="B35" s="860"/>
      <c r="C35" s="860"/>
      <c r="D35" s="860"/>
      <c r="E35" s="860"/>
      <c r="F35" s="860"/>
      <c r="G35" s="860"/>
      <c r="H35" s="860"/>
      <c r="I35" s="860"/>
      <c r="J35" s="860"/>
      <c r="L35" s="455"/>
      <c r="M35" s="455"/>
      <c r="N35" s="455"/>
      <c r="O35" s="455"/>
      <c r="P35" s="455"/>
    </row>
    <row r="36" spans="1:16" ht="15.75" x14ac:dyDescent="0.25">
      <c r="A36" s="860" t="str">
        <f>A3</f>
        <v>DRAUGHT SURVEY REPORT</v>
      </c>
      <c r="B36" s="860"/>
      <c r="C36" s="860"/>
      <c r="D36" s="860"/>
      <c r="E36" s="860"/>
      <c r="F36" s="860"/>
      <c r="G36" s="860"/>
      <c r="H36" s="860"/>
      <c r="I36" s="860"/>
      <c r="J36" s="860"/>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864" t="s">
        <v>39</v>
      </c>
      <c r="B38" s="864"/>
      <c r="C38" s="864"/>
      <c r="D38" s="864"/>
      <c r="E38" s="864"/>
      <c r="F38" s="864"/>
      <c r="G38" s="864"/>
      <c r="H38" s="864"/>
      <c r="I38" s="864"/>
      <c r="J38" s="864"/>
      <c r="L38" s="455"/>
      <c r="M38" s="455"/>
      <c r="N38" s="455"/>
      <c r="O38" s="455"/>
      <c r="P38" s="455"/>
    </row>
    <row r="39" spans="1:16" ht="15" customHeight="1" x14ac:dyDescent="0.25">
      <c r="A39" s="864"/>
      <c r="B39" s="864"/>
      <c r="C39" s="864"/>
      <c r="D39" s="864"/>
      <c r="E39" s="864"/>
      <c r="F39" s="864"/>
      <c r="G39" s="864"/>
      <c r="H39" s="864"/>
      <c r="I39" s="864"/>
      <c r="J39" s="864"/>
      <c r="L39" s="455"/>
      <c r="M39" s="455"/>
      <c r="N39" s="455"/>
      <c r="O39" s="455"/>
      <c r="P39" s="455"/>
    </row>
    <row r="40" spans="1:16" ht="54" x14ac:dyDescent="0.25">
      <c r="A40" s="1175" t="str">
        <f>_xlfn.CONCAT(CAPA!$E$46:$E$55,".")</f>
        <v xml:space="preserve"> Messrs. Cimbessul Terminal Portuario S/A, Messrs. Coamo Agroindustrial Cooperativa, Messrs. Cotriguaçu Cooperativa Central Regional Iguaçu Ltda.,  Messrs. Rocha Terminais Portuários e Logística .</v>
      </c>
      <c r="B40" s="1175"/>
      <c r="C40" s="1175"/>
      <c r="D40" s="1175"/>
      <c r="E40" s="1175"/>
      <c r="F40" s="1175"/>
      <c r="G40" s="1175"/>
      <c r="H40" s="1175"/>
      <c r="I40" s="1175"/>
      <c r="J40" s="1175"/>
      <c r="L40" s="631" t="str">
        <f>_xlfn.CONCAT(CAPA!$E$46:$E$55,".")</f>
        <v xml:space="preserve"> Messrs. Cimbessul Terminal Portuario S/A, Messrs. Coamo Agroindustrial Cooperativa, Messrs. Cotriguaçu Cooperativa Central Regional Iguaçu Ltda.,  Messrs. Rocha Terminais Portuários e Logística .</v>
      </c>
      <c r="M40" s="455"/>
      <c r="N40" s="455"/>
      <c r="O40" s="455"/>
      <c r="P40" s="455"/>
    </row>
    <row r="41" spans="1:16" ht="60" x14ac:dyDescent="0.25">
      <c r="A41" s="867" t="str">
        <f>$L$41</f>
        <v>Attend on board the referenced vessel on  March 6th, 2026 from 8:00 until 10:00 hours, whilst she was anchored at inner roads area 9.3, and on  March 10th, 2026 from 21:30 until 23:00 hours, whilst she was berthed alongside wharf 212 at port of Paranaguá, Br - Brazil, with views to perform the initial and final draft surveys, ascertaining the following figures:</v>
      </c>
      <c r="B41" s="867"/>
      <c r="C41" s="867"/>
      <c r="D41" s="867"/>
      <c r="E41" s="867"/>
      <c r="F41" s="867"/>
      <c r="G41" s="867"/>
      <c r="H41" s="867"/>
      <c r="I41" s="867"/>
      <c r="J41" s="867"/>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8:00 until 10:00 hours, whilst she was anchored at inner roads area 9.3, and on  March 10th, 2026 from 21:30 until 23:00 hours, whilst she was berthed alongside wharf 212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711</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2" t="s">
        <v>40</v>
      </c>
      <c r="B46" s="12"/>
      <c r="C46" s="12"/>
      <c r="D46" s="12"/>
      <c r="E46" s="12"/>
      <c r="F46" s="12"/>
      <c r="G46" s="12"/>
      <c r="H46" s="12"/>
      <c r="I46" s="10"/>
      <c r="L46" s="455"/>
      <c r="M46" s="455"/>
      <c r="N46" s="455"/>
      <c r="O46" s="455"/>
      <c r="P46" s="455"/>
    </row>
    <row r="47" spans="1:16" ht="15.75" x14ac:dyDescent="0.25">
      <c r="A47" s="12"/>
      <c r="B47" s="12"/>
      <c r="C47" s="12"/>
      <c r="D47" s="12"/>
      <c r="E47" s="12"/>
      <c r="F47" s="12"/>
      <c r="G47" s="12"/>
      <c r="H47" s="12"/>
      <c r="I47" s="10"/>
      <c r="L47" s="455"/>
      <c r="M47" s="455"/>
      <c r="N47" s="455"/>
      <c r="O47" s="455"/>
      <c r="P47" s="455"/>
    </row>
    <row r="48" spans="1:16" ht="15.75" x14ac:dyDescent="0.25">
      <c r="A48" s="13" t="str">
        <f>$A$34</f>
        <v xml:space="preserve">M/V "STAR GENESIS" </v>
      </c>
      <c r="B48" s="12"/>
      <c r="C48" s="12"/>
      <c r="D48" s="12"/>
      <c r="E48" s="12"/>
      <c r="F48" s="13" t="str">
        <f>_xlfn.CONCAT("Mr. ",CAPA!$B$30,", ",$L$48)</f>
        <v>Mr. Albin Mariscal Almagro, the Master</v>
      </c>
      <c r="H48" s="13"/>
      <c r="I48" s="13"/>
      <c r="J48" s="12"/>
      <c r="K48" s="12"/>
      <c r="L48" s="456" t="s">
        <v>571</v>
      </c>
      <c r="M48" s="456"/>
      <c r="N48" s="455"/>
      <c r="O48" s="455"/>
      <c r="P48" s="455"/>
    </row>
    <row r="49" spans="1:16" ht="15.75" x14ac:dyDescent="0.25">
      <c r="A49" s="12"/>
      <c r="B49" s="12"/>
      <c r="C49" s="12"/>
      <c r="D49" s="12"/>
      <c r="E49" s="12"/>
      <c r="F49" s="13" t="str">
        <f>_xlfn.CONCAT("Mr. ",CAPA!$B$31,", ",$L$49)</f>
        <v>Mr. Berlie Langa Amedo, the Chief Officer</v>
      </c>
      <c r="H49" s="12"/>
      <c r="I49" s="12"/>
      <c r="J49" s="12"/>
      <c r="K49" s="12"/>
      <c r="L49" s="456" t="s">
        <v>572</v>
      </c>
      <c r="M49" s="456"/>
      <c r="N49" s="455"/>
      <c r="O49" s="455"/>
      <c r="P49" s="455"/>
    </row>
    <row r="50" spans="1:16" ht="15.75" x14ac:dyDescent="0.25">
      <c r="A50" s="12"/>
      <c r="B50" s="12"/>
      <c r="C50" s="12"/>
      <c r="D50" s="12"/>
      <c r="E50" s="12"/>
      <c r="F50" s="13" t="str">
        <f>_xlfn.CONCAT("Mr. ",CAPA!$B$32,", ",$L$50)</f>
        <v>Mr. Raul Lastima Solon, the Chief Engineer</v>
      </c>
      <c r="H50" s="12"/>
      <c r="I50" s="12"/>
      <c r="J50" s="12"/>
      <c r="K50" s="12"/>
      <c r="L50" s="457" t="s">
        <v>573</v>
      </c>
      <c r="M50" s="457"/>
      <c r="N50" s="455"/>
      <c r="O50" s="455"/>
      <c r="P50" s="455"/>
    </row>
    <row r="51" spans="1:16" ht="15.75" x14ac:dyDescent="0.25">
      <c r="A51" s="12"/>
      <c r="B51" s="12"/>
      <c r="C51" s="12"/>
      <c r="D51" s="12"/>
      <c r="E51" s="12"/>
      <c r="F51" s="11"/>
      <c r="H51" s="12"/>
      <c r="I51" s="12"/>
      <c r="J51" s="12"/>
      <c r="K51" s="12"/>
      <c r="L51" s="457"/>
      <c r="M51" s="457"/>
      <c r="N51" s="455"/>
      <c r="O51" s="455"/>
      <c r="P51" s="455"/>
    </row>
    <row r="52" spans="1:16" ht="15.75" x14ac:dyDescent="0.25">
      <c r="A52" s="12"/>
      <c r="B52" s="12"/>
      <c r="C52" s="12"/>
      <c r="D52" s="12"/>
      <c r="E52" s="12"/>
      <c r="F52" s="11"/>
      <c r="H52" s="12"/>
      <c r="I52" s="12"/>
      <c r="J52" s="12"/>
      <c r="K52" s="12"/>
      <c r="L52" s="457"/>
      <c r="M52" s="457"/>
      <c r="N52" s="455"/>
      <c r="O52" s="455"/>
      <c r="P52" s="455"/>
    </row>
    <row r="53" spans="1:16" ht="15.75" x14ac:dyDescent="0.25">
      <c r="A53" s="436" t="str">
        <f>CAPA!$A$41</f>
        <v>AGÊNCIA MARITIMA CARGONAVE LTDA</v>
      </c>
      <c r="B53" s="6"/>
      <c r="C53" s="6"/>
      <c r="D53" s="6"/>
      <c r="E53" s="6"/>
      <c r="F53" s="436" t="s">
        <v>791</v>
      </c>
      <c r="H53" s="12"/>
      <c r="I53" s="12"/>
      <c r="J53" s="12"/>
      <c r="L53" s="455"/>
      <c r="M53" s="455"/>
      <c r="N53" s="455"/>
      <c r="O53" s="455"/>
      <c r="P53" s="455"/>
    </row>
    <row r="54" spans="1:16" ht="15.75" x14ac:dyDescent="0.25">
      <c r="A54" s="6" t="s">
        <v>42</v>
      </c>
      <c r="B54" s="6"/>
      <c r="C54" s="6"/>
      <c r="D54" s="6"/>
      <c r="E54" s="6"/>
      <c r="F54" s="436" t="str">
        <f>Clients!$D$51</f>
        <v>Mr. Renan Calixto</v>
      </c>
      <c r="H54" s="12"/>
      <c r="I54" s="12"/>
      <c r="J54" s="12"/>
      <c r="L54" s="455"/>
      <c r="M54" s="455"/>
      <c r="N54" s="455"/>
      <c r="O54" s="455"/>
      <c r="P54" s="455"/>
    </row>
    <row r="55" spans="1:16" ht="15.75" x14ac:dyDescent="0.25">
      <c r="A55" s="6"/>
      <c r="B55" s="6"/>
      <c r="C55" s="6"/>
      <c r="D55" s="6"/>
      <c r="E55" s="6"/>
      <c r="F55" s="436" t="str">
        <f>Clients!$D$52</f>
        <v>Mr. Lorram Gabriel Florentino</v>
      </c>
      <c r="H55" s="12"/>
      <c r="I55" s="12"/>
      <c r="J55" s="12"/>
      <c r="L55" s="455"/>
      <c r="M55" s="455"/>
      <c r="N55" s="455"/>
      <c r="O55" s="455"/>
      <c r="P55" s="455"/>
    </row>
    <row r="56" spans="1:16" ht="15.75" x14ac:dyDescent="0.25">
      <c r="A56" s="12"/>
      <c r="B56" s="12"/>
      <c r="C56" s="12"/>
      <c r="D56" s="12"/>
      <c r="E56" s="12"/>
      <c r="F56" s="11"/>
      <c r="H56" s="12"/>
      <c r="I56" s="12"/>
      <c r="J56" s="12"/>
      <c r="L56" s="455"/>
      <c r="M56" s="455"/>
      <c r="N56" s="455"/>
      <c r="O56" s="455"/>
      <c r="P56" s="455"/>
    </row>
    <row r="57" spans="1:16" ht="15.75" x14ac:dyDescent="0.25">
      <c r="A57" s="12"/>
      <c r="B57" s="12"/>
      <c r="C57" s="12"/>
      <c r="D57" s="12"/>
      <c r="E57" s="12"/>
      <c r="F57" s="11"/>
      <c r="H57" s="12"/>
      <c r="I57" s="12"/>
      <c r="J57" s="12"/>
      <c r="L57" s="455"/>
      <c r="M57" s="455"/>
      <c r="N57" s="455"/>
      <c r="O57" s="455"/>
      <c r="P57" s="455"/>
    </row>
    <row r="58" spans="1:16" ht="15.75" x14ac:dyDescent="0.25">
      <c r="A58" s="435" t="str">
        <f>CAPA!$A$43</f>
        <v>AGÊNCIA MARITIMA CARGONAVE LTDA</v>
      </c>
      <c r="B58" s="5"/>
      <c r="C58" s="5"/>
      <c r="D58" s="5"/>
      <c r="E58" s="5"/>
      <c r="F58" s="279" t="str">
        <f>Clients!$D$181</f>
        <v>Mr. Azemir do Rosario</v>
      </c>
      <c r="H58" s="6"/>
      <c r="I58" s="6"/>
      <c r="J58" s="437"/>
      <c r="L58" s="455"/>
      <c r="M58" s="455"/>
      <c r="N58" s="455"/>
      <c r="O58" s="455"/>
      <c r="P58" s="455"/>
    </row>
    <row r="59" spans="1:16" ht="15.75" x14ac:dyDescent="0.25">
      <c r="A59" s="435" t="s">
        <v>41</v>
      </c>
      <c r="B59" s="5"/>
      <c r="C59" s="5"/>
      <c r="D59" s="5"/>
      <c r="E59" s="5"/>
      <c r="F59" s="279" t="str">
        <f>Clients!$D$182</f>
        <v>Mr. Willian Cordeiro</v>
      </c>
      <c r="H59" s="6"/>
      <c r="I59" s="6"/>
      <c r="J59" s="437"/>
      <c r="L59" s="455"/>
      <c r="M59" s="455"/>
      <c r="N59" s="455"/>
      <c r="O59" s="455"/>
      <c r="P59" s="455"/>
    </row>
    <row r="60" spans="1:16" ht="15.75" x14ac:dyDescent="0.25">
      <c r="A60" s="6"/>
      <c r="B60" s="6"/>
      <c r="C60" s="6"/>
      <c r="D60" s="6"/>
      <c r="E60" s="6"/>
      <c r="F60" s="435"/>
      <c r="H60" s="6"/>
      <c r="I60" s="12"/>
      <c r="J60" s="437"/>
      <c r="L60" s="455"/>
      <c r="M60" s="455"/>
      <c r="N60" s="455"/>
      <c r="O60" s="455"/>
      <c r="P60" s="455"/>
    </row>
    <row r="61" spans="1:16" ht="15.75" x14ac:dyDescent="0.25">
      <c r="A61" s="5"/>
      <c r="B61" s="5"/>
      <c r="C61" s="5"/>
      <c r="D61" s="5"/>
      <c r="E61" s="5"/>
      <c r="F61" s="435"/>
      <c r="H61" s="12"/>
      <c r="I61" s="12"/>
      <c r="J61" s="437"/>
      <c r="L61" s="455"/>
      <c r="M61" s="455"/>
      <c r="N61" s="455"/>
      <c r="O61" s="455"/>
      <c r="P61" s="455"/>
    </row>
    <row r="62" spans="1:16" ht="15.75" x14ac:dyDescent="0.25">
      <c r="A62" s="5" t="s">
        <v>43</v>
      </c>
      <c r="B62" s="5"/>
      <c r="C62" s="5"/>
      <c r="D62" s="5"/>
      <c r="E62" s="5"/>
      <c r="F62" s="436" t="s">
        <v>777</v>
      </c>
      <c r="H62" s="12"/>
      <c r="I62" s="12"/>
      <c r="J62" s="437"/>
      <c r="L62" s="455"/>
      <c r="M62" s="455"/>
      <c r="N62" s="455"/>
      <c r="O62" s="455"/>
      <c r="P62" s="455"/>
    </row>
    <row r="63" spans="1:16" ht="15.75" x14ac:dyDescent="0.25">
      <c r="A63" s="5"/>
      <c r="B63" s="5"/>
      <c r="C63" s="5"/>
      <c r="D63" s="5"/>
      <c r="E63" s="5"/>
      <c r="F63" s="287"/>
      <c r="G63" s="287"/>
      <c r="H63" s="12"/>
      <c r="I63" s="12"/>
      <c r="J63" s="437"/>
      <c r="L63" s="455"/>
      <c r="M63" s="455"/>
      <c r="N63" s="455"/>
      <c r="O63" s="455"/>
      <c r="P63" s="455"/>
    </row>
    <row r="64" spans="1:16" ht="15.75" x14ac:dyDescent="0.25">
      <c r="A64" s="5"/>
      <c r="B64" s="5"/>
      <c r="C64" s="5"/>
      <c r="D64" s="5"/>
      <c r="E64" s="5"/>
      <c r="F64" s="287"/>
      <c r="G64" s="12"/>
      <c r="H64" s="12"/>
      <c r="I64" s="12"/>
      <c r="J64" s="437"/>
      <c r="L64" s="455"/>
      <c r="M64" s="455"/>
      <c r="N64" s="455"/>
      <c r="O64" s="455"/>
      <c r="P64" s="455"/>
    </row>
    <row r="65" spans="1:16" ht="15.75" x14ac:dyDescent="0.25">
      <c r="A65" s="260" t="s">
        <v>44</v>
      </c>
      <c r="B65" s="12"/>
      <c r="C65" s="12"/>
      <c r="D65" s="12"/>
      <c r="E65" s="12"/>
      <c r="F65" s="260" t="s">
        <v>584</v>
      </c>
      <c r="H65" s="260"/>
      <c r="I65" s="12"/>
      <c r="J65" s="437"/>
      <c r="L65" s="455"/>
      <c r="M65" s="455"/>
      <c r="N65" s="455"/>
      <c r="O65" s="455"/>
      <c r="P65" s="455"/>
    </row>
    <row r="66" spans="1:16" ht="15.75" x14ac:dyDescent="0.25">
      <c r="A66" s="260" t="s">
        <v>45</v>
      </c>
      <c r="B66" s="12"/>
      <c r="C66" s="12"/>
      <c r="D66" s="12"/>
      <c r="E66" s="12"/>
      <c r="F66" s="12" t="s">
        <v>46</v>
      </c>
      <c r="H66" s="12"/>
      <c r="I66" s="12"/>
      <c r="J66" s="12"/>
      <c r="L66" s="455"/>
      <c r="M66" s="455"/>
      <c r="N66" s="455"/>
      <c r="O66" s="455"/>
      <c r="P66" s="455"/>
    </row>
    <row r="67" spans="1:16" ht="15.75" x14ac:dyDescent="0.25">
      <c r="A67" s="12"/>
      <c r="B67" s="12"/>
      <c r="C67" s="12"/>
      <c r="D67" s="12"/>
      <c r="E67" s="12"/>
      <c r="F67" s="857" t="str">
        <f>_xlfn.CONCAT("Mr. ",CAPA!$A$97)</f>
        <v>Mr. Igor do Carmo C. Pinotti</v>
      </c>
      <c r="G67" s="857"/>
      <c r="H67" s="857"/>
      <c r="I67" s="857"/>
      <c r="J67" s="857"/>
      <c r="L67" s="455"/>
      <c r="M67" s="455"/>
      <c r="N67" s="455"/>
      <c r="O67" s="455"/>
      <c r="P67" s="455"/>
    </row>
    <row r="68" spans="1:16" ht="15.75" x14ac:dyDescent="0.25">
      <c r="A68" s="261" t="s">
        <v>47</v>
      </c>
      <c r="B68" s="12"/>
      <c r="C68" s="12"/>
      <c r="D68" s="12"/>
      <c r="E68" s="12"/>
      <c r="F68" s="12"/>
      <c r="G68" s="12"/>
      <c r="H68" s="12"/>
      <c r="I68" s="12"/>
      <c r="L68" s="455"/>
      <c r="M68" s="455"/>
      <c r="N68" s="455"/>
      <c r="O68" s="455"/>
      <c r="P68" s="455"/>
    </row>
    <row r="69" spans="1:16" ht="15.75" x14ac:dyDescent="0.25">
      <c r="A69" s="261"/>
      <c r="B69" s="12"/>
      <c r="C69" s="12"/>
      <c r="D69" s="12"/>
      <c r="E69" s="12"/>
      <c r="F69" s="12"/>
      <c r="G69" s="12"/>
      <c r="H69" s="12"/>
      <c r="I69" s="12"/>
      <c r="L69" s="455"/>
      <c r="M69" s="455"/>
      <c r="N69" s="455"/>
      <c r="O69" s="455"/>
      <c r="P69" s="455"/>
    </row>
    <row r="70" spans="1:16" ht="15.75" x14ac:dyDescent="0.25">
      <c r="A70" s="260" t="s">
        <v>48</v>
      </c>
      <c r="B70" s="12"/>
      <c r="C70" s="12"/>
      <c r="D70" s="12"/>
      <c r="E70" s="865" t="str">
        <f>CAPA!$B$8</f>
        <v>STAR GENESIS</v>
      </c>
      <c r="F70" s="865"/>
      <c r="G70" s="865"/>
      <c r="H70" s="865"/>
      <c r="I70" s="865"/>
      <c r="J70" s="865"/>
      <c r="L70" s="455"/>
      <c r="M70" s="455"/>
      <c r="N70" s="455"/>
      <c r="O70" s="455"/>
      <c r="P70" s="455"/>
    </row>
    <row r="71" spans="1:16" ht="15.75" x14ac:dyDescent="0.25">
      <c r="A71" s="260" t="s">
        <v>49</v>
      </c>
      <c r="B71" s="12"/>
      <c r="C71" s="12"/>
      <c r="D71" s="12"/>
      <c r="E71" s="865" t="str">
        <f>CAPA!$B$12</f>
        <v>V7JH9</v>
      </c>
      <c r="F71" s="865"/>
      <c r="G71" s="5"/>
      <c r="H71" s="5"/>
      <c r="I71" s="12"/>
      <c r="L71" s="455"/>
      <c r="M71" s="455"/>
      <c r="N71" s="455"/>
      <c r="O71" s="455"/>
      <c r="P71" s="455"/>
    </row>
    <row r="72" spans="1:16" ht="15.75" x14ac:dyDescent="0.25">
      <c r="A72" s="260" t="s">
        <v>50</v>
      </c>
      <c r="B72" s="12"/>
      <c r="C72" s="12"/>
      <c r="D72" s="12"/>
      <c r="E72" s="865" t="str">
        <f>CAPA!$B$13</f>
        <v>Majuro</v>
      </c>
      <c r="F72" s="865"/>
      <c r="G72" s="865"/>
      <c r="H72" s="5"/>
      <c r="I72" s="12"/>
      <c r="L72" s="455"/>
      <c r="M72" s="455"/>
      <c r="N72" s="455"/>
      <c r="O72" s="455"/>
      <c r="P72" s="455"/>
    </row>
    <row r="73" spans="1:16" ht="15.75" x14ac:dyDescent="0.25">
      <c r="A73" s="260" t="s">
        <v>51</v>
      </c>
      <c r="B73" s="12"/>
      <c r="C73" s="12"/>
      <c r="D73" s="12"/>
      <c r="E73" s="865" t="str">
        <f>CAPA!$B$14</f>
        <v>Marshallese</v>
      </c>
      <c r="F73" s="865"/>
      <c r="G73" s="865"/>
      <c r="H73" s="865"/>
      <c r="I73" s="865"/>
      <c r="J73" s="865"/>
      <c r="L73" s="455"/>
      <c r="M73" s="455"/>
      <c r="N73" s="455"/>
      <c r="O73" s="455"/>
      <c r="P73" s="455"/>
    </row>
    <row r="74" spans="1:16" ht="15.75" x14ac:dyDescent="0.25">
      <c r="A74" s="260" t="s">
        <v>52</v>
      </c>
      <c r="B74" s="12"/>
      <c r="C74" s="12"/>
      <c r="D74" s="12"/>
      <c r="E74" s="865">
        <f>CAPA!$B$10</f>
        <v>9457464</v>
      </c>
      <c r="F74" s="865"/>
      <c r="G74" s="5"/>
      <c r="H74" s="5"/>
      <c r="I74" s="12"/>
      <c r="L74" s="455"/>
      <c r="M74" s="455"/>
      <c r="N74" s="455"/>
      <c r="O74" s="455"/>
      <c r="P74" s="455"/>
    </row>
    <row r="75" spans="1:16" ht="15.75" x14ac:dyDescent="0.25">
      <c r="A75" s="260" t="s">
        <v>53</v>
      </c>
      <c r="B75" s="12"/>
      <c r="C75" s="12"/>
      <c r="D75" s="12"/>
      <c r="E75" s="262">
        <f>CAPA!$B$15</f>
        <v>229</v>
      </c>
      <c r="F75" s="262"/>
      <c r="G75" s="5"/>
      <c r="H75" s="5"/>
      <c r="I75" s="12"/>
      <c r="L75" s="455"/>
      <c r="M75" s="455"/>
      <c r="N75" s="455"/>
      <c r="O75" s="455"/>
      <c r="P75" s="455"/>
    </row>
    <row r="76" spans="1:16" ht="15.75" x14ac:dyDescent="0.25">
      <c r="A76" s="260" t="s">
        <v>54</v>
      </c>
      <c r="B76" s="12"/>
      <c r="C76" s="12"/>
      <c r="D76" s="12"/>
      <c r="E76" s="262">
        <f>CAPA!$B$16</f>
        <v>222</v>
      </c>
      <c r="F76" s="262"/>
      <c r="G76" s="5"/>
      <c r="H76" s="5"/>
      <c r="I76" s="12"/>
      <c r="L76" s="455"/>
      <c r="M76" s="455"/>
      <c r="N76" s="455"/>
      <c r="O76" s="455"/>
      <c r="P76" s="455"/>
    </row>
    <row r="77" spans="1:16" ht="15.75" x14ac:dyDescent="0.25">
      <c r="A77" s="260" t="s">
        <v>55</v>
      </c>
      <c r="B77" s="12"/>
      <c r="C77" s="12"/>
      <c r="D77" s="12"/>
      <c r="E77" s="262">
        <f>CAPA!$B$17</f>
        <v>20.100000000000001</v>
      </c>
      <c r="F77" s="262"/>
      <c r="G77" s="5"/>
      <c r="H77" s="5"/>
      <c r="I77" s="12"/>
      <c r="L77" s="455"/>
      <c r="M77" s="455"/>
      <c r="N77" s="455"/>
      <c r="O77" s="455"/>
      <c r="P77" s="455"/>
    </row>
    <row r="78" spans="1:16" ht="15.75" x14ac:dyDescent="0.25">
      <c r="A78" s="260" t="s">
        <v>56</v>
      </c>
      <c r="B78" s="12"/>
      <c r="C78" s="12"/>
      <c r="D78" s="12"/>
      <c r="E78" s="262">
        <f>CAPA!$B$18</f>
        <v>32.24</v>
      </c>
      <c r="F78" s="262"/>
      <c r="G78" s="5"/>
      <c r="H78" s="5"/>
      <c r="I78" s="12"/>
      <c r="L78" s="455"/>
      <c r="M78" s="455"/>
      <c r="N78" s="455"/>
      <c r="O78" s="455"/>
      <c r="P78" s="455"/>
    </row>
    <row r="79" spans="1:16" ht="15.75" x14ac:dyDescent="0.25">
      <c r="A79" s="260" t="s">
        <v>57</v>
      </c>
      <c r="B79" s="12"/>
      <c r="C79" s="12"/>
      <c r="D79" s="12"/>
      <c r="E79" s="856">
        <f>CAPA!$B$20</f>
        <v>43879</v>
      </c>
      <c r="F79" s="856"/>
      <c r="G79" s="856"/>
      <c r="H79" s="856"/>
      <c r="I79" s="856"/>
      <c r="J79" s="856"/>
      <c r="L79" s="455"/>
      <c r="M79" s="455"/>
      <c r="N79" s="455"/>
      <c r="O79" s="455"/>
      <c r="P79" s="455"/>
    </row>
    <row r="80" spans="1:16" ht="15.75" x14ac:dyDescent="0.25">
      <c r="A80" s="260" t="s">
        <v>58</v>
      </c>
      <c r="B80" s="12"/>
      <c r="C80" s="12"/>
      <c r="D80" s="12"/>
      <c r="E80" s="856">
        <f>CAPA!$B$21</f>
        <v>26694</v>
      </c>
      <c r="F80" s="856"/>
      <c r="G80" s="856"/>
      <c r="H80" s="856"/>
      <c r="I80" s="856"/>
      <c r="J80" s="856"/>
      <c r="L80" s="455"/>
      <c r="M80" s="455"/>
      <c r="N80" s="455"/>
      <c r="O80" s="455"/>
      <c r="P80" s="455"/>
    </row>
    <row r="81" spans="1:16" ht="77.25" customHeight="1" x14ac:dyDescent="0.25">
      <c r="A81" s="434" t="s">
        <v>59</v>
      </c>
      <c r="B81" s="12"/>
      <c r="C81" s="12"/>
      <c r="D81" s="12"/>
      <c r="E81" s="866" t="str">
        <f>CAPA!$B$23</f>
        <v>BV: 100A1 Bulk Carrier, CSR, BC-A, Grab[20], {Holds Nos.2,4&amp;6 May be empty}, ESP, Ship Right (ACS(B), CM), *IWS, LI, LMC, UMS, Part Higher Tensile Steel, Ship Right (BWMP(F), SCM) STX - Offshore &amp; Shipbuilding, Jinhae, South Korea.</v>
      </c>
      <c r="F81" s="866"/>
      <c r="G81" s="866"/>
      <c r="H81" s="866"/>
      <c r="I81" s="866"/>
      <c r="J81" s="866"/>
      <c r="L81" s="455"/>
      <c r="M81" s="458" t="str">
        <f>CAPA!$B$23</f>
        <v>BV: 100A1 Bulk Carrier, CSR, BC-A, Grab[20], {Holds Nos.2,4&amp;6 May be empty}, ESP, Ship Right (ACS(B), CM), *IWS, LI, LMC, UMS, Part Higher Tensile Steel, Ship Right (BWMP(F), SCM) STX - Offshore &amp; Shipbuilding, Jinhae, South Korea.</v>
      </c>
      <c r="N81" s="455"/>
      <c r="O81" s="455"/>
      <c r="P81" s="455"/>
    </row>
    <row r="82" spans="1:16" ht="15.75" x14ac:dyDescent="0.25">
      <c r="A82" s="260" t="s">
        <v>60</v>
      </c>
      <c r="B82" s="12"/>
      <c r="C82" s="12"/>
      <c r="D82" s="12"/>
      <c r="E82" s="856">
        <f>CAPA!$B$19</f>
        <v>13150.68</v>
      </c>
      <c r="F82" s="856"/>
      <c r="G82" s="5"/>
      <c r="H82" s="5"/>
      <c r="I82" s="12"/>
      <c r="L82" s="455"/>
      <c r="M82" s="459"/>
      <c r="N82" s="455"/>
      <c r="O82" s="455"/>
      <c r="P82" s="455"/>
    </row>
    <row r="83" spans="1:16" ht="15.75" x14ac:dyDescent="0.25">
      <c r="A83" s="260" t="s">
        <v>61</v>
      </c>
      <c r="B83" s="12"/>
      <c r="C83" s="12"/>
      <c r="D83" s="12"/>
      <c r="E83" s="856" t="str">
        <f>_xlfn.CONCAT(TEXT($I$118,"#,##0.0")," on ",TEXT(F118,"#,##0.00")," m")</f>
        <v>80671,200 on 14,45000 m</v>
      </c>
      <c r="F83" s="856"/>
      <c r="G83" s="856"/>
      <c r="H83" s="856"/>
      <c r="I83" s="856"/>
      <c r="J83" s="856"/>
      <c r="L83" s="455"/>
      <c r="M83" s="455"/>
      <c r="N83" s="455"/>
      <c r="O83" s="455"/>
      <c r="P83" s="455"/>
    </row>
    <row r="84" spans="1:16" ht="15.75" x14ac:dyDescent="0.25">
      <c r="A84" s="260"/>
      <c r="B84" s="12"/>
      <c r="C84" s="12"/>
      <c r="D84" s="12"/>
      <c r="E84" s="263"/>
      <c r="F84" s="263"/>
      <c r="G84" s="12"/>
      <c r="H84" s="12"/>
      <c r="I84" s="12"/>
      <c r="L84" s="455"/>
      <c r="M84" s="455"/>
      <c r="N84" s="455"/>
      <c r="O84" s="455"/>
      <c r="P84" s="455"/>
    </row>
    <row r="85" spans="1:16" ht="15.75" x14ac:dyDescent="0.25">
      <c r="A85" s="260" t="s">
        <v>62</v>
      </c>
      <c r="B85" s="12"/>
      <c r="C85" s="12"/>
      <c r="D85" s="12"/>
      <c r="E85" s="13" t="str">
        <f>CAPA!$B$11</f>
        <v>STX Offshore &amp; Shipbuilding Co., Ltd. - Jinhae</v>
      </c>
      <c r="F85" s="12"/>
      <c r="G85" s="12"/>
      <c r="H85" s="12"/>
      <c r="I85" s="12"/>
      <c r="L85" s="455"/>
      <c r="M85" s="455"/>
      <c r="N85" s="455"/>
      <c r="O85" s="455"/>
      <c r="P85" s="455"/>
    </row>
    <row r="86" spans="1:16" ht="15.75" x14ac:dyDescent="0.25">
      <c r="A86" s="260"/>
      <c r="B86" s="12"/>
      <c r="C86" s="12"/>
      <c r="D86" s="12"/>
      <c r="E86" s="263"/>
      <c r="F86" s="263"/>
      <c r="G86" s="12"/>
      <c r="H86" s="12"/>
      <c r="I86" s="12"/>
      <c r="L86" s="455"/>
      <c r="M86" s="455"/>
      <c r="N86" s="455"/>
      <c r="O86" s="455"/>
      <c r="P86" s="455"/>
    </row>
    <row r="87" spans="1:16" ht="15.75" x14ac:dyDescent="0.25">
      <c r="A87" s="260" t="s">
        <v>63</v>
      </c>
      <c r="B87" s="12"/>
      <c r="C87" s="12"/>
      <c r="D87" s="12"/>
      <c r="E87" s="857" t="str">
        <f>CAPA!$B$24</f>
        <v>Star Nor XII Llc. - Marshall Islands</v>
      </c>
      <c r="F87" s="857"/>
      <c r="G87" s="857"/>
      <c r="H87" s="857"/>
      <c r="I87" s="857"/>
      <c r="J87" s="857"/>
      <c r="L87" s="455"/>
      <c r="M87" s="455"/>
      <c r="N87" s="455"/>
      <c r="O87" s="455"/>
      <c r="P87" s="455"/>
    </row>
    <row r="88" spans="1:16" ht="15.75" x14ac:dyDescent="0.25">
      <c r="A88" s="260" t="s">
        <v>64</v>
      </c>
      <c r="B88" s="12"/>
      <c r="C88" s="12"/>
      <c r="D88" s="12"/>
      <c r="E88" s="857" t="str">
        <f>CAPA!$B$25</f>
        <v>Iblea Ship Management Ltd. - Greece</v>
      </c>
      <c r="F88" s="857"/>
      <c r="G88" s="857"/>
      <c r="H88" s="857"/>
      <c r="I88" s="857"/>
      <c r="J88" s="857"/>
      <c r="L88" s="455"/>
      <c r="M88" s="455"/>
      <c r="N88" s="455"/>
      <c r="O88" s="455"/>
      <c r="P88" s="455"/>
    </row>
    <row r="89" spans="1:16" ht="15.75" x14ac:dyDescent="0.25">
      <c r="A89" s="260"/>
      <c r="B89" s="12"/>
      <c r="C89" s="12"/>
      <c r="D89" s="12"/>
      <c r="E89" s="12"/>
      <c r="F89" s="12"/>
      <c r="G89" s="12"/>
      <c r="H89" s="12"/>
      <c r="I89" s="12"/>
      <c r="L89" s="455"/>
      <c r="M89" s="455"/>
      <c r="N89" s="455"/>
      <c r="O89" s="455"/>
      <c r="P89" s="455"/>
    </row>
    <row r="90" spans="1:16" ht="15.75" x14ac:dyDescent="0.25">
      <c r="A90" s="3" t="s">
        <v>20</v>
      </c>
      <c r="B90" s="12"/>
      <c r="C90" s="12"/>
      <c r="D90" s="12"/>
      <c r="E90" s="12"/>
      <c r="F90" s="12"/>
      <c r="G90" s="12"/>
      <c r="H90" s="12"/>
      <c r="I90" s="12"/>
      <c r="L90" s="455"/>
      <c r="M90" s="455"/>
      <c r="N90" s="455"/>
      <c r="O90" s="455"/>
      <c r="P90" s="455"/>
    </row>
    <row r="91" spans="1:16" ht="15.75" x14ac:dyDescent="0.25">
      <c r="A91" s="260"/>
      <c r="B91" s="12"/>
      <c r="C91" s="12"/>
      <c r="D91" s="12"/>
      <c r="E91" s="12"/>
      <c r="F91" s="12"/>
      <c r="G91" s="12"/>
      <c r="H91" s="12"/>
      <c r="I91" s="12"/>
      <c r="L91" s="455"/>
      <c r="M91" s="455"/>
      <c r="N91" s="455"/>
      <c r="O91" s="455"/>
      <c r="P91" s="455"/>
    </row>
    <row r="92" spans="1:16" ht="15.75" x14ac:dyDescent="0.25">
      <c r="A92" s="3" t="s">
        <v>65</v>
      </c>
      <c r="B92" s="858" t="s">
        <v>66</v>
      </c>
      <c r="C92" s="858"/>
      <c r="D92" s="859" t="s">
        <v>67</v>
      </c>
      <c r="E92" s="859"/>
      <c r="F92" s="860" t="s">
        <v>68</v>
      </c>
      <c r="G92" s="860"/>
      <c r="H92" s="860"/>
      <c r="I92" s="860"/>
      <c r="J92" s="264" t="s">
        <v>69</v>
      </c>
      <c r="L92" s="455"/>
      <c r="M92" s="455"/>
      <c r="N92" s="455"/>
      <c r="O92" s="455"/>
      <c r="P92" s="455"/>
    </row>
    <row r="93" spans="1:16" ht="15.75" x14ac:dyDescent="0.25">
      <c r="A93" s="3"/>
      <c r="B93" s="858" t="s">
        <v>70</v>
      </c>
      <c r="C93" s="858"/>
      <c r="D93" s="265"/>
      <c r="F93" s="860" t="s">
        <v>71</v>
      </c>
      <c r="G93" s="860"/>
      <c r="H93" s="860"/>
      <c r="I93" s="860"/>
      <c r="J93" s="12"/>
      <c r="L93" s="455"/>
      <c r="M93" s="455"/>
      <c r="N93" s="455"/>
      <c r="O93" s="455"/>
      <c r="P93" s="455"/>
    </row>
    <row r="94" spans="1:16" ht="15.75" x14ac:dyDescent="0.25">
      <c r="A94" s="259" t="s">
        <v>72</v>
      </c>
      <c r="B94" s="850">
        <f>DCP!$B$28</f>
        <v>430412</v>
      </c>
      <c r="C94" s="850"/>
      <c r="D94" s="851" t="str">
        <f>DCP!$B$15</f>
        <v>Soybeans</v>
      </c>
      <c r="E94" s="851"/>
      <c r="F94" s="852">
        <f>DCP!$B$27</f>
        <v>8892.51</v>
      </c>
      <c r="G94" s="852"/>
      <c r="H94" s="852"/>
      <c r="I94" s="852"/>
      <c r="J94" s="266">
        <f>IF(DCP!$B$30="FULL",DCP!$B$29,"SLACK")</f>
        <v>48.401632385007154</v>
      </c>
      <c r="L94" s="455"/>
      <c r="M94" s="455"/>
      <c r="N94" s="455"/>
      <c r="O94" s="455"/>
      <c r="P94" s="455"/>
    </row>
    <row r="95" spans="1:16" ht="15.75" x14ac:dyDescent="0.25">
      <c r="A95" s="259" t="s">
        <v>73</v>
      </c>
      <c r="B95" s="850">
        <f>DCP!$C$28</f>
        <v>490920</v>
      </c>
      <c r="C95" s="850"/>
      <c r="D95" s="851" t="str">
        <f>DCP!$C$15</f>
        <v>Soybeans</v>
      </c>
      <c r="E95" s="851"/>
      <c r="F95" s="852">
        <f>DCP!$C$27</f>
        <v>9957.2000000000007</v>
      </c>
      <c r="G95" s="852"/>
      <c r="H95" s="852"/>
      <c r="I95" s="852" t="e">
        <f>C95/H95</f>
        <v>#DIV/0!</v>
      </c>
      <c r="J95" s="266">
        <f>IF(DCP!$C$30="FULL",DCP!$C$29,"SLACK")</f>
        <v>49.303016912385004</v>
      </c>
      <c r="L95" s="455"/>
      <c r="M95" s="455"/>
      <c r="N95" s="455"/>
      <c r="O95" s="455"/>
      <c r="P95" s="455"/>
    </row>
    <row r="96" spans="1:16" ht="15.75" x14ac:dyDescent="0.25">
      <c r="A96" s="259" t="s">
        <v>74</v>
      </c>
      <c r="B96" s="850">
        <f>DCP!$D$28</f>
        <v>491351</v>
      </c>
      <c r="C96" s="850"/>
      <c r="D96" s="851" t="str">
        <f>DCP!$D$15</f>
        <v>Soybeans</v>
      </c>
      <c r="E96" s="851"/>
      <c r="F96" s="852">
        <f>DCP!$D$27</f>
        <v>10141.66</v>
      </c>
      <c r="G96" s="852"/>
      <c r="H96" s="852"/>
      <c r="I96" s="852" t="e">
        <f>D96/H96</f>
        <v>#VALUE!</v>
      </c>
      <c r="J96" s="266">
        <f>IF(DCP!$D$30="FULL",DCP!$D$29,"SLACK")</f>
        <v>48.44877465819205</v>
      </c>
      <c r="L96" s="455"/>
      <c r="M96" s="455"/>
      <c r="N96" s="455"/>
      <c r="O96" s="455"/>
      <c r="P96" s="455"/>
    </row>
    <row r="97" spans="1:16" ht="15.75" x14ac:dyDescent="0.25">
      <c r="A97" s="259" t="s">
        <v>75</v>
      </c>
      <c r="B97" s="850">
        <f>DCP!$E$28</f>
        <v>491351</v>
      </c>
      <c r="C97" s="850"/>
      <c r="D97" s="851" t="str">
        <f>DCP!$E$15</f>
        <v>Soybeans</v>
      </c>
      <c r="E97" s="851"/>
      <c r="F97" s="852">
        <f>DCP!$E$27</f>
        <v>10100.58</v>
      </c>
      <c r="G97" s="852"/>
      <c r="H97" s="852"/>
      <c r="I97" s="852" t="e">
        <f>D97/H97</f>
        <v>#VALUE!</v>
      </c>
      <c r="J97" s="266">
        <f>IF(DCP!$E$30="FULL",DCP!$E$29,"SLACK")</f>
        <v>48.645820339030038</v>
      </c>
      <c r="L97" s="455"/>
      <c r="M97" s="455"/>
      <c r="N97" s="455"/>
      <c r="O97" s="455"/>
      <c r="P97" s="455"/>
    </row>
    <row r="98" spans="1:16" ht="15.75" x14ac:dyDescent="0.25">
      <c r="A98" s="259" t="s">
        <v>76</v>
      </c>
      <c r="B98" s="850">
        <f>DCP!$F$28</f>
        <v>491351</v>
      </c>
      <c r="C98" s="850"/>
      <c r="D98" s="851" t="str">
        <f>DCP!$F$15</f>
        <v>Soybeans</v>
      </c>
      <c r="E98" s="851"/>
      <c r="F98" s="852">
        <f>DCP!$F$27</f>
        <v>10151.08</v>
      </c>
      <c r="G98" s="852"/>
      <c r="H98" s="852"/>
      <c r="I98" s="852" t="e">
        <f>D98/H98</f>
        <v>#VALUE!</v>
      </c>
      <c r="J98" s="266">
        <f>IF(DCP!$F$30="FULL",DCP!$F$29,"SLACK")</f>
        <v>48.403815160554345</v>
      </c>
      <c r="L98" s="455"/>
      <c r="M98" s="455"/>
      <c r="N98" s="455"/>
      <c r="O98" s="455"/>
      <c r="P98" s="455"/>
    </row>
    <row r="99" spans="1:16" ht="15.75" x14ac:dyDescent="0.25">
      <c r="A99" s="259" t="s">
        <v>77</v>
      </c>
      <c r="B99" s="850">
        <f>DCP!$G$28</f>
        <v>491351</v>
      </c>
      <c r="C99" s="850"/>
      <c r="D99" s="851" t="str">
        <f>DCP!$G$15</f>
        <v>Soybeans</v>
      </c>
      <c r="E99" s="851"/>
      <c r="F99" s="852">
        <f>DCP!$G$27</f>
        <v>10138.42</v>
      </c>
      <c r="G99" s="852"/>
      <c r="H99" s="852"/>
      <c r="I99" s="852" t="e">
        <f>D99/H99</f>
        <v>#VALUE!</v>
      </c>
      <c r="J99" s="266">
        <f>IF(DCP!$G$30="FULL",DCP!$G$29,"SLACK")</f>
        <v>48.464257744303353</v>
      </c>
      <c r="L99" s="455"/>
      <c r="M99" s="455"/>
      <c r="N99" s="455"/>
      <c r="O99" s="455"/>
      <c r="P99" s="455"/>
    </row>
    <row r="100" spans="1:16" ht="15.75" x14ac:dyDescent="0.25">
      <c r="A100" s="259" t="s">
        <v>78</v>
      </c>
      <c r="B100" s="850">
        <f>DCP!$H$28</f>
        <v>474223</v>
      </c>
      <c r="C100" s="850"/>
      <c r="D100" s="851" t="str">
        <f>DCP!$H$15</f>
        <v>Soybeans</v>
      </c>
      <c r="E100" s="851"/>
      <c r="F100" s="852">
        <f>DCP!$H$27</f>
        <v>9789.6</v>
      </c>
      <c r="G100" s="852"/>
      <c r="H100" s="852"/>
      <c r="I100" s="852" t="e">
        <f>D100/H100</f>
        <v>#VALUE!</v>
      </c>
      <c r="J100" s="266">
        <f>IF(DCP!$H$30="FULL",DCP!$H$29,"SLACK")</f>
        <v>48.441509356868515</v>
      </c>
      <c r="L100" s="455"/>
      <c r="M100" s="455"/>
      <c r="N100" s="455"/>
      <c r="O100" s="455"/>
      <c r="P100" s="455"/>
    </row>
    <row r="101" spans="1:16" ht="15.75" x14ac:dyDescent="0.25">
      <c r="A101" s="3" t="s">
        <v>79</v>
      </c>
      <c r="B101" s="853">
        <f>SUM(B94:B100)</f>
        <v>3360959</v>
      </c>
      <c r="C101" s="853"/>
      <c r="D101" s="12"/>
      <c r="F101" s="854">
        <f>SUM(F94:F100)</f>
        <v>69171.05</v>
      </c>
      <c r="G101" s="854"/>
      <c r="H101" s="854"/>
      <c r="I101" s="854"/>
      <c r="L101" s="455"/>
      <c r="M101" s="455"/>
      <c r="N101" s="455"/>
      <c r="O101" s="455"/>
      <c r="P101" s="455"/>
    </row>
    <row r="102" spans="1:16" ht="15.75" x14ac:dyDescent="0.25">
      <c r="A102" s="3"/>
      <c r="B102" s="267"/>
      <c r="C102" s="12"/>
      <c r="D102" s="12"/>
      <c r="E102" s="268"/>
      <c r="F102" s="269"/>
      <c r="G102" s="12"/>
      <c r="H102" s="12"/>
      <c r="I102" s="12"/>
      <c r="L102" s="455"/>
      <c r="M102" s="455"/>
      <c r="N102" s="455"/>
      <c r="O102" s="455"/>
      <c r="P102" s="455"/>
    </row>
    <row r="103" spans="1:16" ht="15.75" x14ac:dyDescent="0.25">
      <c r="A103" s="260"/>
      <c r="B103" s="12"/>
      <c r="C103" s="12"/>
      <c r="D103" s="12"/>
      <c r="E103" s="12"/>
      <c r="F103" s="12"/>
      <c r="G103" s="12"/>
      <c r="H103" s="12"/>
      <c r="I103" s="12"/>
      <c r="L103" s="455"/>
      <c r="M103" s="455"/>
      <c r="N103" s="455"/>
      <c r="O103" s="455"/>
      <c r="P103" s="455"/>
    </row>
    <row r="104" spans="1:16" ht="15.75" x14ac:dyDescent="0.25">
      <c r="A104" s="261" t="s">
        <v>712</v>
      </c>
      <c r="B104" s="12"/>
      <c r="C104" s="12"/>
      <c r="D104" s="12"/>
      <c r="E104" s="12"/>
      <c r="F104" s="12"/>
      <c r="G104" s="12"/>
      <c r="H104" s="12"/>
      <c r="I104" s="12"/>
      <c r="L104" s="455"/>
      <c r="M104" s="455"/>
      <c r="N104" s="455"/>
      <c r="O104" s="455"/>
      <c r="P104" s="455"/>
    </row>
    <row r="105" spans="1:16" ht="15.75" x14ac:dyDescent="0.25">
      <c r="A105" s="261"/>
      <c r="B105" s="12"/>
      <c r="C105" s="12"/>
      <c r="D105" s="12"/>
      <c r="E105" s="12"/>
      <c r="F105" s="12"/>
      <c r="G105" s="12"/>
      <c r="H105" s="12"/>
      <c r="I105" s="12"/>
      <c r="L105" s="455"/>
      <c r="M105" s="455"/>
      <c r="N105" s="455"/>
      <c r="O105" s="455"/>
      <c r="P105" s="455"/>
    </row>
    <row r="106" spans="1:16" ht="15.75" x14ac:dyDescent="0.25">
      <c r="A106" s="260" t="s">
        <v>80</v>
      </c>
      <c r="B106" s="12"/>
      <c r="C106" s="12"/>
      <c r="D106" s="12"/>
      <c r="E106" s="12" t="str">
        <f>_xlfn.CONCAT("Issued by ",CAPA!$B$67)</f>
        <v>Issued by STX Offshore &amp; Shipbuilding Co., Ltd.</v>
      </c>
      <c r="G106" s="12"/>
      <c r="H106" s="12"/>
      <c r="I106" s="12"/>
      <c r="L106" s="455"/>
      <c r="M106" s="455"/>
      <c r="N106" s="455"/>
      <c r="O106" s="455"/>
      <c r="P106" s="455"/>
    </row>
    <row r="107" spans="1:16" ht="15.75" x14ac:dyDescent="0.25">
      <c r="A107" s="260"/>
      <c r="B107" s="12"/>
      <c r="C107" s="12"/>
      <c r="D107" s="12"/>
      <c r="E107" s="12" t="str">
        <f>_xlfn.CONCAT("on ",CAPA!$B$68,", Dwg. No. ",CAPA!$B$69)</f>
        <v>on 09.12.2010, Dwg. No. B0113000</v>
      </c>
      <c r="G107" s="12"/>
      <c r="H107" s="12"/>
      <c r="I107" s="12"/>
      <c r="L107" s="455"/>
      <c r="M107" s="455"/>
      <c r="N107" s="455"/>
      <c r="O107" s="455"/>
      <c r="P107" s="455"/>
    </row>
    <row r="108" spans="1:16" ht="15.75" x14ac:dyDescent="0.25">
      <c r="A108" s="260"/>
      <c r="B108" s="12"/>
      <c r="C108" s="12"/>
      <c r="D108" s="12"/>
      <c r="E108" s="12" t="str">
        <f>_xlfn.CONCAT("Approved by  ",CAPA!$B$70," on  ",CAPA!$B$71)</f>
        <v>Approved by  LRS on  04.01.2011</v>
      </c>
      <c r="G108" s="12"/>
      <c r="H108" s="12"/>
      <c r="I108" s="12"/>
      <c r="L108" s="455"/>
      <c r="M108" s="455"/>
      <c r="N108" s="455"/>
      <c r="O108" s="455"/>
      <c r="P108" s="455"/>
    </row>
    <row r="109" spans="1:16" ht="15.75" x14ac:dyDescent="0.25">
      <c r="A109" s="260"/>
      <c r="B109" s="12"/>
      <c r="C109" s="12"/>
      <c r="D109" s="12"/>
      <c r="E109" s="13"/>
      <c r="G109" s="13"/>
      <c r="H109" s="13"/>
      <c r="I109" s="12"/>
      <c r="L109" s="455"/>
      <c r="M109" s="455"/>
      <c r="N109" s="455"/>
      <c r="O109" s="455"/>
      <c r="P109" s="455"/>
    </row>
    <row r="110" spans="1:16" ht="15.75" x14ac:dyDescent="0.25">
      <c r="A110" s="260" t="s">
        <v>81</v>
      </c>
      <c r="B110" s="12"/>
      <c r="C110" s="12"/>
      <c r="D110" s="12"/>
      <c r="E110" s="12" t="str">
        <f>$E$106</f>
        <v>Issued by STX Offshore &amp; Shipbuilding Co., Ltd.</v>
      </c>
      <c r="G110" s="12"/>
      <c r="H110" s="12"/>
      <c r="I110" s="12"/>
      <c r="L110" s="455"/>
      <c r="M110" s="455"/>
      <c r="N110" s="455"/>
      <c r="O110" s="455"/>
      <c r="P110" s="455"/>
    </row>
    <row r="111" spans="1:16" ht="15.75" x14ac:dyDescent="0.25">
      <c r="A111" s="12"/>
      <c r="B111" s="12"/>
      <c r="C111" s="12"/>
      <c r="D111" s="12"/>
      <c r="E111" s="12" t="str">
        <f>_xlfn.CONCAT("on ",CAPA!$B$73," Dwg. no. ",CAPA!$B$74)</f>
        <v>on 07.01.2011 Dwg. no. T017400</v>
      </c>
      <c r="G111" s="12"/>
      <c r="H111" s="12"/>
      <c r="I111" s="12"/>
      <c r="L111" s="455"/>
      <c r="M111" s="455"/>
      <c r="N111" s="455"/>
      <c r="O111" s="455"/>
      <c r="P111" s="455"/>
    </row>
    <row r="112" spans="1:16" ht="15.75" x14ac:dyDescent="0.25">
      <c r="A112" s="12"/>
      <c r="B112" s="12"/>
      <c r="C112" s="12"/>
      <c r="D112" s="12"/>
      <c r="E112" s="12"/>
      <c r="F112" s="12"/>
      <c r="G112" s="12"/>
      <c r="H112" s="12"/>
      <c r="I112" s="12"/>
      <c r="L112" s="455"/>
      <c r="M112" s="455"/>
      <c r="N112" s="455"/>
      <c r="O112" s="455"/>
      <c r="P112" s="455"/>
    </row>
    <row r="113" spans="1:16" ht="15.75" x14ac:dyDescent="0.25">
      <c r="A113" s="261" t="s">
        <v>21</v>
      </c>
      <c r="B113" s="12"/>
      <c r="C113" s="12"/>
      <c r="D113" s="12"/>
      <c r="E113" s="12"/>
      <c r="F113" s="12"/>
      <c r="G113" s="12"/>
      <c r="H113" s="12"/>
      <c r="I113" s="12"/>
      <c r="L113" s="455"/>
      <c r="M113" s="455"/>
      <c r="N113" s="455"/>
      <c r="O113" s="455"/>
      <c r="P113" s="455"/>
    </row>
    <row r="114" spans="1:16" ht="15.75" x14ac:dyDescent="0.25">
      <c r="A114" s="260"/>
      <c r="B114" s="12"/>
      <c r="E114" s="710" t="s">
        <v>82</v>
      </c>
      <c r="F114" s="711" t="s">
        <v>714</v>
      </c>
      <c r="G114" s="855" t="s">
        <v>84</v>
      </c>
      <c r="H114" s="855"/>
      <c r="I114" s="855" t="s">
        <v>85</v>
      </c>
      <c r="J114" s="855"/>
      <c r="K114" s="270"/>
      <c r="L114" s="460"/>
      <c r="M114" s="461"/>
      <c r="N114" s="455"/>
      <c r="O114" s="455"/>
      <c r="P114" s="455"/>
    </row>
    <row r="115" spans="1:16" ht="15.75" x14ac:dyDescent="0.25">
      <c r="A115" s="260" t="s">
        <v>86</v>
      </c>
      <c r="B115" s="10"/>
      <c r="E115" s="271">
        <f>CAPA!$L$78</f>
        <v>5.0389999999999997</v>
      </c>
      <c r="F115" s="271">
        <f>CAPA!$M$78</f>
        <v>15.085000000000001</v>
      </c>
      <c r="G115" s="846">
        <f>CAPA!$N$78</f>
        <v>95894.88</v>
      </c>
      <c r="H115" s="846"/>
      <c r="I115" s="846">
        <f>CAPA!$O$78</f>
        <v>82744.2</v>
      </c>
      <c r="J115" s="846"/>
      <c r="K115" s="272"/>
      <c r="L115" s="462"/>
      <c r="M115" s="463"/>
      <c r="N115" s="455"/>
      <c r="O115" s="455"/>
      <c r="P115" s="455"/>
    </row>
    <row r="116" spans="1:16" ht="15.75" x14ac:dyDescent="0.25">
      <c r="A116" s="260" t="s">
        <v>87</v>
      </c>
      <c r="B116" s="10"/>
      <c r="E116" s="271">
        <f>CAPA!$L$79</f>
        <v>5.34</v>
      </c>
      <c r="F116" s="271">
        <f>CAPA!$M$79</f>
        <v>14.784000000000001</v>
      </c>
      <c r="G116" s="846">
        <f>CAPA!$N$79</f>
        <v>93826.38</v>
      </c>
      <c r="H116" s="846"/>
      <c r="I116" s="846">
        <f>CAPA!$O$79</f>
        <v>80675.7</v>
      </c>
      <c r="J116" s="846"/>
      <c r="K116" s="272"/>
      <c r="L116" s="462"/>
      <c r="M116" s="463"/>
      <c r="N116" s="455"/>
      <c r="O116" s="455"/>
      <c r="P116" s="455"/>
    </row>
    <row r="117" spans="1:16" ht="15.75" x14ac:dyDescent="0.25">
      <c r="A117" s="260" t="s">
        <v>88</v>
      </c>
      <c r="B117" s="10"/>
      <c r="E117" s="271">
        <f>CAPA!$L$80</f>
        <v>5.3730000000000002</v>
      </c>
      <c r="F117" s="271">
        <f>CAPA!$M$80</f>
        <v>14.750999999999999</v>
      </c>
      <c r="G117" s="846">
        <f>CAPA!$N$80</f>
        <v>95939.78</v>
      </c>
      <c r="H117" s="846"/>
      <c r="I117" s="846">
        <f>CAPA!$O$80</f>
        <v>82789.100000000006</v>
      </c>
      <c r="J117" s="846"/>
      <c r="K117" s="272"/>
      <c r="L117" s="462"/>
      <c r="M117" s="463"/>
      <c r="N117" s="455"/>
      <c r="O117" s="455"/>
      <c r="P117" s="455"/>
    </row>
    <row r="118" spans="1:16" ht="15.75" x14ac:dyDescent="0.25">
      <c r="A118" s="260" t="s">
        <v>89</v>
      </c>
      <c r="B118" s="10"/>
      <c r="E118" s="271">
        <f>CAPA!$L$81</f>
        <v>5.6740000000000004</v>
      </c>
      <c r="F118" s="271">
        <f>CAPA!$M$81</f>
        <v>14.45</v>
      </c>
      <c r="G118" s="846">
        <f>CAPA!$N$81</f>
        <v>93821.88</v>
      </c>
      <c r="H118" s="846"/>
      <c r="I118" s="846">
        <f>CAPA!$O$81</f>
        <v>80671.199999999997</v>
      </c>
      <c r="J118" s="846"/>
      <c r="K118" s="272"/>
      <c r="L118" s="462"/>
      <c r="M118" s="463"/>
      <c r="N118" s="455"/>
      <c r="O118" s="455"/>
      <c r="P118" s="455"/>
    </row>
    <row r="119" spans="1:16" ht="15.75" x14ac:dyDescent="0.25">
      <c r="A119" s="260" t="s">
        <v>90</v>
      </c>
      <c r="B119" s="10"/>
      <c r="E119" s="271">
        <f>CAPA!$L$82</f>
        <v>5.9749999999999996</v>
      </c>
      <c r="F119" s="271">
        <f>CAPA!$M$82</f>
        <v>14.148999999999999</v>
      </c>
      <c r="G119" s="846">
        <f>CAPA!$N$82</f>
        <v>91706.48000000001</v>
      </c>
      <c r="H119" s="846"/>
      <c r="I119" s="846">
        <f>CAPA!$O$82</f>
        <v>78555.8</v>
      </c>
      <c r="J119" s="846"/>
      <c r="K119" s="272"/>
      <c r="L119" s="462"/>
      <c r="M119" s="463"/>
      <c r="N119" s="455"/>
      <c r="O119" s="455"/>
      <c r="P119" s="455"/>
    </row>
    <row r="120" spans="1:16" ht="15.75" x14ac:dyDescent="0.25">
      <c r="A120" s="260"/>
      <c r="B120" s="10"/>
      <c r="C120" s="10"/>
      <c r="D120" s="10"/>
      <c r="E120" s="10"/>
      <c r="F120" s="10"/>
      <c r="G120" s="10"/>
      <c r="H120" s="10"/>
      <c r="I120" s="10"/>
      <c r="L120" s="455"/>
      <c r="M120" s="455"/>
      <c r="N120" s="455"/>
      <c r="O120" s="455"/>
      <c r="P120" s="455"/>
    </row>
    <row r="121" spans="1:16" ht="15.75" x14ac:dyDescent="0.25">
      <c r="A121" s="260"/>
      <c r="B121" s="10"/>
      <c r="C121" s="10"/>
      <c r="D121" s="10"/>
      <c r="E121" s="10"/>
      <c r="F121" s="10"/>
      <c r="G121" s="10"/>
      <c r="H121" s="10"/>
      <c r="I121" s="10"/>
      <c r="L121" s="455"/>
      <c r="M121" s="455"/>
      <c r="N121" s="455"/>
      <c r="O121" s="455"/>
      <c r="P121" s="455"/>
    </row>
    <row r="122" spans="1:16" ht="15.75" x14ac:dyDescent="0.25">
      <c r="A122" s="261" t="s">
        <v>715</v>
      </c>
      <c r="B122" s="10"/>
      <c r="C122" s="10"/>
      <c r="D122" s="10"/>
      <c r="E122" s="10"/>
      <c r="F122" s="10"/>
      <c r="G122" s="10"/>
      <c r="H122" s="10"/>
      <c r="I122" s="10"/>
      <c r="L122" s="455"/>
      <c r="M122" s="455"/>
      <c r="N122" s="455"/>
      <c r="O122" s="455"/>
      <c r="P122" s="455"/>
    </row>
    <row r="123" spans="1:16" x14ac:dyDescent="0.25">
      <c r="A123" s="273"/>
      <c r="B123" s="10"/>
      <c r="C123" s="10"/>
      <c r="D123" s="10"/>
      <c r="E123" s="10"/>
      <c r="F123" s="10"/>
      <c r="G123" s="10"/>
      <c r="H123" s="10"/>
      <c r="I123" s="10"/>
      <c r="L123" s="455"/>
      <c r="M123" s="455"/>
      <c r="N123" s="455"/>
      <c r="O123" s="455"/>
      <c r="P123" s="455"/>
    </row>
    <row r="124" spans="1:16" ht="15.75" x14ac:dyDescent="0.25">
      <c r="A124" s="260" t="s">
        <v>91</v>
      </c>
      <c r="B124" s="10"/>
      <c r="C124" s="10"/>
      <c r="D124" s="10"/>
      <c r="E124" s="389" t="str">
        <f>_xlfn.CONCAT(OrdinalDate(Draft!$E$4),", ",YEAR(Draft!$E$4)," from ",TEXT(Draft!$O$4,"h:mm;@")," until ",TEXT(Draft!$O$6,"h:mm;@")," hrs")</f>
        <v xml:space="preserve"> March 6th, 2026 from 8:00 until 10:00 hrs</v>
      </c>
      <c r="G124" s="274"/>
      <c r="H124" s="274"/>
      <c r="I124" s="10"/>
      <c r="L124" s="455" t="str">
        <f>_xlfn.CONCAT(TEXT(Draft!$E$4,"[$-en-US]mmmm d, aaaa;@")," from ",TEXT(Draft!$O$4,"h:mm;@")," until ",TEXT(Draft!$O$6,"h:mm;@")," hrs")</f>
        <v>March 6, 2026 from 8:00 until 10:00 hrs</v>
      </c>
      <c r="M124" s="455"/>
      <c r="N124" s="455"/>
      <c r="O124" s="455"/>
      <c r="P124" s="455"/>
    </row>
    <row r="125" spans="1:16" ht="15.75" x14ac:dyDescent="0.25">
      <c r="A125" s="260" t="s">
        <v>92</v>
      </c>
      <c r="B125" s="10"/>
      <c r="C125" s="10"/>
      <c r="D125" s="10"/>
      <c r="E125" s="13" t="str">
        <f>CONCATENATE(Draft!$E$5," (",Draft!$AN$4," ",Draft!H6,")")</f>
        <v>Paranaguá, Br - Brazil (inner roads 9.3)</v>
      </c>
      <c r="G125" s="12"/>
      <c r="H125" s="12"/>
      <c r="I125" s="10"/>
      <c r="L125" s="455"/>
      <c r="M125" s="455"/>
      <c r="N125" s="455"/>
      <c r="O125" s="455"/>
      <c r="P125" s="455"/>
    </row>
    <row r="126" spans="1:16" ht="15.75" x14ac:dyDescent="0.25">
      <c r="A126" s="260" t="s">
        <v>93</v>
      </c>
      <c r="B126" s="10"/>
      <c r="C126" s="10"/>
      <c r="D126" s="10"/>
      <c r="E126" s="390">
        <f>Draft!$O$7</f>
        <v>0.2</v>
      </c>
      <c r="G126" s="12"/>
      <c r="H126" s="12"/>
      <c r="I126" s="10"/>
      <c r="L126" s="455"/>
      <c r="M126" s="455"/>
      <c r="N126" s="455"/>
      <c r="O126" s="455"/>
      <c r="P126" s="455"/>
    </row>
    <row r="127" spans="1:16" ht="15.75" x14ac:dyDescent="0.25">
      <c r="A127" s="260" t="s">
        <v>614</v>
      </c>
      <c r="B127" s="10"/>
      <c r="C127" s="10"/>
      <c r="D127" s="10"/>
      <c r="E127" s="626">
        <f>Draft!$O$8</f>
        <v>1</v>
      </c>
      <c r="F127" s="388"/>
      <c r="G127" s="275"/>
      <c r="H127" s="275"/>
      <c r="I127" s="275"/>
      <c r="L127" s="455"/>
      <c r="M127" s="455"/>
      <c r="N127" s="455"/>
      <c r="O127" s="455"/>
      <c r="P127" s="455"/>
    </row>
    <row r="128" spans="1:16" ht="15.75" x14ac:dyDescent="0.25">
      <c r="A128" s="260" t="s">
        <v>94</v>
      </c>
      <c r="B128" s="10"/>
      <c r="C128" s="10"/>
      <c r="D128" s="10"/>
      <c r="E128" s="13" t="str">
        <f>Draft!$E$8</f>
        <v>Ebb tide, &lt;1knot</v>
      </c>
      <c r="G128" s="12"/>
      <c r="H128" s="12"/>
      <c r="I128" s="10"/>
      <c r="L128" s="455"/>
      <c r="M128" s="455"/>
      <c r="N128" s="455"/>
      <c r="O128" s="455"/>
      <c r="P128" s="455"/>
    </row>
    <row r="129" spans="1:16" ht="15.75" x14ac:dyDescent="0.25">
      <c r="A129" s="260" t="s">
        <v>95</v>
      </c>
      <c r="B129" s="10"/>
      <c r="C129" s="10"/>
      <c r="D129" s="10"/>
      <c r="E129" s="13" t="str">
        <f>Draft!$E$7</f>
        <v>Sunny</v>
      </c>
      <c r="G129" s="12"/>
      <c r="H129" s="12"/>
      <c r="I129" s="10"/>
      <c r="L129" s="455"/>
      <c r="M129" s="455"/>
      <c r="N129" s="455"/>
      <c r="O129" s="455"/>
      <c r="P129" s="455"/>
    </row>
    <row r="130" spans="1:16" ht="15.75" x14ac:dyDescent="0.25">
      <c r="A130" s="260"/>
      <c r="B130" s="10"/>
      <c r="C130" s="10"/>
      <c r="D130" s="10"/>
      <c r="E130" s="10"/>
      <c r="F130" s="12"/>
      <c r="G130" s="12"/>
      <c r="H130" s="12"/>
      <c r="I130" s="10"/>
      <c r="L130" s="455"/>
      <c r="M130" s="455"/>
      <c r="N130" s="455"/>
      <c r="O130" s="455"/>
      <c r="P130" s="455"/>
    </row>
    <row r="131" spans="1:16" ht="15.75" x14ac:dyDescent="0.25">
      <c r="A131" s="260"/>
      <c r="B131" s="10"/>
      <c r="C131" s="10"/>
      <c r="D131" s="10"/>
      <c r="E131" s="10"/>
      <c r="F131" s="12"/>
      <c r="G131" s="12"/>
      <c r="H131" s="12"/>
      <c r="I131" s="10"/>
      <c r="L131" s="455"/>
      <c r="M131" s="455"/>
      <c r="N131" s="455"/>
      <c r="O131" s="455"/>
      <c r="P131" s="455"/>
    </row>
    <row r="132" spans="1:16" ht="15.75" x14ac:dyDescent="0.25">
      <c r="A132" s="261" t="s">
        <v>716</v>
      </c>
      <c r="B132" s="10"/>
      <c r="C132" s="10"/>
      <c r="D132" s="10"/>
      <c r="E132" s="10"/>
      <c r="F132" s="12"/>
      <c r="G132" s="12"/>
      <c r="H132" s="12"/>
      <c r="I132" s="10"/>
      <c r="L132" s="455"/>
      <c r="M132" s="455"/>
      <c r="N132" s="455"/>
      <c r="O132" s="455"/>
      <c r="P132" s="455"/>
    </row>
    <row r="133" spans="1:16" ht="15.75" x14ac:dyDescent="0.25">
      <c r="A133" s="260"/>
      <c r="B133" s="10"/>
      <c r="C133" s="10"/>
      <c r="D133" s="10"/>
      <c r="E133" s="10"/>
      <c r="F133" s="12"/>
      <c r="G133" s="12"/>
      <c r="H133" s="12"/>
      <c r="I133" s="10"/>
      <c r="L133" s="455"/>
      <c r="M133" s="455"/>
      <c r="N133" s="455"/>
      <c r="O133" s="455"/>
      <c r="P133" s="455"/>
    </row>
    <row r="134" spans="1:16" ht="15.75" x14ac:dyDescent="0.25">
      <c r="A134" s="260" t="s">
        <v>91</v>
      </c>
      <c r="B134" s="10"/>
      <c r="C134" s="10"/>
      <c r="D134" s="10"/>
      <c r="E134" s="1176" t="str">
        <f>_xlfn.CONCAT(OrdinalDate(Draft!$X$4),", ",YEAR(Draft!$X$4)," from ",TEXT(Draft!$AH$4,"h:mm;@")," until ",TEXT(Draft!$AH$6,"h:mm;@")," hrs")</f>
        <v xml:space="preserve"> March 10th, 2026 from 21:30 until 23:00 hrs</v>
      </c>
      <c r="F134" s="1176"/>
      <c r="G134" s="1176"/>
      <c r="H134" s="1176"/>
      <c r="I134" s="1176"/>
      <c r="J134" s="1176"/>
      <c r="L134" s="455"/>
      <c r="M134" s="455"/>
      <c r="N134" s="455"/>
      <c r="O134" s="455"/>
      <c r="P134" s="455"/>
    </row>
    <row r="135" spans="1:16" ht="15.75" x14ac:dyDescent="0.25">
      <c r="A135" s="260" t="s">
        <v>92</v>
      </c>
      <c r="B135" s="10"/>
      <c r="C135" s="10"/>
      <c r="D135" s="10"/>
      <c r="E135" s="13" t="str">
        <f>CONCATENATE(Draft!$X$5," (",Draft!$AO$4," ",Draft!$AA$6,")")</f>
        <v>Paranaguá, Br - Brazil (wharf 212)</v>
      </c>
      <c r="G135" s="12"/>
      <c r="H135" s="12"/>
      <c r="I135" s="10"/>
      <c r="L135" s="455"/>
      <c r="M135" s="455"/>
      <c r="N135" s="455"/>
      <c r="O135" s="455"/>
      <c r="P135" s="455"/>
    </row>
    <row r="136" spans="1:16" ht="15.75" x14ac:dyDescent="0.25">
      <c r="A136" s="260" t="s">
        <v>93</v>
      </c>
      <c r="B136" s="10"/>
      <c r="C136" s="10"/>
      <c r="D136" s="10"/>
      <c r="E136" s="390">
        <f>Draft!$AH$7</f>
        <v>0.15</v>
      </c>
      <c r="G136" s="12"/>
      <c r="H136" s="12"/>
      <c r="I136" s="10"/>
      <c r="L136" s="455"/>
      <c r="M136" s="455"/>
      <c r="N136" s="455"/>
      <c r="O136" s="455"/>
      <c r="P136" s="455"/>
    </row>
    <row r="137" spans="1:16" ht="15.75" x14ac:dyDescent="0.25">
      <c r="A137" s="260" t="s">
        <v>614</v>
      </c>
      <c r="B137" s="10"/>
      <c r="C137" s="10"/>
      <c r="D137" s="10"/>
      <c r="E137" s="626">
        <f>Draft!$AH$8</f>
        <v>1</v>
      </c>
      <c r="G137" s="276"/>
      <c r="H137" s="276"/>
      <c r="I137" s="10"/>
      <c r="L137" s="451"/>
      <c r="M137" s="451"/>
      <c r="N137" s="451"/>
      <c r="O137" s="451"/>
      <c r="P137" s="451"/>
    </row>
    <row r="138" spans="1:16" ht="15.75" x14ac:dyDescent="0.25">
      <c r="A138" s="260" t="s">
        <v>94</v>
      </c>
      <c r="B138" s="10"/>
      <c r="C138" s="10"/>
      <c r="D138" s="10"/>
      <c r="E138" s="13" t="str">
        <f>Draft!$X$8</f>
        <v>Ebb tide, &gt;1knot</v>
      </c>
      <c r="G138" s="12"/>
      <c r="H138" s="12"/>
      <c r="I138" s="10"/>
      <c r="L138" s="451"/>
      <c r="M138" s="451"/>
      <c r="N138" s="451"/>
      <c r="O138" s="451"/>
      <c r="P138" s="451"/>
    </row>
    <row r="139" spans="1:16" ht="15.75" x14ac:dyDescent="0.25">
      <c r="A139" s="260" t="s">
        <v>95</v>
      </c>
      <c r="B139" s="10"/>
      <c r="C139" s="10"/>
      <c r="D139" s="10"/>
      <c r="E139" s="13" t="str">
        <f>Draft!$X$7</f>
        <v>Rainny</v>
      </c>
      <c r="G139" s="12"/>
      <c r="H139" s="12"/>
      <c r="I139" s="10"/>
      <c r="L139" s="451"/>
      <c r="M139" s="451"/>
      <c r="N139" s="451"/>
      <c r="O139" s="451"/>
      <c r="P139" s="451"/>
    </row>
    <row r="140" spans="1:16" ht="15.75" x14ac:dyDescent="0.25">
      <c r="A140" s="260"/>
      <c r="B140" s="10"/>
      <c r="C140" s="10"/>
      <c r="D140" s="10"/>
      <c r="E140" s="10"/>
      <c r="F140" s="12"/>
      <c r="G140" s="12"/>
      <c r="H140" s="12"/>
      <c r="I140" s="10"/>
      <c r="L140" s="451"/>
      <c r="M140" s="451"/>
      <c r="N140" s="451"/>
      <c r="O140" s="451"/>
      <c r="P140" s="451"/>
    </row>
    <row r="141" spans="1:16" ht="15.75" x14ac:dyDescent="0.25">
      <c r="A141" s="260"/>
      <c r="B141" s="10"/>
      <c r="C141" s="10"/>
      <c r="D141" s="10"/>
      <c r="E141" s="10"/>
      <c r="F141" s="12"/>
      <c r="G141" s="12"/>
      <c r="H141" s="12"/>
      <c r="I141" s="10"/>
      <c r="L141" s="451"/>
      <c r="M141" s="451"/>
      <c r="N141" s="451"/>
      <c r="O141" s="451"/>
      <c r="P141" s="451"/>
    </row>
    <row r="142" spans="1:16" ht="15.75" x14ac:dyDescent="0.25">
      <c r="A142" s="261" t="s">
        <v>96</v>
      </c>
      <c r="B142" s="10"/>
      <c r="C142" s="10"/>
      <c r="D142" s="10"/>
      <c r="E142" s="10"/>
      <c r="F142" s="12"/>
      <c r="G142" s="12"/>
      <c r="H142" s="12"/>
      <c r="I142" s="10"/>
      <c r="L142" s="451"/>
      <c r="M142" s="451"/>
      <c r="N142" s="451"/>
      <c r="O142" s="451"/>
      <c r="P142" s="451"/>
    </row>
    <row r="143" spans="1:16" ht="15.75" x14ac:dyDescent="0.25">
      <c r="A143" s="260"/>
      <c r="B143" s="10"/>
      <c r="C143" s="10"/>
      <c r="D143" s="10"/>
      <c r="E143" s="10"/>
      <c r="F143" s="12"/>
      <c r="G143" s="12"/>
      <c r="H143" s="12"/>
      <c r="I143" s="10"/>
      <c r="L143" s="451"/>
      <c r="M143" s="451"/>
      <c r="N143" s="451"/>
      <c r="O143" s="451"/>
      <c r="P143" s="451"/>
    </row>
    <row r="144" spans="1:16" ht="15.75" x14ac:dyDescent="0.25">
      <c r="A144" s="260" t="s">
        <v>97</v>
      </c>
      <c r="B144" s="10"/>
      <c r="C144" s="10"/>
      <c r="D144" s="10"/>
      <c r="E144" s="13" t="str">
        <f>CAPA!$B$6</f>
        <v>Soybeans in bulk</v>
      </c>
      <c r="G144" s="12"/>
      <c r="H144" s="12"/>
      <c r="I144" s="10"/>
      <c r="L144" s="451"/>
      <c r="M144" s="451"/>
      <c r="N144" s="451"/>
      <c r="O144" s="451"/>
      <c r="P144" s="451"/>
    </row>
    <row r="145" spans="1:21" ht="15.75" x14ac:dyDescent="0.25">
      <c r="A145" s="260" t="s">
        <v>98</v>
      </c>
      <c r="B145" s="10"/>
      <c r="C145" s="10"/>
      <c r="D145" s="10"/>
      <c r="E145" s="13" t="str">
        <f>_xlfn.CONCAT("Port of ",Draft!$E$5)</f>
        <v>Port of Paranaguá, Br - Brazil</v>
      </c>
      <c r="G145" s="12"/>
      <c r="H145" s="12"/>
      <c r="I145" s="10"/>
      <c r="L145" s="451"/>
      <c r="M145" s="451"/>
      <c r="N145" s="451"/>
      <c r="O145" s="451"/>
      <c r="P145" s="451"/>
    </row>
    <row r="146" spans="1:21" ht="15.75" x14ac:dyDescent="0.25">
      <c r="A146" s="260" t="s">
        <v>99</v>
      </c>
      <c r="B146" s="10"/>
      <c r="C146" s="10"/>
      <c r="D146" s="10"/>
      <c r="E146" s="13" t="str">
        <f>CAPA!$B$38</f>
        <v>Dalian, China</v>
      </c>
      <c r="G146" s="12"/>
      <c r="H146" s="12"/>
      <c r="I146" s="10"/>
      <c r="L146" s="451"/>
      <c r="M146" s="451"/>
      <c r="N146" s="451"/>
      <c r="O146" s="451"/>
      <c r="P146" s="451"/>
    </row>
    <row r="147" spans="1:21" ht="15.75" x14ac:dyDescent="0.25">
      <c r="A147" s="260" t="s">
        <v>100</v>
      </c>
      <c r="B147" s="10"/>
      <c r="C147" s="10"/>
      <c r="D147" s="10"/>
      <c r="E147" s="13" t="str">
        <f>CAPA!$B$36</f>
        <v>Coal in bulk</v>
      </c>
      <c r="G147" s="12"/>
      <c r="H147" s="12"/>
      <c r="I147" s="10"/>
      <c r="L147" s="451"/>
      <c r="M147" s="452" t="s">
        <v>574</v>
      </c>
      <c r="N147" s="453" t="s">
        <v>318</v>
      </c>
      <c r="O147" s="454"/>
      <c r="P147" s="454"/>
      <c r="Q147" s="10"/>
      <c r="R147" s="10"/>
      <c r="S147" s="10"/>
      <c r="T147" s="10"/>
      <c r="U147" s="10"/>
    </row>
    <row r="148" spans="1:21" ht="15.75" x14ac:dyDescent="0.25">
      <c r="A148" s="260" t="s">
        <v>101</v>
      </c>
      <c r="B148" s="10"/>
      <c r="C148" s="10"/>
      <c r="D148" s="10"/>
      <c r="E148" s="13" t="str">
        <f>CAPA!$B$37</f>
        <v>Cam Pha, Vietnam</v>
      </c>
      <c r="G148" s="12"/>
      <c r="H148" s="12"/>
      <c r="I148" s="10"/>
      <c r="L148" s="451"/>
      <c r="M148" s="452" t="s">
        <v>575</v>
      </c>
      <c r="N148" s="453" t="s">
        <v>320</v>
      </c>
      <c r="O148" s="454"/>
      <c r="P148" s="454"/>
      <c r="Q148" s="10"/>
      <c r="R148" s="10"/>
      <c r="S148" s="10"/>
      <c r="T148" s="10"/>
      <c r="U148" s="10"/>
    </row>
    <row r="149" spans="1:21" ht="15.75" x14ac:dyDescent="0.25">
      <c r="A149" s="260"/>
      <c r="B149" s="10"/>
      <c r="C149" s="10"/>
      <c r="D149" s="10"/>
      <c r="E149" s="10"/>
      <c r="F149" s="12"/>
      <c r="G149" s="12"/>
      <c r="H149" s="12"/>
      <c r="I149" s="10"/>
      <c r="L149" s="451"/>
      <c r="M149" s="452" t="s">
        <v>576</v>
      </c>
      <c r="N149" s="453" t="s">
        <v>321</v>
      </c>
      <c r="O149" s="454"/>
      <c r="P149" s="454"/>
      <c r="Q149" s="10"/>
      <c r="R149" s="10"/>
      <c r="S149" s="10"/>
      <c r="T149" s="10"/>
      <c r="U149" s="10"/>
    </row>
    <row r="150" spans="1:21" ht="15.75" x14ac:dyDescent="0.25">
      <c r="A150" s="260"/>
      <c r="B150" s="10"/>
      <c r="C150" s="10"/>
      <c r="D150" s="10"/>
      <c r="E150" s="10"/>
      <c r="F150" s="10"/>
      <c r="G150" s="10"/>
      <c r="H150" s="10"/>
      <c r="I150" s="10"/>
      <c r="L150" s="451"/>
      <c r="M150" s="452" t="s">
        <v>577</v>
      </c>
      <c r="N150" s="453" t="s">
        <v>323</v>
      </c>
      <c r="O150" s="454"/>
      <c r="P150" s="454"/>
      <c r="Q150" s="10"/>
      <c r="R150" s="10"/>
      <c r="S150" s="10"/>
      <c r="T150" s="10"/>
      <c r="U150" s="10"/>
    </row>
    <row r="151" spans="1:21" ht="15.75" x14ac:dyDescent="0.25">
      <c r="A151" s="277" t="s">
        <v>102</v>
      </c>
      <c r="B151" s="277"/>
      <c r="C151" s="10"/>
      <c r="D151" s="10"/>
      <c r="E151" s="10"/>
      <c r="F151" s="10"/>
      <c r="G151" s="15"/>
      <c r="H151" s="845">
        <f>$I$206</f>
        <v>69171.05</v>
      </c>
      <c r="I151" s="845"/>
      <c r="J151" s="10" t="s">
        <v>103</v>
      </c>
      <c r="L151" s="451"/>
      <c r="M151" s="452" t="s">
        <v>578</v>
      </c>
      <c r="N151" s="453" t="s">
        <v>324</v>
      </c>
      <c r="O151" s="454"/>
      <c r="P151" s="454"/>
      <c r="Q151" s="10"/>
      <c r="R151" s="10"/>
      <c r="S151" s="10"/>
      <c r="T151" s="10"/>
      <c r="U151" s="10"/>
    </row>
    <row r="152" spans="1:21" ht="15.75" x14ac:dyDescent="0.25">
      <c r="A152" s="260"/>
      <c r="B152" s="10"/>
      <c r="C152" s="10"/>
      <c r="D152" s="10"/>
      <c r="E152" s="10"/>
      <c r="F152" s="10"/>
      <c r="G152" s="11"/>
      <c r="H152" s="10"/>
      <c r="I152" s="10"/>
      <c r="J152" s="10"/>
      <c r="L152" s="451"/>
      <c r="M152" s="452" t="s">
        <v>576</v>
      </c>
      <c r="N152" s="453" t="s">
        <v>325</v>
      </c>
      <c r="O152" s="454"/>
      <c r="P152" s="454"/>
      <c r="Q152" s="10"/>
      <c r="R152" s="10"/>
      <c r="S152" s="10"/>
      <c r="T152" s="10"/>
      <c r="U152" s="10"/>
    </row>
    <row r="153" spans="1:21" ht="15.75" x14ac:dyDescent="0.25">
      <c r="A153" s="277" t="s">
        <v>719</v>
      </c>
      <c r="B153" s="277"/>
      <c r="C153" s="12"/>
      <c r="D153" s="12" t="s">
        <v>104</v>
      </c>
      <c r="E153" s="10"/>
      <c r="G153" s="15"/>
      <c r="H153" s="845">
        <f>$I$207</f>
        <v>69401.331845426379</v>
      </c>
      <c r="I153" s="845"/>
      <c r="J153" s="10" t="s">
        <v>103</v>
      </c>
      <c r="L153" s="451"/>
      <c r="M153" s="452" t="s">
        <v>579</v>
      </c>
      <c r="N153" s="453" t="s">
        <v>326</v>
      </c>
      <c r="O153" s="454"/>
      <c r="P153" s="454"/>
      <c r="Q153" s="10"/>
      <c r="R153" s="10"/>
      <c r="S153" s="10"/>
      <c r="T153" s="10"/>
      <c r="U153" s="10"/>
    </row>
    <row r="154" spans="1:21" ht="15.75" x14ac:dyDescent="0.25">
      <c r="A154" s="278"/>
      <c r="B154" s="278"/>
      <c r="C154" s="13"/>
      <c r="D154" s="13" t="s">
        <v>105</v>
      </c>
      <c r="E154" s="10"/>
      <c r="G154" s="15"/>
      <c r="H154" s="845">
        <f>$H$211</f>
        <v>69418.312999999995</v>
      </c>
      <c r="I154" s="845"/>
      <c r="J154" s="10" t="s">
        <v>103</v>
      </c>
      <c r="L154" s="451"/>
      <c r="M154" s="451" t="s">
        <v>625</v>
      </c>
      <c r="N154" s="69" t="s">
        <v>63</v>
      </c>
      <c r="O154" s="451"/>
      <c r="P154" s="451"/>
    </row>
    <row r="155" spans="1:21" ht="15.75" x14ac:dyDescent="0.25">
      <c r="A155" s="278"/>
      <c r="B155" s="278"/>
      <c r="C155" s="12"/>
      <c r="D155" s="12" t="s">
        <v>106</v>
      </c>
      <c r="E155" s="12"/>
      <c r="G155" s="15"/>
      <c r="H155" s="845">
        <f>$H$212</f>
        <v>69195.657999999996</v>
      </c>
      <c r="I155" s="845"/>
      <c r="J155" s="10" t="s">
        <v>103</v>
      </c>
      <c r="L155" s="451"/>
      <c r="M155" s="451" t="s">
        <v>626</v>
      </c>
      <c r="N155" s="69" t="s">
        <v>624</v>
      </c>
      <c r="O155" s="451"/>
      <c r="P155" s="451"/>
    </row>
    <row r="156" spans="1:21" ht="7.5" customHeight="1" thickBot="1" x14ac:dyDescent="0.3">
      <c r="A156" s="288"/>
      <c r="B156" s="288"/>
      <c r="C156" s="289"/>
      <c r="D156" s="289"/>
      <c r="E156" s="289"/>
      <c r="F156" s="289"/>
      <c r="G156" s="290"/>
      <c r="H156" s="291"/>
      <c r="I156" s="292"/>
      <c r="J156" s="293"/>
      <c r="L156" s="451"/>
      <c r="M156" s="451"/>
      <c r="N156" s="451"/>
      <c r="O156" s="451"/>
      <c r="P156" s="451"/>
    </row>
    <row r="157" spans="1:21" ht="21" customHeight="1" thickBot="1" x14ac:dyDescent="0.45">
      <c r="A157" s="294"/>
      <c r="B157" s="291"/>
      <c r="C157" s="291"/>
      <c r="D157" s="291"/>
      <c r="E157" s="291"/>
      <c r="F157" s="295"/>
      <c r="G157" s="819" t="s">
        <v>107</v>
      </c>
      <c r="H157" s="820"/>
      <c r="I157" s="821" t="s">
        <v>108</v>
      </c>
      <c r="J157" s="822"/>
      <c r="L157" s="451"/>
      <c r="M157" s="451"/>
      <c r="N157" s="451"/>
      <c r="O157" s="451"/>
      <c r="P157" s="451"/>
    </row>
    <row r="158" spans="1:21" ht="14.1" customHeight="1" x14ac:dyDescent="0.25">
      <c r="A158" s="823" t="str">
        <f>$A$1</f>
        <v xml:space="preserve">M/V "STAR GENESIS" </v>
      </c>
      <c r="B158" s="824"/>
      <c r="C158" s="824"/>
      <c r="D158" s="824"/>
      <c r="E158" s="824"/>
      <c r="F158" s="825"/>
      <c r="G158" s="832" t="str">
        <f>_xlfn.CONCAT(Draft!$E$6," ",Draft!$H$6)</f>
        <v>Inner roads 9.3</v>
      </c>
      <c r="H158" s="832"/>
      <c r="I158" s="833" t="str">
        <f>_xlfn.CONCAT(Draft!$X$6," ",Draft!$AA$6)</f>
        <v>Wharf 212</v>
      </c>
      <c r="J158" s="834"/>
      <c r="L158" s="451"/>
      <c r="M158" s="451"/>
      <c r="N158" s="451"/>
      <c r="O158" s="451"/>
      <c r="P158" s="451"/>
    </row>
    <row r="159" spans="1:21" ht="14.1" customHeight="1" x14ac:dyDescent="0.25">
      <c r="A159" s="826"/>
      <c r="B159" s="827"/>
      <c r="C159" s="827"/>
      <c r="D159" s="827"/>
      <c r="E159" s="827"/>
      <c r="F159" s="828"/>
      <c r="G159" s="838" t="str">
        <f>_xlfn.CONCAT(TEXT(Draft!$E$4,"dd.mm.aaaa")," - ",TEXT(Draft!$O$5,"hh:mm")," h")</f>
        <v>06.03.2026 - 08:20 h</v>
      </c>
      <c r="H159" s="840"/>
      <c r="I159" s="838" t="str">
        <f>_xlfn.CONCAT(TEXT(Draft!$X$4,"dd.mm.aaaa")," - ",TEXT(Draft!$AH$5,"hh:mm")," h")</f>
        <v>10.03.2026 - 21:45 h</v>
      </c>
      <c r="J159" s="839"/>
      <c r="L159" s="451" t="str">
        <f>_xlfn.CONCAT(OrdinalDate(Draft!$X$4),", ",YEAR(Draft!$X$4))</f>
        <v xml:space="preserve"> March 10th, 2026</v>
      </c>
      <c r="M159" s="451"/>
      <c r="N159" s="451"/>
      <c r="O159" s="451"/>
      <c r="P159" s="451"/>
    </row>
    <row r="160" spans="1:21" ht="14.1" customHeight="1" x14ac:dyDescent="0.25">
      <c r="A160" s="829"/>
      <c r="B160" s="830"/>
      <c r="C160" s="830"/>
      <c r="D160" s="830"/>
      <c r="E160" s="830"/>
      <c r="F160" s="831"/>
      <c r="G160" s="835">
        <f>Draft!$O$7</f>
        <v>0.2</v>
      </c>
      <c r="H160" s="836"/>
      <c r="I160" s="835">
        <f>Draft!$AH$7</f>
        <v>0.15</v>
      </c>
      <c r="J160" s="837"/>
      <c r="L160" s="451"/>
      <c r="M160" s="451"/>
      <c r="N160" s="451"/>
      <c r="O160" s="451"/>
      <c r="P160" s="451"/>
    </row>
    <row r="161" spans="1:16" ht="14.1" customHeight="1" x14ac:dyDescent="0.25">
      <c r="A161" s="847" t="str">
        <f>_xlfn.CONCAT("IMO NO.  ",CAPA!$B$10)</f>
        <v>IMO NO.  9457464</v>
      </c>
      <c r="B161" s="848"/>
      <c r="C161" s="848" t="str">
        <f>_xlfn.CONCAT("FLAG:  ",CAPA!$B$14)</f>
        <v>FLAG:  Marshallese</v>
      </c>
      <c r="D161" s="848"/>
      <c r="E161" s="848" t="str">
        <f>_xlfn.CONCAT("BUILD:  ",CAPA!$B$9)</f>
        <v>BUILD:  2010</v>
      </c>
      <c r="F161" s="849"/>
      <c r="G161" s="814" t="str">
        <f>CONCATENATE("Wind force ",TEXT(Draft!$O$8,"00"))</f>
        <v>Wind force 01</v>
      </c>
      <c r="H161" s="815"/>
      <c r="I161" s="814" t="str">
        <f>CONCATENATE("Wind force ",TEXT(Draft!$AH$8,"00"))</f>
        <v>Wind force 01</v>
      </c>
      <c r="J161" s="815"/>
      <c r="L161" s="451"/>
      <c r="M161" s="451"/>
      <c r="N161" s="451"/>
      <c r="O161" s="451"/>
      <c r="P161" s="451"/>
    </row>
    <row r="162" spans="1:16" ht="14.1" customHeight="1" x14ac:dyDescent="0.25">
      <c r="A162" s="438" t="str">
        <f>IF(Draft!H84="NÃO","DRAUGHT SURVEY CERTIFICATE","FULL DISPLACEMENT SURVEY CERTIFICATE")</f>
        <v>DRAUGHT SURVEY CERTIFICATE</v>
      </c>
      <c r="B162" s="296"/>
      <c r="C162" s="296"/>
      <c r="D162" s="296"/>
      <c r="E162" s="296"/>
      <c r="F162" s="297"/>
      <c r="G162" s="814" t="str">
        <f>Draft!$E$8</f>
        <v>Ebb tide, &lt;1knot</v>
      </c>
      <c r="H162" s="815"/>
      <c r="I162" s="814" t="str">
        <f>Draft!$X$8</f>
        <v>Ebb tide, &gt;1knot</v>
      </c>
      <c r="J162" s="816"/>
      <c r="L162" s="451"/>
      <c r="M162" s="451"/>
      <c r="N162" s="451"/>
      <c r="O162" s="451"/>
      <c r="P162" s="451"/>
    </row>
    <row r="163" spans="1:16" ht="14.1" customHeight="1" thickBot="1" x14ac:dyDescent="0.3">
      <c r="A163" s="439" t="str">
        <f>$G$3</f>
        <v>PGUA/DS/068/26</v>
      </c>
      <c r="B163" s="298"/>
      <c r="C163" s="298"/>
      <c r="D163" s="298"/>
      <c r="E163" s="298"/>
      <c r="F163" s="299"/>
      <c r="G163" s="841" t="str">
        <f>_xlfn.CONCAT("Weather:   ",Draft!$E$7)</f>
        <v>Weather:   Sunny</v>
      </c>
      <c r="H163" s="842"/>
      <c r="I163" s="841" t="str">
        <f>_xlfn.CONCAT("Weather:   ",Draft!$X$7)</f>
        <v>Weather:   Rainny</v>
      </c>
      <c r="J163" s="1177"/>
      <c r="L163" s="451"/>
      <c r="M163" s="451"/>
      <c r="N163" s="451"/>
      <c r="O163" s="451"/>
      <c r="P163" s="451"/>
    </row>
    <row r="164" spans="1:16" ht="3.75" customHeight="1" thickBot="1" x14ac:dyDescent="0.3">
      <c r="A164" s="300"/>
      <c r="B164" s="300"/>
      <c r="C164" s="300"/>
      <c r="D164" s="300"/>
      <c r="E164" s="300"/>
      <c r="F164" s="301"/>
      <c r="G164" s="300"/>
      <c r="H164" s="300"/>
      <c r="I164" s="302"/>
      <c r="J164" s="303"/>
      <c r="L164" s="451"/>
      <c r="M164" s="451"/>
      <c r="N164" s="451"/>
      <c r="O164" s="451"/>
      <c r="P164" s="451"/>
    </row>
    <row r="165" spans="1:16" ht="12.95" customHeight="1" x14ac:dyDescent="0.25">
      <c r="A165" s="320" t="s">
        <v>720</v>
      </c>
      <c r="B165" s="330"/>
      <c r="C165" s="330"/>
      <c r="D165" s="330"/>
      <c r="E165" s="330"/>
      <c r="F165" s="331"/>
      <c r="G165" s="794" t="s">
        <v>109</v>
      </c>
      <c r="H165" s="795"/>
      <c r="I165" s="817" t="s">
        <v>110</v>
      </c>
      <c r="J165" s="818"/>
      <c r="L165" s="451"/>
      <c r="M165" s="451"/>
      <c r="N165" s="451"/>
      <c r="O165" s="451"/>
      <c r="P165" s="451"/>
    </row>
    <row r="166" spans="1:16" ht="12.95" customHeight="1" x14ac:dyDescent="0.25">
      <c r="A166" s="332" t="s">
        <v>111</v>
      </c>
      <c r="B166" s="306"/>
      <c r="C166" s="306"/>
      <c r="D166" s="306"/>
      <c r="E166" s="306"/>
      <c r="F166" s="307"/>
      <c r="G166" s="809">
        <f>Draft!$C$25</f>
        <v>5.98</v>
      </c>
      <c r="H166" s="810"/>
      <c r="I166" s="811">
        <f>Draft!$U$25</f>
        <v>13.17</v>
      </c>
      <c r="J166" s="812"/>
      <c r="L166" s="451"/>
      <c r="M166" s="451"/>
      <c r="N166" s="451"/>
      <c r="O166" s="451"/>
      <c r="P166" s="451"/>
    </row>
    <row r="167" spans="1:16" ht="12.95" customHeight="1" x14ac:dyDescent="0.25">
      <c r="A167" s="443" t="s">
        <v>112</v>
      </c>
      <c r="B167" s="309"/>
      <c r="C167" s="309"/>
      <c r="D167" s="309"/>
      <c r="E167" s="309"/>
      <c r="F167" s="310"/>
      <c r="G167" s="798">
        <f>Draft!$G$25</f>
        <v>5.91</v>
      </c>
      <c r="H167" s="799"/>
      <c r="I167" s="813">
        <f>Draft!$Y$25</f>
        <v>13.18</v>
      </c>
      <c r="J167" s="800"/>
      <c r="L167" s="451"/>
      <c r="M167" s="451"/>
      <c r="N167" s="451"/>
      <c r="O167" s="451"/>
      <c r="P167" s="451"/>
    </row>
    <row r="168" spans="1:16" ht="12.95" customHeight="1" x14ac:dyDescent="0.25">
      <c r="A168" s="333" t="s">
        <v>113</v>
      </c>
      <c r="B168" s="309"/>
      <c r="C168" s="309"/>
      <c r="D168" s="309"/>
      <c r="E168" s="309"/>
      <c r="F168" s="310"/>
      <c r="G168" s="798">
        <f>($G$166+$G$167)/2</f>
        <v>5.9450000000000003</v>
      </c>
      <c r="H168" s="799"/>
      <c r="I168" s="798">
        <f>($I$166+$I$167)/2</f>
        <v>13.175000000000001</v>
      </c>
      <c r="J168" s="800"/>
      <c r="L168" s="451"/>
      <c r="M168" s="451"/>
      <c r="N168" s="451"/>
      <c r="O168" s="451"/>
      <c r="P168" s="451"/>
    </row>
    <row r="169" spans="1:16" ht="12.95" customHeight="1" x14ac:dyDescent="0.25">
      <c r="A169" s="443" t="s">
        <v>114</v>
      </c>
      <c r="B169" s="308"/>
      <c r="C169" s="308"/>
      <c r="D169" s="308"/>
      <c r="E169" s="308"/>
      <c r="F169" s="311"/>
      <c r="G169" s="801">
        <f>Draft!$M$25</f>
        <v>-5.3000000000000824E-3</v>
      </c>
      <c r="H169" s="802"/>
      <c r="I169" s="803">
        <f>Draft!$AE$25</f>
        <v>-7.9999999999991189E-4</v>
      </c>
      <c r="J169" s="804"/>
      <c r="L169" s="451"/>
      <c r="M169" s="451"/>
      <c r="N169" s="451"/>
      <c r="O169" s="451"/>
      <c r="P169" s="451"/>
    </row>
    <row r="170" spans="1:16" ht="12.95" customHeight="1" x14ac:dyDescent="0.25">
      <c r="A170" s="324" t="s">
        <v>721</v>
      </c>
      <c r="B170" s="304"/>
      <c r="C170" s="304"/>
      <c r="D170" s="304"/>
      <c r="E170" s="304"/>
      <c r="F170" s="305"/>
      <c r="G170" s="805">
        <f>Draft!$P$25</f>
        <v>5.9397000000000002</v>
      </c>
      <c r="H170" s="806"/>
      <c r="I170" s="807">
        <f>Draft!$AH$25</f>
        <v>13.174200000000001</v>
      </c>
      <c r="J170" s="808"/>
      <c r="L170" s="451"/>
      <c r="M170" s="451"/>
      <c r="N170" s="451"/>
      <c r="O170" s="451"/>
      <c r="P170" s="451"/>
    </row>
    <row r="171" spans="1:16" ht="12.95" customHeight="1" x14ac:dyDescent="0.25">
      <c r="A171" s="332" t="s">
        <v>115</v>
      </c>
      <c r="B171" s="306"/>
      <c r="C171" s="306"/>
      <c r="D171" s="306"/>
      <c r="E171" s="306"/>
      <c r="F171" s="307"/>
      <c r="G171" s="809">
        <f>Draft!$C$26</f>
        <v>6.21</v>
      </c>
      <c r="H171" s="810"/>
      <c r="I171" s="811">
        <f>Draft!$U$26</f>
        <v>13.33</v>
      </c>
      <c r="J171" s="812"/>
      <c r="L171" s="451"/>
      <c r="M171" s="451"/>
      <c r="N171" s="451"/>
      <c r="O171" s="451"/>
      <c r="P171" s="451"/>
    </row>
    <row r="172" spans="1:16" ht="12.95" customHeight="1" x14ac:dyDescent="0.25">
      <c r="A172" s="443" t="s">
        <v>116</v>
      </c>
      <c r="B172" s="309"/>
      <c r="C172" s="309"/>
      <c r="D172" s="309"/>
      <c r="E172" s="309"/>
      <c r="F172" s="310"/>
      <c r="G172" s="798">
        <f>Draft!$G$26</f>
        <v>5.98</v>
      </c>
      <c r="H172" s="799"/>
      <c r="I172" s="813">
        <f>Draft!$Y$26</f>
        <v>13.35</v>
      </c>
      <c r="J172" s="800"/>
      <c r="L172" s="451"/>
      <c r="M172" s="451"/>
      <c r="N172" s="451"/>
      <c r="O172" s="451"/>
      <c r="P172" s="451"/>
    </row>
    <row r="173" spans="1:16" ht="12.95" customHeight="1" x14ac:dyDescent="0.25">
      <c r="A173" s="333" t="s">
        <v>117</v>
      </c>
      <c r="B173" s="309"/>
      <c r="C173" s="309"/>
      <c r="D173" s="309"/>
      <c r="E173" s="309"/>
      <c r="F173" s="310"/>
      <c r="G173" s="798">
        <f>($G$171+$G$172)/2</f>
        <v>6.0950000000000006</v>
      </c>
      <c r="H173" s="799"/>
      <c r="I173" s="798">
        <f>($I$171+$I$172)/2</f>
        <v>13.34</v>
      </c>
      <c r="J173" s="800"/>
      <c r="L173" s="451"/>
      <c r="M173" s="451"/>
      <c r="N173" s="451"/>
      <c r="O173" s="451"/>
      <c r="P173" s="451"/>
    </row>
    <row r="174" spans="1:16" ht="12.95" customHeight="1" x14ac:dyDescent="0.25">
      <c r="A174" s="443" t="s">
        <v>118</v>
      </c>
      <c r="B174" s="308"/>
      <c r="C174" s="308"/>
      <c r="D174" s="308"/>
      <c r="E174" s="308"/>
      <c r="F174" s="311"/>
      <c r="G174" s="801">
        <f>Draft!$M$26</f>
        <v>-9.0000000000056701E-4</v>
      </c>
      <c r="H174" s="802"/>
      <c r="I174" s="803">
        <f>Draft!$AE$26</f>
        <v>-9.9999999999766942E-5</v>
      </c>
      <c r="J174" s="804"/>
      <c r="L174" s="451"/>
      <c r="M174" s="451"/>
      <c r="N174" s="451"/>
      <c r="O174" s="451"/>
      <c r="P174" s="451"/>
    </row>
    <row r="175" spans="1:16" ht="12.95" customHeight="1" x14ac:dyDescent="0.25">
      <c r="A175" s="324" t="s">
        <v>722</v>
      </c>
      <c r="B175" s="304"/>
      <c r="C175" s="304"/>
      <c r="D175" s="304"/>
      <c r="E175" s="304"/>
      <c r="F175" s="305"/>
      <c r="G175" s="805">
        <f>Draft!$P$26</f>
        <v>6.0941000000000001</v>
      </c>
      <c r="H175" s="806"/>
      <c r="I175" s="807">
        <f>Draft!$AH$26</f>
        <v>13.3399</v>
      </c>
      <c r="J175" s="808"/>
      <c r="L175" s="451"/>
      <c r="M175" s="451"/>
      <c r="N175" s="451"/>
      <c r="O175" s="451"/>
      <c r="P175" s="451"/>
    </row>
    <row r="176" spans="1:16" ht="12.95" customHeight="1" x14ac:dyDescent="0.25">
      <c r="A176" s="332" t="s">
        <v>119</v>
      </c>
      <c r="B176" s="306"/>
      <c r="C176" s="306"/>
      <c r="D176" s="306"/>
      <c r="E176" s="306"/>
      <c r="F176" s="307"/>
      <c r="G176" s="809">
        <f>Draft!$C$27</f>
        <v>6.31</v>
      </c>
      <c r="H176" s="810"/>
      <c r="I176" s="811">
        <f>Draft!$U$27</f>
        <v>13.22</v>
      </c>
      <c r="J176" s="812"/>
      <c r="L176" s="451"/>
      <c r="M176" s="451"/>
      <c r="N176" s="451"/>
      <c r="O176" s="451"/>
      <c r="P176" s="451"/>
    </row>
    <row r="177" spans="1:16" ht="12.95" customHeight="1" x14ac:dyDescent="0.25">
      <c r="A177" s="333" t="s">
        <v>120</v>
      </c>
      <c r="B177" s="309"/>
      <c r="C177" s="309"/>
      <c r="D177" s="309"/>
      <c r="E177" s="309"/>
      <c r="F177" s="310"/>
      <c r="G177" s="798">
        <f>Draft!$G$27</f>
        <v>6.31</v>
      </c>
      <c r="H177" s="799"/>
      <c r="I177" s="813">
        <f>Draft!$Y$27</f>
        <v>13.24</v>
      </c>
      <c r="J177" s="800"/>
      <c r="L177" s="451"/>
      <c r="M177" s="451"/>
      <c r="N177" s="451"/>
      <c r="O177" s="451"/>
      <c r="P177" s="451"/>
    </row>
    <row r="178" spans="1:16" ht="12.95" customHeight="1" x14ac:dyDescent="0.25">
      <c r="A178" s="333" t="s">
        <v>121</v>
      </c>
      <c r="B178" s="309"/>
      <c r="C178" s="309"/>
      <c r="D178" s="309"/>
      <c r="E178" s="309"/>
      <c r="F178" s="310"/>
      <c r="G178" s="798">
        <f>($G$176+$G$177)/2</f>
        <v>6.31</v>
      </c>
      <c r="H178" s="799"/>
      <c r="I178" s="798">
        <f>($I$176+$I$177)/2</f>
        <v>13.23</v>
      </c>
      <c r="J178" s="800"/>
      <c r="L178" s="451"/>
      <c r="M178" s="451"/>
      <c r="N178" s="451"/>
      <c r="O178" s="451"/>
      <c r="P178" s="451"/>
    </row>
    <row r="179" spans="1:16" ht="12.95" customHeight="1" x14ac:dyDescent="0.25">
      <c r="A179" s="443" t="s">
        <v>122</v>
      </c>
      <c r="B179" s="308"/>
      <c r="C179" s="308"/>
      <c r="D179" s="308"/>
      <c r="E179" s="308"/>
      <c r="F179" s="311"/>
      <c r="G179" s="801">
        <f>Draft!$M$27</f>
        <v>1.9700000000000273E-2</v>
      </c>
      <c r="H179" s="802"/>
      <c r="I179" s="803">
        <f>Draft!$AE$27</f>
        <v>3.0000000000001137E-3</v>
      </c>
      <c r="J179" s="804"/>
      <c r="L179" s="451"/>
      <c r="M179" s="451"/>
      <c r="N179" s="451"/>
      <c r="O179" s="451"/>
      <c r="P179" s="451"/>
    </row>
    <row r="180" spans="1:16" ht="12.95" customHeight="1" x14ac:dyDescent="0.25">
      <c r="A180" s="324" t="s">
        <v>723</v>
      </c>
      <c r="B180" s="304"/>
      <c r="C180" s="304"/>
      <c r="D180" s="304"/>
      <c r="E180" s="304"/>
      <c r="F180" s="305"/>
      <c r="G180" s="805">
        <f>Draft!$P$27</f>
        <v>6.3296999999999999</v>
      </c>
      <c r="H180" s="806"/>
      <c r="I180" s="807">
        <f>Draft!$AH$27</f>
        <v>13.233000000000001</v>
      </c>
      <c r="J180" s="808"/>
      <c r="L180" s="451"/>
      <c r="M180" s="451"/>
      <c r="N180" s="451"/>
      <c r="O180" s="451"/>
      <c r="P180" s="451"/>
    </row>
    <row r="181" spans="1:16" ht="12.95" customHeight="1" thickBot="1" x14ac:dyDescent="0.3">
      <c r="A181" s="444" t="s">
        <v>123</v>
      </c>
      <c r="B181" s="312"/>
      <c r="C181" s="312"/>
      <c r="D181" s="312"/>
      <c r="E181" s="312"/>
      <c r="F181" s="313"/>
      <c r="G181" s="787">
        <f>Draft!$O$20+Draft!$H$18</f>
        <v>0</v>
      </c>
      <c r="H181" s="788"/>
      <c r="I181" s="789">
        <f>$G$181</f>
        <v>0</v>
      </c>
      <c r="J181" s="790"/>
      <c r="L181" s="451"/>
      <c r="M181" s="451"/>
      <c r="N181" s="451"/>
      <c r="O181" s="451"/>
      <c r="P181" s="451"/>
    </row>
    <row r="182" spans="1:16" ht="12.95" customHeight="1" thickBot="1" x14ac:dyDescent="0.3">
      <c r="A182" s="445" t="s">
        <v>124</v>
      </c>
      <c r="B182" s="314"/>
      <c r="C182" s="314"/>
      <c r="D182" s="314"/>
      <c r="E182" s="314"/>
      <c r="F182" s="315"/>
      <c r="G182" s="791">
        <f>Draft!$K$31</f>
        <v>6.1042500000000004</v>
      </c>
      <c r="H182" s="792"/>
      <c r="I182" s="791">
        <f>Draft!$AC$31</f>
        <v>13.305825</v>
      </c>
      <c r="J182" s="793"/>
      <c r="L182" s="451"/>
      <c r="M182" s="451"/>
      <c r="N182" s="451"/>
      <c r="O182" s="451"/>
      <c r="P182" s="451"/>
    </row>
    <row r="183" spans="1:16" ht="3.75" customHeight="1" thickBot="1" x14ac:dyDescent="0.3">
      <c r="A183" s="450"/>
      <c r="B183" s="316"/>
      <c r="C183" s="316"/>
      <c r="D183" s="316"/>
      <c r="E183" s="316"/>
      <c r="F183" s="316"/>
      <c r="G183" s="317"/>
      <c r="H183" s="318"/>
      <c r="I183" s="319"/>
      <c r="J183" s="345"/>
      <c r="L183" s="451"/>
      <c r="M183" s="451"/>
      <c r="N183" s="451"/>
      <c r="O183" s="451"/>
      <c r="P183" s="451"/>
    </row>
    <row r="184" spans="1:16" ht="12.95" customHeight="1" x14ac:dyDescent="0.25">
      <c r="A184" s="320" t="s">
        <v>125</v>
      </c>
      <c r="B184" s="321"/>
      <c r="C184" s="321"/>
      <c r="D184" s="321"/>
      <c r="E184" s="321"/>
      <c r="F184" s="322"/>
      <c r="G184" s="323" t="str">
        <f>IF(G180=0,"",IF(G180&gt;G170,"BY STERN","BY HEAD"))</f>
        <v>BY STERN</v>
      </c>
      <c r="H184" s="391">
        <f>Draft!$P$29</f>
        <v>0.38999999999999968</v>
      </c>
      <c r="I184" s="323" t="str">
        <f>IF(I180=0,"",IF(I180&gt;I170,"BY STERN","BY HEAD"))</f>
        <v>BY STERN</v>
      </c>
      <c r="J184" s="440">
        <f>Draft!$AH$29</f>
        <v>5.8799999999999741E-2</v>
      </c>
      <c r="L184" s="451"/>
      <c r="M184" s="451"/>
      <c r="N184" s="451"/>
      <c r="O184" s="451"/>
      <c r="P184" s="451"/>
    </row>
    <row r="185" spans="1:16" ht="12.95" customHeight="1" x14ac:dyDescent="0.25">
      <c r="A185" s="324" t="s">
        <v>126</v>
      </c>
      <c r="B185" s="325"/>
      <c r="C185" s="325"/>
      <c r="D185" s="325"/>
      <c r="E185" s="325"/>
      <c r="F185" s="326"/>
      <c r="G185" s="327" t="str">
        <f>_xlfn.CONCAT(Draft!$P$35," ",TEXT(Draft!$M$35,"0.00")," º")</f>
        <v>P 000 º</v>
      </c>
      <c r="H185" s="392">
        <f>Draft!$G$35</f>
        <v>23</v>
      </c>
      <c r="I185" s="327" t="str">
        <f>_xlfn.CONCAT(Draft!$AH$35," ",TEXT(Draft!$AE$35,"0.00")," º")</f>
        <v>S 000 º</v>
      </c>
      <c r="J185" s="441">
        <f>Draft!$Y$35</f>
        <v>2</v>
      </c>
      <c r="L185" s="451"/>
      <c r="M185" s="451"/>
      <c r="N185" s="451"/>
      <c r="O185" s="451"/>
      <c r="P185" s="451"/>
    </row>
    <row r="186" spans="1:16" ht="12.95" customHeight="1" thickBot="1" x14ac:dyDescent="0.3">
      <c r="A186" s="328" t="s">
        <v>128</v>
      </c>
      <c r="B186" s="293"/>
      <c r="C186" s="293"/>
      <c r="D186" s="293"/>
      <c r="E186" s="293"/>
      <c r="F186" s="329"/>
      <c r="G186" s="394" t="str">
        <f>Draft!$M$33</f>
        <v>HOGGING</v>
      </c>
      <c r="H186" s="393">
        <f>Draft!$G$33</f>
        <v>4.0600000000000414</v>
      </c>
      <c r="I186" s="394" t="str">
        <f>Draft!$AE$33</f>
        <v>SAGGING</v>
      </c>
      <c r="J186" s="442">
        <f>Draft!$Y$33</f>
        <v>13.629999999999853</v>
      </c>
      <c r="L186" s="451"/>
      <c r="M186" s="451"/>
      <c r="N186" s="451"/>
      <c r="O186" s="451"/>
      <c r="P186" s="451"/>
    </row>
    <row r="187" spans="1:16" ht="3.75" customHeight="1" thickBot="1" x14ac:dyDescent="0.3">
      <c r="A187" s="308"/>
      <c r="B187" s="308"/>
      <c r="C187" s="308"/>
      <c r="D187" s="308"/>
      <c r="E187" s="308"/>
      <c r="F187" s="308"/>
      <c r="G187" s="308"/>
      <c r="H187" s="308"/>
      <c r="I187" s="319"/>
      <c r="J187" s="303"/>
      <c r="L187" s="451"/>
      <c r="M187" s="451"/>
      <c r="N187" s="451"/>
      <c r="O187" s="451"/>
      <c r="P187" s="451"/>
    </row>
    <row r="188" spans="1:16" ht="12.95" customHeight="1" x14ac:dyDescent="0.25">
      <c r="A188" s="320" t="s">
        <v>129</v>
      </c>
      <c r="B188" s="330"/>
      <c r="C188" s="330"/>
      <c r="D188" s="330"/>
      <c r="E188" s="330"/>
      <c r="F188" s="331"/>
      <c r="G188" s="794" t="s">
        <v>109</v>
      </c>
      <c r="H188" s="795"/>
      <c r="I188" s="796" t="s">
        <v>110</v>
      </c>
      <c r="J188" s="797"/>
      <c r="L188" s="451"/>
      <c r="M188" s="451"/>
      <c r="N188" s="451"/>
      <c r="O188" s="451"/>
      <c r="P188" s="451"/>
    </row>
    <row r="189" spans="1:16" ht="12.95" customHeight="1" x14ac:dyDescent="0.25">
      <c r="A189" s="332" t="s">
        <v>130</v>
      </c>
      <c r="B189" s="306"/>
      <c r="C189" s="306"/>
      <c r="D189" s="306"/>
      <c r="E189" s="306"/>
      <c r="F189" s="307"/>
      <c r="G189" s="781">
        <f>Draft!$J$43</f>
        <v>37160.75</v>
      </c>
      <c r="H189" s="782"/>
      <c r="I189" s="781">
        <f>Draft!$AB$43</f>
        <v>85669.65</v>
      </c>
      <c r="J189" s="783"/>
      <c r="L189" s="451"/>
      <c r="M189" s="451"/>
      <c r="N189" s="451"/>
      <c r="O189" s="451"/>
      <c r="P189" s="451"/>
    </row>
    <row r="190" spans="1:16" ht="12.95" customHeight="1" x14ac:dyDescent="0.25">
      <c r="A190" s="333" t="s">
        <v>131</v>
      </c>
      <c r="B190" s="309"/>
      <c r="C190" s="309"/>
      <c r="D190" s="309"/>
      <c r="E190" s="309"/>
      <c r="F190" s="310"/>
      <c r="G190" s="784">
        <f>Draft!$H$57</f>
        <v>-95.06938697837829</v>
      </c>
      <c r="H190" s="785"/>
      <c r="I190" s="784">
        <f>Draft!$Z$57</f>
        <v>2.913926967567555</v>
      </c>
      <c r="J190" s="786"/>
      <c r="L190" s="451"/>
      <c r="M190" s="451"/>
      <c r="N190" s="451"/>
      <c r="O190" s="451"/>
      <c r="P190" s="451"/>
    </row>
    <row r="191" spans="1:16" ht="12.95" customHeight="1" x14ac:dyDescent="0.25">
      <c r="A191" s="333" t="s">
        <v>132</v>
      </c>
      <c r="B191" s="309"/>
      <c r="C191" s="309"/>
      <c r="D191" s="309"/>
      <c r="E191" s="309"/>
      <c r="F191" s="310"/>
      <c r="G191" s="784">
        <f>Draft!$H$58</f>
        <v>1.0379797297297266</v>
      </c>
      <c r="H191" s="785"/>
      <c r="I191" s="784">
        <f>Draft!$Z$58</f>
        <v>1.4172389189189099E-2</v>
      </c>
      <c r="J191" s="786"/>
      <c r="L191" s="451"/>
      <c r="M191" s="451"/>
      <c r="N191" s="451"/>
      <c r="O191" s="451"/>
      <c r="P191" s="451"/>
    </row>
    <row r="192" spans="1:16" ht="12.95" customHeight="1" x14ac:dyDescent="0.25">
      <c r="A192" s="333" t="s">
        <v>133</v>
      </c>
      <c r="B192" s="309"/>
      <c r="C192" s="309"/>
      <c r="D192" s="309"/>
      <c r="E192" s="309"/>
      <c r="F192" s="310"/>
      <c r="G192" s="775">
        <f>Draft!$H$61</f>
        <v>37066.718592751349</v>
      </c>
      <c r="H192" s="776"/>
      <c r="I192" s="775">
        <f>Draft!$Z$61</f>
        <v>85672.578099356746</v>
      </c>
      <c r="J192" s="777"/>
      <c r="L192" s="451"/>
      <c r="M192" s="451"/>
      <c r="N192" s="451"/>
      <c r="O192" s="451"/>
      <c r="P192" s="451"/>
    </row>
    <row r="193" spans="1:16" ht="12.95" customHeight="1" x14ac:dyDescent="0.25">
      <c r="A193" s="333" t="s">
        <v>134</v>
      </c>
      <c r="B193" s="309"/>
      <c r="C193" s="309"/>
      <c r="D193" s="309"/>
      <c r="E193" s="309"/>
      <c r="F193" s="310"/>
      <c r="G193" s="778">
        <f>Draft!$H$62</f>
        <v>1.016</v>
      </c>
      <c r="H193" s="779"/>
      <c r="I193" s="778">
        <f>Draft!$Z$62</f>
        <v>1.0145</v>
      </c>
      <c r="J193" s="780"/>
      <c r="L193" s="451"/>
      <c r="M193" s="451"/>
      <c r="N193" s="451"/>
      <c r="O193" s="451"/>
      <c r="P193" s="451"/>
    </row>
    <row r="194" spans="1:16" ht="12.95" customHeight="1" x14ac:dyDescent="0.25">
      <c r="A194" s="333" t="s">
        <v>724</v>
      </c>
      <c r="B194" s="309"/>
      <c r="C194" s="309"/>
      <c r="D194" s="309"/>
      <c r="E194" s="309"/>
      <c r="F194" s="310"/>
      <c r="G194" s="775">
        <f>Draft!$H$63</f>
        <v>36741.254722180856</v>
      </c>
      <c r="H194" s="776"/>
      <c r="I194" s="775">
        <f>Draft!$Z$63</f>
        <v>84794.956567607238</v>
      </c>
      <c r="J194" s="777"/>
      <c r="L194" s="451"/>
      <c r="M194" s="451"/>
      <c r="N194" s="451"/>
      <c r="O194" s="451"/>
      <c r="P194" s="451"/>
    </row>
    <row r="195" spans="1:16" ht="12.95" customHeight="1" thickBot="1" x14ac:dyDescent="0.3">
      <c r="A195" s="334" t="s">
        <v>725</v>
      </c>
      <c r="B195" s="335"/>
      <c r="C195" s="335"/>
      <c r="D195" s="335"/>
      <c r="E195" s="335"/>
      <c r="F195" s="336"/>
      <c r="G195" s="762">
        <f>Draft!$H$72</f>
        <v>23118.34</v>
      </c>
      <c r="H195" s="763"/>
      <c r="I195" s="762">
        <f>Draft!$AF$72</f>
        <v>1740.71</v>
      </c>
      <c r="J195" s="764"/>
      <c r="L195" s="451"/>
      <c r="M195" s="451"/>
      <c r="N195" s="451"/>
      <c r="O195" s="451"/>
      <c r="P195" s="451"/>
    </row>
    <row r="196" spans="1:16" ht="12.95" customHeight="1" thickBot="1" x14ac:dyDescent="0.3">
      <c r="A196" s="616" t="s">
        <v>726</v>
      </c>
      <c r="B196" s="617"/>
      <c r="C196" s="617"/>
      <c r="D196" s="617"/>
      <c r="E196" s="617"/>
      <c r="F196" s="617"/>
      <c r="G196" s="765">
        <f>Draft!$H$74</f>
        <v>13622.914722180856</v>
      </c>
      <c r="H196" s="766"/>
      <c r="I196" s="765">
        <f>Draft!$Z$74</f>
        <v>83054.246567607232</v>
      </c>
      <c r="J196" s="767"/>
      <c r="K196" s="446"/>
      <c r="L196" s="451"/>
      <c r="M196" s="451"/>
      <c r="N196" s="451"/>
      <c r="O196" s="451"/>
      <c r="P196" s="451"/>
    </row>
    <row r="197" spans="1:16" ht="12.95" customHeight="1" x14ac:dyDescent="0.25">
      <c r="A197" s="337" t="s">
        <v>628</v>
      </c>
      <c r="B197" s="338"/>
      <c r="C197" s="338"/>
      <c r="D197" s="338"/>
      <c r="E197" s="338"/>
      <c r="F197" s="339"/>
      <c r="G197" s="768">
        <f>Draft!$H$75</f>
        <v>13150.68</v>
      </c>
      <c r="H197" s="769"/>
      <c r="I197" s="340"/>
      <c r="J197" s="341"/>
      <c r="L197" s="451"/>
      <c r="M197" s="451"/>
      <c r="N197" s="451"/>
      <c r="O197" s="451"/>
      <c r="P197" s="451"/>
    </row>
    <row r="198" spans="1:16" ht="12.95" customHeight="1" x14ac:dyDescent="0.25">
      <c r="A198" s="342" t="str">
        <f>IF(Draft!H84="NÃO","Calculated constant","Declared constant")</f>
        <v>Calculated constant</v>
      </c>
      <c r="B198" s="343"/>
      <c r="C198" s="343"/>
      <c r="D198" s="343"/>
      <c r="E198" s="343"/>
      <c r="F198" s="344"/>
      <c r="G198" s="770">
        <f>Draft!$H$77</f>
        <v>502.2347221808559</v>
      </c>
      <c r="H198" s="771"/>
      <c r="I198" s="319"/>
      <c r="J198" s="345"/>
      <c r="L198" s="451"/>
      <c r="M198" s="451"/>
      <c r="N198" s="451"/>
      <c r="O198" s="451"/>
      <c r="P198" s="451"/>
    </row>
    <row r="199" spans="1:16" ht="12.95" customHeight="1" x14ac:dyDescent="0.25">
      <c r="A199" s="346" t="s">
        <v>727</v>
      </c>
      <c r="B199" s="347"/>
      <c r="C199" s="347"/>
      <c r="D199" s="347"/>
      <c r="E199" s="347"/>
      <c r="F199" s="348"/>
      <c r="G199" s="752">
        <f>Draft!$H$76</f>
        <v>30</v>
      </c>
      <c r="H199" s="753"/>
      <c r="I199" s="752">
        <f>Draft!$Z$76</f>
        <v>0</v>
      </c>
      <c r="J199" s="754"/>
      <c r="L199" s="451"/>
      <c r="M199" s="451"/>
      <c r="N199" s="451"/>
      <c r="O199" s="451"/>
      <c r="P199" s="451"/>
    </row>
    <row r="200" spans="1:16" ht="12.95" customHeight="1" thickBot="1" x14ac:dyDescent="0.3">
      <c r="A200" s="349" t="str">
        <f>IF(I196=0,"",IF(I196&gt;G196,"Total cargo loaded on board as per draught survey","Total cargo discharged as per draught survey"))</f>
        <v>Total cargo loaded on board as per draught survey</v>
      </c>
      <c r="B200" s="350"/>
      <c r="C200" s="350"/>
      <c r="D200" s="350"/>
      <c r="E200" s="350"/>
      <c r="F200" s="350"/>
      <c r="G200" s="351"/>
      <c r="H200" s="352"/>
      <c r="I200" s="755">
        <f>Draft!$Z$77</f>
        <v>69401.331845426379</v>
      </c>
      <c r="J200" s="756"/>
      <c r="L200" s="451"/>
      <c r="M200" s="451"/>
      <c r="N200" s="451"/>
      <c r="O200" s="451"/>
      <c r="P200" s="451"/>
    </row>
    <row r="201" spans="1:16" ht="3.75" customHeight="1" thickBot="1" x14ac:dyDescent="0.3">
      <c r="A201" s="300"/>
      <c r="B201" s="300"/>
      <c r="C201" s="300"/>
      <c r="D201" s="300"/>
      <c r="E201" s="300"/>
      <c r="F201" s="300"/>
      <c r="G201" s="300"/>
      <c r="H201" s="300"/>
      <c r="I201" s="302"/>
      <c r="J201" s="303"/>
      <c r="L201" s="451"/>
      <c r="M201" s="451"/>
      <c r="N201" s="451"/>
      <c r="O201" s="451"/>
      <c r="P201" s="451"/>
    </row>
    <row r="202" spans="1:16" ht="12.95" customHeight="1" x14ac:dyDescent="0.25">
      <c r="A202" s="353" t="str">
        <f>_xlfn.CONCAT("Loading terminals: ",CAPA!E58,CAPA!E59,CAPA!E60,CAPA!E61,CAPA!E62,CAPA!E63,CAPA!E64,CAPA!E65,CAPA!E66,CAPA!E67,CAPA!E68,CAPA!E69,CAPA!E70,CAPA!E71,".")</f>
        <v>Loading terminals: CB, CO, CT, ALTP, RO, BTG-V, .</v>
      </c>
      <c r="B202" s="354"/>
      <c r="C202" s="354"/>
      <c r="D202" s="354"/>
      <c r="E202" s="354"/>
      <c r="F202" s="632"/>
      <c r="G202" s="9" t="s">
        <v>135</v>
      </c>
      <c r="H202" s="398">
        <f>Draft!$J$47</f>
        <v>64.310999999999993</v>
      </c>
      <c r="I202" s="9" t="s">
        <v>135</v>
      </c>
      <c r="J202" s="447">
        <f>Draft!$AB$47</f>
        <v>69.900000000000006</v>
      </c>
      <c r="L202" s="451"/>
      <c r="M202" s="451"/>
      <c r="N202" s="451"/>
      <c r="O202" s="451"/>
      <c r="P202" s="451"/>
    </row>
    <row r="203" spans="1:16" ht="12.95" customHeight="1" x14ac:dyDescent="0.25">
      <c r="A203" s="395" t="str">
        <f>_xlfn.CONCAT("Cargo: ",CAPA!B6)</f>
        <v>Cargo: Soybeans in bulk</v>
      </c>
      <c r="B203" s="397"/>
      <c r="C203" s="397"/>
      <c r="D203" s="397"/>
      <c r="E203" s="397"/>
      <c r="F203" s="396"/>
      <c r="G203" s="355" t="s">
        <v>141</v>
      </c>
      <c r="H203" s="399">
        <f>Draft!$J$53</f>
        <v>952.4</v>
      </c>
      <c r="I203" s="355" t="s">
        <v>141</v>
      </c>
      <c r="J203" s="448">
        <f>Draft!$AB$53</f>
        <v>1200.2</v>
      </c>
      <c r="L203" s="451"/>
      <c r="M203" s="451"/>
      <c r="N203" s="451"/>
      <c r="O203" s="451"/>
      <c r="P203" s="451"/>
    </row>
    <row r="204" spans="1:16" ht="12.95" customHeight="1" thickBot="1" x14ac:dyDescent="0.3">
      <c r="A204" s="1178" t="str">
        <f>CONCATENATE(Draft!$E$5,". ",$L$159)</f>
        <v>Paranaguá, Br - Brazil.  March 10th, 2026</v>
      </c>
      <c r="B204" s="1179"/>
      <c r="C204" s="1179"/>
      <c r="D204" s="1179"/>
      <c r="E204" s="1179"/>
      <c r="F204" s="1180"/>
      <c r="G204" s="356" t="s">
        <v>142</v>
      </c>
      <c r="H204" s="400">
        <f>Draft!$J$54</f>
        <v>922.1</v>
      </c>
      <c r="I204" s="356" t="s">
        <v>142</v>
      </c>
      <c r="J204" s="449">
        <f>Draft!$AB$54</f>
        <v>1182</v>
      </c>
      <c r="L204" s="451"/>
      <c r="M204" s="451"/>
      <c r="N204" s="451"/>
      <c r="O204" s="451"/>
      <c r="P204" s="451"/>
    </row>
    <row r="205" spans="1:16" ht="3.75" customHeight="1" thickBot="1" x14ac:dyDescent="0.3">
      <c r="A205" s="357"/>
      <c r="B205" s="358"/>
      <c r="C205" s="358"/>
      <c r="D205" s="358"/>
      <c r="E205" s="358"/>
      <c r="F205" s="359"/>
      <c r="G205" s="359"/>
      <c r="H205" s="359"/>
      <c r="I205" s="359"/>
      <c r="J205" s="303"/>
      <c r="L205" s="451"/>
      <c r="M205" s="451"/>
      <c r="N205" s="451"/>
      <c r="O205" s="451"/>
      <c r="P205" s="451"/>
    </row>
    <row r="206" spans="1:16" ht="12.95" customHeight="1" thickTop="1" x14ac:dyDescent="0.25">
      <c r="A206" s="360" t="str">
        <f>IF(I196=0,"",IF(I196&gt;G196,"Total cargo loaded on board as per shore scales","Total manifested cargo"))</f>
        <v>Total cargo loaded on board as per shore scales</v>
      </c>
      <c r="B206" s="361"/>
      <c r="C206" s="361"/>
      <c r="D206" s="361"/>
      <c r="E206" s="361"/>
      <c r="F206" s="361"/>
      <c r="G206" s="362"/>
      <c r="H206" s="363"/>
      <c r="I206" s="760">
        <f>Draft!$Z$78</f>
        <v>69171.05</v>
      </c>
      <c r="J206" s="761"/>
      <c r="L206" s="451"/>
      <c r="M206" s="451"/>
      <c r="N206" s="451"/>
      <c r="O206" s="451"/>
      <c r="P206" s="451"/>
    </row>
    <row r="207" spans="1:16" ht="12.95" customHeight="1" x14ac:dyDescent="0.25">
      <c r="A207" s="364" t="str">
        <f>A200</f>
        <v>Total cargo loaded on board as per draught survey</v>
      </c>
      <c r="B207" s="618"/>
      <c r="C207" s="618"/>
      <c r="D207" s="618"/>
      <c r="E207" s="618"/>
      <c r="F207" s="618"/>
      <c r="G207" s="619"/>
      <c r="H207" s="620"/>
      <c r="I207" s="747">
        <f>Draft!$Z$77</f>
        <v>69401.331845426379</v>
      </c>
      <c r="J207" s="748"/>
      <c r="L207" s="451"/>
      <c r="M207" s="451"/>
      <c r="N207" s="451"/>
      <c r="O207" s="451"/>
      <c r="P207" s="451"/>
    </row>
    <row r="208" spans="1:16" ht="12.95" customHeight="1" thickBot="1" x14ac:dyDescent="0.3">
      <c r="A208" s="621" t="str">
        <f>IF($G$208&gt;0,"Surplus","Shortage")</f>
        <v>Surplus</v>
      </c>
      <c r="B208" s="365"/>
      <c r="C208" s="365"/>
      <c r="D208" s="365"/>
      <c r="E208" s="365"/>
      <c r="F208" s="365"/>
      <c r="G208" s="749">
        <f>$I$207-$I$206</f>
        <v>230.28184542637609</v>
      </c>
      <c r="H208" s="749"/>
      <c r="I208" s="750">
        <f>($G$208/$I$206)*100</f>
        <v>0.33291650976293707</v>
      </c>
      <c r="J208" s="751"/>
      <c r="L208" s="451"/>
      <c r="M208" s="451"/>
      <c r="N208" s="451"/>
      <c r="O208" s="451"/>
      <c r="P208" s="451"/>
    </row>
    <row r="209" spans="1:16" ht="30" customHeight="1" thickTop="1" x14ac:dyDescent="0.25">
      <c r="A209" s="366"/>
      <c r="B209" s="366"/>
      <c r="C209" s="366"/>
      <c r="D209" s="366"/>
      <c r="E209" s="366"/>
      <c r="F209" s="366"/>
      <c r="G209" s="366"/>
      <c r="H209" s="366"/>
      <c r="I209" s="302"/>
      <c r="J209" s="303"/>
      <c r="L209" s="451"/>
      <c r="M209" s="451"/>
      <c r="N209" s="451"/>
      <c r="O209" s="451"/>
      <c r="P209" s="451"/>
    </row>
    <row r="210" spans="1:16" ht="12.95" customHeight="1" x14ac:dyDescent="0.25">
      <c r="A210" s="10"/>
      <c r="B210" s="10"/>
      <c r="C210" s="10"/>
      <c r="D210" s="10"/>
      <c r="E210" s="10"/>
      <c r="F210" s="10"/>
      <c r="G210" s="10"/>
      <c r="H210" s="10"/>
      <c r="I210" s="10"/>
      <c r="L210" s="451"/>
      <c r="M210" s="451"/>
      <c r="N210" s="451"/>
      <c r="O210" s="451"/>
      <c r="P210" s="451"/>
    </row>
    <row r="211" spans="1:16" ht="12.95" customHeight="1" x14ac:dyDescent="0.25">
      <c r="A211" s="408" t="s">
        <v>137</v>
      </c>
      <c r="B211" s="408"/>
      <c r="C211" s="408"/>
      <c r="D211" s="408"/>
      <c r="E211" s="408"/>
      <c r="F211" s="409"/>
      <c r="G211" s="410" t="s">
        <v>138</v>
      </c>
      <c r="H211" s="579">
        <f>Draft!$X$82</f>
        <v>69418.312999999995</v>
      </c>
      <c r="I211" s="580">
        <f>H211-I206</f>
        <v>247.26299999999173</v>
      </c>
      <c r="J211" s="625">
        <f>IFERROR((I211/I206)*100,"")</f>
        <v>0.35746602082806567</v>
      </c>
      <c r="L211" s="451"/>
      <c r="M211" s="451"/>
      <c r="N211" s="451"/>
      <c r="O211" s="451"/>
      <c r="P211" s="451"/>
    </row>
    <row r="212" spans="1:16" ht="12.95" customHeight="1" x14ac:dyDescent="0.25">
      <c r="A212" s="411" t="str">
        <f>_xlfn.CONCAT("José Antonio Machado Gomes Pereira"," / ",CAPA!A97)</f>
        <v>José Antonio Machado Gomes Pereira / Igor do Carmo C. Pinotti</v>
      </c>
      <c r="B212" s="411"/>
      <c r="C212" s="411"/>
      <c r="D212" s="411"/>
      <c r="E212" s="411"/>
      <c r="F212" s="409"/>
      <c r="G212" s="410" t="s">
        <v>139</v>
      </c>
      <c r="H212" s="579">
        <f>Draft!$X$83</f>
        <v>69195.657999999996</v>
      </c>
      <c r="I212" s="580">
        <f>H212-I206</f>
        <v>24.607999999992899</v>
      </c>
      <c r="J212" s="625">
        <f>IFERROR((I212/I206)*100,"")</f>
        <v>3.557557677669039E-2</v>
      </c>
      <c r="L212" s="451"/>
      <c r="M212" s="451"/>
      <c r="N212" s="451"/>
      <c r="O212" s="451"/>
      <c r="P212" s="451"/>
    </row>
    <row r="213" spans="1:16" ht="12.95" customHeight="1" x14ac:dyDescent="0.25">
      <c r="A213" s="411" t="s">
        <v>140</v>
      </c>
      <c r="B213" s="411"/>
      <c r="C213" s="411"/>
      <c r="D213" s="411"/>
      <c r="E213" s="411"/>
      <c r="F213" s="412"/>
      <c r="G213" s="413">
        <f>Draft!$U$84</f>
        <v>0</v>
      </c>
      <c r="H213" s="579">
        <f>Draft!$X$84</f>
        <v>0</v>
      </c>
      <c r="I213" s="580">
        <f>H213-I206</f>
        <v>-69171.05</v>
      </c>
      <c r="J213" s="625">
        <f>IFERROR((I213/I206)*100,"")</f>
        <v>-100</v>
      </c>
      <c r="L213" s="451"/>
      <c r="M213" s="451"/>
      <c r="N213" s="451"/>
      <c r="O213" s="451"/>
      <c r="P213" s="451"/>
    </row>
    <row r="214" spans="1:16" ht="12.95" customHeight="1" x14ac:dyDescent="0.25">
      <c r="A214" s="10"/>
      <c r="B214" s="411"/>
      <c r="C214" s="411"/>
      <c r="D214" s="411"/>
      <c r="E214" s="411"/>
      <c r="F214" s="412"/>
      <c r="G214" s="413">
        <f>Draft!$U$85</f>
        <v>0</v>
      </c>
      <c r="H214" s="579">
        <f>Draft!$X$85</f>
        <v>0</v>
      </c>
      <c r="I214" s="580">
        <f>H214-I206</f>
        <v>-69171.05</v>
      </c>
      <c r="J214" s="625">
        <f>IFERROR((I214/I206)*100,"")</f>
        <v>-100</v>
      </c>
      <c r="L214" s="451"/>
      <c r="M214" s="451"/>
      <c r="N214" s="451"/>
      <c r="O214" s="451"/>
      <c r="P214" s="451"/>
    </row>
    <row r="215" spans="1:16" ht="12.95" customHeight="1" x14ac:dyDescent="0.25">
      <c r="A215" s="10"/>
      <c r="B215" s="10"/>
      <c r="C215" s="10"/>
      <c r="D215" s="10"/>
      <c r="E215" s="10"/>
      <c r="F215" s="413"/>
      <c r="G215" s="413">
        <f>Draft!$U$86</f>
        <v>0</v>
      </c>
      <c r="H215" s="579">
        <f>Draft!$X$86</f>
        <v>0</v>
      </c>
      <c r="I215" s="580">
        <f>H215-I206</f>
        <v>-69171.05</v>
      </c>
      <c r="J215" s="625">
        <f>IFERROR((I215/I206)*100,"")</f>
        <v>-100</v>
      </c>
      <c r="L215" s="451"/>
      <c r="M215" s="451"/>
      <c r="N215" s="451"/>
      <c r="O215" s="451"/>
      <c r="P215" s="451"/>
    </row>
    <row r="216" spans="1:16" ht="12.95" customHeight="1" x14ac:dyDescent="0.25">
      <c r="A216" s="10"/>
      <c r="B216" s="10"/>
      <c r="C216" s="10"/>
      <c r="D216" s="10"/>
      <c r="E216" s="10"/>
      <c r="F216" s="413"/>
      <c r="G216" s="413">
        <f>Draft!$U$87</f>
        <v>0</v>
      </c>
      <c r="H216" s="579">
        <f>Draft!$X$87</f>
        <v>0</v>
      </c>
      <c r="I216" s="580">
        <f>H216-I206</f>
        <v>-69171.05</v>
      </c>
      <c r="J216" s="625">
        <f>IFERROR((I216/I206)*100,"")</f>
        <v>-100</v>
      </c>
      <c r="L216" s="451"/>
      <c r="M216" s="451"/>
      <c r="N216" s="451"/>
      <c r="O216" s="451"/>
      <c r="P216" s="451"/>
    </row>
    <row r="217" spans="1:16" ht="12.95" customHeight="1" x14ac:dyDescent="0.25">
      <c r="A217" s="10"/>
      <c r="B217" s="10"/>
      <c r="C217" s="10"/>
      <c r="D217" s="10"/>
      <c r="E217" s="10"/>
      <c r="F217" s="413"/>
      <c r="G217" s="413"/>
      <c r="H217" s="579"/>
      <c r="I217" s="580"/>
      <c r="J217" s="625"/>
      <c r="L217" s="451"/>
      <c r="M217" s="451"/>
      <c r="N217" s="451"/>
      <c r="O217" s="451"/>
      <c r="P217" s="451"/>
    </row>
    <row r="218" spans="1:16" ht="12.95" customHeight="1" x14ac:dyDescent="0.25">
      <c r="A218" s="10"/>
      <c r="B218" s="10"/>
      <c r="C218" s="10"/>
      <c r="D218" s="10"/>
      <c r="E218" s="10"/>
      <c r="F218" s="413"/>
      <c r="G218" s="413"/>
      <c r="H218" s="579"/>
      <c r="I218" s="580"/>
      <c r="J218" s="625"/>
      <c r="L218" s="451"/>
      <c r="M218" s="451"/>
      <c r="N218" s="451"/>
      <c r="O218" s="451"/>
      <c r="P218" s="451"/>
    </row>
    <row r="219" spans="1:16" ht="12.95" customHeight="1" x14ac:dyDescent="0.25">
      <c r="A219" s="10"/>
      <c r="B219" s="10"/>
      <c r="C219" s="10"/>
      <c r="D219" s="10"/>
      <c r="E219" s="10"/>
      <c r="F219" s="10"/>
      <c r="L219" s="451"/>
      <c r="M219" s="451"/>
      <c r="N219" s="451"/>
      <c r="O219" s="451"/>
      <c r="P219" s="451"/>
    </row>
    <row r="220" spans="1:16" ht="12.95" customHeight="1" x14ac:dyDescent="0.25">
      <c r="A220" s="10"/>
      <c r="B220" s="10"/>
      <c r="C220" s="10"/>
      <c r="D220" s="1181" t="s">
        <v>138</v>
      </c>
      <c r="E220" s="1181"/>
      <c r="F220" s="1181"/>
      <c r="G220" s="1181"/>
      <c r="H220" s="579"/>
      <c r="I220" s="580"/>
      <c r="J220" s="625"/>
      <c r="L220" s="451"/>
      <c r="M220" s="451"/>
      <c r="N220" s="451"/>
      <c r="O220" s="451"/>
      <c r="P220" s="451"/>
    </row>
    <row r="221" spans="1:16" ht="12.95" customHeight="1" x14ac:dyDescent="0.25">
      <c r="A221" s="10"/>
      <c r="B221" s="10"/>
      <c r="C221" s="10"/>
      <c r="D221" s="10"/>
      <c r="E221" s="10"/>
      <c r="F221" s="10"/>
      <c r="G221" s="413"/>
      <c r="H221" s="579"/>
      <c r="I221" s="580"/>
      <c r="J221" s="625"/>
      <c r="L221" s="451"/>
      <c r="M221" s="451"/>
      <c r="N221" s="451"/>
      <c r="O221" s="451"/>
      <c r="P221" s="451"/>
    </row>
    <row r="222" spans="1:16" ht="12.95" customHeight="1" x14ac:dyDescent="0.25">
      <c r="A222" s="10"/>
      <c r="B222" s="10"/>
      <c r="C222" s="10"/>
      <c r="D222" s="10"/>
      <c r="E222" s="10"/>
      <c r="F222" s="10"/>
      <c r="G222" s="413"/>
      <c r="H222" s="579"/>
      <c r="I222" s="580"/>
      <c r="J222" s="625"/>
      <c r="L222" s="451"/>
      <c r="M222" s="451"/>
      <c r="N222" s="451"/>
      <c r="O222" s="451"/>
      <c r="P222" s="451"/>
    </row>
    <row r="223" spans="1:16" ht="12.95" customHeight="1" x14ac:dyDescent="0.25">
      <c r="A223" s="302"/>
      <c r="B223" s="367"/>
      <c r="C223" s="367"/>
      <c r="D223" s="367"/>
      <c r="E223" s="367"/>
      <c r="F223" s="367"/>
      <c r="G223" s="302"/>
      <c r="H223" s="302"/>
      <c r="I223" s="302"/>
      <c r="J223" s="303"/>
      <c r="L223" s="451"/>
      <c r="M223" s="451"/>
      <c r="N223" s="451"/>
      <c r="O223" s="451"/>
      <c r="P223" s="451"/>
    </row>
    <row r="224" spans="1:16" ht="12.95" customHeight="1" x14ac:dyDescent="0.25">
      <c r="A224" s="302"/>
      <c r="B224" s="367"/>
      <c r="C224" s="367"/>
      <c r="D224" s="367"/>
      <c r="E224" s="367"/>
      <c r="F224" s="367"/>
      <c r="G224" s="302"/>
      <c r="H224" s="302"/>
      <c r="I224" s="302"/>
      <c r="J224" s="303"/>
      <c r="L224" s="451"/>
      <c r="M224" s="451"/>
      <c r="N224" s="451"/>
      <c r="O224" s="451"/>
      <c r="P224" s="451"/>
    </row>
    <row r="225" spans="1:16" ht="15.75" x14ac:dyDescent="0.25">
      <c r="A225" s="3" t="s">
        <v>553</v>
      </c>
      <c r="B225" s="14"/>
      <c r="C225" s="14"/>
      <c r="D225" s="14"/>
      <c r="E225" s="14"/>
      <c r="F225" s="286" t="s">
        <v>554</v>
      </c>
      <c r="G225" s="405">
        <f>Draft!$E$4</f>
        <v>46087</v>
      </c>
      <c r="H225" s="372">
        <v>0.37152777777777779</v>
      </c>
      <c r="I225" s="373" t="s">
        <v>555</v>
      </c>
      <c r="J225" s="374">
        <f>IFERROR(ROUND(Draft!$P$29,2),"")</f>
        <v>0.39</v>
      </c>
      <c r="L225" s="451"/>
      <c r="M225" s="451"/>
      <c r="N225" s="451"/>
      <c r="O225" s="451"/>
      <c r="P225" s="451"/>
    </row>
    <row r="226" spans="1:16" x14ac:dyDescent="0.25">
      <c r="A226" s="280" t="s">
        <v>0</v>
      </c>
      <c r="B226" s="280" t="s">
        <v>1</v>
      </c>
      <c r="C226" s="280" t="s">
        <v>2</v>
      </c>
      <c r="D226" s="280" t="s">
        <v>1</v>
      </c>
      <c r="E226" s="741" t="s">
        <v>583</v>
      </c>
      <c r="F226" s="741"/>
      <c r="G226" s="280" t="s">
        <v>3</v>
      </c>
      <c r="H226" s="280" t="s">
        <v>1</v>
      </c>
      <c r="I226" s="280" t="s">
        <v>1</v>
      </c>
      <c r="J226" s="280" t="s">
        <v>4</v>
      </c>
      <c r="L226" s="451"/>
      <c r="M226" s="451"/>
      <c r="N226" s="451"/>
      <c r="O226" s="451"/>
      <c r="P226" s="451"/>
    </row>
    <row r="227" spans="1:16" x14ac:dyDescent="0.25">
      <c r="A227" s="281" t="s">
        <v>728</v>
      </c>
      <c r="B227" s="281" t="s">
        <v>5</v>
      </c>
      <c r="C227" s="281" t="s">
        <v>6</v>
      </c>
      <c r="D227" s="281" t="s">
        <v>7</v>
      </c>
      <c r="E227" s="282" t="s">
        <v>8</v>
      </c>
      <c r="F227" s="282" t="s">
        <v>9</v>
      </c>
      <c r="G227" s="281" t="s">
        <v>7</v>
      </c>
      <c r="H227" s="281" t="s">
        <v>552</v>
      </c>
      <c r="I227" s="281" t="s">
        <v>10</v>
      </c>
      <c r="J227" s="281" t="s">
        <v>11</v>
      </c>
      <c r="L227" s="451"/>
      <c r="M227" s="451"/>
      <c r="N227" s="451"/>
      <c r="O227" s="451"/>
      <c r="P227" s="451"/>
    </row>
    <row r="228" spans="1:16" x14ac:dyDescent="0.25">
      <c r="A228" s="371" t="s">
        <v>12</v>
      </c>
      <c r="B228" s="570">
        <v>21.15</v>
      </c>
      <c r="C228" s="570">
        <v>0.36</v>
      </c>
      <c r="D228" s="570">
        <v>9.48</v>
      </c>
      <c r="E228" s="570"/>
      <c r="F228" s="570"/>
      <c r="G228" s="576">
        <f>IFERROR(D228+(E228+F228),D228)</f>
        <v>9.48</v>
      </c>
      <c r="H228" s="570">
        <f>'Bll I'!$F$4</f>
        <v>1495.7</v>
      </c>
      <c r="I228" s="573">
        <v>1.02</v>
      </c>
      <c r="J228" s="522">
        <f>ROUND(H228*I228,1)</f>
        <v>1525.6</v>
      </c>
      <c r="L228" s="451"/>
      <c r="M228" s="451"/>
      <c r="N228" s="451"/>
      <c r="O228" s="451"/>
      <c r="P228" s="451"/>
    </row>
    <row r="229" spans="1:16" x14ac:dyDescent="0.25">
      <c r="A229" s="368" t="s">
        <v>799</v>
      </c>
      <c r="B229" s="571">
        <v>20.89</v>
      </c>
      <c r="C229" s="571">
        <v>0.35</v>
      </c>
      <c r="D229" s="571">
        <v>20.6</v>
      </c>
      <c r="E229" s="571"/>
      <c r="F229" s="571"/>
      <c r="G229" s="674">
        <f>IFERROR(D229+(E229+F229),D229)</f>
        <v>20.6</v>
      </c>
      <c r="H229" s="571">
        <f>IFERROR('Bll I'!$F$7,"")</f>
        <v>1609.7</v>
      </c>
      <c r="I229" s="574">
        <v>1.02</v>
      </c>
      <c r="J229" s="523">
        <f>IFERROR(ROUND(H229*I229,1),"")</f>
        <v>1641.9</v>
      </c>
      <c r="L229" s="451"/>
      <c r="M229" s="451"/>
      <c r="N229" s="451"/>
      <c r="O229" s="451"/>
      <c r="P229" s="451"/>
    </row>
    <row r="230" spans="1:16" x14ac:dyDescent="0.25">
      <c r="A230" s="368" t="s">
        <v>800</v>
      </c>
      <c r="B230" s="571">
        <v>20.88</v>
      </c>
      <c r="C230" s="571">
        <v>0.35</v>
      </c>
      <c r="D230" s="571">
        <v>20.6</v>
      </c>
      <c r="E230" s="571"/>
      <c r="F230" s="571"/>
      <c r="G230" s="674">
        <f t="shared" ref="G230:G256" si="0">IFERROR(D230+(E230+F230),D230)</f>
        <v>20.6</v>
      </c>
      <c r="H230" s="571">
        <f>IFERROR('Bll I'!$F$10,"")</f>
        <v>1609.7</v>
      </c>
      <c r="I230" s="574">
        <v>1.02</v>
      </c>
      <c r="J230" s="523">
        <f t="shared" ref="J230:J257" si="1">IFERROR(ROUND(H230*I230,1),"")</f>
        <v>1641.9</v>
      </c>
      <c r="L230" s="451"/>
      <c r="M230" s="451"/>
      <c r="N230" s="451"/>
      <c r="O230" s="451"/>
      <c r="P230" s="451"/>
    </row>
    <row r="231" spans="1:16" x14ac:dyDescent="0.25">
      <c r="A231" s="368" t="s">
        <v>801</v>
      </c>
      <c r="B231" s="571">
        <v>21.26</v>
      </c>
      <c r="C231" s="571">
        <v>0.86</v>
      </c>
      <c r="D231" s="571">
        <v>20.6</v>
      </c>
      <c r="E231" s="571"/>
      <c r="F231" s="571"/>
      <c r="G231" s="674">
        <f t="shared" si="0"/>
        <v>20.6</v>
      </c>
      <c r="H231" s="571">
        <f>IFERROR('Bll I'!$F$13,"")</f>
        <v>1605.7</v>
      </c>
      <c r="I231" s="574">
        <v>1.02</v>
      </c>
      <c r="J231" s="523">
        <f t="shared" si="1"/>
        <v>1637.8</v>
      </c>
      <c r="L231" s="451"/>
      <c r="M231" s="451"/>
      <c r="N231" s="451"/>
      <c r="O231" s="451"/>
      <c r="P231" s="451"/>
    </row>
    <row r="232" spans="1:16" x14ac:dyDescent="0.25">
      <c r="A232" s="368" t="s">
        <v>802</v>
      </c>
      <c r="B232" s="571">
        <v>20.72</v>
      </c>
      <c r="C232" s="571">
        <v>0.35</v>
      </c>
      <c r="D232" s="571">
        <v>20.6</v>
      </c>
      <c r="E232" s="571"/>
      <c r="F232" s="571"/>
      <c r="G232" s="674">
        <f t="shared" si="0"/>
        <v>20.6</v>
      </c>
      <c r="H232" s="571">
        <f>IFERROR('Bll I'!$F$16,"")</f>
        <v>1605.7</v>
      </c>
      <c r="I232" s="574">
        <v>1.02</v>
      </c>
      <c r="J232" s="523">
        <f t="shared" si="1"/>
        <v>1637.8</v>
      </c>
      <c r="L232" s="451"/>
      <c r="M232" s="451"/>
      <c r="N232" s="451"/>
      <c r="O232" s="451"/>
      <c r="P232" s="451"/>
    </row>
    <row r="233" spans="1:16" x14ac:dyDescent="0.25">
      <c r="A233" s="368" t="s">
        <v>803</v>
      </c>
      <c r="B233" s="571">
        <v>21.2</v>
      </c>
      <c r="C233" s="571">
        <v>0.85</v>
      </c>
      <c r="D233" s="571">
        <v>20.61</v>
      </c>
      <c r="E233" s="571"/>
      <c r="F233" s="571"/>
      <c r="G233" s="674">
        <f t="shared" si="0"/>
        <v>20.61</v>
      </c>
      <c r="H233" s="571">
        <f>IFERROR('Bll I'!$F$19,"")</f>
        <v>3210</v>
      </c>
      <c r="I233" s="574">
        <v>1.02</v>
      </c>
      <c r="J233" s="523">
        <f t="shared" si="1"/>
        <v>3274.2</v>
      </c>
      <c r="L233" s="451"/>
      <c r="M233" s="451"/>
      <c r="N233" s="451"/>
      <c r="O233" s="451"/>
      <c r="P233" s="451"/>
    </row>
    <row r="234" spans="1:16" x14ac:dyDescent="0.25">
      <c r="A234" s="368" t="s">
        <v>804</v>
      </c>
      <c r="B234" s="571">
        <v>20.75</v>
      </c>
      <c r="C234" s="571">
        <v>0.36</v>
      </c>
      <c r="D234" s="571">
        <v>20.61</v>
      </c>
      <c r="E234" s="571"/>
      <c r="F234" s="571"/>
      <c r="G234" s="674">
        <f t="shared" si="0"/>
        <v>20.61</v>
      </c>
      <c r="H234" s="571">
        <f>IFERROR('Bll I'!$F$22,"")</f>
        <v>3210</v>
      </c>
      <c r="I234" s="574">
        <v>1.02</v>
      </c>
      <c r="J234" s="523">
        <f t="shared" si="1"/>
        <v>3274.2</v>
      </c>
      <c r="L234" s="451"/>
      <c r="M234" s="451"/>
      <c r="N234" s="451"/>
      <c r="O234" s="451"/>
      <c r="P234" s="451"/>
    </row>
    <row r="235" spans="1:16" x14ac:dyDescent="0.25">
      <c r="A235" s="368" t="s">
        <v>805</v>
      </c>
      <c r="B235" s="571">
        <v>21.2</v>
      </c>
      <c r="C235" s="571">
        <v>0.85</v>
      </c>
      <c r="D235" s="571">
        <v>20.6</v>
      </c>
      <c r="E235" s="571"/>
      <c r="F235" s="571"/>
      <c r="G235" s="674">
        <f t="shared" si="0"/>
        <v>20.6</v>
      </c>
      <c r="H235" s="571">
        <f>IFERROR('Bll I'!$F$25,"")</f>
        <v>1604.9</v>
      </c>
      <c r="I235" s="574">
        <v>1.02</v>
      </c>
      <c r="J235" s="523">
        <f t="shared" si="1"/>
        <v>1637</v>
      </c>
      <c r="L235" s="451"/>
      <c r="M235" s="451"/>
      <c r="N235" s="451"/>
      <c r="O235" s="451"/>
      <c r="P235" s="451"/>
    </row>
    <row r="236" spans="1:16" x14ac:dyDescent="0.25">
      <c r="A236" s="368" t="s">
        <v>806</v>
      </c>
      <c r="B236" s="571">
        <v>20.71</v>
      </c>
      <c r="C236" s="571">
        <v>0.35</v>
      </c>
      <c r="D236" s="571">
        <v>20.6</v>
      </c>
      <c r="E236" s="571"/>
      <c r="F236" s="571"/>
      <c r="G236" s="674">
        <f t="shared" si="0"/>
        <v>20.6</v>
      </c>
      <c r="H236" s="571">
        <f>IFERROR('Bll I'!$F$28,"")</f>
        <v>1605.6</v>
      </c>
      <c r="I236" s="574">
        <v>1.02</v>
      </c>
      <c r="J236" s="523">
        <f t="shared" si="1"/>
        <v>1637.7</v>
      </c>
      <c r="L236" s="451"/>
      <c r="M236" s="451"/>
      <c r="N236" s="451"/>
      <c r="O236" s="451"/>
      <c r="P236" s="451"/>
    </row>
    <row r="237" spans="1:16" x14ac:dyDescent="0.25">
      <c r="A237" s="368" t="s">
        <v>807</v>
      </c>
      <c r="B237" s="571">
        <v>21</v>
      </c>
      <c r="C237" s="571">
        <v>0.34</v>
      </c>
      <c r="D237" s="571">
        <v>5.98</v>
      </c>
      <c r="E237" s="571"/>
      <c r="F237" s="571"/>
      <c r="G237" s="674">
        <f t="shared" si="0"/>
        <v>5.98</v>
      </c>
      <c r="H237" s="571">
        <f>IFERROR('Bll I'!$F$31,"")</f>
        <v>936.6</v>
      </c>
      <c r="I237" s="574">
        <v>1.02</v>
      </c>
      <c r="J237" s="523">
        <f t="shared" si="1"/>
        <v>955.3</v>
      </c>
      <c r="L237" s="451"/>
      <c r="M237" s="451"/>
      <c r="N237" s="451"/>
      <c r="O237" s="451"/>
      <c r="P237" s="451"/>
    </row>
    <row r="238" spans="1:16" x14ac:dyDescent="0.25">
      <c r="A238" s="368" t="s">
        <v>808</v>
      </c>
      <c r="B238" s="571">
        <v>21</v>
      </c>
      <c r="C238" s="571">
        <v>0.34</v>
      </c>
      <c r="D238" s="571">
        <v>5.98</v>
      </c>
      <c r="E238" s="571"/>
      <c r="F238" s="571"/>
      <c r="G238" s="674">
        <f t="shared" si="0"/>
        <v>5.98</v>
      </c>
      <c r="H238" s="571">
        <f>IFERROR('Bll I'!$F$34,"")</f>
        <v>936.6</v>
      </c>
      <c r="I238" s="574">
        <v>1.02</v>
      </c>
      <c r="J238" s="523">
        <f t="shared" si="1"/>
        <v>955.3</v>
      </c>
      <c r="L238" s="451"/>
      <c r="M238" s="451"/>
      <c r="N238" s="451"/>
      <c r="O238" s="451"/>
      <c r="P238" s="451"/>
    </row>
    <row r="239" spans="1:16" x14ac:dyDescent="0.25">
      <c r="A239" s="368" t="s">
        <v>809</v>
      </c>
      <c r="B239" s="571">
        <v>21.03</v>
      </c>
      <c r="C239" s="571">
        <v>0.35</v>
      </c>
      <c r="D239" s="571">
        <v>9.5</v>
      </c>
      <c r="E239" s="571"/>
      <c r="F239" s="571"/>
      <c r="G239" s="674">
        <f t="shared" si="0"/>
        <v>9.5</v>
      </c>
      <c r="H239" s="571">
        <f>IFERROR('Bll I'!$F$37,"")</f>
        <v>980.4</v>
      </c>
      <c r="I239" s="574">
        <v>1.02</v>
      </c>
      <c r="J239" s="523">
        <f t="shared" si="1"/>
        <v>1000</v>
      </c>
      <c r="L239" s="451"/>
      <c r="M239" s="451"/>
      <c r="N239" s="451"/>
      <c r="O239" s="451"/>
      <c r="P239" s="451"/>
    </row>
    <row r="240" spans="1:16" x14ac:dyDescent="0.25">
      <c r="A240" s="368" t="s">
        <v>810</v>
      </c>
      <c r="B240" s="571">
        <v>21.03</v>
      </c>
      <c r="C240" s="571">
        <v>0.36</v>
      </c>
      <c r="D240" s="571">
        <v>9.5</v>
      </c>
      <c r="E240" s="571"/>
      <c r="F240" s="571"/>
      <c r="G240" s="674">
        <f t="shared" si="0"/>
        <v>9.5</v>
      </c>
      <c r="H240" s="571">
        <f>IFERROR('Bll I'!$F$40,"")</f>
        <v>980.4</v>
      </c>
      <c r="I240" s="574">
        <v>1.02</v>
      </c>
      <c r="J240" s="523">
        <f t="shared" si="1"/>
        <v>1000</v>
      </c>
      <c r="L240" s="451"/>
      <c r="M240" s="451"/>
      <c r="N240" s="451"/>
      <c r="O240" s="451"/>
      <c r="P240" s="451"/>
    </row>
    <row r="241" spans="1:16" hidden="1" x14ac:dyDescent="0.25">
      <c r="A241" s="369" t="s">
        <v>811</v>
      </c>
      <c r="B241" s="571"/>
      <c r="C241" s="571"/>
      <c r="D241" s="571"/>
      <c r="E241" s="571"/>
      <c r="F241" s="571"/>
      <c r="G241" s="674">
        <f t="shared" si="0"/>
        <v>0</v>
      </c>
      <c r="H241" s="571" t="str">
        <f>IFERROR('Bll I'!$F$43,"")</f>
        <v/>
      </c>
      <c r="I241" s="574">
        <v>1.0249999999999999</v>
      </c>
      <c r="J241" s="523" t="str">
        <f t="shared" si="1"/>
        <v/>
      </c>
      <c r="L241" s="451"/>
      <c r="M241" s="451"/>
      <c r="N241" s="451"/>
      <c r="O241" s="451"/>
      <c r="P241" s="451"/>
    </row>
    <row r="242" spans="1:16" hidden="1" x14ac:dyDescent="0.25">
      <c r="A242" s="369" t="s">
        <v>812</v>
      </c>
      <c r="B242" s="571"/>
      <c r="C242" s="571"/>
      <c r="D242" s="571"/>
      <c r="E242" s="571"/>
      <c r="F242" s="571"/>
      <c r="G242" s="674">
        <f t="shared" si="0"/>
        <v>0</v>
      </c>
      <c r="H242" s="571" t="str">
        <f>IFERROR('Bll I'!$F$46,"")</f>
        <v/>
      </c>
      <c r="I242" s="574">
        <v>1.0249999999999999</v>
      </c>
      <c r="J242" s="523" t="str">
        <f t="shared" si="1"/>
        <v/>
      </c>
      <c r="L242" s="451"/>
      <c r="M242" s="451"/>
      <c r="N242" s="451"/>
      <c r="O242" s="451"/>
      <c r="P242" s="451"/>
    </row>
    <row r="243" spans="1:16" hidden="1" x14ac:dyDescent="0.25">
      <c r="A243" s="369" t="s">
        <v>538</v>
      </c>
      <c r="B243" s="571"/>
      <c r="C243" s="571"/>
      <c r="D243" s="571"/>
      <c r="E243" s="571"/>
      <c r="F243" s="571"/>
      <c r="G243" s="674">
        <f t="shared" si="0"/>
        <v>0</v>
      </c>
      <c r="H243" s="571" t="str">
        <f>IFERROR('Bll I'!$F$49,"")</f>
        <v/>
      </c>
      <c r="I243" s="574">
        <v>1.0249999999999999</v>
      </c>
      <c r="J243" s="523" t="str">
        <f t="shared" si="1"/>
        <v/>
      </c>
      <c r="L243" s="451"/>
      <c r="M243" s="451"/>
      <c r="N243" s="451"/>
      <c r="O243" s="451"/>
      <c r="P243" s="451"/>
    </row>
    <row r="244" spans="1:16" hidden="1" x14ac:dyDescent="0.25">
      <c r="A244" s="369" t="s">
        <v>539</v>
      </c>
      <c r="B244" s="571"/>
      <c r="C244" s="571"/>
      <c r="D244" s="571"/>
      <c r="E244" s="571"/>
      <c r="F244" s="571"/>
      <c r="G244" s="674">
        <f t="shared" si="0"/>
        <v>0</v>
      </c>
      <c r="H244" s="571" t="str">
        <f>IFERROR('Bll I'!$F$52,"")</f>
        <v/>
      </c>
      <c r="I244" s="574">
        <v>1.0249999999999999</v>
      </c>
      <c r="J244" s="523" t="str">
        <f t="shared" si="1"/>
        <v/>
      </c>
      <c r="L244" s="451"/>
      <c r="M244" s="451"/>
      <c r="N244" s="451"/>
      <c r="O244" s="451"/>
      <c r="P244" s="451"/>
    </row>
    <row r="245" spans="1:16" hidden="1" x14ac:dyDescent="0.25">
      <c r="A245" s="369" t="s">
        <v>540</v>
      </c>
      <c r="B245" s="571"/>
      <c r="C245" s="571"/>
      <c r="D245" s="571"/>
      <c r="E245" s="571"/>
      <c r="F245" s="571"/>
      <c r="G245" s="674">
        <f t="shared" si="0"/>
        <v>0</v>
      </c>
      <c r="H245" s="571" t="str">
        <f>IFERROR('Bll I'!$F$55,"")</f>
        <v/>
      </c>
      <c r="I245" s="574">
        <v>1.0249999999999999</v>
      </c>
      <c r="J245" s="523" t="str">
        <f t="shared" si="1"/>
        <v/>
      </c>
      <c r="L245" s="451"/>
      <c r="M245" s="451"/>
      <c r="N245" s="451"/>
      <c r="O245" s="451"/>
      <c r="P245" s="451"/>
    </row>
    <row r="246" spans="1:16" hidden="1" x14ac:dyDescent="0.25">
      <c r="A246" s="369" t="s">
        <v>541</v>
      </c>
      <c r="B246" s="571"/>
      <c r="C246" s="571"/>
      <c r="D246" s="571"/>
      <c r="E246" s="571"/>
      <c r="F246" s="571"/>
      <c r="G246" s="674">
        <f t="shared" si="0"/>
        <v>0</v>
      </c>
      <c r="H246" s="571" t="str">
        <f>IFERROR('Bll I'!$F$58,"")</f>
        <v/>
      </c>
      <c r="I246" s="574">
        <v>1.0249999999999999</v>
      </c>
      <c r="J246" s="523" t="str">
        <f t="shared" si="1"/>
        <v/>
      </c>
      <c r="L246" s="451"/>
      <c r="M246" s="451"/>
      <c r="N246" s="451"/>
      <c r="O246" s="451"/>
      <c r="P246" s="451"/>
    </row>
    <row r="247" spans="1:16" hidden="1" x14ac:dyDescent="0.25">
      <c r="A247" s="369" t="s">
        <v>542</v>
      </c>
      <c r="B247" s="571"/>
      <c r="C247" s="571"/>
      <c r="D247" s="571"/>
      <c r="E247" s="571"/>
      <c r="F247" s="571"/>
      <c r="G247" s="674">
        <f t="shared" si="0"/>
        <v>0</v>
      </c>
      <c r="H247" s="571" t="str">
        <f>IFERROR('Bll I'!$F$61,"")</f>
        <v/>
      </c>
      <c r="I247" s="574">
        <v>1.0249999999999999</v>
      </c>
      <c r="J247" s="523" t="str">
        <f t="shared" si="1"/>
        <v/>
      </c>
      <c r="L247" s="451"/>
      <c r="M247" s="451"/>
      <c r="N247" s="451"/>
      <c r="O247" s="451"/>
      <c r="P247" s="451"/>
    </row>
    <row r="248" spans="1:16" hidden="1" x14ac:dyDescent="0.25">
      <c r="A248" s="369" t="s">
        <v>543</v>
      </c>
      <c r="B248" s="571"/>
      <c r="C248" s="571"/>
      <c r="D248" s="571"/>
      <c r="E248" s="571"/>
      <c r="F248" s="571"/>
      <c r="G248" s="674">
        <f t="shared" si="0"/>
        <v>0</v>
      </c>
      <c r="H248" s="571" t="str">
        <f>IFERROR('Bll I'!$F$64,"")</f>
        <v/>
      </c>
      <c r="I248" s="574">
        <v>1.0249999999999999</v>
      </c>
      <c r="J248" s="523" t="str">
        <f t="shared" si="1"/>
        <v/>
      </c>
      <c r="L248" s="451"/>
      <c r="M248" s="451"/>
      <c r="N248" s="451"/>
      <c r="O248" s="451"/>
      <c r="P248" s="451"/>
    </row>
    <row r="249" spans="1:16" hidden="1" x14ac:dyDescent="0.25">
      <c r="A249" s="369" t="s">
        <v>544</v>
      </c>
      <c r="B249" s="571"/>
      <c r="C249" s="571"/>
      <c r="D249" s="571"/>
      <c r="E249" s="571"/>
      <c r="F249" s="571"/>
      <c r="G249" s="674">
        <f t="shared" si="0"/>
        <v>0</v>
      </c>
      <c r="H249" s="571" t="str">
        <f>IFERROR('Bll I'!$F$67,"")</f>
        <v/>
      </c>
      <c r="I249" s="574">
        <v>1.0249999999999999</v>
      </c>
      <c r="J249" s="523" t="str">
        <f t="shared" si="1"/>
        <v/>
      </c>
      <c r="L249" s="451"/>
      <c r="M249" s="451"/>
      <c r="N249" s="451"/>
      <c r="O249" s="451"/>
      <c r="P249" s="451"/>
    </row>
    <row r="250" spans="1:16" hidden="1" x14ac:dyDescent="0.25">
      <c r="A250" s="369" t="s">
        <v>545</v>
      </c>
      <c r="B250" s="571"/>
      <c r="C250" s="571"/>
      <c r="D250" s="571"/>
      <c r="E250" s="571"/>
      <c r="F250" s="571"/>
      <c r="G250" s="674">
        <f t="shared" si="0"/>
        <v>0</v>
      </c>
      <c r="H250" s="571" t="str">
        <f>IFERROR('Bll I'!$F$70,"")</f>
        <v/>
      </c>
      <c r="I250" s="574">
        <v>1.0249999999999999</v>
      </c>
      <c r="J250" s="523" t="str">
        <f t="shared" si="1"/>
        <v/>
      </c>
      <c r="L250" s="451"/>
      <c r="M250" s="451"/>
      <c r="N250" s="451"/>
      <c r="O250" s="451"/>
      <c r="P250" s="451"/>
    </row>
    <row r="251" spans="1:16" hidden="1" x14ac:dyDescent="0.25">
      <c r="A251" s="369" t="s">
        <v>546</v>
      </c>
      <c r="B251" s="571"/>
      <c r="C251" s="571"/>
      <c r="D251" s="571"/>
      <c r="E251" s="571"/>
      <c r="F251" s="571"/>
      <c r="G251" s="674">
        <f t="shared" si="0"/>
        <v>0</v>
      </c>
      <c r="H251" s="571" t="str">
        <f>IFERROR('Bll I'!$F$73,"")</f>
        <v/>
      </c>
      <c r="I251" s="574">
        <v>1.0249999999999999</v>
      </c>
      <c r="J251" s="523" t="str">
        <f t="shared" si="1"/>
        <v/>
      </c>
      <c r="L251" s="451"/>
      <c r="M251" s="451"/>
      <c r="N251" s="451"/>
      <c r="O251" s="451"/>
      <c r="P251" s="451"/>
    </row>
    <row r="252" spans="1:16" hidden="1" x14ac:dyDescent="0.25">
      <c r="A252" s="369" t="s">
        <v>547</v>
      </c>
      <c r="B252" s="571"/>
      <c r="C252" s="571"/>
      <c r="D252" s="571"/>
      <c r="E252" s="571"/>
      <c r="F252" s="571"/>
      <c r="G252" s="674">
        <f t="shared" si="0"/>
        <v>0</v>
      </c>
      <c r="H252" s="571" t="str">
        <f>IFERROR('Bll I'!$F$76,"")</f>
        <v/>
      </c>
      <c r="I252" s="574">
        <v>1.0249999999999999</v>
      </c>
      <c r="J252" s="523" t="str">
        <f t="shared" si="1"/>
        <v/>
      </c>
      <c r="L252" s="451"/>
      <c r="M252" s="451"/>
      <c r="N252" s="451"/>
      <c r="O252" s="451"/>
      <c r="P252" s="451"/>
    </row>
    <row r="253" spans="1:16" hidden="1" x14ac:dyDescent="0.25">
      <c r="A253" s="369" t="s">
        <v>548</v>
      </c>
      <c r="B253" s="571"/>
      <c r="C253" s="571"/>
      <c r="D253" s="571"/>
      <c r="E253" s="571"/>
      <c r="F253" s="571"/>
      <c r="G253" s="674">
        <f t="shared" si="0"/>
        <v>0</v>
      </c>
      <c r="H253" s="571" t="str">
        <f>IFERROR('Bll I'!$F$79,"")</f>
        <v/>
      </c>
      <c r="I253" s="574">
        <v>1.0249999999999999</v>
      </c>
      <c r="J253" s="523" t="str">
        <f t="shared" si="1"/>
        <v/>
      </c>
      <c r="L253" s="451"/>
      <c r="M253" s="451"/>
      <c r="N253" s="451"/>
      <c r="O253" s="451"/>
      <c r="P253" s="451"/>
    </row>
    <row r="254" spans="1:16" hidden="1" x14ac:dyDescent="0.25">
      <c r="A254" s="369" t="s">
        <v>549</v>
      </c>
      <c r="B254" s="571"/>
      <c r="C254" s="571"/>
      <c r="D254" s="571"/>
      <c r="E254" s="571"/>
      <c r="F254" s="571"/>
      <c r="G254" s="674">
        <f t="shared" si="0"/>
        <v>0</v>
      </c>
      <c r="H254" s="571" t="str">
        <f>IFERROR('Bll I'!$F$82,"")</f>
        <v/>
      </c>
      <c r="I254" s="574">
        <v>1.0249999999999999</v>
      </c>
      <c r="J254" s="523" t="str">
        <f t="shared" si="1"/>
        <v/>
      </c>
      <c r="L254" s="451"/>
      <c r="M254" s="451"/>
      <c r="N254" s="451"/>
      <c r="O254" s="451"/>
      <c r="P254" s="451"/>
    </row>
    <row r="255" spans="1:16" hidden="1" x14ac:dyDescent="0.25">
      <c r="A255" s="369" t="s">
        <v>550</v>
      </c>
      <c r="B255" s="571"/>
      <c r="C255" s="571"/>
      <c r="D255" s="571"/>
      <c r="E255" s="571"/>
      <c r="F255" s="571"/>
      <c r="G255" s="674">
        <f t="shared" si="0"/>
        <v>0</v>
      </c>
      <c r="H255" s="571" t="str">
        <f>IFERROR('Bll I'!$F$85,"")</f>
        <v/>
      </c>
      <c r="I255" s="574">
        <v>1.0249999999999999</v>
      </c>
      <c r="J255" s="523" t="str">
        <f t="shared" si="1"/>
        <v/>
      </c>
      <c r="L255" s="451"/>
      <c r="M255" s="451"/>
      <c r="N255" s="451"/>
      <c r="O255" s="451"/>
      <c r="P255" s="451"/>
    </row>
    <row r="256" spans="1:16" hidden="1" x14ac:dyDescent="0.25">
      <c r="A256" s="369" t="s">
        <v>551</v>
      </c>
      <c r="B256" s="571"/>
      <c r="C256" s="571"/>
      <c r="D256" s="571"/>
      <c r="E256" s="571"/>
      <c r="F256" s="571"/>
      <c r="G256" s="674">
        <f t="shared" si="0"/>
        <v>0</v>
      </c>
      <c r="H256" s="571" t="str">
        <f>IFERROR('Bll I'!$F$88,"")</f>
        <v/>
      </c>
      <c r="I256" s="574">
        <v>1.0249999999999999</v>
      </c>
      <c r="J256" s="523" t="str">
        <f t="shared" si="1"/>
        <v/>
      </c>
      <c r="L256" s="451"/>
      <c r="M256" s="451"/>
      <c r="N256" s="451"/>
      <c r="O256" s="451"/>
      <c r="P256" s="451"/>
    </row>
    <row r="257" spans="1:16" x14ac:dyDescent="0.25">
      <c r="A257" s="370" t="s">
        <v>13</v>
      </c>
      <c r="B257" s="572">
        <v>14.38</v>
      </c>
      <c r="C257" s="572">
        <v>0.37</v>
      </c>
      <c r="D257" s="572">
        <v>1.56</v>
      </c>
      <c r="E257" s="572"/>
      <c r="F257" s="572"/>
      <c r="G257" s="577">
        <f>IFERROR(D257+(E257+F257),D257)</f>
        <v>1.56</v>
      </c>
      <c r="H257" s="572">
        <f>IFERROR('Bll I'!$F$91,"")</f>
        <v>0.3</v>
      </c>
      <c r="I257" s="575">
        <v>1.02</v>
      </c>
      <c r="J257" s="526">
        <f t="shared" si="1"/>
        <v>0.3</v>
      </c>
      <c r="L257" s="451"/>
      <c r="M257" s="451"/>
      <c r="N257" s="451"/>
      <c r="O257" s="451"/>
      <c r="P257" s="451"/>
    </row>
    <row r="258" spans="1:16" x14ac:dyDescent="0.25">
      <c r="A258" s="283" t="s">
        <v>14</v>
      </c>
      <c r="B258" s="284"/>
      <c r="C258" s="284"/>
      <c r="D258" s="284"/>
      <c r="E258" s="284"/>
      <c r="F258" s="284"/>
      <c r="G258" s="285"/>
      <c r="H258" s="527">
        <f>SUM($H$228:$H$257)</f>
        <v>21391.3</v>
      </c>
      <c r="I258" s="528"/>
      <c r="J258" s="527">
        <f>SUM($J$228:$J$257)</f>
        <v>21819</v>
      </c>
      <c r="L258" s="451"/>
      <c r="M258" s="451"/>
      <c r="N258" s="451"/>
      <c r="O258" s="451"/>
      <c r="P258" s="451"/>
    </row>
    <row r="259" spans="1:16" x14ac:dyDescent="0.25">
      <c r="L259" s="451"/>
      <c r="M259" s="451"/>
      <c r="N259" s="451"/>
      <c r="O259" s="451"/>
      <c r="P259" s="451"/>
    </row>
    <row r="260" spans="1:16" x14ac:dyDescent="0.25">
      <c r="L260" s="451"/>
      <c r="M260" s="451"/>
      <c r="N260" s="451"/>
      <c r="O260" s="451"/>
      <c r="P260" s="451"/>
    </row>
    <row r="261" spans="1:16" ht="15.75" x14ac:dyDescent="0.25">
      <c r="A261" s="3" t="s">
        <v>556</v>
      </c>
      <c r="F261" s="286" t="s">
        <v>554</v>
      </c>
      <c r="G261" s="405">
        <f>Draft!$X$4</f>
        <v>46091</v>
      </c>
      <c r="H261" s="372"/>
      <c r="I261" s="373" t="s">
        <v>555</v>
      </c>
      <c r="J261" s="374">
        <f>IFERROR(ROUND(Draft!$AH$29,2),"")</f>
        <v>0.06</v>
      </c>
      <c r="L261" s="451"/>
      <c r="M261" s="451"/>
      <c r="N261" s="451"/>
      <c r="O261" s="451"/>
      <c r="P261" s="451"/>
    </row>
    <row r="262" spans="1:16" x14ac:dyDescent="0.25">
      <c r="A262" s="280" t="s">
        <v>0</v>
      </c>
      <c r="B262" s="280" t="s">
        <v>1</v>
      </c>
      <c r="C262" s="280" t="s">
        <v>2</v>
      </c>
      <c r="D262" s="280" t="s">
        <v>1</v>
      </c>
      <c r="E262" s="741" t="s">
        <v>583</v>
      </c>
      <c r="F262" s="741"/>
      <c r="G262" s="280" t="s">
        <v>3</v>
      </c>
      <c r="H262" s="280" t="s">
        <v>1</v>
      </c>
      <c r="I262" s="280" t="s">
        <v>1</v>
      </c>
      <c r="J262" s="280" t="s">
        <v>4</v>
      </c>
      <c r="L262" s="451"/>
      <c r="M262" s="451"/>
      <c r="N262" s="451"/>
      <c r="O262" s="451"/>
      <c r="P262" s="451"/>
    </row>
    <row r="263" spans="1:16" x14ac:dyDescent="0.25">
      <c r="A263" s="281" t="s">
        <v>728</v>
      </c>
      <c r="B263" s="281" t="s">
        <v>5</v>
      </c>
      <c r="C263" s="281" t="s">
        <v>6</v>
      </c>
      <c r="D263" s="281" t="s">
        <v>7</v>
      </c>
      <c r="E263" s="282" t="s">
        <v>8</v>
      </c>
      <c r="F263" s="282" t="s">
        <v>9</v>
      </c>
      <c r="G263" s="281" t="s">
        <v>7</v>
      </c>
      <c r="H263" s="281" t="s">
        <v>552</v>
      </c>
      <c r="I263" s="281" t="s">
        <v>10</v>
      </c>
      <c r="J263" s="281" t="s">
        <v>11</v>
      </c>
      <c r="L263" s="451"/>
      <c r="M263" s="451"/>
      <c r="N263" s="451"/>
      <c r="O263" s="451"/>
      <c r="P263" s="451"/>
    </row>
    <row r="264" spans="1:16" x14ac:dyDescent="0.25">
      <c r="A264" s="371" t="str">
        <f t="shared" ref="A264:C293" si="2">A228</f>
        <v>F.PK</v>
      </c>
      <c r="B264" s="520">
        <f t="shared" si="2"/>
        <v>21.15</v>
      </c>
      <c r="C264" s="520">
        <f t="shared" si="2"/>
        <v>0.36</v>
      </c>
      <c r="D264" s="570">
        <v>0.1</v>
      </c>
      <c r="E264" s="570"/>
      <c r="F264" s="570"/>
      <c r="G264" s="576">
        <f>IFERROR(D264+(E264+F264),D264)</f>
        <v>0.1</v>
      </c>
      <c r="H264" s="570">
        <v>6.5</v>
      </c>
      <c r="I264" s="521">
        <f t="shared" ref="I264:I293" si="3">I228</f>
        <v>1.02</v>
      </c>
      <c r="J264" s="522">
        <f>ROUND(H264*I264,1)</f>
        <v>6.6</v>
      </c>
      <c r="L264" s="451"/>
      <c r="M264" s="451"/>
      <c r="N264" s="451"/>
      <c r="O264" s="451"/>
      <c r="P264" s="451"/>
    </row>
    <row r="265" spans="1:16" x14ac:dyDescent="0.25">
      <c r="A265" s="368" t="str">
        <f t="shared" si="2"/>
        <v>1 WBT (P)</v>
      </c>
      <c r="B265" s="1">
        <f t="shared" si="2"/>
        <v>20.89</v>
      </c>
      <c r="C265" s="1">
        <f t="shared" si="2"/>
        <v>0.35</v>
      </c>
      <c r="D265" s="571">
        <v>0.08</v>
      </c>
      <c r="E265" s="571"/>
      <c r="F265" s="571"/>
      <c r="G265" s="674">
        <f>IFERROR(D265+(E265+F265),D265)</f>
        <v>0.08</v>
      </c>
      <c r="H265" s="571">
        <v>31.8</v>
      </c>
      <c r="I265" s="268">
        <f t="shared" si="3"/>
        <v>1.02</v>
      </c>
      <c r="J265" s="523">
        <f>IFERROR(ROUND(H265*I265,1),"")</f>
        <v>32.4</v>
      </c>
      <c r="L265" s="451"/>
      <c r="M265" s="451"/>
      <c r="N265" s="451"/>
      <c r="O265" s="451"/>
      <c r="P265" s="451"/>
    </row>
    <row r="266" spans="1:16" x14ac:dyDescent="0.25">
      <c r="A266" s="368" t="str">
        <f t="shared" si="2"/>
        <v>1 WBT (S)</v>
      </c>
      <c r="B266" s="1">
        <f t="shared" si="2"/>
        <v>20.88</v>
      </c>
      <c r="C266" s="1">
        <f t="shared" si="2"/>
        <v>0.35</v>
      </c>
      <c r="D266" s="571">
        <v>7.0000000000000007E-2</v>
      </c>
      <c r="E266" s="571"/>
      <c r="F266" s="571"/>
      <c r="G266" s="674">
        <f t="shared" ref="G266:G292" si="4">IFERROR(D266+(E266+F266),D266)</f>
        <v>7.0000000000000007E-2</v>
      </c>
      <c r="H266" s="571">
        <v>30</v>
      </c>
      <c r="I266" s="268">
        <f t="shared" si="3"/>
        <v>1.02</v>
      </c>
      <c r="J266" s="523">
        <f t="shared" ref="J266:J293" si="5">IFERROR(ROUND(H266*I266,1),"")</f>
        <v>30.6</v>
      </c>
      <c r="L266" s="451"/>
      <c r="M266" s="451"/>
      <c r="N266" s="451"/>
      <c r="O266" s="451"/>
      <c r="P266" s="451"/>
    </row>
    <row r="267" spans="1:16" x14ac:dyDescent="0.25">
      <c r="A267" s="368" t="str">
        <f t="shared" si="2"/>
        <v>2 WBT (P)</v>
      </c>
      <c r="B267" s="1">
        <f t="shared" si="2"/>
        <v>21.26</v>
      </c>
      <c r="C267" s="1">
        <f t="shared" si="2"/>
        <v>0.86</v>
      </c>
      <c r="D267" s="571">
        <v>0.06</v>
      </c>
      <c r="E267" s="571"/>
      <c r="F267" s="571"/>
      <c r="G267" s="674">
        <f t="shared" si="4"/>
        <v>0.06</v>
      </c>
      <c r="H267" s="571">
        <v>33.1</v>
      </c>
      <c r="I267" s="268">
        <f t="shared" si="3"/>
        <v>1.02</v>
      </c>
      <c r="J267" s="523">
        <f t="shared" si="5"/>
        <v>33.799999999999997</v>
      </c>
      <c r="L267" s="451"/>
      <c r="M267" s="451"/>
      <c r="N267" s="451"/>
      <c r="O267" s="451"/>
      <c r="P267" s="451"/>
    </row>
    <row r="268" spans="1:16" x14ac:dyDescent="0.25">
      <c r="A268" s="368" t="str">
        <f t="shared" si="2"/>
        <v>2 WBT (S)</v>
      </c>
      <c r="B268" s="1">
        <f t="shared" si="2"/>
        <v>20.72</v>
      </c>
      <c r="C268" s="1">
        <f t="shared" si="2"/>
        <v>0.35</v>
      </c>
      <c r="D268" s="571">
        <v>0.06</v>
      </c>
      <c r="E268" s="571"/>
      <c r="F268" s="571"/>
      <c r="G268" s="674">
        <f t="shared" si="4"/>
        <v>0.06</v>
      </c>
      <c r="H268" s="571">
        <v>33.1</v>
      </c>
      <c r="I268" s="268">
        <f t="shared" si="3"/>
        <v>1.02</v>
      </c>
      <c r="J268" s="523">
        <f t="shared" si="5"/>
        <v>33.799999999999997</v>
      </c>
      <c r="L268" s="451"/>
      <c r="M268" s="451"/>
      <c r="N268" s="451"/>
      <c r="O268" s="451"/>
      <c r="P268" s="451"/>
    </row>
    <row r="269" spans="1:16" x14ac:dyDescent="0.25">
      <c r="A269" s="368" t="str">
        <f t="shared" si="2"/>
        <v>3 WBT (P)</v>
      </c>
      <c r="B269" s="1">
        <f t="shared" si="2"/>
        <v>21.2</v>
      </c>
      <c r="C269" s="1">
        <f t="shared" si="2"/>
        <v>0.85</v>
      </c>
      <c r="D269" s="571">
        <v>0.03</v>
      </c>
      <c r="E269" s="571"/>
      <c r="F269" s="571"/>
      <c r="G269" s="674">
        <f t="shared" si="4"/>
        <v>0.03</v>
      </c>
      <c r="H269" s="571">
        <v>46.7</v>
      </c>
      <c r="I269" s="268">
        <f t="shared" si="3"/>
        <v>1.02</v>
      </c>
      <c r="J269" s="523">
        <f t="shared" si="5"/>
        <v>47.6</v>
      </c>
      <c r="L269" s="451"/>
      <c r="M269" s="451"/>
      <c r="N269" s="451"/>
      <c r="O269" s="451"/>
      <c r="P269" s="451"/>
    </row>
    <row r="270" spans="1:16" x14ac:dyDescent="0.25">
      <c r="A270" s="368" t="str">
        <f t="shared" si="2"/>
        <v>3 WBT (S)</v>
      </c>
      <c r="B270" s="1">
        <f t="shared" si="2"/>
        <v>20.75</v>
      </c>
      <c r="C270" s="1">
        <f t="shared" si="2"/>
        <v>0.36</v>
      </c>
      <c r="D270" s="571">
        <v>0.1</v>
      </c>
      <c r="E270" s="571"/>
      <c r="F270" s="571"/>
      <c r="G270" s="674">
        <f t="shared" si="4"/>
        <v>0.1</v>
      </c>
      <c r="H270" s="571">
        <v>100.1</v>
      </c>
      <c r="I270" s="268">
        <f t="shared" si="3"/>
        <v>1.02</v>
      </c>
      <c r="J270" s="523">
        <f t="shared" si="5"/>
        <v>102.1</v>
      </c>
      <c r="L270" s="451"/>
      <c r="M270" s="451"/>
      <c r="N270" s="451"/>
      <c r="O270" s="451"/>
      <c r="P270" s="451"/>
    </row>
    <row r="271" spans="1:16" x14ac:dyDescent="0.25">
      <c r="A271" s="368" t="str">
        <f t="shared" si="2"/>
        <v>4 WBT (P)</v>
      </c>
      <c r="B271" s="1">
        <f t="shared" si="2"/>
        <v>21.2</v>
      </c>
      <c r="C271" s="1">
        <f t="shared" si="2"/>
        <v>0.85</v>
      </c>
      <c r="D271" s="571">
        <v>0.04</v>
      </c>
      <c r="E271" s="571"/>
      <c r="F271" s="571"/>
      <c r="G271" s="674">
        <f t="shared" si="4"/>
        <v>0.04</v>
      </c>
      <c r="H271" s="571">
        <v>30</v>
      </c>
      <c r="I271" s="268">
        <f t="shared" si="3"/>
        <v>1.02</v>
      </c>
      <c r="J271" s="523">
        <f t="shared" si="5"/>
        <v>30.6</v>
      </c>
      <c r="L271" s="451"/>
      <c r="M271" s="451"/>
      <c r="N271" s="451"/>
      <c r="O271" s="451"/>
      <c r="P271" s="451"/>
    </row>
    <row r="272" spans="1:16" x14ac:dyDescent="0.25">
      <c r="A272" s="368" t="str">
        <f t="shared" si="2"/>
        <v>4 WBT (S)</v>
      </c>
      <c r="B272" s="1">
        <f t="shared" si="2"/>
        <v>20.71</v>
      </c>
      <c r="C272" s="1">
        <f t="shared" si="2"/>
        <v>0.35</v>
      </c>
      <c r="D272" s="571">
        <v>0.06</v>
      </c>
      <c r="E272" s="571"/>
      <c r="F272" s="571"/>
      <c r="G272" s="674">
        <f t="shared" si="4"/>
        <v>0.06</v>
      </c>
      <c r="H272" s="571">
        <v>37.4</v>
      </c>
      <c r="I272" s="268">
        <f t="shared" si="3"/>
        <v>1.02</v>
      </c>
      <c r="J272" s="523">
        <f t="shared" si="5"/>
        <v>38.1</v>
      </c>
      <c r="L272" s="451"/>
      <c r="M272" s="451"/>
      <c r="N272" s="451"/>
      <c r="O272" s="451"/>
      <c r="P272" s="451"/>
    </row>
    <row r="273" spans="1:16" x14ac:dyDescent="0.25">
      <c r="A273" s="368" t="str">
        <f t="shared" si="2"/>
        <v>5 WBT (P)</v>
      </c>
      <c r="B273" s="1">
        <f t="shared" si="2"/>
        <v>21</v>
      </c>
      <c r="C273" s="1">
        <f t="shared" si="2"/>
        <v>0.34</v>
      </c>
      <c r="D273" s="571">
        <v>0.06</v>
      </c>
      <c r="E273" s="571"/>
      <c r="F273" s="571"/>
      <c r="G273" s="674">
        <f t="shared" si="4"/>
        <v>0.06</v>
      </c>
      <c r="H273" s="571">
        <v>33.799999999999997</v>
      </c>
      <c r="I273" s="268">
        <f t="shared" si="3"/>
        <v>1.02</v>
      </c>
      <c r="J273" s="523">
        <f t="shared" si="5"/>
        <v>34.5</v>
      </c>
      <c r="L273" s="451"/>
      <c r="M273" s="451"/>
      <c r="N273" s="451"/>
      <c r="O273" s="451"/>
      <c r="P273" s="451"/>
    </row>
    <row r="274" spans="1:16" x14ac:dyDescent="0.25">
      <c r="A274" s="368" t="str">
        <f t="shared" si="2"/>
        <v>5 WBT (S)</v>
      </c>
      <c r="B274" s="1">
        <f t="shared" si="2"/>
        <v>21</v>
      </c>
      <c r="C274" s="1">
        <f t="shared" si="2"/>
        <v>0.34</v>
      </c>
      <c r="D274" s="571">
        <v>0.02</v>
      </c>
      <c r="E274" s="571"/>
      <c r="F274" s="571"/>
      <c r="G274" s="674">
        <f t="shared" si="4"/>
        <v>0.02</v>
      </c>
      <c r="H274" s="571">
        <v>19.100000000000001</v>
      </c>
      <c r="I274" s="268">
        <f t="shared" si="3"/>
        <v>1.02</v>
      </c>
      <c r="J274" s="523">
        <f t="shared" si="5"/>
        <v>19.5</v>
      </c>
      <c r="L274" s="451"/>
      <c r="M274" s="451"/>
      <c r="N274" s="451"/>
      <c r="O274" s="451"/>
      <c r="P274" s="451"/>
    </row>
    <row r="275" spans="1:16" x14ac:dyDescent="0.25">
      <c r="A275" s="368" t="str">
        <f t="shared" si="2"/>
        <v>6 WBT (P)</v>
      </c>
      <c r="B275" s="1">
        <f t="shared" si="2"/>
        <v>21.03</v>
      </c>
      <c r="C275" s="1">
        <f t="shared" si="2"/>
        <v>0.35</v>
      </c>
      <c r="D275" s="571">
        <v>0.02</v>
      </c>
      <c r="E275" s="571"/>
      <c r="F275" s="571"/>
      <c r="G275" s="674">
        <f t="shared" si="4"/>
        <v>0.02</v>
      </c>
      <c r="H275" s="571">
        <v>11.6</v>
      </c>
      <c r="I275" s="268">
        <f t="shared" si="3"/>
        <v>1.02</v>
      </c>
      <c r="J275" s="523">
        <f t="shared" si="5"/>
        <v>11.8</v>
      </c>
      <c r="L275" s="451"/>
      <c r="M275" s="451"/>
      <c r="N275" s="451"/>
      <c r="O275" s="451"/>
      <c r="P275" s="451"/>
    </row>
    <row r="276" spans="1:16" x14ac:dyDescent="0.25">
      <c r="A276" s="368" t="str">
        <f t="shared" si="2"/>
        <v>6 WBT (S)</v>
      </c>
      <c r="B276" s="1">
        <f t="shared" si="2"/>
        <v>21.03</v>
      </c>
      <c r="C276" s="1">
        <f t="shared" si="2"/>
        <v>0.36</v>
      </c>
      <c r="D276" s="571">
        <v>0.05</v>
      </c>
      <c r="E276" s="571"/>
      <c r="F276" s="571"/>
      <c r="G276" s="674">
        <f t="shared" si="4"/>
        <v>0.05</v>
      </c>
      <c r="H276" s="571">
        <v>18.5</v>
      </c>
      <c r="I276" s="524">
        <f t="shared" si="3"/>
        <v>1.02</v>
      </c>
      <c r="J276" s="523">
        <f t="shared" si="5"/>
        <v>18.899999999999999</v>
      </c>
      <c r="L276" s="451"/>
      <c r="M276" s="451"/>
      <c r="N276" s="451"/>
      <c r="O276" s="451"/>
      <c r="P276" s="451"/>
    </row>
    <row r="277" spans="1:16" hidden="1" x14ac:dyDescent="0.25">
      <c r="A277" s="369" t="str">
        <f t="shared" si="2"/>
        <v>7 WBT (P)</v>
      </c>
      <c r="B277" s="1">
        <f t="shared" si="2"/>
        <v>0</v>
      </c>
      <c r="C277" s="1">
        <f t="shared" si="2"/>
        <v>0</v>
      </c>
      <c r="D277" s="571"/>
      <c r="E277" s="571"/>
      <c r="F277" s="571"/>
      <c r="G277" s="674">
        <f t="shared" si="4"/>
        <v>0</v>
      </c>
      <c r="H277" s="571" t="str">
        <f>IFERROR('Bll I'!$P$43,"")</f>
        <v/>
      </c>
      <c r="I277" s="524">
        <f t="shared" si="3"/>
        <v>1.0249999999999999</v>
      </c>
      <c r="J277" s="523" t="str">
        <f t="shared" si="5"/>
        <v/>
      </c>
      <c r="L277" s="451"/>
      <c r="M277" s="451"/>
      <c r="N277" s="451"/>
      <c r="O277" s="451"/>
      <c r="P277" s="451"/>
    </row>
    <row r="278" spans="1:16" hidden="1" x14ac:dyDescent="0.25">
      <c r="A278" s="369" t="str">
        <f t="shared" si="2"/>
        <v>7 WBT (S)</v>
      </c>
      <c r="B278" s="1">
        <f t="shared" si="2"/>
        <v>0</v>
      </c>
      <c r="C278" s="1">
        <f t="shared" si="2"/>
        <v>0</v>
      </c>
      <c r="D278" s="571"/>
      <c r="E278" s="571"/>
      <c r="F278" s="571"/>
      <c r="G278" s="674">
        <f t="shared" si="4"/>
        <v>0</v>
      </c>
      <c r="H278" s="571" t="str">
        <f>IFERROR('Bll I'!$P$46,"")</f>
        <v/>
      </c>
      <c r="I278" s="524">
        <f t="shared" si="3"/>
        <v>1.0249999999999999</v>
      </c>
      <c r="J278" s="523" t="str">
        <f t="shared" si="5"/>
        <v/>
      </c>
      <c r="L278" s="451"/>
      <c r="M278" s="451"/>
      <c r="N278" s="451"/>
      <c r="O278" s="451"/>
      <c r="P278" s="451"/>
    </row>
    <row r="279" spans="1:16" hidden="1" x14ac:dyDescent="0.25">
      <c r="A279" s="369" t="str">
        <f t="shared" si="2"/>
        <v>1 TS (P)</v>
      </c>
      <c r="B279" s="1">
        <f t="shared" si="2"/>
        <v>0</v>
      </c>
      <c r="C279" s="1">
        <f t="shared" si="2"/>
        <v>0</v>
      </c>
      <c r="D279" s="571"/>
      <c r="E279" s="571"/>
      <c r="F279" s="571"/>
      <c r="G279" s="674">
        <f t="shared" si="4"/>
        <v>0</v>
      </c>
      <c r="H279" s="571" t="str">
        <f>IFERROR('Bll I'!$P$49,"")</f>
        <v/>
      </c>
      <c r="I279" s="524">
        <f t="shared" si="3"/>
        <v>1.0249999999999999</v>
      </c>
      <c r="J279" s="523" t="str">
        <f t="shared" si="5"/>
        <v/>
      </c>
      <c r="L279" s="451"/>
      <c r="M279" s="451"/>
      <c r="N279" s="451"/>
      <c r="O279" s="451"/>
      <c r="P279" s="451"/>
    </row>
    <row r="280" spans="1:16" hidden="1" x14ac:dyDescent="0.25">
      <c r="A280" s="369" t="str">
        <f t="shared" si="2"/>
        <v>1 TS (S)</v>
      </c>
      <c r="B280" s="1">
        <f t="shared" si="2"/>
        <v>0</v>
      </c>
      <c r="C280" s="1">
        <f t="shared" si="2"/>
        <v>0</v>
      </c>
      <c r="D280" s="571"/>
      <c r="E280" s="571"/>
      <c r="F280" s="571"/>
      <c r="G280" s="674">
        <f t="shared" si="4"/>
        <v>0</v>
      </c>
      <c r="H280" s="571" t="str">
        <f>IFERROR('Bll I'!$P$52,"")</f>
        <v/>
      </c>
      <c r="I280" s="524">
        <f t="shared" si="3"/>
        <v>1.0249999999999999</v>
      </c>
      <c r="J280" s="523" t="str">
        <f t="shared" si="5"/>
        <v/>
      </c>
      <c r="L280" s="451"/>
      <c r="M280" s="451"/>
      <c r="N280" s="451"/>
      <c r="O280" s="451"/>
      <c r="P280" s="451"/>
    </row>
    <row r="281" spans="1:16" hidden="1" x14ac:dyDescent="0.25">
      <c r="A281" s="369" t="str">
        <f t="shared" si="2"/>
        <v>2 TS (P)</v>
      </c>
      <c r="B281" s="1">
        <f t="shared" si="2"/>
        <v>0</v>
      </c>
      <c r="C281" s="1">
        <f t="shared" si="2"/>
        <v>0</v>
      </c>
      <c r="D281" s="571"/>
      <c r="E281" s="571"/>
      <c r="F281" s="571"/>
      <c r="G281" s="674">
        <f t="shared" si="4"/>
        <v>0</v>
      </c>
      <c r="H281" s="571" t="str">
        <f>IFERROR('Bll I'!$P$55,"")</f>
        <v/>
      </c>
      <c r="I281" s="524">
        <f t="shared" si="3"/>
        <v>1.0249999999999999</v>
      </c>
      <c r="J281" s="523" t="str">
        <f t="shared" si="5"/>
        <v/>
      </c>
      <c r="L281" s="451"/>
      <c r="M281" s="451"/>
      <c r="N281" s="451"/>
      <c r="O281" s="451"/>
      <c r="P281" s="451"/>
    </row>
    <row r="282" spans="1:16" hidden="1" x14ac:dyDescent="0.25">
      <c r="A282" s="369" t="str">
        <f t="shared" si="2"/>
        <v>2 TS (S)</v>
      </c>
      <c r="B282" s="1">
        <f t="shared" si="2"/>
        <v>0</v>
      </c>
      <c r="C282" s="1">
        <f t="shared" si="2"/>
        <v>0</v>
      </c>
      <c r="D282" s="571"/>
      <c r="E282" s="571"/>
      <c r="F282" s="571"/>
      <c r="G282" s="674">
        <f t="shared" si="4"/>
        <v>0</v>
      </c>
      <c r="H282" s="571" t="str">
        <f>IFERROR('Bll I'!$P$58,"")</f>
        <v/>
      </c>
      <c r="I282" s="524">
        <f t="shared" si="3"/>
        <v>1.0249999999999999</v>
      </c>
      <c r="J282" s="523" t="str">
        <f t="shared" si="5"/>
        <v/>
      </c>
      <c r="L282" s="451"/>
      <c r="M282" s="451"/>
      <c r="N282" s="451"/>
      <c r="O282" s="451"/>
      <c r="P282" s="451"/>
    </row>
    <row r="283" spans="1:16" hidden="1" x14ac:dyDescent="0.25">
      <c r="A283" s="369" t="str">
        <f t="shared" si="2"/>
        <v>3 TS (P)</v>
      </c>
      <c r="B283" s="1">
        <f t="shared" si="2"/>
        <v>0</v>
      </c>
      <c r="C283" s="1">
        <f t="shared" si="2"/>
        <v>0</v>
      </c>
      <c r="D283" s="571"/>
      <c r="E283" s="571"/>
      <c r="F283" s="571"/>
      <c r="G283" s="674">
        <f t="shared" si="4"/>
        <v>0</v>
      </c>
      <c r="H283" s="571" t="str">
        <f>IFERROR('Bll I'!$P$61,"")</f>
        <v/>
      </c>
      <c r="I283" s="524">
        <f t="shared" si="3"/>
        <v>1.0249999999999999</v>
      </c>
      <c r="J283" s="523" t="str">
        <f t="shared" si="5"/>
        <v/>
      </c>
      <c r="L283" s="451"/>
      <c r="M283" s="451"/>
      <c r="N283" s="451"/>
      <c r="O283" s="451"/>
      <c r="P283" s="451"/>
    </row>
    <row r="284" spans="1:16" hidden="1" x14ac:dyDescent="0.25">
      <c r="A284" s="369" t="str">
        <f t="shared" si="2"/>
        <v>3 TS (S)</v>
      </c>
      <c r="B284" s="1">
        <f t="shared" si="2"/>
        <v>0</v>
      </c>
      <c r="C284" s="1">
        <f t="shared" si="2"/>
        <v>0</v>
      </c>
      <c r="D284" s="571"/>
      <c r="E284" s="571"/>
      <c r="F284" s="571"/>
      <c r="G284" s="674">
        <f t="shared" si="4"/>
        <v>0</v>
      </c>
      <c r="H284" s="571" t="str">
        <f>IFERROR('Bll I'!$P$64,"")</f>
        <v/>
      </c>
      <c r="I284" s="524">
        <f t="shared" si="3"/>
        <v>1.0249999999999999</v>
      </c>
      <c r="J284" s="523" t="str">
        <f t="shared" si="5"/>
        <v/>
      </c>
      <c r="L284" s="451"/>
      <c r="M284" s="451"/>
      <c r="N284" s="451"/>
      <c r="O284" s="451"/>
      <c r="P284" s="451"/>
    </row>
    <row r="285" spans="1:16" hidden="1" x14ac:dyDescent="0.25">
      <c r="A285" s="369" t="str">
        <f t="shared" si="2"/>
        <v>4 TS (P)</v>
      </c>
      <c r="B285" s="1">
        <f t="shared" si="2"/>
        <v>0</v>
      </c>
      <c r="C285" s="1">
        <f t="shared" si="2"/>
        <v>0</v>
      </c>
      <c r="D285" s="571"/>
      <c r="E285" s="571"/>
      <c r="F285" s="571"/>
      <c r="G285" s="674">
        <f t="shared" si="4"/>
        <v>0</v>
      </c>
      <c r="H285" s="571" t="str">
        <f>IFERROR('Bll I'!$P$67,"")</f>
        <v/>
      </c>
      <c r="I285" s="524">
        <f t="shared" si="3"/>
        <v>1.0249999999999999</v>
      </c>
      <c r="J285" s="523" t="str">
        <f t="shared" si="5"/>
        <v/>
      </c>
      <c r="L285" s="451"/>
      <c r="M285" s="451"/>
      <c r="N285" s="451"/>
      <c r="O285" s="451"/>
      <c r="P285" s="451"/>
    </row>
    <row r="286" spans="1:16" hidden="1" x14ac:dyDescent="0.25">
      <c r="A286" s="369" t="str">
        <f t="shared" si="2"/>
        <v>4 TS (S)</v>
      </c>
      <c r="B286" s="1">
        <f t="shared" si="2"/>
        <v>0</v>
      </c>
      <c r="C286" s="1">
        <f t="shared" si="2"/>
        <v>0</v>
      </c>
      <c r="D286" s="571"/>
      <c r="E286" s="571"/>
      <c r="F286" s="571"/>
      <c r="G286" s="674">
        <f t="shared" si="4"/>
        <v>0</v>
      </c>
      <c r="H286" s="571" t="str">
        <f>IFERROR('Bll I'!$P$70,"")</f>
        <v/>
      </c>
      <c r="I286" s="524">
        <f t="shared" si="3"/>
        <v>1.0249999999999999</v>
      </c>
      <c r="J286" s="523" t="str">
        <f t="shared" si="5"/>
        <v/>
      </c>
      <c r="L286" s="451"/>
      <c r="M286" s="451"/>
      <c r="N286" s="451"/>
      <c r="O286" s="451"/>
      <c r="P286" s="451"/>
    </row>
    <row r="287" spans="1:16" hidden="1" x14ac:dyDescent="0.25">
      <c r="A287" s="369" t="str">
        <f t="shared" si="2"/>
        <v>5 TS (P)</v>
      </c>
      <c r="B287" s="1">
        <f t="shared" si="2"/>
        <v>0</v>
      </c>
      <c r="C287" s="1">
        <f t="shared" si="2"/>
        <v>0</v>
      </c>
      <c r="D287" s="571"/>
      <c r="E287" s="571"/>
      <c r="F287" s="571"/>
      <c r="G287" s="674">
        <f t="shared" si="4"/>
        <v>0</v>
      </c>
      <c r="H287" s="571" t="str">
        <f>IFERROR('Bll I'!$P$73,"")</f>
        <v/>
      </c>
      <c r="I287" s="524">
        <f t="shared" si="3"/>
        <v>1.0249999999999999</v>
      </c>
      <c r="J287" s="523" t="str">
        <f t="shared" si="5"/>
        <v/>
      </c>
      <c r="L287" s="451"/>
      <c r="M287" s="451"/>
      <c r="N287" s="451"/>
      <c r="O287" s="451"/>
      <c r="P287" s="451"/>
    </row>
    <row r="288" spans="1:16" hidden="1" x14ac:dyDescent="0.25">
      <c r="A288" s="369" t="str">
        <f t="shared" si="2"/>
        <v>5 TS (S)</v>
      </c>
      <c r="B288" s="1">
        <f t="shared" si="2"/>
        <v>0</v>
      </c>
      <c r="C288" s="1">
        <f t="shared" si="2"/>
        <v>0</v>
      </c>
      <c r="D288" s="571"/>
      <c r="E288" s="571"/>
      <c r="F288" s="571"/>
      <c r="G288" s="674">
        <f t="shared" si="4"/>
        <v>0</v>
      </c>
      <c r="H288" s="571" t="str">
        <f>IFERROR('Bll I'!$P$76,"")</f>
        <v/>
      </c>
      <c r="I288" s="524">
        <f t="shared" si="3"/>
        <v>1.0249999999999999</v>
      </c>
      <c r="J288" s="523" t="str">
        <f t="shared" si="5"/>
        <v/>
      </c>
      <c r="L288" s="451"/>
      <c r="M288" s="451"/>
      <c r="N288" s="451"/>
      <c r="O288" s="451"/>
      <c r="P288" s="451"/>
    </row>
    <row r="289" spans="1:16" hidden="1" x14ac:dyDescent="0.25">
      <c r="A289" s="369" t="str">
        <f t="shared" si="2"/>
        <v>6 TS (P)</v>
      </c>
      <c r="B289" s="1">
        <f t="shared" si="2"/>
        <v>0</v>
      </c>
      <c r="C289" s="1">
        <f t="shared" si="2"/>
        <v>0</v>
      </c>
      <c r="D289" s="571"/>
      <c r="E289" s="571"/>
      <c r="F289" s="571"/>
      <c r="G289" s="674">
        <f t="shared" si="4"/>
        <v>0</v>
      </c>
      <c r="H289" s="571" t="str">
        <f>IFERROR('Bll I'!$P$79,"")</f>
        <v/>
      </c>
      <c r="I289" s="524">
        <f t="shared" si="3"/>
        <v>1.0249999999999999</v>
      </c>
      <c r="J289" s="523" t="str">
        <f t="shared" si="5"/>
        <v/>
      </c>
      <c r="L289" s="451"/>
      <c r="M289" s="451"/>
      <c r="N289" s="451"/>
      <c r="O289" s="451"/>
      <c r="P289" s="451"/>
    </row>
    <row r="290" spans="1:16" hidden="1" x14ac:dyDescent="0.25">
      <c r="A290" s="369" t="str">
        <f t="shared" si="2"/>
        <v>6 TS (S)</v>
      </c>
      <c r="B290" s="1">
        <f t="shared" si="2"/>
        <v>0</v>
      </c>
      <c r="C290" s="1">
        <f t="shared" si="2"/>
        <v>0</v>
      </c>
      <c r="D290" s="571"/>
      <c r="E290" s="571"/>
      <c r="F290" s="571"/>
      <c r="G290" s="674">
        <f t="shared" si="4"/>
        <v>0</v>
      </c>
      <c r="H290" s="571" t="str">
        <f>IFERROR('Bll I'!$P$82,"")</f>
        <v/>
      </c>
      <c r="I290" s="524">
        <f t="shared" si="3"/>
        <v>1.0249999999999999</v>
      </c>
      <c r="J290" s="523" t="str">
        <f t="shared" si="5"/>
        <v/>
      </c>
      <c r="L290" s="451"/>
      <c r="M290" s="451"/>
      <c r="N290" s="451"/>
      <c r="O290" s="451"/>
      <c r="P290" s="451"/>
    </row>
    <row r="291" spans="1:16" hidden="1" x14ac:dyDescent="0.25">
      <c r="A291" s="369" t="str">
        <f t="shared" si="2"/>
        <v>7 TS (P)</v>
      </c>
      <c r="B291" s="1">
        <f t="shared" si="2"/>
        <v>0</v>
      </c>
      <c r="C291" s="1">
        <f t="shared" si="2"/>
        <v>0</v>
      </c>
      <c r="D291" s="571"/>
      <c r="E291" s="571"/>
      <c r="F291" s="571"/>
      <c r="G291" s="674">
        <f t="shared" si="4"/>
        <v>0</v>
      </c>
      <c r="H291" s="571" t="str">
        <f>IFERROR('Bll I'!$P$85,"")</f>
        <v/>
      </c>
      <c r="I291" s="524">
        <f t="shared" si="3"/>
        <v>1.0249999999999999</v>
      </c>
      <c r="J291" s="523" t="str">
        <f t="shared" si="5"/>
        <v/>
      </c>
      <c r="L291" s="451"/>
      <c r="M291" s="451"/>
      <c r="N291" s="451"/>
      <c r="O291" s="451"/>
      <c r="P291" s="451"/>
    </row>
    <row r="292" spans="1:16" hidden="1" x14ac:dyDescent="0.25">
      <c r="A292" s="369" t="str">
        <f t="shared" si="2"/>
        <v>7 TS (S)</v>
      </c>
      <c r="B292" s="1">
        <f t="shared" si="2"/>
        <v>0</v>
      </c>
      <c r="C292" s="1">
        <f t="shared" si="2"/>
        <v>0</v>
      </c>
      <c r="D292" s="571"/>
      <c r="E292" s="571"/>
      <c r="F292" s="571"/>
      <c r="G292" s="674">
        <f t="shared" si="4"/>
        <v>0</v>
      </c>
      <c r="H292" s="571">
        <f>IFERROR('Bll I'!$P$88,"")</f>
        <v>0</v>
      </c>
      <c r="I292" s="524">
        <f t="shared" si="3"/>
        <v>1.0249999999999999</v>
      </c>
      <c r="J292" s="523">
        <f t="shared" si="5"/>
        <v>0</v>
      </c>
      <c r="L292" s="451"/>
      <c r="M292" s="451"/>
      <c r="N292" s="451"/>
      <c r="O292" s="451"/>
      <c r="P292" s="451"/>
    </row>
    <row r="293" spans="1:16" x14ac:dyDescent="0.25">
      <c r="A293" s="370" t="str">
        <f t="shared" si="2"/>
        <v>A.PK</v>
      </c>
      <c r="B293" s="2">
        <f t="shared" si="2"/>
        <v>14.38</v>
      </c>
      <c r="C293" s="2">
        <f t="shared" si="2"/>
        <v>0.37</v>
      </c>
      <c r="D293" s="571">
        <v>1.69</v>
      </c>
      <c r="E293" s="572"/>
      <c r="F293" s="572"/>
      <c r="G293" s="577">
        <f>IFERROR(D293+(E293+F293),D293)</f>
        <v>1.69</v>
      </c>
      <c r="H293" s="572">
        <v>20</v>
      </c>
      <c r="I293" s="525">
        <f t="shared" si="3"/>
        <v>1.02</v>
      </c>
      <c r="J293" s="526">
        <f t="shared" si="5"/>
        <v>20.399999999999999</v>
      </c>
      <c r="L293" s="451"/>
      <c r="M293" s="451"/>
      <c r="N293" s="451"/>
      <c r="O293" s="451"/>
      <c r="P293" s="451"/>
    </row>
    <row r="294" spans="1:16" x14ac:dyDescent="0.25">
      <c r="A294" s="283" t="s">
        <v>14</v>
      </c>
      <c r="B294" s="284"/>
      <c r="C294" s="284"/>
      <c r="D294" s="284"/>
      <c r="E294" s="284"/>
      <c r="F294" s="284"/>
      <c r="G294" s="285"/>
      <c r="H294" s="527">
        <f>SUM($H$264:$H$293)</f>
        <v>451.7</v>
      </c>
      <c r="I294" s="528"/>
      <c r="J294" s="527">
        <f>SUM($J$264:$J$293)</f>
        <v>460.7</v>
      </c>
      <c r="L294" s="451"/>
      <c r="M294" s="451"/>
      <c r="N294" s="451"/>
      <c r="O294" s="451"/>
      <c r="P294" s="451"/>
    </row>
    <row r="295" spans="1:16" x14ac:dyDescent="0.25">
      <c r="L295" s="451"/>
      <c r="M295" s="451"/>
      <c r="N295" s="451"/>
      <c r="O295" s="451"/>
      <c r="P295" s="451"/>
    </row>
    <row r="296" spans="1:16" x14ac:dyDescent="0.25">
      <c r="L296" s="451"/>
      <c r="M296" s="451"/>
      <c r="N296" s="451"/>
      <c r="O296" s="451"/>
      <c r="P296" s="451"/>
    </row>
    <row r="297" spans="1:16" x14ac:dyDescent="0.25">
      <c r="L297" s="451"/>
      <c r="M297" s="451"/>
      <c r="N297" s="451"/>
      <c r="O297" s="451"/>
      <c r="P297" s="451"/>
    </row>
    <row r="298" spans="1:16" ht="15.75" x14ac:dyDescent="0.25">
      <c r="A298" s="375" t="s">
        <v>557</v>
      </c>
      <c r="L298" s="451"/>
      <c r="M298" s="451"/>
      <c r="N298" s="451"/>
      <c r="O298" s="451"/>
      <c r="P298" s="451"/>
    </row>
    <row r="299" spans="1:16" x14ac:dyDescent="0.25">
      <c r="A299" s="280" t="s">
        <v>0</v>
      </c>
      <c r="B299" s="280" t="s">
        <v>1</v>
      </c>
      <c r="C299" s="280" t="s">
        <v>2</v>
      </c>
      <c r="D299" s="280" t="s">
        <v>1</v>
      </c>
      <c r="E299" s="741" t="s">
        <v>583</v>
      </c>
      <c r="F299" s="741"/>
      <c r="G299" s="280" t="s">
        <v>3</v>
      </c>
      <c r="H299" s="280" t="s">
        <v>1</v>
      </c>
      <c r="I299" s="280" t="s">
        <v>1</v>
      </c>
      <c r="J299" s="280" t="s">
        <v>4</v>
      </c>
      <c r="L299" s="451"/>
      <c r="M299" s="451"/>
      <c r="N299" s="451"/>
      <c r="O299" s="451"/>
      <c r="P299" s="451"/>
    </row>
    <row r="300" spans="1:16" x14ac:dyDescent="0.25">
      <c r="A300" s="281" t="s">
        <v>728</v>
      </c>
      <c r="B300" s="407" t="s">
        <v>5</v>
      </c>
      <c r="C300" s="407" t="s">
        <v>6</v>
      </c>
      <c r="D300" s="281" t="s">
        <v>7</v>
      </c>
      <c r="E300" s="282" t="s">
        <v>8</v>
      </c>
      <c r="F300" s="282" t="s">
        <v>9</v>
      </c>
      <c r="G300" s="407" t="s">
        <v>7</v>
      </c>
      <c r="H300" s="281" t="s">
        <v>552</v>
      </c>
      <c r="I300" s="281" t="s">
        <v>10</v>
      </c>
      <c r="J300" s="407" t="s">
        <v>11</v>
      </c>
      <c r="L300" s="451"/>
      <c r="M300" s="451"/>
      <c r="N300" s="451"/>
      <c r="O300" s="451"/>
      <c r="P300" s="451"/>
    </row>
    <row r="301" spans="1:16" x14ac:dyDescent="0.25">
      <c r="A301" s="371" t="s">
        <v>559</v>
      </c>
      <c r="B301" s="571"/>
      <c r="C301" s="571"/>
      <c r="D301" s="622"/>
      <c r="E301" s="622"/>
      <c r="F301" s="622"/>
      <c r="G301" s="1">
        <f>IFERROR(D301+(E301+F301),"GAUGE")</f>
        <v>0</v>
      </c>
      <c r="H301" s="570">
        <v>55</v>
      </c>
      <c r="I301" s="521">
        <v>1</v>
      </c>
      <c r="J301" s="523">
        <f t="shared" ref="J301:J304" si="6">IFERROR(ROUND(H301*I301,1),"")</f>
        <v>55</v>
      </c>
      <c r="L301" s="451"/>
      <c r="M301" s="451"/>
      <c r="N301" s="451"/>
      <c r="O301" s="451"/>
      <c r="P301" s="451"/>
    </row>
    <row r="302" spans="1:16" x14ac:dyDescent="0.25">
      <c r="A302" s="368" t="s">
        <v>560</v>
      </c>
      <c r="B302" s="571"/>
      <c r="C302" s="571"/>
      <c r="D302" s="623"/>
      <c r="E302" s="623"/>
      <c r="F302" s="623"/>
      <c r="G302" s="1">
        <f t="shared" ref="G302:G304" si="7">IFERROR(D302+(E302+F302),"GAUGE")</f>
        <v>0</v>
      </c>
      <c r="H302" s="571"/>
      <c r="I302" s="524">
        <v>1</v>
      </c>
      <c r="J302" s="523">
        <f t="shared" si="6"/>
        <v>0</v>
      </c>
      <c r="L302" s="451"/>
      <c r="M302" s="451"/>
      <c r="N302" s="451"/>
      <c r="O302" s="451"/>
      <c r="P302" s="451"/>
    </row>
    <row r="303" spans="1:16" x14ac:dyDescent="0.25">
      <c r="A303" s="368" t="s">
        <v>561</v>
      </c>
      <c r="B303" s="571"/>
      <c r="C303" s="571"/>
      <c r="D303" s="623"/>
      <c r="E303" s="623"/>
      <c r="F303" s="623"/>
      <c r="G303" s="1">
        <f t="shared" si="7"/>
        <v>0</v>
      </c>
      <c r="H303" s="571"/>
      <c r="I303" s="524">
        <v>1</v>
      </c>
      <c r="J303" s="523">
        <f t="shared" si="6"/>
        <v>0</v>
      </c>
      <c r="L303" s="451"/>
      <c r="M303" s="451"/>
      <c r="N303" s="451"/>
      <c r="O303" s="451"/>
      <c r="P303" s="451"/>
    </row>
    <row r="304" spans="1:16" x14ac:dyDescent="0.25">
      <c r="A304" s="377" t="s">
        <v>562</v>
      </c>
      <c r="B304" s="572"/>
      <c r="C304" s="572"/>
      <c r="D304" s="624"/>
      <c r="E304" s="624"/>
      <c r="F304" s="624"/>
      <c r="G304" s="2">
        <f t="shared" si="7"/>
        <v>0</v>
      </c>
      <c r="H304" s="572">
        <v>65</v>
      </c>
      <c r="I304" s="525">
        <v>1</v>
      </c>
      <c r="J304" s="526">
        <f t="shared" si="6"/>
        <v>65</v>
      </c>
      <c r="L304" s="451"/>
      <c r="M304" s="451"/>
      <c r="N304" s="451"/>
      <c r="O304" s="451"/>
      <c r="P304" s="451"/>
    </row>
    <row r="305" spans="1:16" x14ac:dyDescent="0.25">
      <c r="A305" s="376" t="s">
        <v>14</v>
      </c>
      <c r="B305" s="285"/>
      <c r="C305" s="285"/>
      <c r="D305" s="285"/>
      <c r="E305" s="285"/>
      <c r="F305" s="285"/>
      <c r="G305" s="285"/>
      <c r="H305" s="529">
        <f>SUM($H$301:$H$304)</f>
        <v>120</v>
      </c>
      <c r="I305" s="530"/>
      <c r="J305" s="529">
        <f>SUM($J$301:$J$304)</f>
        <v>120</v>
      </c>
      <c r="L305" s="451"/>
      <c r="M305" s="451"/>
      <c r="N305" s="451"/>
      <c r="O305" s="451"/>
      <c r="P305" s="451"/>
    </row>
    <row r="306" spans="1:16" x14ac:dyDescent="0.25">
      <c r="L306" s="451"/>
      <c r="M306" s="451"/>
      <c r="N306" s="451"/>
      <c r="O306" s="451"/>
      <c r="P306" s="451"/>
    </row>
    <row r="307" spans="1:16" x14ac:dyDescent="0.25">
      <c r="L307" s="451"/>
      <c r="M307" s="451"/>
      <c r="N307" s="451"/>
      <c r="O307" s="451"/>
      <c r="P307" s="451"/>
    </row>
    <row r="308" spans="1:16" ht="15.75" x14ac:dyDescent="0.25">
      <c r="A308" s="3" t="s">
        <v>558</v>
      </c>
      <c r="L308" s="451"/>
      <c r="M308" s="451"/>
      <c r="N308" s="451"/>
      <c r="O308" s="451"/>
      <c r="P308" s="451"/>
    </row>
    <row r="309" spans="1:16" x14ac:dyDescent="0.25">
      <c r="A309" s="280" t="s">
        <v>0</v>
      </c>
      <c r="B309" s="280" t="s">
        <v>1</v>
      </c>
      <c r="C309" s="280" t="s">
        <v>2</v>
      </c>
      <c r="D309" s="280" t="s">
        <v>1</v>
      </c>
      <c r="E309" s="741" t="s">
        <v>583</v>
      </c>
      <c r="F309" s="741"/>
      <c r="G309" s="280" t="s">
        <v>3</v>
      </c>
      <c r="H309" s="280" t="s">
        <v>1</v>
      </c>
      <c r="I309" s="280" t="s">
        <v>1</v>
      </c>
      <c r="J309" s="280" t="s">
        <v>4</v>
      </c>
      <c r="L309" s="451"/>
      <c r="M309" s="451"/>
      <c r="N309" s="451"/>
      <c r="O309" s="451"/>
      <c r="P309" s="451"/>
    </row>
    <row r="310" spans="1:16" x14ac:dyDescent="0.25">
      <c r="A310" s="281" t="s">
        <v>728</v>
      </c>
      <c r="B310" s="281" t="s">
        <v>5</v>
      </c>
      <c r="C310" s="281" t="s">
        <v>6</v>
      </c>
      <c r="D310" s="281" t="s">
        <v>7</v>
      </c>
      <c r="E310" s="282" t="s">
        <v>8</v>
      </c>
      <c r="F310" s="282" t="s">
        <v>9</v>
      </c>
      <c r="G310" s="407" t="s">
        <v>7</v>
      </c>
      <c r="H310" s="281" t="s">
        <v>552</v>
      </c>
      <c r="I310" s="281" t="s">
        <v>10</v>
      </c>
      <c r="J310" s="407" t="s">
        <v>11</v>
      </c>
      <c r="L310" s="451"/>
      <c r="M310" s="451"/>
      <c r="N310" s="451"/>
      <c r="O310" s="451"/>
      <c r="P310" s="451"/>
    </row>
    <row r="311" spans="1:16" x14ac:dyDescent="0.25">
      <c r="A311" s="371" t="s">
        <v>559</v>
      </c>
      <c r="B311" s="520">
        <f>$B$301</f>
        <v>0</v>
      </c>
      <c r="C311" s="520">
        <f>$C$301</f>
        <v>0</v>
      </c>
      <c r="D311" s="570"/>
      <c r="E311" s="570"/>
      <c r="F311" s="570"/>
      <c r="G311" s="1">
        <f>IFERROR(D311+(E311+F311),"GAUGE")</f>
        <v>0</v>
      </c>
      <c r="H311" s="570">
        <v>39</v>
      </c>
      <c r="I311" s="521">
        <v>1</v>
      </c>
      <c r="J311" s="523">
        <f t="shared" ref="J311:J314" si="8">IFERROR(ROUND(H311*I311,1),"")</f>
        <v>39</v>
      </c>
      <c r="L311" s="451"/>
      <c r="M311" s="451"/>
      <c r="N311" s="451"/>
      <c r="O311" s="451"/>
      <c r="P311" s="451"/>
    </row>
    <row r="312" spans="1:16" x14ac:dyDescent="0.25">
      <c r="A312" s="368" t="s">
        <v>560</v>
      </c>
      <c r="B312" s="1">
        <f>$B$302</f>
        <v>0</v>
      </c>
      <c r="C312" s="1">
        <f>$C$302</f>
        <v>0</v>
      </c>
      <c r="D312" s="571"/>
      <c r="E312" s="571"/>
      <c r="F312" s="571"/>
      <c r="G312" s="1">
        <f t="shared" ref="G312:G314" si="9">IFERROR(D312+(E312+F312),"GAUGE")</f>
        <v>0</v>
      </c>
      <c r="H312" s="571"/>
      <c r="I312" s="524">
        <v>1</v>
      </c>
      <c r="J312" s="523">
        <f t="shared" si="8"/>
        <v>0</v>
      </c>
      <c r="L312" s="451"/>
      <c r="M312" s="451"/>
      <c r="N312" s="451"/>
      <c r="O312" s="451"/>
      <c r="P312" s="451"/>
    </row>
    <row r="313" spans="1:16" x14ac:dyDescent="0.25">
      <c r="A313" s="368" t="s">
        <v>561</v>
      </c>
      <c r="B313" s="1">
        <f>$B$303</f>
        <v>0</v>
      </c>
      <c r="C313" s="1">
        <f>$C$303</f>
        <v>0</v>
      </c>
      <c r="D313" s="571"/>
      <c r="E313" s="571"/>
      <c r="F313" s="571"/>
      <c r="G313" s="1">
        <f t="shared" si="9"/>
        <v>0</v>
      </c>
      <c r="H313" s="571"/>
      <c r="I313" s="524">
        <v>1</v>
      </c>
      <c r="J313" s="523">
        <f t="shared" si="8"/>
        <v>0</v>
      </c>
      <c r="L313" s="451"/>
      <c r="M313" s="451"/>
      <c r="N313" s="451"/>
      <c r="O313" s="451"/>
      <c r="P313" s="451"/>
    </row>
    <row r="314" spans="1:16" x14ac:dyDescent="0.25">
      <c r="A314" s="377" t="s">
        <v>562</v>
      </c>
      <c r="B314" s="2">
        <f>$B$304</f>
        <v>0</v>
      </c>
      <c r="C314" s="2">
        <f>$C$304</f>
        <v>0</v>
      </c>
      <c r="D314" s="572"/>
      <c r="E314" s="572"/>
      <c r="F314" s="572"/>
      <c r="G314" s="2">
        <f t="shared" si="9"/>
        <v>0</v>
      </c>
      <c r="H314" s="572">
        <v>66</v>
      </c>
      <c r="I314" s="525">
        <v>1</v>
      </c>
      <c r="J314" s="526">
        <f t="shared" si="8"/>
        <v>66</v>
      </c>
      <c r="L314" s="451"/>
      <c r="M314" s="451"/>
      <c r="N314" s="451"/>
      <c r="O314" s="451"/>
      <c r="P314" s="451"/>
    </row>
    <row r="315" spans="1:16" x14ac:dyDescent="0.25">
      <c r="A315" s="376" t="s">
        <v>14</v>
      </c>
      <c r="B315" s="285"/>
      <c r="C315" s="285"/>
      <c r="D315" s="285"/>
      <c r="E315" s="285"/>
      <c r="F315" s="285"/>
      <c r="G315" s="285"/>
      <c r="H315" s="529">
        <f>SUM($H$311:$H$314)</f>
        <v>105</v>
      </c>
      <c r="I315" s="530"/>
      <c r="J315" s="529">
        <f>SUM($J$311:$J$314)</f>
        <v>105</v>
      </c>
      <c r="L315" s="451"/>
      <c r="M315" s="451"/>
      <c r="N315" s="451"/>
      <c r="O315" s="451"/>
      <c r="P315" s="451"/>
    </row>
    <row r="316" spans="1:16" x14ac:dyDescent="0.25">
      <c r="L316" s="451"/>
      <c r="M316" s="451"/>
      <c r="N316" s="451"/>
      <c r="O316" s="451"/>
      <c r="P316" s="451"/>
    </row>
    <row r="317" spans="1:16" x14ac:dyDescent="0.25">
      <c r="L317" s="451"/>
      <c r="M317" s="451"/>
      <c r="N317" s="451"/>
      <c r="O317" s="451"/>
      <c r="P317" s="451"/>
    </row>
    <row r="318" spans="1:16" ht="15.75" x14ac:dyDescent="0.25">
      <c r="A318" s="375" t="s">
        <v>710</v>
      </c>
      <c r="B318" s="7"/>
      <c r="C318" s="7"/>
      <c r="D318" s="7"/>
      <c r="E318" s="7"/>
      <c r="F318" s="7"/>
      <c r="G318" s="7"/>
      <c r="H318" s="7"/>
      <c r="I318" s="7"/>
      <c r="J318" s="7"/>
      <c r="L318" s="451"/>
      <c r="M318" s="451"/>
      <c r="N318" s="451"/>
      <c r="O318" s="451"/>
      <c r="P318" s="451"/>
    </row>
    <row r="319" spans="1:16" x14ac:dyDescent="0.25">
      <c r="A319" s="378"/>
      <c r="B319" s="8"/>
      <c r="C319" s="8"/>
      <c r="D319" s="383"/>
      <c r="E319" s="8"/>
      <c r="F319" s="742" t="s">
        <v>563</v>
      </c>
      <c r="G319" s="742"/>
      <c r="H319" s="379"/>
      <c r="I319" s="743" t="s">
        <v>564</v>
      </c>
      <c r="J319" s="744"/>
      <c r="L319" s="451"/>
      <c r="M319" s="451"/>
      <c r="N319" s="451"/>
      <c r="O319" s="451"/>
      <c r="P319" s="451"/>
    </row>
    <row r="320" spans="1:16" ht="15.75" x14ac:dyDescent="0.25">
      <c r="A320" s="384" t="s">
        <v>565</v>
      </c>
      <c r="B320" s="385"/>
      <c r="C320" s="385"/>
      <c r="D320" s="414"/>
      <c r="E320" s="385"/>
      <c r="F320" s="745">
        <f>Draft!$H$65</f>
        <v>1028.0899999999999</v>
      </c>
      <c r="G320" s="745"/>
      <c r="H320" s="401"/>
      <c r="I320" s="745">
        <f>Draft!$Z$65</f>
        <v>1028.0899999999999</v>
      </c>
      <c r="J320" s="746"/>
      <c r="L320" s="451"/>
      <c r="M320" s="451"/>
      <c r="N320" s="451"/>
      <c r="O320" s="451"/>
      <c r="P320" s="451"/>
    </row>
    <row r="321" spans="1:16" ht="15.75" x14ac:dyDescent="0.25">
      <c r="A321" s="380" t="s">
        <v>566</v>
      </c>
      <c r="D321" s="415"/>
      <c r="F321" s="739">
        <f>Draft!$H$66</f>
        <v>151.25</v>
      </c>
      <c r="G321" s="739"/>
      <c r="H321" s="402"/>
      <c r="I321" s="739">
        <f>Draft!$Z$66</f>
        <v>131.91999999999999</v>
      </c>
      <c r="J321" s="740"/>
      <c r="L321" s="451"/>
      <c r="M321" s="451"/>
      <c r="N321" s="451"/>
      <c r="O321" s="451"/>
      <c r="P321" s="451"/>
    </row>
    <row r="322" spans="1:16" ht="15.75" x14ac:dyDescent="0.25">
      <c r="A322" s="380" t="s">
        <v>567</v>
      </c>
      <c r="D322" s="415"/>
      <c r="F322" s="739" t="str">
        <f>Draft!$H$67</f>
        <v>K</v>
      </c>
      <c r="G322" s="739"/>
      <c r="H322" s="402"/>
      <c r="I322" s="739" t="str">
        <f>Draft!$Z$67</f>
        <v>K</v>
      </c>
      <c r="J322" s="740"/>
      <c r="L322" s="451"/>
      <c r="M322" s="451"/>
      <c r="N322" s="451"/>
      <c r="O322" s="451"/>
      <c r="P322" s="451"/>
    </row>
    <row r="323" spans="1:16" ht="15.75" x14ac:dyDescent="0.25">
      <c r="A323" s="380" t="s">
        <v>568</v>
      </c>
      <c r="D323" s="415"/>
      <c r="F323" s="739">
        <f>$J$305</f>
        <v>120</v>
      </c>
      <c r="G323" s="739"/>
      <c r="H323" s="402"/>
      <c r="I323" s="739">
        <f>$J$315</f>
        <v>105</v>
      </c>
      <c r="J323" s="740"/>
      <c r="L323" s="451"/>
      <c r="M323" s="451"/>
      <c r="N323" s="451"/>
      <c r="O323" s="451"/>
      <c r="P323" s="451"/>
    </row>
    <row r="324" spans="1:16" ht="15.75" x14ac:dyDescent="0.25">
      <c r="A324" s="380" t="s">
        <v>569</v>
      </c>
      <c r="D324" s="415"/>
      <c r="F324" s="739">
        <f>$J$258</f>
        <v>21819</v>
      </c>
      <c r="G324" s="739"/>
      <c r="H324" s="402"/>
      <c r="I324" s="739">
        <f>$J$294</f>
        <v>460.7</v>
      </c>
      <c r="J324" s="740"/>
      <c r="L324" s="451"/>
      <c r="M324" s="451"/>
      <c r="N324" s="451"/>
      <c r="O324" s="451"/>
      <c r="P324" s="451"/>
    </row>
    <row r="325" spans="1:16" ht="15.75" x14ac:dyDescent="0.25">
      <c r="A325" s="386" t="s">
        <v>570</v>
      </c>
      <c r="B325" s="387"/>
      <c r="C325" s="387"/>
      <c r="D325" s="416"/>
      <c r="E325" s="387"/>
      <c r="F325" s="733">
        <f>Draft!$H$71</f>
        <v>0</v>
      </c>
      <c r="G325" s="733"/>
      <c r="H325" s="403"/>
      <c r="I325" s="733">
        <f>Draft!$Z$71</f>
        <v>15</v>
      </c>
      <c r="J325" s="734"/>
      <c r="L325" s="451"/>
      <c r="M325" s="451"/>
      <c r="N325" s="451"/>
      <c r="O325" s="451"/>
      <c r="P325" s="451"/>
    </row>
    <row r="326" spans="1:16" ht="15.75" x14ac:dyDescent="0.25">
      <c r="A326" s="381" t="s">
        <v>14</v>
      </c>
      <c r="B326" s="8"/>
      <c r="C326" s="8"/>
      <c r="D326" s="382"/>
      <c r="E326" s="8"/>
      <c r="F326" s="735">
        <f>SUM($F$320:$G$325)</f>
        <v>23118.34</v>
      </c>
      <c r="G326" s="735"/>
      <c r="H326" s="404"/>
      <c r="I326" s="733">
        <f>SUM($I$320:$J$325)</f>
        <v>1740.71</v>
      </c>
      <c r="J326" s="733"/>
      <c r="L326" s="451"/>
      <c r="M326" s="451"/>
      <c r="N326" s="451"/>
      <c r="O326" s="451"/>
      <c r="P326" s="451"/>
    </row>
    <row r="327" spans="1:16" x14ac:dyDescent="0.25">
      <c r="L327" s="451"/>
      <c r="M327" s="451"/>
      <c r="N327" s="451"/>
      <c r="O327" s="451"/>
      <c r="P327" s="451"/>
    </row>
  </sheetData>
  <mergeCells count="169">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E262:F262"/>
    <mergeCell ref="E299:F299"/>
    <mergeCell ref="E309:F309"/>
    <mergeCell ref="I320:J320"/>
    <mergeCell ref="F319:G319"/>
    <mergeCell ref="I319:J319"/>
    <mergeCell ref="F320:G320"/>
    <mergeCell ref="A204:F204"/>
    <mergeCell ref="I206:J206"/>
    <mergeCell ref="I207:J207"/>
    <mergeCell ref="I208:J208"/>
    <mergeCell ref="G208:H208"/>
    <mergeCell ref="D220:G220"/>
    <mergeCell ref="G194:H194"/>
    <mergeCell ref="I179:J179"/>
    <mergeCell ref="I180:J180"/>
    <mergeCell ref="I181:J181"/>
    <mergeCell ref="I182:J182"/>
    <mergeCell ref="G188:H188"/>
    <mergeCell ref="I188:J188"/>
    <mergeCell ref="G180:H180"/>
    <mergeCell ref="G181:H181"/>
    <mergeCell ref="G182:H182"/>
    <mergeCell ref="F326:G326"/>
    <mergeCell ref="I321:J321"/>
    <mergeCell ref="I322:J322"/>
    <mergeCell ref="I323:J323"/>
    <mergeCell ref="I324:J324"/>
    <mergeCell ref="I325:J325"/>
    <mergeCell ref="I326:J326"/>
    <mergeCell ref="F321:G321"/>
    <mergeCell ref="F322:G322"/>
    <mergeCell ref="F323:G323"/>
    <mergeCell ref="F324:G324"/>
    <mergeCell ref="F325:G32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F93:I93"/>
    <mergeCell ref="F94:I94"/>
    <mergeCell ref="F95:I95"/>
    <mergeCell ref="G117:H117"/>
    <mergeCell ref="E134:J134"/>
    <mergeCell ref="I115:J115"/>
    <mergeCell ref="I116:J116"/>
    <mergeCell ref="I117:J117"/>
    <mergeCell ref="I118:J118"/>
    <mergeCell ref="I119:J119"/>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B100:C100"/>
    <mergeCell ref="B101:C101"/>
    <mergeCell ref="I114:J114"/>
    <mergeCell ref="G114:H114"/>
    <mergeCell ref="G118:H118"/>
    <mergeCell ref="G119:H119"/>
    <mergeCell ref="E226:F226"/>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s>
  <conditionalFormatting sqref="B94">
    <cfRule type="cellIs" dxfId="28" priority="34" operator="equal">
      <formula>0</formula>
    </cfRule>
  </conditionalFormatting>
  <conditionalFormatting sqref="F94">
    <cfRule type="cellIs" dxfId="27" priority="32" operator="equal">
      <formula>0</formula>
    </cfRule>
  </conditionalFormatting>
  <conditionalFormatting sqref="F95:F100">
    <cfRule type="cellIs" dxfId="26" priority="30" operator="equal">
      <formula>0</formula>
    </cfRule>
  </conditionalFormatting>
  <conditionalFormatting sqref="B95:B100">
    <cfRule type="cellIs" dxfId="25" priority="27" operator="equal">
      <formula>0</formula>
    </cfRule>
  </conditionalFormatting>
  <conditionalFormatting sqref="D94">
    <cfRule type="cellIs" dxfId="24" priority="29" operator="equal">
      <formula>0</formula>
    </cfRule>
  </conditionalFormatting>
  <conditionalFormatting sqref="D95:D100">
    <cfRule type="cellIs" dxfId="23" priority="28" operator="equal">
      <formula>0</formula>
    </cfRule>
  </conditionalFormatting>
  <conditionalFormatting sqref="G214:I214">
    <cfRule type="expression" dxfId="22" priority="40">
      <formula>$G$214=0</formula>
    </cfRule>
  </conditionalFormatting>
  <conditionalFormatting sqref="F214">
    <cfRule type="expression" dxfId="21" priority="41">
      <formula>#REF!=0</formula>
    </cfRule>
  </conditionalFormatting>
  <conditionalFormatting sqref="F215:F218">
    <cfRule type="expression" dxfId="20" priority="42">
      <formula>#REF!=0</formula>
    </cfRule>
  </conditionalFormatting>
  <conditionalFormatting sqref="G213:I213">
    <cfRule type="expression" dxfId="19" priority="15">
      <formula>$G$213=0</formula>
    </cfRule>
  </conditionalFormatting>
  <conditionalFormatting sqref="G215:I218">
    <cfRule type="expression" dxfId="18" priority="14">
      <formula>$G$215=0</formula>
    </cfRule>
  </conditionalFormatting>
  <conditionalFormatting sqref="H225">
    <cfRule type="cellIs" dxfId="17" priority="6" operator="equal">
      <formula>0</formula>
    </cfRule>
  </conditionalFormatting>
  <conditionalFormatting sqref="H261">
    <cfRule type="cellIs" dxfId="16" priority="5" operator="equal">
      <formula>0</formula>
    </cfRule>
  </conditionalFormatting>
  <conditionalFormatting sqref="G221:I222 G216:I216 H220:I220">
    <cfRule type="expression" dxfId="15" priority="43">
      <formula>$G$216=0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&amp;RPGUA/DS/068/26</oddHeader>
    <oddFooter>&amp;C&amp;P</oddFooter>
  </headerFooter>
  <rowBreaks count="6" manualBreakCount="6">
    <brk id="33" max="9" man="1"/>
    <brk id="67" max="9" man="1"/>
    <brk id="111" max="9" man="1"/>
    <brk id="155" max="9" man="1"/>
    <brk id="222" max="9" man="1"/>
    <brk id="29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79" activePane="bottomLeft" state="frozen"/>
      <selection activeCell="L29" sqref="L29"/>
      <selection pane="bottomLeft" activeCell="J90" sqref="J90"/>
    </sheetView>
  </sheetViews>
  <sheetFormatPr defaultColWidth="12.7109375" defaultRowHeight="12.75" x14ac:dyDescent="0.2"/>
  <cols>
    <col min="1" max="18" width="10.7109375" style="92" customWidth="1"/>
    <col min="19" max="16384" width="12.7109375" style="92"/>
  </cols>
  <sheetData>
    <row r="1" spans="1:18" ht="27" customHeight="1" x14ac:dyDescent="0.2">
      <c r="A1" s="90" t="s">
        <v>109</v>
      </c>
      <c r="B1" s="90"/>
      <c r="C1" s="90"/>
      <c r="D1" s="90" t="s">
        <v>358</v>
      </c>
      <c r="E1" s="90"/>
      <c r="F1" s="90"/>
      <c r="G1" s="91"/>
      <c r="H1" s="90"/>
      <c r="K1" s="90" t="s">
        <v>109</v>
      </c>
      <c r="L1" s="90"/>
      <c r="M1" s="90"/>
      <c r="N1" s="90" t="s">
        <v>358</v>
      </c>
      <c r="O1" s="90"/>
      <c r="P1" s="90"/>
      <c r="Q1" s="91"/>
      <c r="R1" s="90"/>
    </row>
    <row r="2" spans="1:18" s="100" customFormat="1" ht="12.75" customHeight="1" thickBot="1" x14ac:dyDescent="0.3">
      <c r="A2" s="93" t="s">
        <v>359</v>
      </c>
      <c r="B2" s="94" t="s">
        <v>360</v>
      </c>
      <c r="C2" s="95" t="s">
        <v>361</v>
      </c>
      <c r="D2" s="96" t="s">
        <v>362</v>
      </c>
      <c r="E2" s="96"/>
      <c r="F2" s="97" t="s">
        <v>363</v>
      </c>
      <c r="G2" s="98" t="s">
        <v>364</v>
      </c>
      <c r="H2" s="99" t="s">
        <v>365</v>
      </c>
      <c r="K2" s="93" t="s">
        <v>359</v>
      </c>
      <c r="L2" s="94" t="s">
        <v>360</v>
      </c>
      <c r="M2" s="95" t="s">
        <v>361</v>
      </c>
      <c r="N2" s="96" t="s">
        <v>362</v>
      </c>
      <c r="O2" s="96"/>
      <c r="P2" s="97" t="s">
        <v>363</v>
      </c>
      <c r="Q2" s="98" t="s">
        <v>364</v>
      </c>
      <c r="R2" s="99" t="s">
        <v>365</v>
      </c>
    </row>
    <row r="3" spans="1:18" s="100" customFormat="1" ht="12.75" customHeight="1" thickTop="1" thickBot="1" x14ac:dyDescent="0.3">
      <c r="A3" s="101"/>
      <c r="B3" s="102" t="s">
        <v>366</v>
      </c>
      <c r="C3" s="103" t="s">
        <v>367</v>
      </c>
      <c r="D3" s="104">
        <v>0.5</v>
      </c>
      <c r="E3" s="104">
        <v>1</v>
      </c>
      <c r="F3" s="105">
        <f>Draft!$P$29</f>
        <v>0.38999999999999968</v>
      </c>
      <c r="G3" s="106"/>
      <c r="H3" s="107" t="s">
        <v>368</v>
      </c>
      <c r="I3" s="108"/>
      <c r="K3" s="101"/>
      <c r="L3" s="102" t="s">
        <v>366</v>
      </c>
      <c r="M3" s="103" t="s">
        <v>367</v>
      </c>
      <c r="N3" s="104">
        <v>1</v>
      </c>
      <c r="O3" s="104">
        <v>2</v>
      </c>
      <c r="P3" s="105">
        <f>Draft!$AH$29</f>
        <v>5.8799999999999741E-2</v>
      </c>
      <c r="Q3" s="106"/>
      <c r="R3" s="107" t="s">
        <v>368</v>
      </c>
    </row>
    <row r="4" spans="1:18" ht="12.75" customHeight="1" thickTop="1" thickBot="1" x14ac:dyDescent="0.3">
      <c r="A4" s="109" t="str">
        <f>Relato!$A$228</f>
        <v>F.PK</v>
      </c>
      <c r="B4" s="1182">
        <f>Relato!$G$228</f>
        <v>9.48</v>
      </c>
      <c r="C4" s="110">
        <v>9.3000000000000007</v>
      </c>
      <c r="D4" s="111">
        <v>1495.5</v>
      </c>
      <c r="E4" s="111">
        <v>1494.7</v>
      </c>
      <c r="F4" s="112">
        <f>IF(E4="",D4,ROUND((((E6-D6)/($E$3-$D$3))*($F$3-$D$3))+D6,1))</f>
        <v>1495.7</v>
      </c>
      <c r="G4" s="113">
        <v>1.02</v>
      </c>
      <c r="H4" s="114">
        <f>ROUND(F4*G4,1)</f>
        <v>1525.6</v>
      </c>
      <c r="K4" s="109" t="str">
        <f>Relato!$A$228</f>
        <v>F.PK</v>
      </c>
      <c r="L4" s="1182">
        <f>Relato!$D$265</f>
        <v>0.08</v>
      </c>
      <c r="M4" s="110">
        <f>ROUNDDOWN(L4,1)</f>
        <v>0</v>
      </c>
      <c r="N4" s="111"/>
      <c r="O4" s="111"/>
      <c r="P4" s="112">
        <f>IF(O4="",N4,ROUND((((O6-N6)/($E$3-$D$3))*($F$3-$D$3))+N6,1))</f>
        <v>0</v>
      </c>
      <c r="Q4" s="113">
        <v>1.0249999999999999</v>
      </c>
      <c r="R4" s="114">
        <f>ROUND(P4*Q4,1)</f>
        <v>0</v>
      </c>
    </row>
    <row r="5" spans="1:18" ht="12.75" customHeight="1" thickTop="1" x14ac:dyDescent="0.25">
      <c r="A5" s="109"/>
      <c r="B5" s="1182"/>
      <c r="C5" s="110">
        <v>21.12</v>
      </c>
      <c r="D5" s="111">
        <v>1495.9</v>
      </c>
      <c r="E5" s="111">
        <v>1495.9</v>
      </c>
      <c r="F5" s="116" t="str">
        <f>IF(E4="","full","slack")</f>
        <v>slack</v>
      </c>
      <c r="G5" s="112"/>
      <c r="H5" s="114"/>
      <c r="I5" s="115"/>
      <c r="K5" s="109"/>
      <c r="L5" s="1182"/>
      <c r="M5" s="110">
        <f>IF(ROUNDUP(L4,1)=M4,"",ROUNDUP(L4,1))</f>
        <v>0.1</v>
      </c>
      <c r="N5" s="111"/>
      <c r="O5" s="111"/>
      <c r="P5" s="116" t="str">
        <f>IF(O4="","full","slack")</f>
        <v>full</v>
      </c>
      <c r="Q5" s="112"/>
      <c r="R5" s="114"/>
    </row>
    <row r="6" spans="1:18" ht="12.75" customHeight="1" x14ac:dyDescent="0.25">
      <c r="A6" s="117"/>
      <c r="B6" s="118"/>
      <c r="C6" s="119"/>
      <c r="D6" s="120">
        <f>IF(D5="",D4,(((D5-D4)/(C5-C4))*(B4-C4))+D4)</f>
        <v>1495.5060913705584</v>
      </c>
      <c r="E6" s="120">
        <f>IF(E5="",E4,(((E5-E4)/(C5-C4))*(B4-C4))+E4)</f>
        <v>1494.7182741116751</v>
      </c>
      <c r="F6" s="121"/>
      <c r="G6" s="121"/>
      <c r="H6" s="122"/>
      <c r="K6" s="117"/>
      <c r="L6" s="118"/>
      <c r="M6" s="119"/>
      <c r="N6" s="120">
        <f>IF(N5="",N4,(((N5-N4)/(M5-M4))*(L4-M4))+N4)</f>
        <v>0</v>
      </c>
      <c r="O6" s="120">
        <f>IF(O5="",O4,(((O5-O4)/(M5-M4))*(L4-M4))+O4)</f>
        <v>0</v>
      </c>
      <c r="P6" s="121"/>
      <c r="Q6" s="121"/>
      <c r="R6" s="122"/>
    </row>
    <row r="7" spans="1:18" ht="12.75" customHeight="1" x14ac:dyDescent="0.25">
      <c r="A7" s="123" t="str">
        <f>Relato!$A$229</f>
        <v>1 WBT (P)</v>
      </c>
      <c r="B7" s="1182">
        <f>Relato!$G$229</f>
        <v>20.6</v>
      </c>
      <c r="C7" s="110">
        <v>20.55</v>
      </c>
      <c r="D7" s="124">
        <v>1609.7</v>
      </c>
      <c r="E7" s="124">
        <v>1609.8</v>
      </c>
      <c r="F7" s="125">
        <f>ROUND((((E9-D9)/($E$3-$D$3))*($F$3-$D$3))+D9,1)</f>
        <v>1609.7</v>
      </c>
      <c r="G7" s="126">
        <f>G4</f>
        <v>1.02</v>
      </c>
      <c r="H7" s="127">
        <f>ROUND(F7*G7,1)</f>
        <v>1641.9</v>
      </c>
      <c r="I7" s="115"/>
      <c r="K7" s="123" t="str">
        <f>Relato!$A$229</f>
        <v>1 WBT (P)</v>
      </c>
      <c r="L7" s="1182">
        <f>Relato!$D$266</f>
        <v>7.0000000000000007E-2</v>
      </c>
      <c r="M7" s="110">
        <f>ROUNDDOWN(L7,1)</f>
        <v>0</v>
      </c>
      <c r="N7" s="124"/>
      <c r="O7" s="124"/>
      <c r="P7" s="125">
        <f>ROUND((((O9-N9)/($E$3-$D$3))*($F$3-$D$3))+N9,1)</f>
        <v>0</v>
      </c>
      <c r="Q7" s="126">
        <f>Q4</f>
        <v>1.0249999999999999</v>
      </c>
      <c r="R7" s="127">
        <f>ROUND(P7*Q7,1)</f>
        <v>0</v>
      </c>
    </row>
    <row r="8" spans="1:18" ht="12.75" customHeight="1" x14ac:dyDescent="0.25">
      <c r="A8" s="109"/>
      <c r="B8" s="1182"/>
      <c r="C8" s="110">
        <v>20.88</v>
      </c>
      <c r="D8" s="128">
        <v>1610.1</v>
      </c>
      <c r="E8" s="128">
        <v>1610.1</v>
      </c>
      <c r="F8" s="112"/>
      <c r="G8" s="112"/>
      <c r="H8" s="114"/>
      <c r="K8" s="109"/>
      <c r="L8" s="1182"/>
      <c r="M8" s="110">
        <f>IF(ROUNDUP(L7,1)=M7,"",ROUNDUP(L7,1))</f>
        <v>0.1</v>
      </c>
      <c r="N8" s="128"/>
      <c r="O8" s="128"/>
      <c r="P8" s="112"/>
      <c r="Q8" s="112"/>
      <c r="R8" s="114"/>
    </row>
    <row r="9" spans="1:18" ht="12.75" customHeight="1" x14ac:dyDescent="0.25">
      <c r="A9" s="117"/>
      <c r="B9" s="118"/>
      <c r="C9" s="119"/>
      <c r="D9" s="120">
        <f>(((D8-D7)/(C8-C7))*(B7-C7))+D7</f>
        <v>1609.7606060606061</v>
      </c>
      <c r="E9" s="120">
        <f>(((E8-E7)/(C8-C7))*(B7-C7))+E7</f>
        <v>1609.8454545454545</v>
      </c>
      <c r="F9" s="121"/>
      <c r="G9" s="121"/>
      <c r="H9" s="122"/>
      <c r="K9" s="117"/>
      <c r="L9" s="118"/>
      <c r="M9" s="119"/>
      <c r="N9" s="120">
        <f>(((N8-N7)/(M8-M7))*(L7-M7))+N7</f>
        <v>0</v>
      </c>
      <c r="O9" s="120">
        <f>(((O8-O7)/(M8-M7))*(L7-M7))+O7</f>
        <v>0</v>
      </c>
      <c r="P9" s="121"/>
      <c r="Q9" s="121"/>
      <c r="R9" s="122"/>
    </row>
    <row r="10" spans="1:18" ht="12.75" customHeight="1" x14ac:dyDescent="0.25">
      <c r="A10" s="123" t="str">
        <f>Relato!$A$230</f>
        <v>1 WBT (S)</v>
      </c>
      <c r="B10" s="1182">
        <f>Relato!$G$230</f>
        <v>20.6</v>
      </c>
      <c r="C10" s="129">
        <v>20.55</v>
      </c>
      <c r="D10" s="124">
        <v>1609.7</v>
      </c>
      <c r="E10" s="124">
        <v>1609.8</v>
      </c>
      <c r="F10" s="125">
        <f>ROUND((((E12-D12)/($E$3-$D$3))*($F$3-$D$3))+D12,1)</f>
        <v>1609.7</v>
      </c>
      <c r="G10" s="126">
        <f>G7</f>
        <v>1.02</v>
      </c>
      <c r="H10" s="127">
        <f>ROUND(F10*G10,1)</f>
        <v>1641.9</v>
      </c>
      <c r="I10" s="115"/>
      <c r="K10" s="123" t="str">
        <f>Relato!$A$230</f>
        <v>1 WBT (S)</v>
      </c>
      <c r="L10" s="1182">
        <f>Relato!$D$267</f>
        <v>0.06</v>
      </c>
      <c r="M10" s="129">
        <f>ROUNDDOWN(L10,1)</f>
        <v>0</v>
      </c>
      <c r="N10" s="124"/>
      <c r="O10" s="124"/>
      <c r="P10" s="125">
        <f>ROUND((((O12-N12)/($E$3-$D$3))*($F$3-$D$3))+N12,1)</f>
        <v>0</v>
      </c>
      <c r="Q10" s="126">
        <f>Q7</f>
        <v>1.0249999999999999</v>
      </c>
      <c r="R10" s="127">
        <f>ROUND(P10*Q10,1)</f>
        <v>0</v>
      </c>
    </row>
    <row r="11" spans="1:18" ht="12.75" customHeight="1" x14ac:dyDescent="0.25">
      <c r="A11" s="109"/>
      <c r="B11" s="1182"/>
      <c r="C11" s="110">
        <v>20.869</v>
      </c>
      <c r="D11" s="128">
        <v>1610.1</v>
      </c>
      <c r="E11" s="128">
        <v>1610.1</v>
      </c>
      <c r="F11" s="112"/>
      <c r="G11" s="112"/>
      <c r="H11" s="114"/>
      <c r="K11" s="109"/>
      <c r="L11" s="1182"/>
      <c r="M11" s="110">
        <f>IF(ROUNDUP(L10,1)=M10,"",ROUNDUP(L10,1))</f>
        <v>0.1</v>
      </c>
      <c r="N11" s="128"/>
      <c r="O11" s="128"/>
      <c r="P11" s="112"/>
      <c r="Q11" s="112"/>
      <c r="R11" s="114"/>
    </row>
    <row r="12" spans="1:18" ht="12.75" customHeight="1" x14ac:dyDescent="0.25">
      <c r="A12" s="117"/>
      <c r="B12" s="118"/>
      <c r="C12" s="119"/>
      <c r="D12" s="120">
        <f>(((D11-D10)/(C11-C10))*(B10-C10))+D10</f>
        <v>1609.762695924765</v>
      </c>
      <c r="E12" s="120">
        <f>(((E11-E10)/(C11-C10))*(B10-C10))+E10</f>
        <v>1609.8470219435735</v>
      </c>
      <c r="F12" s="121"/>
      <c r="G12" s="121"/>
      <c r="H12" s="122"/>
      <c r="K12" s="117"/>
      <c r="L12" s="118"/>
      <c r="M12" s="119"/>
      <c r="N12" s="120">
        <f>(((N11-N10)/(M11-M10))*(L10-M10))+N10</f>
        <v>0</v>
      </c>
      <c r="O12" s="120">
        <f>(((O11-O10)/(M11-M10))*(L10-M10))+O10</f>
        <v>0</v>
      </c>
      <c r="P12" s="121"/>
      <c r="Q12" s="121"/>
      <c r="R12" s="122"/>
    </row>
    <row r="13" spans="1:18" ht="12.75" customHeight="1" x14ac:dyDescent="0.25">
      <c r="A13" s="123" t="str">
        <f>Relato!$A$231</f>
        <v>2 WBT (P)</v>
      </c>
      <c r="B13" s="1182">
        <f>Relato!$G$231</f>
        <v>20.6</v>
      </c>
      <c r="C13" s="129">
        <f>ROUNDDOWN(B13,1)</f>
        <v>20.6</v>
      </c>
      <c r="D13" s="124">
        <v>1605.7</v>
      </c>
      <c r="E13" s="124">
        <v>1605.6</v>
      </c>
      <c r="F13" s="125">
        <f>ROUND((((E15-D15)/($E$3-$D$3))*($F$3-$D$3))+D15,1)</f>
        <v>1605.7</v>
      </c>
      <c r="G13" s="126">
        <f>G10</f>
        <v>1.02</v>
      </c>
      <c r="H13" s="127">
        <f>ROUND(F13*G13,1)</f>
        <v>1637.8</v>
      </c>
      <c r="I13" s="115"/>
      <c r="K13" s="123" t="str">
        <f>Relato!$A$231</f>
        <v>2 WBT (P)</v>
      </c>
      <c r="L13" s="1182">
        <f>Relato!$D$268</f>
        <v>0.06</v>
      </c>
      <c r="M13" s="129">
        <f>ROUNDDOWN(L13,1)</f>
        <v>0</v>
      </c>
      <c r="N13" s="124"/>
      <c r="O13" s="124"/>
      <c r="P13" s="125">
        <f>ROUND((((O15-N15)/($E$3-$D$3))*($F$3-$D$3))+N15,1)</f>
        <v>0</v>
      </c>
      <c r="Q13" s="126">
        <f>Q10</f>
        <v>1.0249999999999999</v>
      </c>
      <c r="R13" s="127">
        <f>ROUND(P13*Q13,1)</f>
        <v>0</v>
      </c>
    </row>
    <row r="14" spans="1:18" ht="12.75" customHeight="1" x14ac:dyDescent="0.25">
      <c r="A14" s="109"/>
      <c r="B14" s="1182"/>
      <c r="C14" s="110">
        <v>20.710999999999999</v>
      </c>
      <c r="D14" s="128">
        <v>1605.7</v>
      </c>
      <c r="E14" s="128">
        <v>1605.7</v>
      </c>
      <c r="F14" s="112"/>
      <c r="G14" s="112"/>
      <c r="H14" s="114"/>
      <c r="K14" s="109"/>
      <c r="L14" s="1182"/>
      <c r="M14" s="110">
        <f>IF(ROUNDUP(L13,1)=M13,"",ROUNDUP(L13,1))</f>
        <v>0.1</v>
      </c>
      <c r="N14" s="128"/>
      <c r="O14" s="128"/>
      <c r="P14" s="112"/>
      <c r="Q14" s="112"/>
      <c r="R14" s="114"/>
    </row>
    <row r="15" spans="1:18" ht="12.75" customHeight="1" x14ac:dyDescent="0.25">
      <c r="A15" s="117"/>
      <c r="B15" s="118"/>
      <c r="C15" s="119"/>
      <c r="D15" s="120">
        <f>(((D14-D13)/(C14-C13))*(B13-C13))+D13</f>
        <v>1605.7</v>
      </c>
      <c r="E15" s="120">
        <f>(((E14-E13)/(C14-C13))*(B13-C13))+E13</f>
        <v>1605.6</v>
      </c>
      <c r="F15" s="121"/>
      <c r="G15" s="121"/>
      <c r="H15" s="122"/>
      <c r="K15" s="117"/>
      <c r="L15" s="118"/>
      <c r="M15" s="119"/>
      <c r="N15" s="120">
        <f>(((N14-N13)/(M14-M13))*(L13-M13))+N13</f>
        <v>0</v>
      </c>
      <c r="O15" s="120">
        <f>(((O14-O13)/(M14-M13))*(L13-M13))+O13</f>
        <v>0</v>
      </c>
      <c r="P15" s="121"/>
      <c r="Q15" s="121"/>
      <c r="R15" s="122"/>
    </row>
    <row r="16" spans="1:18" ht="12.75" customHeight="1" x14ac:dyDescent="0.25">
      <c r="A16" s="123" t="str">
        <f>Relato!$A$232</f>
        <v>2 WBT (S)</v>
      </c>
      <c r="B16" s="1182">
        <f>Relato!$G$232</f>
        <v>20.6</v>
      </c>
      <c r="C16" s="129">
        <f>ROUNDDOWN(B16,1)</f>
        <v>20.6</v>
      </c>
      <c r="D16" s="124">
        <v>1605.7</v>
      </c>
      <c r="E16" s="124">
        <v>1605.7</v>
      </c>
      <c r="F16" s="125">
        <f>ROUND((((E18-D18)/($E$3-$D$3))*($F$3-$D$3))+D18,1)</f>
        <v>1605.7</v>
      </c>
      <c r="G16" s="126">
        <f>G13</f>
        <v>1.02</v>
      </c>
      <c r="H16" s="127">
        <f>ROUND(F16*G16,1)</f>
        <v>1637.8</v>
      </c>
      <c r="I16" s="115"/>
      <c r="K16" s="123" t="str">
        <f>Relato!$A$232</f>
        <v>2 WBT (S)</v>
      </c>
      <c r="L16" s="1182">
        <f>Relato!$D$269</f>
        <v>0.03</v>
      </c>
      <c r="M16" s="129">
        <f>ROUNDDOWN(L16,1)</f>
        <v>0</v>
      </c>
      <c r="N16" s="124"/>
      <c r="O16" s="124"/>
      <c r="P16" s="125">
        <f>ROUND((((O18-N18)/($E$3-$D$3))*($F$3-$D$3))+N18,1)</f>
        <v>0</v>
      </c>
      <c r="Q16" s="126">
        <f>Q13</f>
        <v>1.0249999999999999</v>
      </c>
      <c r="R16" s="127">
        <f>ROUND(P16*Q16,1)</f>
        <v>0</v>
      </c>
    </row>
    <row r="17" spans="1:18" ht="12.75" customHeight="1" x14ac:dyDescent="0.25">
      <c r="A17" s="109"/>
      <c r="B17" s="1182"/>
      <c r="C17" s="110">
        <v>20.7</v>
      </c>
      <c r="D17" s="128">
        <v>1605.7</v>
      </c>
      <c r="E17" s="128">
        <v>1605.7</v>
      </c>
      <c r="F17" s="112"/>
      <c r="G17" s="112"/>
      <c r="H17" s="114"/>
      <c r="K17" s="109"/>
      <c r="L17" s="1182"/>
      <c r="M17" s="110">
        <f>IF(ROUNDUP(L16,1)=M16,"",ROUNDUP(L16,1))</f>
        <v>0.1</v>
      </c>
      <c r="N17" s="128"/>
      <c r="O17" s="128"/>
      <c r="P17" s="112"/>
      <c r="Q17" s="112"/>
      <c r="R17" s="114"/>
    </row>
    <row r="18" spans="1:18" ht="12.75" customHeight="1" x14ac:dyDescent="0.25">
      <c r="A18" s="117"/>
      <c r="B18" s="118"/>
      <c r="C18" s="119"/>
      <c r="D18" s="120">
        <f>(((D17-D16)/(C17-C16))*(B16-C16))+D16</f>
        <v>1605.7</v>
      </c>
      <c r="E18" s="120">
        <f>(((E17-E16)/(C17-C16))*(B16-C16))+E16</f>
        <v>1605.7</v>
      </c>
      <c r="F18" s="121"/>
      <c r="G18" s="121"/>
      <c r="H18" s="122"/>
      <c r="K18" s="117"/>
      <c r="L18" s="118"/>
      <c r="M18" s="119"/>
      <c r="N18" s="120">
        <f>(((N17-N16)/(M17-M16))*(L16-M16))+N16</f>
        <v>0</v>
      </c>
      <c r="O18" s="120">
        <f>(((O17-O16)/(M17-M16))*(L16-M16))+O16</f>
        <v>0</v>
      </c>
      <c r="P18" s="121"/>
      <c r="Q18" s="121"/>
      <c r="R18" s="122"/>
    </row>
    <row r="19" spans="1:18" ht="12.75" customHeight="1" x14ac:dyDescent="0.25">
      <c r="A19" s="123" t="str">
        <f>Relato!$A$233</f>
        <v>3 WBT (P)</v>
      </c>
      <c r="B19" s="1182">
        <f>Relato!$G$233</f>
        <v>20.61</v>
      </c>
      <c r="C19" s="129">
        <f>ROUNDDOWN(B19,1)</f>
        <v>20.6</v>
      </c>
      <c r="D19" s="124">
        <v>3209</v>
      </c>
      <c r="E19" s="124">
        <v>3204.5</v>
      </c>
      <c r="F19" s="125">
        <f>ROUND((((E21-D21)/($E$3-$D$3))*($F$3-$D$3))+D21,1)</f>
        <v>3210</v>
      </c>
      <c r="G19" s="126">
        <f>G16</f>
        <v>1.02</v>
      </c>
      <c r="H19" s="127">
        <f>ROUND(F19*G19,1)</f>
        <v>3274.2</v>
      </c>
      <c r="I19" s="115"/>
      <c r="K19" s="123" t="str">
        <f>Relato!$A$233</f>
        <v>3 WBT (P)</v>
      </c>
      <c r="L19" s="1182">
        <f>Relato!$D$270</f>
        <v>0.1</v>
      </c>
      <c r="M19" s="129">
        <f>ROUNDDOWN(L19,1)</f>
        <v>0.1</v>
      </c>
      <c r="N19" s="124"/>
      <c r="O19" s="124"/>
      <c r="P19" s="125" t="e">
        <f>ROUND((((O21-N21)/($E$3-$D$3))*($F$3-$D$3))+N21,1)</f>
        <v>#VALUE!</v>
      </c>
      <c r="Q19" s="126">
        <f>Q16</f>
        <v>1.0249999999999999</v>
      </c>
      <c r="R19" s="127" t="e">
        <f>ROUND(P19*Q19,1)</f>
        <v>#VALUE!</v>
      </c>
    </row>
    <row r="20" spans="1:18" ht="12.75" customHeight="1" x14ac:dyDescent="0.25">
      <c r="A20" s="109"/>
      <c r="B20" s="1182"/>
      <c r="C20" s="110">
        <f>IF(ROUNDUP(B19,1)=C19,"",ROUNDUP(B19,1))</f>
        <v>20.700000000000003</v>
      </c>
      <c r="D20" s="128">
        <v>3209.9</v>
      </c>
      <c r="E20" s="128">
        <v>3209.3</v>
      </c>
      <c r="F20" s="112"/>
      <c r="G20" s="112"/>
      <c r="H20" s="114"/>
      <c r="K20" s="109"/>
      <c r="L20" s="1182"/>
      <c r="M20" s="110" t="str">
        <f>IF(ROUNDUP(L19,1)=M19,"",ROUNDUP(L19,1))</f>
        <v/>
      </c>
      <c r="N20" s="128"/>
      <c r="O20" s="128"/>
      <c r="P20" s="112"/>
      <c r="Q20" s="112"/>
      <c r="R20" s="114"/>
    </row>
    <row r="21" spans="1:18" ht="12.75" customHeight="1" x14ac:dyDescent="0.25">
      <c r="A21" s="117"/>
      <c r="B21" s="118"/>
      <c r="C21" s="119"/>
      <c r="D21" s="120">
        <f>(((D20-D19)/(C20-C19))*(B19-C19))+D19</f>
        <v>3209.09</v>
      </c>
      <c r="E21" s="120">
        <f>(((E20-E19)/(C20-C19))*(B19-C19))+E19</f>
        <v>3204.98</v>
      </c>
      <c r="F21" s="121"/>
      <c r="G21" s="121"/>
      <c r="H21" s="122"/>
      <c r="K21" s="117"/>
      <c r="L21" s="118"/>
      <c r="M21" s="119"/>
      <c r="N21" s="120" t="e">
        <f>(((N20-N19)/(M20-M19))*(L19-M19))+N19</f>
        <v>#VALUE!</v>
      </c>
      <c r="O21" s="120" t="e">
        <f>(((O20-O19)/(M20-M19))*(L19-M19))+O19</f>
        <v>#VALUE!</v>
      </c>
      <c r="P21" s="121"/>
      <c r="Q21" s="121"/>
      <c r="R21" s="122"/>
    </row>
    <row r="22" spans="1:18" ht="12.75" customHeight="1" x14ac:dyDescent="0.25">
      <c r="A22" s="123" t="str">
        <f>Relato!$A$234</f>
        <v>3 WBT (S)</v>
      </c>
      <c r="B22" s="1182">
        <f>Relato!$G$234</f>
        <v>20.61</v>
      </c>
      <c r="C22" s="129">
        <f>ROUNDDOWN(B22,1)</f>
        <v>20.6</v>
      </c>
      <c r="D22" s="124">
        <v>3209</v>
      </c>
      <c r="E22" s="124">
        <v>3204.6</v>
      </c>
      <c r="F22" s="125">
        <f>ROUND((((E24-D24)/($E$3-$D$3))*($F$3-$D$3))+D24,1)</f>
        <v>3210</v>
      </c>
      <c r="G22" s="126">
        <f>G19</f>
        <v>1.02</v>
      </c>
      <c r="H22" s="127">
        <f>ROUND(F22*G22,1)</f>
        <v>3274.2</v>
      </c>
      <c r="I22" s="115"/>
      <c r="K22" s="123" t="str">
        <f>Relato!$A$234</f>
        <v>3 WBT (S)</v>
      </c>
      <c r="L22" s="1182">
        <f>Relato!$D$271</f>
        <v>0.04</v>
      </c>
      <c r="M22" s="129">
        <f>ROUNDDOWN(L22,1)</f>
        <v>0</v>
      </c>
      <c r="N22" s="124"/>
      <c r="O22" s="124"/>
      <c r="P22" s="125">
        <f>ROUND((((O24-N24)/($E$3-$D$3))*($F$3-$D$3))+N24,1)</f>
        <v>0</v>
      </c>
      <c r="Q22" s="126">
        <f>Q19</f>
        <v>1.0249999999999999</v>
      </c>
      <c r="R22" s="127">
        <f>ROUND(P22*Q22,1)</f>
        <v>0</v>
      </c>
    </row>
    <row r="23" spans="1:18" ht="12.75" customHeight="1" x14ac:dyDescent="0.25">
      <c r="A23" s="109"/>
      <c r="B23" s="1182"/>
      <c r="C23" s="110">
        <f>IF(ROUNDUP(B22,1)=C22,"",ROUNDUP(B22,1))</f>
        <v>20.700000000000003</v>
      </c>
      <c r="D23" s="128">
        <v>3209.9</v>
      </c>
      <c r="E23" s="128">
        <v>3209.3</v>
      </c>
      <c r="F23" s="112"/>
      <c r="G23" s="112"/>
      <c r="H23" s="114"/>
      <c r="K23" s="109"/>
      <c r="L23" s="1182"/>
      <c r="M23" s="110">
        <f>IF(ROUNDUP(L22,1)=M22,"",ROUNDUP(L22,1))</f>
        <v>0.1</v>
      </c>
      <c r="N23" s="128"/>
      <c r="O23" s="128"/>
      <c r="P23" s="112"/>
      <c r="Q23" s="112"/>
      <c r="R23" s="114"/>
    </row>
    <row r="24" spans="1:18" ht="12.75" customHeight="1" x14ac:dyDescent="0.25">
      <c r="A24" s="117"/>
      <c r="B24" s="118"/>
      <c r="C24" s="119"/>
      <c r="D24" s="120">
        <f>(((D23-D22)/(C23-C22))*(B22-C22))+D22</f>
        <v>3209.09</v>
      </c>
      <c r="E24" s="120">
        <f>(((E23-E22)/(C23-C22))*(B22-C22))+E22</f>
        <v>3205.0699999999997</v>
      </c>
      <c r="F24" s="121"/>
      <c r="G24" s="121"/>
      <c r="H24" s="122"/>
      <c r="K24" s="117"/>
      <c r="L24" s="118"/>
      <c r="M24" s="119"/>
      <c r="N24" s="120">
        <f>(((N23-N22)/(M23-M22))*(L22-M22))+N22</f>
        <v>0</v>
      </c>
      <c r="O24" s="120">
        <f>(((O23-O22)/(M23-M22))*(L22-M22))+O22</f>
        <v>0</v>
      </c>
      <c r="P24" s="121"/>
      <c r="Q24" s="121"/>
      <c r="R24" s="122"/>
    </row>
    <row r="25" spans="1:18" ht="12.75" customHeight="1" x14ac:dyDescent="0.25">
      <c r="A25" s="123" t="str">
        <f>Relato!$A$235</f>
        <v>4 WBT (P)</v>
      </c>
      <c r="B25" s="1182">
        <f>Relato!$G$235</f>
        <v>20.6</v>
      </c>
      <c r="C25" s="129">
        <f>ROUNDDOWN(B25,1)</f>
        <v>20.6</v>
      </c>
      <c r="D25" s="124">
        <v>1605</v>
      </c>
      <c r="E25" s="124">
        <v>1605.5</v>
      </c>
      <c r="F25" s="125">
        <f>ROUND((((E27-D27)/($E$3-$D$3))*($F$3-$D$3))+D27,1)</f>
        <v>1604.9</v>
      </c>
      <c r="G25" s="126">
        <f>G22</f>
        <v>1.02</v>
      </c>
      <c r="H25" s="127">
        <f>ROUND(F25*G25,1)</f>
        <v>1637</v>
      </c>
      <c r="I25" s="115"/>
      <c r="K25" s="123" t="str">
        <f>Relato!$A$235</f>
        <v>4 WBT (P)</v>
      </c>
      <c r="L25" s="1182">
        <f>Relato!$D$272</f>
        <v>0.06</v>
      </c>
      <c r="M25" s="129">
        <f>ROUNDDOWN(L25,1)</f>
        <v>0</v>
      </c>
      <c r="N25" s="124"/>
      <c r="O25" s="124"/>
      <c r="P25" s="125">
        <f>ROUND((((O27-N27)/($E$3-$D$3))*($F$3-$D$3))+N27,1)</f>
        <v>0</v>
      </c>
      <c r="Q25" s="126">
        <f>Q22</f>
        <v>1.0249999999999999</v>
      </c>
      <c r="R25" s="127">
        <f>ROUND(P25*Q25,1)</f>
        <v>0</v>
      </c>
    </row>
    <row r="26" spans="1:18" ht="12.75" customHeight="1" x14ac:dyDescent="0.25">
      <c r="A26" s="109"/>
      <c r="B26" s="1182"/>
      <c r="C26" s="110">
        <v>20.61</v>
      </c>
      <c r="D26" s="128"/>
      <c r="E26" s="128"/>
      <c r="F26" s="112"/>
      <c r="G26" s="112"/>
      <c r="H26" s="114"/>
      <c r="K26" s="109"/>
      <c r="L26" s="1182"/>
      <c r="M26" s="110">
        <f>IF(ROUNDUP(L25,1)=M25,"",ROUNDUP(L25,1))</f>
        <v>0.1</v>
      </c>
      <c r="N26" s="128"/>
      <c r="O26" s="128"/>
      <c r="P26" s="112"/>
      <c r="Q26" s="112"/>
      <c r="R26" s="114"/>
    </row>
    <row r="27" spans="1:18" ht="12.75" customHeight="1" x14ac:dyDescent="0.25">
      <c r="A27" s="117"/>
      <c r="B27" s="118"/>
      <c r="C27" s="119"/>
      <c r="D27" s="120">
        <f>(((D26-D25)/(C26-C25))*(B25-C25))+D25</f>
        <v>1605</v>
      </c>
      <c r="E27" s="120">
        <f>(((E26-E25)/(C26-C25))*(B25-C25))+E25</f>
        <v>1605.5</v>
      </c>
      <c r="F27" s="121"/>
      <c r="G27" s="121"/>
      <c r="H27" s="122"/>
      <c r="K27" s="117"/>
      <c r="L27" s="118"/>
      <c r="M27" s="119"/>
      <c r="N27" s="120">
        <f>(((N26-N25)/(M26-M25))*(L25-M25))+N25</f>
        <v>0</v>
      </c>
      <c r="O27" s="120">
        <f>(((O26-O25)/(M26-M25))*(L25-M25))+O25</f>
        <v>0</v>
      </c>
      <c r="P27" s="121"/>
      <c r="Q27" s="121"/>
      <c r="R27" s="122"/>
    </row>
    <row r="28" spans="1:18" ht="12.75" customHeight="1" x14ac:dyDescent="0.25">
      <c r="A28" s="123" t="str">
        <f>Relato!$A$236</f>
        <v>4 WBT (S)</v>
      </c>
      <c r="B28" s="1182">
        <f>Relato!$G$236</f>
        <v>20.6</v>
      </c>
      <c r="C28" s="129">
        <f>ROUNDDOWN(B28,1)</f>
        <v>20.6</v>
      </c>
      <c r="D28" s="124">
        <v>1605.5</v>
      </c>
      <c r="E28" s="124">
        <v>1605.1</v>
      </c>
      <c r="F28" s="125">
        <f>ROUND((((E30-D30)/($E$3-$D$3))*($F$3-$D$3))+D30,1)</f>
        <v>1605.6</v>
      </c>
      <c r="G28" s="126">
        <f>G25</f>
        <v>1.02</v>
      </c>
      <c r="H28" s="127">
        <f>ROUND(F28*G28,1)</f>
        <v>1637.7</v>
      </c>
      <c r="I28" s="115"/>
      <c r="K28" s="123" t="str">
        <f>Relato!$A$236</f>
        <v>4 WBT (S)</v>
      </c>
      <c r="L28" s="1182">
        <f>Relato!$D$273</f>
        <v>0.06</v>
      </c>
      <c r="M28" s="129">
        <f>ROUNDDOWN(L28,1)</f>
        <v>0</v>
      </c>
      <c r="N28" s="124"/>
      <c r="O28" s="124"/>
      <c r="P28" s="125">
        <f>ROUND((((O30-N30)/($E$3-$D$3))*($F$3-$D$3))+N30,1)</f>
        <v>0</v>
      </c>
      <c r="Q28" s="126">
        <f>Q25</f>
        <v>1.0249999999999999</v>
      </c>
      <c r="R28" s="127">
        <f>ROUND(P28*Q28,1)</f>
        <v>0</v>
      </c>
    </row>
    <row r="29" spans="1:18" ht="12.75" customHeight="1" x14ac:dyDescent="0.25">
      <c r="A29" s="109"/>
      <c r="B29" s="1182"/>
      <c r="C29" s="110">
        <v>20.61</v>
      </c>
      <c r="D29" s="128"/>
      <c r="E29" s="128"/>
      <c r="F29" s="112"/>
      <c r="G29" s="112"/>
      <c r="H29" s="114"/>
      <c r="K29" s="109"/>
      <c r="L29" s="1182"/>
      <c r="M29" s="110">
        <f>IF(ROUNDUP(L28,1)=M28,"",ROUNDUP(L28,1))</f>
        <v>0.1</v>
      </c>
      <c r="N29" s="128"/>
      <c r="O29" s="128"/>
      <c r="P29" s="112"/>
      <c r="Q29" s="112"/>
      <c r="R29" s="114"/>
    </row>
    <row r="30" spans="1:18" ht="12.75" customHeight="1" x14ac:dyDescent="0.25">
      <c r="A30" s="117"/>
      <c r="B30" s="118"/>
      <c r="C30" s="119"/>
      <c r="D30" s="120">
        <f>(((D29-D28)/(C29-C28))*(B28-C28))+D28</f>
        <v>1605.5</v>
      </c>
      <c r="E30" s="120">
        <f>(((E29-E28)/(C29-C28))*(B28-C28))+E28</f>
        <v>1605.1</v>
      </c>
      <c r="F30" s="121"/>
      <c r="G30" s="121"/>
      <c r="H30" s="122"/>
      <c r="K30" s="117"/>
      <c r="L30" s="118"/>
      <c r="M30" s="119"/>
      <c r="N30" s="120">
        <f>(((N29-N28)/(M29-M28))*(L28-M28))+N28</f>
        <v>0</v>
      </c>
      <c r="O30" s="120">
        <f>(((O29-O28)/(M29-M28))*(L28-M28))+O28</f>
        <v>0</v>
      </c>
      <c r="P30" s="121"/>
      <c r="Q30" s="121"/>
      <c r="R30" s="122"/>
    </row>
    <row r="31" spans="1:18" ht="12.75" customHeight="1" x14ac:dyDescent="0.25">
      <c r="A31" s="123" t="str">
        <f>Relato!$A$237</f>
        <v>5 WBT (P)</v>
      </c>
      <c r="B31" s="1182">
        <f>Relato!$G$237</f>
        <v>5.98</v>
      </c>
      <c r="C31" s="129">
        <f>ROUNDDOWN(B31,1)</f>
        <v>5.9</v>
      </c>
      <c r="D31" s="124">
        <v>936.59299999999996</v>
      </c>
      <c r="E31" s="124">
        <v>936.55499999999995</v>
      </c>
      <c r="F31" s="125">
        <f>ROUND((((E33-D33)/($E$3-$D$3))*($F$3-$D$3))+D33,1)</f>
        <v>936.6</v>
      </c>
      <c r="G31" s="126">
        <f>G28</f>
        <v>1.02</v>
      </c>
      <c r="H31" s="127">
        <f>ROUND(F31*G31,1)</f>
        <v>955.3</v>
      </c>
      <c r="I31" s="115"/>
      <c r="K31" s="123" t="str">
        <f>Relato!$A$237</f>
        <v>5 WBT (P)</v>
      </c>
      <c r="L31" s="1182">
        <f>Relato!$D$274</f>
        <v>0.02</v>
      </c>
      <c r="M31" s="129">
        <f>ROUNDDOWN(L31,1)</f>
        <v>0</v>
      </c>
      <c r="N31" s="124"/>
      <c r="O31" s="124"/>
      <c r="P31" s="125">
        <f>ROUND((((O33-N33)/($E$3-$D$3))*($F$3-$D$3))+N33,1)</f>
        <v>0</v>
      </c>
      <c r="Q31" s="126">
        <f>Q28</f>
        <v>1.0249999999999999</v>
      </c>
      <c r="R31" s="127">
        <f>ROUND(P31*Q31,1)</f>
        <v>0</v>
      </c>
    </row>
    <row r="32" spans="1:18" ht="12.75" customHeight="1" x14ac:dyDescent="0.25">
      <c r="A32" s="109"/>
      <c r="B32" s="1182"/>
      <c r="C32" s="110">
        <v>20.957999999999998</v>
      </c>
      <c r="D32" s="128">
        <v>936.60299999999995</v>
      </c>
      <c r="E32" s="128">
        <v>936.60299999999995</v>
      </c>
      <c r="F32" s="112"/>
      <c r="G32" s="112"/>
      <c r="H32" s="114"/>
      <c r="K32" s="109"/>
      <c r="L32" s="1182"/>
      <c r="M32" s="110">
        <f>IF(ROUNDUP(L31,1)=M31,"",ROUNDUP(L31,1))</f>
        <v>0.1</v>
      </c>
      <c r="N32" s="128"/>
      <c r="O32" s="128"/>
      <c r="P32" s="112"/>
      <c r="Q32" s="112"/>
      <c r="R32" s="114"/>
    </row>
    <row r="33" spans="1:18" ht="12.75" customHeight="1" x14ac:dyDescent="0.25">
      <c r="A33" s="117"/>
      <c r="B33" s="118"/>
      <c r="C33" s="119"/>
      <c r="D33" s="120">
        <f>(((D32-D31)/(C32-C31))*(B31-C31))+D31</f>
        <v>936.59305312790536</v>
      </c>
      <c r="E33" s="120">
        <f>(((E32-E31)/(C32-C31))*(B31-C31))+E31</f>
        <v>936.55525501394607</v>
      </c>
      <c r="F33" s="121"/>
      <c r="G33" s="121"/>
      <c r="H33" s="122"/>
      <c r="K33" s="117"/>
      <c r="L33" s="118"/>
      <c r="M33" s="119"/>
      <c r="N33" s="120">
        <f>(((N32-N31)/(M32-M31))*(L31-M31))+N31</f>
        <v>0</v>
      </c>
      <c r="O33" s="120">
        <f>(((O32-O31)/(M32-M31))*(L31-M31))+O31</f>
        <v>0</v>
      </c>
      <c r="P33" s="121"/>
      <c r="Q33" s="121"/>
      <c r="R33" s="122"/>
    </row>
    <row r="34" spans="1:18" ht="12.75" customHeight="1" x14ac:dyDescent="0.25">
      <c r="A34" s="123" t="str">
        <f>Relato!$A$238</f>
        <v>5 WBT (S)</v>
      </c>
      <c r="B34" s="1182">
        <f>Relato!$G$238</f>
        <v>5.98</v>
      </c>
      <c r="C34" s="129">
        <f>ROUNDDOWN(B34,1)</f>
        <v>5.9</v>
      </c>
      <c r="D34" s="124">
        <v>936.59</v>
      </c>
      <c r="E34" s="124">
        <v>936.55</v>
      </c>
      <c r="F34" s="125">
        <f>ROUND((((E36-D36)/($E$3-$D$3))*($F$3-$D$3))+D36,1)</f>
        <v>936.6</v>
      </c>
      <c r="G34" s="126">
        <f>G31</f>
        <v>1.02</v>
      </c>
      <c r="H34" s="127">
        <f>ROUND(F34*G34,1)</f>
        <v>955.3</v>
      </c>
      <c r="I34" s="115"/>
      <c r="K34" s="123" t="str">
        <f>Relato!$A$238</f>
        <v>5 WBT (S)</v>
      </c>
      <c r="L34" s="1182">
        <f>Relato!$D$275</f>
        <v>0.02</v>
      </c>
      <c r="M34" s="129">
        <f>ROUNDDOWN(L34,1)</f>
        <v>0</v>
      </c>
      <c r="N34" s="124"/>
      <c r="O34" s="124"/>
      <c r="P34" s="125">
        <f>ROUND((((O36-N36)/($E$3-$D$3))*($F$3-$D$3))+N36,1)</f>
        <v>0</v>
      </c>
      <c r="Q34" s="126">
        <f>Q31</f>
        <v>1.0249999999999999</v>
      </c>
      <c r="R34" s="127">
        <f>ROUND(P34*Q34,1)</f>
        <v>0</v>
      </c>
    </row>
    <row r="35" spans="1:18" ht="12.75" customHeight="1" x14ac:dyDescent="0.25">
      <c r="A35" s="109"/>
      <c r="B35" s="1182"/>
      <c r="C35" s="130">
        <v>20.960999999999999</v>
      </c>
      <c r="D35" s="128">
        <v>936.60199999999998</v>
      </c>
      <c r="E35" s="128">
        <v>936.60199999999998</v>
      </c>
      <c r="F35" s="112"/>
      <c r="G35" s="112"/>
      <c r="H35" s="114"/>
      <c r="K35" s="109"/>
      <c r="L35" s="1182"/>
      <c r="M35" s="130">
        <f>ROUNDUP(L34,1)</f>
        <v>0.1</v>
      </c>
      <c r="N35" s="128"/>
      <c r="O35" s="128"/>
      <c r="P35" s="112"/>
      <c r="Q35" s="112"/>
      <c r="R35" s="114"/>
    </row>
    <row r="36" spans="1:18" ht="12.75" customHeight="1" x14ac:dyDescent="0.25">
      <c r="A36" s="117"/>
      <c r="B36" s="118"/>
      <c r="C36" s="119"/>
      <c r="D36" s="120">
        <f>(((D35-D34)/(C35-C34))*(B34-C34))+D34</f>
        <v>936.59006374078751</v>
      </c>
      <c r="E36" s="120">
        <f>(((E35-E34)/(C35-C34))*(B34-C34))+E34</f>
        <v>936.55027621007901</v>
      </c>
      <c r="F36" s="121"/>
      <c r="G36" s="121"/>
      <c r="H36" s="122"/>
      <c r="K36" s="117"/>
      <c r="L36" s="118"/>
      <c r="M36" s="119"/>
      <c r="N36" s="120">
        <f>(((N35-N34)/(M35-M34))*(L34-M34))+N34</f>
        <v>0</v>
      </c>
      <c r="O36" s="120">
        <f>(((O35-O34)/(M35-M34))*(L34-M34))+O34</f>
        <v>0</v>
      </c>
      <c r="P36" s="121"/>
      <c r="Q36" s="121"/>
      <c r="R36" s="122"/>
    </row>
    <row r="37" spans="1:18" ht="12.75" customHeight="1" x14ac:dyDescent="0.25">
      <c r="A37" s="123" t="str">
        <f>Relato!$A$239</f>
        <v>6 WBT (P)</v>
      </c>
      <c r="B37" s="1182">
        <f>Relato!$G$239</f>
        <v>9.5</v>
      </c>
      <c r="C37" s="129">
        <f>ROUNDDOWN(B37,1)</f>
        <v>9.5</v>
      </c>
      <c r="D37" s="124">
        <v>980.40899999999999</v>
      </c>
      <c r="E37" s="124">
        <v>980.40899999999999</v>
      </c>
      <c r="F37" s="125">
        <f>ROUND((((E39-D39)/($E$3-$D$3))*($F$3-$D$3))+D39,1)</f>
        <v>980.4</v>
      </c>
      <c r="G37" s="126">
        <f>G34</f>
        <v>1.02</v>
      </c>
      <c r="H37" s="127">
        <f>ROUND(F37*G37,1)</f>
        <v>1000</v>
      </c>
      <c r="I37" s="115"/>
      <c r="K37" s="123" t="str">
        <f>Relato!$A$239</f>
        <v>6 WBT (P)</v>
      </c>
      <c r="L37" s="1182">
        <f>Relato!$D$276</f>
        <v>0.05</v>
      </c>
      <c r="M37" s="129">
        <f>ROUNDDOWN(L37,1)</f>
        <v>0</v>
      </c>
      <c r="N37" s="124"/>
      <c r="O37" s="124"/>
      <c r="P37" s="125">
        <f>ROUND((((O39-N39)/($E$3-$D$3))*($F$3-$D$3))+N39,1)</f>
        <v>0</v>
      </c>
      <c r="Q37" s="126">
        <f>Q34</f>
        <v>1.0249999999999999</v>
      </c>
      <c r="R37" s="127">
        <f>ROUND(P37*Q37,1)</f>
        <v>0</v>
      </c>
    </row>
    <row r="38" spans="1:18" ht="12.75" customHeight="1" x14ac:dyDescent="0.25">
      <c r="A38" s="109"/>
      <c r="B38" s="1182"/>
      <c r="C38" s="110">
        <v>9.5500000000000007</v>
      </c>
      <c r="D38" s="128">
        <v>980.42200000000003</v>
      </c>
      <c r="E38" s="128">
        <v>980.423</v>
      </c>
      <c r="F38" s="112"/>
      <c r="G38" s="112"/>
      <c r="H38" s="114"/>
      <c r="I38" s="131"/>
      <c r="K38" s="109"/>
      <c r="L38" s="1182"/>
      <c r="M38" s="110">
        <f>IF(ROUNDUP(L37,1)=M37,"",ROUNDUP(L37,1))</f>
        <v>0.1</v>
      </c>
      <c r="N38" s="128"/>
      <c r="O38" s="128"/>
      <c r="P38" s="112"/>
      <c r="Q38" s="112"/>
      <c r="R38" s="114"/>
    </row>
    <row r="39" spans="1:18" ht="12.75" customHeight="1" x14ac:dyDescent="0.25">
      <c r="A39" s="117"/>
      <c r="B39" s="118"/>
      <c r="C39" s="119"/>
      <c r="D39" s="120">
        <f>(((D$38-D$37)/($C$38-$C$37))*($B$37-$C$37))+D$37</f>
        <v>980.40899999999999</v>
      </c>
      <c r="E39" s="120">
        <f>(((E38-E37)/(C38-C37))*(B37-C37))+E37</f>
        <v>980.40899999999999</v>
      </c>
      <c r="F39" s="121"/>
      <c r="G39" s="121"/>
      <c r="H39" s="122"/>
      <c r="I39" s="131"/>
      <c r="K39" s="117"/>
      <c r="L39" s="118"/>
      <c r="M39" s="119"/>
      <c r="N39" s="120">
        <f>(((N$38-N$37)/($C$38-$C$37))*($B$37-$C$37))+N$37</f>
        <v>0</v>
      </c>
      <c r="O39" s="120">
        <f>(((O38-O37)/(M38-M37))*(L37-M37))+O37</f>
        <v>0</v>
      </c>
      <c r="P39" s="121"/>
      <c r="Q39" s="121"/>
      <c r="R39" s="122"/>
    </row>
    <row r="40" spans="1:18" ht="12.75" customHeight="1" x14ac:dyDescent="0.25">
      <c r="A40" s="123" t="str">
        <f>Relato!$A$240</f>
        <v>6 WBT (S)</v>
      </c>
      <c r="B40" s="1182">
        <f>Relato!$G$240</f>
        <v>9.5</v>
      </c>
      <c r="C40" s="129">
        <f>ROUNDDOWN(B40,1)</f>
        <v>9.5</v>
      </c>
      <c r="D40" s="124">
        <v>980.40899999999999</v>
      </c>
      <c r="E40" s="124">
        <v>980.40899999999999</v>
      </c>
      <c r="F40" s="125">
        <f>ROUND((((E42-D42)/($E$3-$D$3))*($F$3-$D$3))+D42,1)</f>
        <v>980.4</v>
      </c>
      <c r="G40" s="126">
        <f>G37</f>
        <v>1.02</v>
      </c>
      <c r="H40" s="127">
        <f>ROUND(F40*G40,1)</f>
        <v>1000</v>
      </c>
      <c r="I40" s="115"/>
      <c r="K40" s="123" t="str">
        <f>Relato!$A$240</f>
        <v>6 WBT (S)</v>
      </c>
      <c r="L40" s="1182">
        <f>Relato!$D$277</f>
        <v>0</v>
      </c>
      <c r="M40" s="129">
        <f>ROUNDDOWN(L40,1)</f>
        <v>0</v>
      </c>
      <c r="N40" s="124"/>
      <c r="O40" s="124"/>
      <c r="P40" s="125" t="e">
        <f>ROUND((((O42-N42)/($E$3-$D$3))*($F$3-$D$3))+N42,1)</f>
        <v>#DIV/0!</v>
      </c>
      <c r="Q40" s="126">
        <f>Q37</f>
        <v>1.0249999999999999</v>
      </c>
      <c r="R40" s="127" t="e">
        <f>ROUND(P40*Q40,1)</f>
        <v>#DIV/0!</v>
      </c>
    </row>
    <row r="41" spans="1:18" ht="12.75" customHeight="1" x14ac:dyDescent="0.25">
      <c r="A41" s="109"/>
      <c r="B41" s="1182"/>
      <c r="C41" s="110">
        <v>9.5500000000000007</v>
      </c>
      <c r="D41" s="128">
        <v>980.42200000000003</v>
      </c>
      <c r="E41" s="128">
        <v>980.42200000000003</v>
      </c>
      <c r="F41" s="112"/>
      <c r="G41" s="112"/>
      <c r="H41" s="114"/>
      <c r="K41" s="109"/>
      <c r="L41" s="1182"/>
      <c r="M41" s="110">
        <f>ROUNDUP(L40,1)</f>
        <v>0</v>
      </c>
      <c r="N41" s="128"/>
      <c r="O41" s="128"/>
      <c r="P41" s="112"/>
      <c r="Q41" s="112"/>
      <c r="R41" s="114"/>
    </row>
    <row r="42" spans="1:18" ht="12.75" customHeight="1" x14ac:dyDescent="0.25">
      <c r="A42" s="117"/>
      <c r="B42" s="118"/>
      <c r="C42" s="119"/>
      <c r="D42" s="120">
        <f>(((D41-D40)/(100*C41-100*C40))*(100*B40-100*C40))+D40</f>
        <v>980.40899999999999</v>
      </c>
      <c r="E42" s="120">
        <f>(((E41-E40)/(100*C41-100*C40))*(100*B40-100*C40))+E40</f>
        <v>980.40899999999999</v>
      </c>
      <c r="F42" s="121"/>
      <c r="G42" s="121"/>
      <c r="H42" s="122"/>
      <c r="K42" s="117"/>
      <c r="L42" s="118"/>
      <c r="M42" s="119"/>
      <c r="N42" s="120" t="e">
        <f>(((N41-N40)/(100*M41-100*M40))*(100*L40-100*M40))+N40</f>
        <v>#DIV/0!</v>
      </c>
      <c r="O42" s="120" t="e">
        <f>(((O41-O40)/(100*M41-100*M40))*(100*L40-100*M40))+O40</f>
        <v>#DIV/0!</v>
      </c>
      <c r="P42" s="121"/>
      <c r="Q42" s="121"/>
      <c r="R42" s="122"/>
    </row>
    <row r="43" spans="1:18" ht="12.75" customHeight="1" x14ac:dyDescent="0.25">
      <c r="A43" s="123" t="str">
        <f>Relato!$A$241</f>
        <v>7 WBT (P)</v>
      </c>
      <c r="B43" s="1182">
        <f>Relato!$G$241</f>
        <v>0</v>
      </c>
      <c r="C43" s="129">
        <f>ROUNDDOWN(B43,1)</f>
        <v>0</v>
      </c>
      <c r="D43" s="124"/>
      <c r="E43" s="124"/>
      <c r="F43" s="125" t="e">
        <f>ROUND((((E45-D45)/($E$3-$D$3))*($F$3-$D$3))+D45,1)</f>
        <v>#DIV/0!</v>
      </c>
      <c r="G43" s="126">
        <f>G40</f>
        <v>1.02</v>
      </c>
      <c r="H43" s="127" t="e">
        <f>ROUND(F43*G43,1)</f>
        <v>#DIV/0!</v>
      </c>
      <c r="I43" s="115"/>
      <c r="K43" s="123" t="str">
        <f>Relato!$A$241</f>
        <v>7 WBT (P)</v>
      </c>
      <c r="L43" s="1182">
        <f>Relato!$D$278</f>
        <v>0</v>
      </c>
      <c r="M43" s="129">
        <f>ROUNDDOWN(L43,1)</f>
        <v>0</v>
      </c>
      <c r="N43" s="124"/>
      <c r="O43" s="124"/>
      <c r="P43" s="125" t="e">
        <f>ROUND((((O45-N45)/($E$3-$D$3))*($F$3-$D$3))+N45,1)</f>
        <v>#DIV/0!</v>
      </c>
      <c r="Q43" s="126">
        <f>Q40</f>
        <v>1.0249999999999999</v>
      </c>
      <c r="R43" s="127" t="e">
        <f>ROUND(P43*Q43,1)</f>
        <v>#DIV/0!</v>
      </c>
    </row>
    <row r="44" spans="1:18" ht="12.75" customHeight="1" x14ac:dyDescent="0.25">
      <c r="A44" s="109"/>
      <c r="B44" s="1182"/>
      <c r="C44" s="110">
        <f>ROUNDUP(B43,1)</f>
        <v>0</v>
      </c>
      <c r="D44" s="132"/>
      <c r="E44" s="132"/>
      <c r="F44" s="112"/>
      <c r="G44" s="112"/>
      <c r="H44" s="114"/>
      <c r="K44" s="109"/>
      <c r="L44" s="1182"/>
      <c r="M44" s="110">
        <f>ROUNDUP(L43,1)</f>
        <v>0</v>
      </c>
      <c r="N44" s="132"/>
      <c r="O44" s="132"/>
      <c r="P44" s="112"/>
      <c r="Q44" s="112"/>
      <c r="R44" s="114"/>
    </row>
    <row r="45" spans="1:18" ht="12.75" customHeight="1" x14ac:dyDescent="0.25">
      <c r="A45" s="117"/>
      <c r="B45" s="118"/>
      <c r="C45" s="119"/>
      <c r="D45" s="120" t="e">
        <f>(((D44-D43)/(100*C44-100*C43))*(100*B43-100*C43))+D43</f>
        <v>#DIV/0!</v>
      </c>
      <c r="E45" s="120" t="e">
        <f>(((E44-E43)/(100*C44-100*C43))*(100*B43-100*C43))+E43</f>
        <v>#DIV/0!</v>
      </c>
      <c r="F45" s="121"/>
      <c r="G45" s="121"/>
      <c r="H45" s="122"/>
      <c r="K45" s="117"/>
      <c r="L45" s="118"/>
      <c r="M45" s="119"/>
      <c r="N45" s="120" t="e">
        <f>(((N44-N43)/(100*M44-100*M43))*(100*L43-100*M43))+N43</f>
        <v>#DIV/0!</v>
      </c>
      <c r="O45" s="120" t="e">
        <f>(((O44-O43)/(100*M44-100*M43))*(100*L43-100*M43))+O43</f>
        <v>#DIV/0!</v>
      </c>
      <c r="P45" s="121"/>
      <c r="Q45" s="121"/>
      <c r="R45" s="122"/>
    </row>
    <row r="46" spans="1:18" ht="12.75" customHeight="1" x14ac:dyDescent="0.25">
      <c r="A46" s="123" t="str">
        <f>Relato!$A$242</f>
        <v>7 WBT (S)</v>
      </c>
      <c r="B46" s="1182">
        <f>Relato!$G$242</f>
        <v>0</v>
      </c>
      <c r="C46" s="129">
        <f>ROUNDDOWN(B46,1)</f>
        <v>0</v>
      </c>
      <c r="D46" s="124"/>
      <c r="E46" s="124"/>
      <c r="F46" s="125" t="e">
        <f>ROUND((((E48-D48)/($E$3-$D$3))*($F$3-$D$3))+D48,1)</f>
        <v>#DIV/0!</v>
      </c>
      <c r="G46" s="126">
        <f>G43</f>
        <v>1.02</v>
      </c>
      <c r="H46" s="127" t="e">
        <f>ROUND(F46*G46,1)</f>
        <v>#DIV/0!</v>
      </c>
      <c r="I46" s="115"/>
      <c r="K46" s="123" t="str">
        <f>Relato!$A$242</f>
        <v>7 WBT (S)</v>
      </c>
      <c r="L46" s="1182">
        <f>Relato!$D$279</f>
        <v>0</v>
      </c>
      <c r="M46" s="129">
        <f>ROUNDDOWN(L46,1)</f>
        <v>0</v>
      </c>
      <c r="N46" s="124"/>
      <c r="O46" s="124"/>
      <c r="P46" s="125" t="e">
        <f>ROUND((((O48-N48)/($E$3-$D$3))*($F$3-$D$3))+N48,1)</f>
        <v>#DIV/0!</v>
      </c>
      <c r="Q46" s="126">
        <f>Q43</f>
        <v>1.0249999999999999</v>
      </c>
      <c r="R46" s="127" t="e">
        <f>ROUND(P46*Q46,1)</f>
        <v>#DIV/0!</v>
      </c>
    </row>
    <row r="47" spans="1:18" ht="12.75" customHeight="1" x14ac:dyDescent="0.25">
      <c r="A47" s="109"/>
      <c r="B47" s="1182"/>
      <c r="C47" s="110">
        <f>ROUNDUP(B46,1)</f>
        <v>0</v>
      </c>
      <c r="D47" s="128"/>
      <c r="E47" s="128"/>
      <c r="F47" s="112"/>
      <c r="G47" s="112"/>
      <c r="H47" s="114"/>
      <c r="K47" s="109"/>
      <c r="L47" s="1182"/>
      <c r="M47" s="110">
        <f>ROUNDUP(L46,1)</f>
        <v>0</v>
      </c>
      <c r="N47" s="128"/>
      <c r="O47" s="128"/>
      <c r="P47" s="112"/>
      <c r="Q47" s="112"/>
      <c r="R47" s="114"/>
    </row>
    <row r="48" spans="1:18" ht="12.75" customHeight="1" x14ac:dyDescent="0.25">
      <c r="A48" s="117"/>
      <c r="B48" s="118"/>
      <c r="C48" s="119"/>
      <c r="D48" s="120" t="e">
        <f>(((D47-D46)/(100*C47-100*C46))*(100*B46-100*C46))+D46</f>
        <v>#DIV/0!</v>
      </c>
      <c r="E48" s="120" t="e">
        <f>(((E47-E46)/(100*C47-100*C46))*(100*B46-100*C46))+E46</f>
        <v>#DIV/0!</v>
      </c>
      <c r="F48" s="121"/>
      <c r="G48" s="121"/>
      <c r="H48" s="122"/>
      <c r="I48" s="115"/>
      <c r="K48" s="117"/>
      <c r="L48" s="118"/>
      <c r="M48" s="119"/>
      <c r="N48" s="120" t="e">
        <f>(((N47-N46)/(100*M47-100*M46))*(100*L46-100*M46))+N46</f>
        <v>#DIV/0!</v>
      </c>
      <c r="O48" s="120" t="e">
        <f>(((O47-O46)/(100*M47-100*M46))*(100*L46-100*M46))+O46</f>
        <v>#DIV/0!</v>
      </c>
      <c r="P48" s="121"/>
      <c r="Q48" s="121"/>
      <c r="R48" s="122"/>
    </row>
    <row r="49" spans="1:18" ht="12.75" customHeight="1" x14ac:dyDescent="0.25">
      <c r="A49" s="123" t="str">
        <f>Relato!$A$243</f>
        <v>1 TS (P)</v>
      </c>
      <c r="B49" s="1182">
        <f>Relato!$G$243</f>
        <v>0</v>
      </c>
      <c r="C49" s="129">
        <f>ROUNDDOWN(B49,1)</f>
        <v>0</v>
      </c>
      <c r="D49" s="124"/>
      <c r="E49" s="124"/>
      <c r="F49" s="125" t="e">
        <f>ROUND((((E51-D51)/($E$3-$D$3))*($F$3-$D$3))+D51,1)</f>
        <v>#DIV/0!</v>
      </c>
      <c r="G49" s="126">
        <f>G46</f>
        <v>1.02</v>
      </c>
      <c r="H49" s="127" t="e">
        <f>ROUND(F49*G49,1)</f>
        <v>#DIV/0!</v>
      </c>
      <c r="I49" s="115"/>
      <c r="K49" s="123" t="str">
        <f>Relato!$A$243</f>
        <v>1 TS (P)</v>
      </c>
      <c r="L49" s="1182">
        <f>Relato!$D$280</f>
        <v>0</v>
      </c>
      <c r="M49" s="129">
        <f>ROUNDDOWN(L49,1)</f>
        <v>0</v>
      </c>
      <c r="N49" s="124"/>
      <c r="O49" s="124"/>
      <c r="P49" s="125" t="e">
        <f>ROUND((((O51-N51)/($E$3-$D$3))*($F$3-$D$3))+N51,1)</f>
        <v>#DIV/0!</v>
      </c>
      <c r="Q49" s="126">
        <f>Q46</f>
        <v>1.0249999999999999</v>
      </c>
      <c r="R49" s="127" t="e">
        <f>ROUND(P49*Q49,1)</f>
        <v>#DIV/0!</v>
      </c>
    </row>
    <row r="50" spans="1:18" ht="12.75" customHeight="1" x14ac:dyDescent="0.25">
      <c r="A50" s="109"/>
      <c r="B50" s="1182"/>
      <c r="C50" s="110">
        <f>ROUNDUP(B49,1)</f>
        <v>0</v>
      </c>
      <c r="D50" s="128"/>
      <c r="E50" s="128"/>
      <c r="F50" s="112"/>
      <c r="G50" s="112"/>
      <c r="H50" s="114"/>
      <c r="K50" s="109"/>
      <c r="L50" s="1182"/>
      <c r="M50" s="110">
        <f>ROUNDUP(L49,1)</f>
        <v>0</v>
      </c>
      <c r="N50" s="128"/>
      <c r="O50" s="128"/>
      <c r="P50" s="112"/>
      <c r="Q50" s="112"/>
      <c r="R50" s="114"/>
    </row>
    <row r="51" spans="1:18" ht="12.75" customHeight="1" x14ac:dyDescent="0.25">
      <c r="A51" s="117"/>
      <c r="B51" s="118"/>
      <c r="C51" s="119"/>
      <c r="D51" s="120" t="e">
        <f>(((D50-D49)/(100*C50-100*C49))*(100*B49-100*C49))+D49</f>
        <v>#DIV/0!</v>
      </c>
      <c r="E51" s="120" t="e">
        <f>(((E50-E49)/(100*C50-100*C49))*(100*B49-100*C49))+E49</f>
        <v>#DIV/0!</v>
      </c>
      <c r="F51" s="121"/>
      <c r="G51" s="121"/>
      <c r="H51" s="122"/>
      <c r="K51" s="117"/>
      <c r="L51" s="118"/>
      <c r="M51" s="119"/>
      <c r="N51" s="120" t="e">
        <f>(((N50-N49)/(100*M50-100*M49))*(100*L49-100*M49))+N49</f>
        <v>#DIV/0!</v>
      </c>
      <c r="O51" s="120" t="e">
        <f>(((O50-O49)/(100*M50-100*M49))*(100*L49-100*M49))+O49</f>
        <v>#DIV/0!</v>
      </c>
      <c r="P51" s="121"/>
      <c r="Q51" s="121"/>
      <c r="R51" s="122"/>
    </row>
    <row r="52" spans="1:18" ht="12.75" customHeight="1" x14ac:dyDescent="0.25">
      <c r="A52" s="123" t="str">
        <f>Relato!$A$244</f>
        <v>1 TS (S)</v>
      </c>
      <c r="B52" s="1182">
        <f>Relato!$G$244</f>
        <v>0</v>
      </c>
      <c r="C52" s="129">
        <f>ROUNDDOWN(B52,1)</f>
        <v>0</v>
      </c>
      <c r="D52" s="124"/>
      <c r="E52" s="124"/>
      <c r="F52" s="125" t="e">
        <f>ROUND((((E54-D54)/($E$3-$D$3))*($F$3-$D$3))+D54,1)</f>
        <v>#DIV/0!</v>
      </c>
      <c r="G52" s="126">
        <f>G49</f>
        <v>1.02</v>
      </c>
      <c r="H52" s="127" t="e">
        <f>ROUND(F52*G52,1)</f>
        <v>#DIV/0!</v>
      </c>
      <c r="I52" s="115"/>
      <c r="K52" s="123" t="str">
        <f>Relato!$A$244</f>
        <v>1 TS (S)</v>
      </c>
      <c r="L52" s="1182">
        <f>Relato!$D$281</f>
        <v>0</v>
      </c>
      <c r="M52" s="129">
        <f>ROUNDDOWN(L52,1)</f>
        <v>0</v>
      </c>
      <c r="N52" s="124"/>
      <c r="O52" s="124"/>
      <c r="P52" s="125" t="e">
        <f>ROUND((((O54-N54)/($E$3-$D$3))*($F$3-$D$3))+N54,1)</f>
        <v>#DIV/0!</v>
      </c>
      <c r="Q52" s="126">
        <f>Q49</f>
        <v>1.0249999999999999</v>
      </c>
      <c r="R52" s="127" t="e">
        <f>ROUND(P52*Q52,1)</f>
        <v>#DIV/0!</v>
      </c>
    </row>
    <row r="53" spans="1:18" ht="12.75" customHeight="1" x14ac:dyDescent="0.25">
      <c r="A53" s="109"/>
      <c r="B53" s="1182"/>
      <c r="C53" s="110">
        <f>ROUNDUP(B52,1)</f>
        <v>0</v>
      </c>
      <c r="D53" s="128"/>
      <c r="E53" s="128"/>
      <c r="F53" s="112"/>
      <c r="G53" s="112"/>
      <c r="H53" s="114"/>
      <c r="K53" s="109"/>
      <c r="L53" s="1182"/>
      <c r="M53" s="110">
        <f>ROUNDUP(L52,1)</f>
        <v>0</v>
      </c>
      <c r="N53" s="128"/>
      <c r="O53" s="128"/>
      <c r="P53" s="112"/>
      <c r="Q53" s="112"/>
      <c r="R53" s="114"/>
    </row>
    <row r="54" spans="1:18" ht="12.75" customHeight="1" x14ac:dyDescent="0.25">
      <c r="A54" s="117"/>
      <c r="B54" s="118"/>
      <c r="C54" s="119"/>
      <c r="D54" s="120" t="e">
        <f>(((D53-D52)/(100*C53-100*C52))*(100*B52-100*C52))+D52</f>
        <v>#DIV/0!</v>
      </c>
      <c r="E54" s="120" t="e">
        <f>(((E53-E52)/(100*C53-100*C52))*(100*B52-100*C52))+E52</f>
        <v>#DIV/0!</v>
      </c>
      <c r="F54" s="121"/>
      <c r="G54" s="121"/>
      <c r="H54" s="122"/>
      <c r="K54" s="117"/>
      <c r="L54" s="118"/>
      <c r="M54" s="119"/>
      <c r="N54" s="120" t="e">
        <f>(((N53-N52)/(100*M53-100*M52))*(100*L52-100*M52))+N52</f>
        <v>#DIV/0!</v>
      </c>
      <c r="O54" s="120" t="e">
        <f>(((O53-O52)/(100*M53-100*M52))*(100*L52-100*M52))+O52</f>
        <v>#DIV/0!</v>
      </c>
      <c r="P54" s="121"/>
      <c r="Q54" s="121"/>
      <c r="R54" s="122"/>
    </row>
    <row r="55" spans="1:18" ht="12.75" customHeight="1" x14ac:dyDescent="0.25">
      <c r="A55" s="123" t="str">
        <f>Relato!$A$245</f>
        <v>2 TS (P)</v>
      </c>
      <c r="B55" s="1182">
        <f>Relato!$G$245</f>
        <v>0</v>
      </c>
      <c r="C55" s="129">
        <f>ROUNDDOWN(B55,1)</f>
        <v>0</v>
      </c>
      <c r="D55" s="124"/>
      <c r="E55" s="124"/>
      <c r="F55" s="125" t="e">
        <f>ROUND((((E57-D57)/($E$3-$D$3))*($F$3-$D$3))+D57,1)</f>
        <v>#DIV/0!</v>
      </c>
      <c r="G55" s="126">
        <f>G52</f>
        <v>1.02</v>
      </c>
      <c r="H55" s="127" t="e">
        <f>ROUND(F55*G55,1)</f>
        <v>#DIV/0!</v>
      </c>
      <c r="I55" s="115"/>
      <c r="K55" s="123" t="str">
        <f>Relato!$A$245</f>
        <v>2 TS (P)</v>
      </c>
      <c r="L55" s="1182">
        <f>Relato!$D$282</f>
        <v>0</v>
      </c>
      <c r="M55" s="129">
        <f>ROUNDDOWN(L55,1)</f>
        <v>0</v>
      </c>
      <c r="N55" s="124"/>
      <c r="O55" s="124"/>
      <c r="P55" s="125" t="e">
        <f>ROUND((((O57-N57)/($E$3-$D$3))*($F$3-$D$3))+N57,1)</f>
        <v>#DIV/0!</v>
      </c>
      <c r="Q55" s="126">
        <f>Q52</f>
        <v>1.0249999999999999</v>
      </c>
      <c r="R55" s="127" t="e">
        <f>ROUND(P55*Q55,1)</f>
        <v>#DIV/0!</v>
      </c>
    </row>
    <row r="56" spans="1:18" ht="12.75" customHeight="1" x14ac:dyDescent="0.25">
      <c r="A56" s="109"/>
      <c r="B56" s="1182"/>
      <c r="C56" s="110">
        <f>ROUNDUP(B55,1)</f>
        <v>0</v>
      </c>
      <c r="D56" s="128"/>
      <c r="E56" s="128"/>
      <c r="F56" s="112"/>
      <c r="G56" s="133"/>
      <c r="H56" s="114"/>
      <c r="K56" s="109"/>
      <c r="L56" s="1182"/>
      <c r="M56" s="110">
        <f>ROUNDUP(L55,1)</f>
        <v>0</v>
      </c>
      <c r="N56" s="128"/>
      <c r="O56" s="128"/>
      <c r="P56" s="112"/>
      <c r="Q56" s="133"/>
      <c r="R56" s="114"/>
    </row>
    <row r="57" spans="1:18" ht="12.75" customHeight="1" x14ac:dyDescent="0.25">
      <c r="A57" s="117"/>
      <c r="B57" s="118"/>
      <c r="C57" s="119"/>
      <c r="D57" s="120" t="e">
        <f>(((D56-D55)/(100*C56-100*C55))*(100*B55-100*C55))+D55</f>
        <v>#DIV/0!</v>
      </c>
      <c r="E57" s="120" t="e">
        <f>(((E56-E55)/(100*C56-100*C55))*(100*B55-100*C55))+E55</f>
        <v>#DIV/0!</v>
      </c>
      <c r="F57" s="121"/>
      <c r="G57" s="121"/>
      <c r="H57" s="122"/>
      <c r="K57" s="117"/>
      <c r="L57" s="118"/>
      <c r="M57" s="119"/>
      <c r="N57" s="120" t="e">
        <f>(((N56-N55)/(100*M56-100*M55))*(100*L55-100*M55))+N55</f>
        <v>#DIV/0!</v>
      </c>
      <c r="O57" s="120" t="e">
        <f>(((O56-O55)/(100*M56-100*M55))*(100*L55-100*M55))+O55</f>
        <v>#DIV/0!</v>
      </c>
      <c r="P57" s="121"/>
      <c r="Q57" s="121"/>
      <c r="R57" s="122"/>
    </row>
    <row r="58" spans="1:18" ht="12.75" customHeight="1" x14ac:dyDescent="0.25">
      <c r="A58" s="123" t="str">
        <f>Relato!$A$246</f>
        <v>2 TS (S)</v>
      </c>
      <c r="B58" s="1182">
        <f>Relato!$G$246</f>
        <v>0</v>
      </c>
      <c r="C58" s="129">
        <f>ROUNDDOWN(B58,1)</f>
        <v>0</v>
      </c>
      <c r="D58" s="124"/>
      <c r="E58" s="124"/>
      <c r="F58" s="125" t="e">
        <f>ROUND((((E60-D60)/($E$3-$D$3))*($F$3-$D$3))+D60,1)</f>
        <v>#DIV/0!</v>
      </c>
      <c r="G58" s="126">
        <f>G55</f>
        <v>1.02</v>
      </c>
      <c r="H58" s="127" t="e">
        <f>ROUND(F58*G58,1)</f>
        <v>#DIV/0!</v>
      </c>
      <c r="I58" s="115"/>
      <c r="K58" s="123" t="str">
        <f>Relato!$A$246</f>
        <v>2 TS (S)</v>
      </c>
      <c r="L58" s="1182">
        <f>Relato!$D$283</f>
        <v>0</v>
      </c>
      <c r="M58" s="129">
        <f>ROUNDDOWN(L58,1)</f>
        <v>0</v>
      </c>
      <c r="N58" s="124"/>
      <c r="O58" s="124"/>
      <c r="P58" s="125" t="e">
        <f>ROUND((((O60-N60)/($E$3-$D$3))*($F$3-$D$3))+N60,1)</f>
        <v>#DIV/0!</v>
      </c>
      <c r="Q58" s="126">
        <f>Q55</f>
        <v>1.0249999999999999</v>
      </c>
      <c r="R58" s="127" t="e">
        <f>ROUND(P58*Q58,1)</f>
        <v>#DIV/0!</v>
      </c>
    </row>
    <row r="59" spans="1:18" ht="12.75" customHeight="1" x14ac:dyDescent="0.25">
      <c r="A59" s="109"/>
      <c r="B59" s="1182"/>
      <c r="C59" s="110">
        <f>ROUNDUP(B58,1)</f>
        <v>0</v>
      </c>
      <c r="D59" s="128"/>
      <c r="E59" s="128"/>
      <c r="F59" s="112"/>
      <c r="G59" s="112"/>
      <c r="H59" s="114"/>
      <c r="K59" s="109"/>
      <c r="L59" s="1182"/>
      <c r="M59" s="110">
        <f>ROUNDUP(L58,1)</f>
        <v>0</v>
      </c>
      <c r="N59" s="128"/>
      <c r="O59" s="128"/>
      <c r="P59" s="112"/>
      <c r="Q59" s="112"/>
      <c r="R59" s="114"/>
    </row>
    <row r="60" spans="1:18" ht="12.75" customHeight="1" x14ac:dyDescent="0.25">
      <c r="A60" s="117"/>
      <c r="B60" s="118"/>
      <c r="C60" s="119"/>
      <c r="D60" s="120" t="e">
        <f>(((D59-D58)/(100*C59-100*C58))*(100*B58-100*C58))+D58</f>
        <v>#DIV/0!</v>
      </c>
      <c r="E60" s="120" t="e">
        <f>(((E59-E58)/(100*C59-100*C58))*(100*B58-100*C58))+E58</f>
        <v>#DIV/0!</v>
      </c>
      <c r="F60" s="121"/>
      <c r="G60" s="121"/>
      <c r="H60" s="122"/>
      <c r="K60" s="117"/>
      <c r="L60" s="118"/>
      <c r="M60" s="119"/>
      <c r="N60" s="120" t="e">
        <f>(((N59-N58)/(100*M59-100*M58))*(100*L58-100*M58))+N58</f>
        <v>#DIV/0!</v>
      </c>
      <c r="O60" s="120" t="e">
        <f>(((O59-O58)/(100*M59-100*M58))*(100*L58-100*M58))+O58</f>
        <v>#DIV/0!</v>
      </c>
      <c r="P60" s="121"/>
      <c r="Q60" s="121"/>
      <c r="R60" s="122"/>
    </row>
    <row r="61" spans="1:18" ht="12.75" customHeight="1" x14ac:dyDescent="0.25">
      <c r="A61" s="123" t="str">
        <f>Relato!$A$247</f>
        <v>3 TS (P)</v>
      </c>
      <c r="B61" s="1182">
        <f>Relato!$G$247</f>
        <v>0</v>
      </c>
      <c r="C61" s="129">
        <f>ROUNDDOWN(B61,1)</f>
        <v>0</v>
      </c>
      <c r="D61" s="124"/>
      <c r="E61" s="124"/>
      <c r="F61" s="125" t="e">
        <f>ROUND((((E63-D63)/($E$3-$D$3))*($F$3-$D$3))+D63,1)</f>
        <v>#DIV/0!</v>
      </c>
      <c r="G61" s="126">
        <f>G58</f>
        <v>1.02</v>
      </c>
      <c r="H61" s="127" t="e">
        <f>ROUND(F61*G61,1)</f>
        <v>#DIV/0!</v>
      </c>
      <c r="I61" s="115"/>
      <c r="K61" s="123" t="str">
        <f>Relato!$A$247</f>
        <v>3 TS (P)</v>
      </c>
      <c r="L61" s="1182">
        <f>Relato!$D$284</f>
        <v>0</v>
      </c>
      <c r="M61" s="129">
        <f>ROUNDDOWN(L61,1)</f>
        <v>0</v>
      </c>
      <c r="N61" s="124"/>
      <c r="O61" s="124"/>
      <c r="P61" s="125" t="e">
        <f>ROUND((((O63-N63)/($E$3-$D$3))*($F$3-$D$3))+N63,1)</f>
        <v>#DIV/0!</v>
      </c>
      <c r="Q61" s="126">
        <f>Q58</f>
        <v>1.0249999999999999</v>
      </c>
      <c r="R61" s="127" t="e">
        <f>ROUND(P61*Q61,1)</f>
        <v>#DIV/0!</v>
      </c>
    </row>
    <row r="62" spans="1:18" ht="12.75" customHeight="1" x14ac:dyDescent="0.25">
      <c r="A62" s="109"/>
      <c r="B62" s="1182"/>
      <c r="C62" s="110">
        <f>ROUNDUP(B61,1)</f>
        <v>0</v>
      </c>
      <c r="D62" s="128"/>
      <c r="E62" s="128"/>
      <c r="F62" s="112"/>
      <c r="G62" s="112"/>
      <c r="H62" s="114"/>
      <c r="K62" s="109"/>
      <c r="L62" s="1182"/>
      <c r="M62" s="110">
        <f>ROUNDUP(L61,1)</f>
        <v>0</v>
      </c>
      <c r="N62" s="128"/>
      <c r="O62" s="128"/>
      <c r="P62" s="112"/>
      <c r="Q62" s="112"/>
      <c r="R62" s="114"/>
    </row>
    <row r="63" spans="1:18" ht="12.75" customHeight="1" x14ac:dyDescent="0.25">
      <c r="A63" s="117"/>
      <c r="B63" s="118"/>
      <c r="C63" s="119"/>
      <c r="D63" s="120" t="e">
        <f>(((D62-D61)/(100*C62-100*C61))*(100*B61-100*C61))+D61</f>
        <v>#DIV/0!</v>
      </c>
      <c r="E63" s="120" t="e">
        <f>(((E62-E61)/(100*C62-100*C61))*(100*B61-100*C61))+E61</f>
        <v>#DIV/0!</v>
      </c>
      <c r="F63" s="121"/>
      <c r="G63" s="121"/>
      <c r="H63" s="122"/>
      <c r="K63" s="117"/>
      <c r="L63" s="118"/>
      <c r="M63" s="119"/>
      <c r="N63" s="120" t="e">
        <f>(((N62-N61)/(100*M62-100*M61))*(100*L61-100*M61))+N61</f>
        <v>#DIV/0!</v>
      </c>
      <c r="O63" s="120" t="e">
        <f>(((O62-O61)/(100*M62-100*M61))*(100*L61-100*M61))+O61</f>
        <v>#DIV/0!</v>
      </c>
      <c r="P63" s="121"/>
      <c r="Q63" s="121"/>
      <c r="R63" s="122"/>
    </row>
    <row r="64" spans="1:18" ht="12.75" customHeight="1" x14ac:dyDescent="0.25">
      <c r="A64" s="123" t="str">
        <f>Relato!$A$248</f>
        <v>3 TS (S)</v>
      </c>
      <c r="B64" s="1182">
        <f>Relato!$G$248</f>
        <v>0</v>
      </c>
      <c r="C64" s="129">
        <f>ROUNDDOWN(B64,1)</f>
        <v>0</v>
      </c>
      <c r="D64" s="124"/>
      <c r="E64" s="124"/>
      <c r="F64" s="125" t="e">
        <f>ROUND((((E66-D66)/($E$3-$D$3))*($F$3-$D$3))+D66,1)</f>
        <v>#DIV/0!</v>
      </c>
      <c r="G64" s="126">
        <f>G61</f>
        <v>1.02</v>
      </c>
      <c r="H64" s="127" t="e">
        <f>ROUND(F64*G64,1)</f>
        <v>#DIV/0!</v>
      </c>
      <c r="I64" s="115"/>
      <c r="K64" s="123" t="str">
        <f>Relato!$A$248</f>
        <v>3 TS (S)</v>
      </c>
      <c r="L64" s="1182">
        <f>Relato!$D$285</f>
        <v>0</v>
      </c>
      <c r="M64" s="129">
        <f>ROUNDDOWN(L64,1)</f>
        <v>0</v>
      </c>
      <c r="N64" s="124"/>
      <c r="O64" s="124"/>
      <c r="P64" s="125" t="e">
        <f>ROUND((((O66-N66)/($E$3-$D$3))*($F$3-$D$3))+N66,1)</f>
        <v>#DIV/0!</v>
      </c>
      <c r="Q64" s="126">
        <f>Q61</f>
        <v>1.0249999999999999</v>
      </c>
      <c r="R64" s="127" t="e">
        <f>ROUND(P64*Q64,1)</f>
        <v>#DIV/0!</v>
      </c>
    </row>
    <row r="65" spans="1:18" ht="12.75" customHeight="1" x14ac:dyDescent="0.25">
      <c r="A65" s="109"/>
      <c r="B65" s="1182"/>
      <c r="C65" s="110">
        <f>ROUNDUP(B64,1)</f>
        <v>0</v>
      </c>
      <c r="D65" s="128"/>
      <c r="E65" s="128"/>
      <c r="F65" s="112"/>
      <c r="G65" s="112"/>
      <c r="H65" s="114"/>
      <c r="K65" s="109"/>
      <c r="L65" s="1182"/>
      <c r="M65" s="110">
        <f>ROUNDUP(L64,1)</f>
        <v>0</v>
      </c>
      <c r="N65" s="128"/>
      <c r="O65" s="128"/>
      <c r="P65" s="112"/>
      <c r="Q65" s="112"/>
      <c r="R65" s="114"/>
    </row>
    <row r="66" spans="1:18" ht="12.75" customHeight="1" x14ac:dyDescent="0.25">
      <c r="A66" s="117"/>
      <c r="B66" s="118"/>
      <c r="C66" s="119"/>
      <c r="D66" s="120" t="e">
        <f>(((D65-D64)/(100*C65-100*C64))*(100*B64-100*C64))+D64</f>
        <v>#DIV/0!</v>
      </c>
      <c r="E66" s="120" t="e">
        <f>(((E65-E64)/(100*C65-100*C64))*(100*B64-100*C64))+E64</f>
        <v>#DIV/0!</v>
      </c>
      <c r="F66" s="121"/>
      <c r="G66" s="121"/>
      <c r="H66" s="122"/>
      <c r="K66" s="117"/>
      <c r="L66" s="118"/>
      <c r="M66" s="119"/>
      <c r="N66" s="120" t="e">
        <f>(((N65-N64)/(100*M65-100*M64))*(100*L64-100*M64))+N64</f>
        <v>#DIV/0!</v>
      </c>
      <c r="O66" s="120" t="e">
        <f>(((O65-O64)/(100*M65-100*M64))*(100*L64-100*M64))+O64</f>
        <v>#DIV/0!</v>
      </c>
      <c r="P66" s="121"/>
      <c r="Q66" s="121"/>
      <c r="R66" s="122"/>
    </row>
    <row r="67" spans="1:18" ht="12.75" customHeight="1" x14ac:dyDescent="0.25">
      <c r="A67" s="123" t="str">
        <f>Relato!$A$249</f>
        <v>4 TS (P)</v>
      </c>
      <c r="B67" s="1182">
        <f>Relato!$G$249</f>
        <v>0</v>
      </c>
      <c r="C67" s="129">
        <f>ROUNDDOWN(B67,1)</f>
        <v>0</v>
      </c>
      <c r="D67" s="124"/>
      <c r="E67" s="124"/>
      <c r="F67" s="125" t="e">
        <f>ROUND((((E69-D69)/($E$3-$D$3))*($F$3-$D$3))+D69,1)</f>
        <v>#DIV/0!</v>
      </c>
      <c r="G67" s="126">
        <f>G64</f>
        <v>1.02</v>
      </c>
      <c r="H67" s="127" t="e">
        <f>ROUND(F67*G67,1)</f>
        <v>#DIV/0!</v>
      </c>
      <c r="I67" s="115"/>
      <c r="K67" s="123" t="str">
        <f>Relato!$A$249</f>
        <v>4 TS (P)</v>
      </c>
      <c r="L67" s="1182">
        <f>Relato!$D$286</f>
        <v>0</v>
      </c>
      <c r="M67" s="129">
        <f>ROUNDDOWN(L67,1)</f>
        <v>0</v>
      </c>
      <c r="N67" s="124"/>
      <c r="O67" s="124"/>
      <c r="P67" s="125" t="e">
        <f>ROUND((((O69-N69)/($E$3-$D$3))*($F$3-$D$3))+N69,1)</f>
        <v>#DIV/0!</v>
      </c>
      <c r="Q67" s="126">
        <f>Q64</f>
        <v>1.0249999999999999</v>
      </c>
      <c r="R67" s="127" t="e">
        <f>ROUND(P67*Q67,1)</f>
        <v>#DIV/0!</v>
      </c>
    </row>
    <row r="68" spans="1:18" ht="12.75" customHeight="1" x14ac:dyDescent="0.25">
      <c r="A68" s="109"/>
      <c r="B68" s="1182"/>
      <c r="C68" s="110">
        <f>ROUNDUP(B67,1)</f>
        <v>0</v>
      </c>
      <c r="D68" s="128"/>
      <c r="E68" s="128"/>
      <c r="F68" s="112"/>
      <c r="G68" s="112"/>
      <c r="H68" s="114"/>
      <c r="K68" s="109"/>
      <c r="L68" s="1182"/>
      <c r="M68" s="110">
        <f>ROUNDUP(L67,1)</f>
        <v>0</v>
      </c>
      <c r="N68" s="128"/>
      <c r="O68" s="128"/>
      <c r="P68" s="112"/>
      <c r="Q68" s="112"/>
      <c r="R68" s="114"/>
    </row>
    <row r="69" spans="1:18" ht="12.75" customHeight="1" x14ac:dyDescent="0.25">
      <c r="A69" s="117"/>
      <c r="B69" s="118"/>
      <c r="C69" s="119"/>
      <c r="D69" s="120" t="e">
        <f>(((D68-D67)/(100*C68-100*C67))*(100*B67-100*C67))+D67</f>
        <v>#DIV/0!</v>
      </c>
      <c r="E69" s="120" t="e">
        <f>(((E68-E67)/(100*C68-100*C67))*(100*B67-100*C67))+E67</f>
        <v>#DIV/0!</v>
      </c>
      <c r="F69" s="121"/>
      <c r="G69" s="121"/>
      <c r="H69" s="122"/>
      <c r="K69" s="117"/>
      <c r="L69" s="118"/>
      <c r="M69" s="119"/>
      <c r="N69" s="120" t="e">
        <f>(((N68-N67)/(100*M68-100*M67))*(100*L67-100*M67))+N67</f>
        <v>#DIV/0!</v>
      </c>
      <c r="O69" s="120" t="e">
        <f>(((O68-O67)/(100*M68-100*M67))*(100*L67-100*M67))+O67</f>
        <v>#DIV/0!</v>
      </c>
      <c r="P69" s="121"/>
      <c r="Q69" s="121"/>
      <c r="R69" s="122"/>
    </row>
    <row r="70" spans="1:18" ht="12.75" customHeight="1" x14ac:dyDescent="0.25">
      <c r="A70" s="123" t="str">
        <f>Relato!$A$250</f>
        <v>4 TS (S)</v>
      </c>
      <c r="B70" s="1182">
        <f>Relato!$G$250</f>
        <v>0</v>
      </c>
      <c r="C70" s="129">
        <f>ROUNDDOWN(B70,1)</f>
        <v>0</v>
      </c>
      <c r="D70" s="124"/>
      <c r="E70" s="124"/>
      <c r="F70" s="125" t="e">
        <f>ROUND((((E72-D72)/($E$3-$D$3))*($F$3-$D$3))+D72,1)</f>
        <v>#DIV/0!</v>
      </c>
      <c r="G70" s="126">
        <f>G67</f>
        <v>1.02</v>
      </c>
      <c r="H70" s="127" t="e">
        <f>ROUND(F70*G70,1)</f>
        <v>#DIV/0!</v>
      </c>
      <c r="I70" s="115"/>
      <c r="K70" s="123" t="str">
        <f>Relato!$A$250</f>
        <v>4 TS (S)</v>
      </c>
      <c r="L70" s="1182">
        <f>Relato!$D$287</f>
        <v>0</v>
      </c>
      <c r="M70" s="129">
        <f>ROUNDDOWN(L70,1)</f>
        <v>0</v>
      </c>
      <c r="N70" s="124"/>
      <c r="O70" s="124"/>
      <c r="P70" s="125" t="e">
        <f>ROUND((((O72-N72)/($E$3-$D$3))*($F$3-$D$3))+N72,1)</f>
        <v>#DIV/0!</v>
      </c>
      <c r="Q70" s="126">
        <f>Q67</f>
        <v>1.0249999999999999</v>
      </c>
      <c r="R70" s="127" t="e">
        <f>ROUND(P70*Q70,1)</f>
        <v>#DIV/0!</v>
      </c>
    </row>
    <row r="71" spans="1:18" ht="12.75" customHeight="1" x14ac:dyDescent="0.25">
      <c r="A71" s="109"/>
      <c r="B71" s="1182"/>
      <c r="C71" s="110">
        <f>ROUNDUP(B70,1)</f>
        <v>0</v>
      </c>
      <c r="D71" s="128"/>
      <c r="E71" s="128"/>
      <c r="F71" s="112"/>
      <c r="G71" s="112"/>
      <c r="H71" s="114"/>
      <c r="K71" s="109"/>
      <c r="L71" s="1182"/>
      <c r="M71" s="110">
        <f>ROUNDUP(L70,1)</f>
        <v>0</v>
      </c>
      <c r="N71" s="128"/>
      <c r="O71" s="128"/>
      <c r="P71" s="112"/>
      <c r="Q71" s="112"/>
      <c r="R71" s="114"/>
    </row>
    <row r="72" spans="1:18" ht="12.75" customHeight="1" x14ac:dyDescent="0.25">
      <c r="A72" s="117"/>
      <c r="B72" s="118"/>
      <c r="C72" s="119"/>
      <c r="D72" s="120" t="e">
        <f>(((D71-D70)/(100*C71-100*C70))*(100*B70-100*C70))+D70</f>
        <v>#DIV/0!</v>
      </c>
      <c r="E72" s="134" t="e">
        <f>(((E71-E70)/(100*C71-100*C70))*(100*B70-100*C70))+E70</f>
        <v>#DIV/0!</v>
      </c>
      <c r="F72" s="112"/>
      <c r="G72" s="112"/>
      <c r="H72" s="114"/>
      <c r="K72" s="117"/>
      <c r="L72" s="118"/>
      <c r="M72" s="119"/>
      <c r="N72" s="120" t="e">
        <f>(((N71-N70)/(100*M71-100*M70))*(100*L70-100*M70))+N70</f>
        <v>#DIV/0!</v>
      </c>
      <c r="O72" s="134" t="e">
        <f>(((O71-O70)/(100*M71-100*M70))*(100*L70-100*M70))+O70</f>
        <v>#DIV/0!</v>
      </c>
      <c r="P72" s="112"/>
      <c r="Q72" s="112"/>
      <c r="R72" s="114"/>
    </row>
    <row r="73" spans="1:18" ht="12.75" customHeight="1" x14ac:dyDescent="0.25">
      <c r="A73" s="123" t="str">
        <f>Relato!$A$251</f>
        <v>5 TS (P)</v>
      </c>
      <c r="B73" s="1182">
        <f>Relato!$G$251</f>
        <v>0</v>
      </c>
      <c r="C73" s="129">
        <f>ROUNDDOWN(B73,1)</f>
        <v>0</v>
      </c>
      <c r="D73" s="124"/>
      <c r="E73" s="124"/>
      <c r="F73" s="125" t="e">
        <f>ROUND((((E75-D75)/($E$3-$D$3))*($F$3-$D$3))+D75,1)</f>
        <v>#DIV/0!</v>
      </c>
      <c r="G73" s="126">
        <f>G70</f>
        <v>1.02</v>
      </c>
      <c r="H73" s="127" t="e">
        <f>ROUND(F73*G73,1)</f>
        <v>#DIV/0!</v>
      </c>
      <c r="I73" s="115"/>
      <c r="K73" s="123" t="str">
        <f>Relato!$A$251</f>
        <v>5 TS (P)</v>
      </c>
      <c r="L73" s="1182">
        <f>Relato!$D$288</f>
        <v>0</v>
      </c>
      <c r="M73" s="129">
        <f>ROUNDDOWN(L73,1)</f>
        <v>0</v>
      </c>
      <c r="N73" s="124"/>
      <c r="O73" s="124"/>
      <c r="P73" s="125" t="e">
        <f>ROUND((((O75-N75)/($E$3-$D$3))*($F$3-$D$3))+N75,1)</f>
        <v>#DIV/0!</v>
      </c>
      <c r="Q73" s="126">
        <f>Q70</f>
        <v>1.0249999999999999</v>
      </c>
      <c r="R73" s="127" t="e">
        <f>ROUND(P73*Q73,1)</f>
        <v>#DIV/0!</v>
      </c>
    </row>
    <row r="74" spans="1:18" ht="12.75" customHeight="1" x14ac:dyDescent="0.25">
      <c r="A74" s="109"/>
      <c r="B74" s="1182"/>
      <c r="C74" s="110">
        <f>ROUNDUP(B73,1)</f>
        <v>0</v>
      </c>
      <c r="D74" s="128"/>
      <c r="E74" s="128"/>
      <c r="F74" s="112"/>
      <c r="G74" s="133"/>
      <c r="H74" s="114"/>
      <c r="K74" s="109"/>
      <c r="L74" s="1182"/>
      <c r="M74" s="110">
        <f>ROUNDUP(L73,1)</f>
        <v>0</v>
      </c>
      <c r="N74" s="128"/>
      <c r="O74" s="128"/>
      <c r="P74" s="112"/>
      <c r="Q74" s="133"/>
      <c r="R74" s="114"/>
    </row>
    <row r="75" spans="1:18" ht="12.75" customHeight="1" x14ac:dyDescent="0.25">
      <c r="A75" s="117"/>
      <c r="B75" s="118"/>
      <c r="C75" s="119"/>
      <c r="D75" s="120" t="e">
        <f>(((D74-D73)/(100*C74-100*C73))*(100*B73-100*C73))+D73</f>
        <v>#DIV/0!</v>
      </c>
      <c r="E75" s="120" t="e">
        <f>(((E74-E73)/(100*C74-100*C73))*(100*B73-100*C73))+E73</f>
        <v>#DIV/0!</v>
      </c>
      <c r="F75" s="121"/>
      <c r="G75" s="121"/>
      <c r="H75" s="122"/>
      <c r="K75" s="117"/>
      <c r="L75" s="118"/>
      <c r="M75" s="119"/>
      <c r="N75" s="120" t="e">
        <f>(((N74-N73)/(100*M74-100*M73))*(100*L73-100*M73))+N73</f>
        <v>#DIV/0!</v>
      </c>
      <c r="O75" s="120" t="e">
        <f>(((O74-O73)/(100*M74-100*M73))*(100*L73-100*M73))+O73</f>
        <v>#DIV/0!</v>
      </c>
      <c r="P75" s="121"/>
      <c r="Q75" s="121"/>
      <c r="R75" s="122"/>
    </row>
    <row r="76" spans="1:18" ht="12.75" customHeight="1" x14ac:dyDescent="0.25">
      <c r="A76" s="123" t="str">
        <f>Relato!$A$252</f>
        <v>5 TS (S)</v>
      </c>
      <c r="B76" s="1182">
        <f>Relato!$G$252</f>
        <v>0</v>
      </c>
      <c r="C76" s="129">
        <f>ROUNDDOWN(B76,1)</f>
        <v>0</v>
      </c>
      <c r="D76" s="124"/>
      <c r="E76" s="124"/>
      <c r="F76" s="125" t="e">
        <f>ROUND((((E78-D78)/($E$3-$D$3))*($F$3-$D$3))+D78,1)</f>
        <v>#DIV/0!</v>
      </c>
      <c r="G76" s="126">
        <f>G73</f>
        <v>1.02</v>
      </c>
      <c r="H76" s="127" t="e">
        <f>ROUND(F76*G76,1)</f>
        <v>#DIV/0!</v>
      </c>
      <c r="I76" s="115"/>
      <c r="K76" s="123" t="str">
        <f>Relato!$A$252</f>
        <v>5 TS (S)</v>
      </c>
      <c r="L76" s="1182">
        <f>Relato!$D$289</f>
        <v>0</v>
      </c>
      <c r="M76" s="129">
        <f>ROUNDDOWN(L76,1)</f>
        <v>0</v>
      </c>
      <c r="N76" s="124"/>
      <c r="O76" s="124"/>
      <c r="P76" s="125" t="e">
        <f>ROUND((((O78-N78)/($E$3-$D$3))*($F$3-$D$3))+N78,1)</f>
        <v>#DIV/0!</v>
      </c>
      <c r="Q76" s="126">
        <f>Q73</f>
        <v>1.0249999999999999</v>
      </c>
      <c r="R76" s="127" t="e">
        <f>ROUND(P76*Q76,1)</f>
        <v>#DIV/0!</v>
      </c>
    </row>
    <row r="77" spans="1:18" ht="12.75" customHeight="1" x14ac:dyDescent="0.25">
      <c r="A77" s="109"/>
      <c r="B77" s="1182"/>
      <c r="C77" s="110">
        <f>ROUNDUP(B76,1)</f>
        <v>0</v>
      </c>
      <c r="D77" s="128"/>
      <c r="E77" s="128"/>
      <c r="F77" s="112"/>
      <c r="G77" s="112"/>
      <c r="H77" s="114"/>
      <c r="K77" s="109"/>
      <c r="L77" s="1182"/>
      <c r="M77" s="110">
        <f>ROUNDUP(L76,1)</f>
        <v>0</v>
      </c>
      <c r="N77" s="128"/>
      <c r="O77" s="128"/>
      <c r="P77" s="112"/>
      <c r="Q77" s="112"/>
      <c r="R77" s="114"/>
    </row>
    <row r="78" spans="1:18" ht="12.75" customHeight="1" x14ac:dyDescent="0.25">
      <c r="A78" s="117"/>
      <c r="B78" s="118"/>
      <c r="C78" s="119"/>
      <c r="D78" s="120" t="e">
        <f>(((D77-D76)/(100*C77-100*C76))*(100*B76-100*C76))+D76</f>
        <v>#DIV/0!</v>
      </c>
      <c r="E78" s="120" t="e">
        <f>(((E77-E76)/(100*C77-100*C76))*(100*B76-100*C76))+E76</f>
        <v>#DIV/0!</v>
      </c>
      <c r="F78" s="121"/>
      <c r="G78" s="121"/>
      <c r="H78" s="122"/>
      <c r="K78" s="117"/>
      <c r="L78" s="118"/>
      <c r="M78" s="119"/>
      <c r="N78" s="120" t="e">
        <f>(((N77-N76)/(100*M77-100*M76))*(100*L76-100*M76))+N76</f>
        <v>#DIV/0!</v>
      </c>
      <c r="O78" s="120" t="e">
        <f>(((O77-O76)/(100*M77-100*M76))*(100*L76-100*M76))+O76</f>
        <v>#DIV/0!</v>
      </c>
      <c r="P78" s="121"/>
      <c r="Q78" s="121"/>
      <c r="R78" s="122"/>
    </row>
    <row r="79" spans="1:18" ht="12.75" customHeight="1" x14ac:dyDescent="0.25">
      <c r="A79" s="123" t="str">
        <f>Relato!$A$253</f>
        <v>6 TS (P)</v>
      </c>
      <c r="B79" s="1182">
        <f>Relato!$G$253</f>
        <v>0</v>
      </c>
      <c r="C79" s="129">
        <f>ROUNDDOWN(B79,1)</f>
        <v>0</v>
      </c>
      <c r="D79" s="124"/>
      <c r="E79" s="124"/>
      <c r="F79" s="125" t="e">
        <f>ROUND((((E81-D81)/($E$3-$D$3))*($F$3-$D$3))+D81,1)</f>
        <v>#DIV/0!</v>
      </c>
      <c r="G79" s="126">
        <f>G76</f>
        <v>1.02</v>
      </c>
      <c r="H79" s="127" t="e">
        <f>ROUND(F79*G79,1)</f>
        <v>#DIV/0!</v>
      </c>
      <c r="I79" s="115"/>
      <c r="K79" s="123" t="str">
        <f>Relato!$A$253</f>
        <v>6 TS (P)</v>
      </c>
      <c r="L79" s="1182">
        <f>Relato!$D$290</f>
        <v>0</v>
      </c>
      <c r="M79" s="129">
        <f>ROUNDDOWN(L79,1)</f>
        <v>0</v>
      </c>
      <c r="N79" s="124"/>
      <c r="O79" s="124"/>
      <c r="P79" s="125" t="e">
        <f>ROUND((((O81-N81)/($E$3-$D$3))*($F$3-$D$3))+N81,1)</f>
        <v>#DIV/0!</v>
      </c>
      <c r="Q79" s="126">
        <f>Q76</f>
        <v>1.0249999999999999</v>
      </c>
      <c r="R79" s="127" t="e">
        <f>ROUND(P79*Q79,1)</f>
        <v>#DIV/0!</v>
      </c>
    </row>
    <row r="80" spans="1:18" ht="12.75" customHeight="1" x14ac:dyDescent="0.25">
      <c r="A80" s="109"/>
      <c r="B80" s="1182"/>
      <c r="C80" s="110">
        <f>ROUNDUP(B79,1)</f>
        <v>0</v>
      </c>
      <c r="D80" s="128"/>
      <c r="E80" s="128"/>
      <c r="F80" s="112"/>
      <c r="G80" s="112"/>
      <c r="H80" s="114"/>
      <c r="K80" s="109"/>
      <c r="L80" s="1182"/>
      <c r="M80" s="110">
        <f>ROUNDUP(L79,1)</f>
        <v>0</v>
      </c>
      <c r="N80" s="128"/>
      <c r="O80" s="128"/>
      <c r="P80" s="112"/>
      <c r="Q80" s="112"/>
      <c r="R80" s="114"/>
    </row>
    <row r="81" spans="1:18" ht="12.75" customHeight="1" x14ac:dyDescent="0.25">
      <c r="A81" s="117"/>
      <c r="B81" s="118"/>
      <c r="C81" s="119"/>
      <c r="D81" s="120" t="e">
        <f>(((D80-D79)/(100*C80-100*C79))*(100*B79-100*C79))+D79</f>
        <v>#DIV/0!</v>
      </c>
      <c r="E81" s="120" t="e">
        <f>(((E80-E79)/(100*C80-100*C79))*(100*B79-100*C79))+E79</f>
        <v>#DIV/0!</v>
      </c>
      <c r="F81" s="121"/>
      <c r="G81" s="121"/>
      <c r="H81" s="122"/>
      <c r="K81" s="117"/>
      <c r="L81" s="118"/>
      <c r="M81" s="119"/>
      <c r="N81" s="120" t="e">
        <f>(((N80-N79)/(100*M80-100*M79))*(100*L79-100*M79))+N79</f>
        <v>#DIV/0!</v>
      </c>
      <c r="O81" s="120" t="e">
        <f>(((O80-O79)/(100*M80-100*M79))*(100*L79-100*M79))+O79</f>
        <v>#DIV/0!</v>
      </c>
      <c r="P81" s="121"/>
      <c r="Q81" s="121"/>
      <c r="R81" s="122"/>
    </row>
    <row r="82" spans="1:18" ht="12.75" customHeight="1" x14ac:dyDescent="0.25">
      <c r="A82" s="123" t="str">
        <f>Relato!$A$254</f>
        <v>6 TS (S)</v>
      </c>
      <c r="B82" s="1182">
        <f>Relato!$G$254</f>
        <v>0</v>
      </c>
      <c r="C82" s="129">
        <f>ROUNDDOWN(B82,1)</f>
        <v>0</v>
      </c>
      <c r="D82" s="124"/>
      <c r="E82" s="124"/>
      <c r="F82" s="125" t="e">
        <f>ROUND((((E84-D84)/($E$3-$D$3))*($F$3-$D$3))+D84,1)</f>
        <v>#DIV/0!</v>
      </c>
      <c r="G82" s="126">
        <f>G79</f>
        <v>1.02</v>
      </c>
      <c r="H82" s="127" t="e">
        <f>ROUND(F82*G82,1)</f>
        <v>#DIV/0!</v>
      </c>
      <c r="I82" s="115"/>
      <c r="K82" s="123" t="str">
        <f>Relato!$A$254</f>
        <v>6 TS (S)</v>
      </c>
      <c r="L82" s="1182">
        <f>Relato!D291</f>
        <v>0</v>
      </c>
      <c r="M82" s="129">
        <f>ROUNDDOWN(L82,1)</f>
        <v>0</v>
      </c>
      <c r="N82" s="124"/>
      <c r="O82" s="124"/>
      <c r="P82" s="125" t="e">
        <f>ROUND((((O84-N84)/($E$3-$D$3))*($F$3-$D$3))+N84,1)</f>
        <v>#DIV/0!</v>
      </c>
      <c r="Q82" s="126">
        <f>Q79</f>
        <v>1.0249999999999999</v>
      </c>
      <c r="R82" s="127" t="e">
        <f>ROUND(P82*Q82,1)</f>
        <v>#DIV/0!</v>
      </c>
    </row>
    <row r="83" spans="1:18" ht="12.75" customHeight="1" x14ac:dyDescent="0.25">
      <c r="A83" s="109"/>
      <c r="B83" s="1182"/>
      <c r="C83" s="110">
        <f>ROUNDUP(B82,1)</f>
        <v>0</v>
      </c>
      <c r="D83" s="128"/>
      <c r="E83" s="128"/>
      <c r="F83" s="112"/>
      <c r="G83" s="112"/>
      <c r="H83" s="114"/>
      <c r="K83" s="109"/>
      <c r="L83" s="1182"/>
      <c r="M83" s="110">
        <f>ROUNDUP(L82,1)</f>
        <v>0</v>
      </c>
      <c r="N83" s="128"/>
      <c r="O83" s="128"/>
      <c r="P83" s="112"/>
      <c r="Q83" s="112"/>
      <c r="R83" s="114"/>
    </row>
    <row r="84" spans="1:18" ht="12.75" customHeight="1" x14ac:dyDescent="0.25">
      <c r="A84" s="117"/>
      <c r="B84" s="118"/>
      <c r="C84" s="119"/>
      <c r="D84" s="120" t="e">
        <f>(((D83-D82)/(100*C83-100*C82))*(100*B82-100*C82))+D82</f>
        <v>#DIV/0!</v>
      </c>
      <c r="E84" s="120" t="e">
        <f>(((E83-E82)/(100*C83-100*C82))*(100*B82-100*C82))+E82</f>
        <v>#DIV/0!</v>
      </c>
      <c r="F84" s="121"/>
      <c r="G84" s="121"/>
      <c r="H84" s="122"/>
      <c r="K84" s="117"/>
      <c r="L84" s="118"/>
      <c r="M84" s="119"/>
      <c r="N84" s="120" t="e">
        <f>(((N83-N82)/(100*M83-100*M82))*(100*L82-100*M82))+N82</f>
        <v>#DIV/0!</v>
      </c>
      <c r="O84" s="120" t="e">
        <f>(((O83-O82)/(100*M83-100*M82))*(100*L82-100*M82))+O82</f>
        <v>#DIV/0!</v>
      </c>
      <c r="P84" s="121"/>
      <c r="Q84" s="121"/>
      <c r="R84" s="122"/>
    </row>
    <row r="85" spans="1:18" ht="12.75" customHeight="1" x14ac:dyDescent="0.25">
      <c r="A85" s="123" t="str">
        <f>Relato!$A$255</f>
        <v>7 TS (P)</v>
      </c>
      <c r="B85" s="1182">
        <f>Relato!$G$255</f>
        <v>0</v>
      </c>
      <c r="C85" s="129">
        <f>ROUNDDOWN(B85,1)</f>
        <v>0</v>
      </c>
      <c r="D85" s="124"/>
      <c r="E85" s="124"/>
      <c r="F85" s="125" t="e">
        <f>ROUND((((E87-D87)/($E$3-$D$3))*($F$3-$D$3))+D87,1)</f>
        <v>#DIV/0!</v>
      </c>
      <c r="G85" s="126">
        <f>G82</f>
        <v>1.02</v>
      </c>
      <c r="H85" s="127" t="e">
        <f>ROUND(F85*G85,1)</f>
        <v>#DIV/0!</v>
      </c>
      <c r="I85" s="115"/>
      <c r="K85" s="123" t="str">
        <f>Relato!$A$255</f>
        <v>7 TS (P)</v>
      </c>
      <c r="L85" s="1182">
        <f>Relato!$D$292</f>
        <v>0</v>
      </c>
      <c r="M85" s="129">
        <f>ROUNDDOWN(L85,1)</f>
        <v>0</v>
      </c>
      <c r="N85" s="124"/>
      <c r="O85" s="124"/>
      <c r="P85" s="125" t="e">
        <f>ROUND((((O87-N87)/($E$3-$D$3))*($F$3-$D$3))+N87,1)</f>
        <v>#DIV/0!</v>
      </c>
      <c r="Q85" s="126">
        <f>Q82</f>
        <v>1.0249999999999999</v>
      </c>
      <c r="R85" s="127" t="e">
        <f>ROUND(P85*Q85,1)</f>
        <v>#DIV/0!</v>
      </c>
    </row>
    <row r="86" spans="1:18" ht="12.75" customHeight="1" x14ac:dyDescent="0.25">
      <c r="A86" s="109"/>
      <c r="B86" s="1182"/>
      <c r="C86" s="110">
        <f>ROUNDUP(B85,1)</f>
        <v>0</v>
      </c>
      <c r="D86" s="128"/>
      <c r="E86" s="128"/>
      <c r="F86" s="112"/>
      <c r="G86" s="112"/>
      <c r="H86" s="114"/>
      <c r="K86" s="109"/>
      <c r="L86" s="1182"/>
      <c r="M86" s="110">
        <f>ROUNDUP(L85,1)</f>
        <v>0</v>
      </c>
      <c r="N86" s="128"/>
      <c r="O86" s="128"/>
      <c r="P86" s="112"/>
      <c r="Q86" s="112"/>
      <c r="R86" s="114"/>
    </row>
    <row r="87" spans="1:18" ht="12.75" customHeight="1" x14ac:dyDescent="0.25">
      <c r="A87" s="117"/>
      <c r="B87" s="118"/>
      <c r="C87" s="119"/>
      <c r="D87" s="120" t="e">
        <f>(((D86-D85)/(100*C86-100*C85))*(100*B85-100*C85))+D85</f>
        <v>#DIV/0!</v>
      </c>
      <c r="E87" s="120" t="e">
        <f>(((E86-E85)/(100*C86-100*C85))*(100*B85-100*C85))+E85</f>
        <v>#DIV/0!</v>
      </c>
      <c r="F87" s="121"/>
      <c r="G87" s="121"/>
      <c r="H87" s="122"/>
      <c r="K87" s="117"/>
      <c r="L87" s="118"/>
      <c r="M87" s="119"/>
      <c r="N87" s="120" t="e">
        <f>(((N86-N85)/(100*M86-100*M85))*(100*L85-100*M85))+N85</f>
        <v>#DIV/0!</v>
      </c>
      <c r="O87" s="120" t="e">
        <f>(((O86-O85)/(100*M86-100*M85))*(100*L85-100*M85))+O85</f>
        <v>#DIV/0!</v>
      </c>
      <c r="P87" s="121"/>
      <c r="Q87" s="121"/>
      <c r="R87" s="122"/>
    </row>
    <row r="88" spans="1:18" ht="12.75" customHeight="1" x14ac:dyDescent="0.25">
      <c r="A88" s="123" t="str">
        <f>Relato!$A$256</f>
        <v>7 TS (S)</v>
      </c>
      <c r="B88" s="1182">
        <f>Relato!$G$256</f>
        <v>0</v>
      </c>
      <c r="C88" s="129">
        <f>ROUNDDOWN(B88,1)</f>
        <v>0</v>
      </c>
      <c r="D88" s="124"/>
      <c r="E88" s="124"/>
      <c r="F88" s="125" t="e">
        <f>ROUND((((E90-D90)/($E$3-$D$3))*($F$3-$D$3))+D90,1)</f>
        <v>#DIV/0!</v>
      </c>
      <c r="G88" s="126">
        <f>G85</f>
        <v>1.02</v>
      </c>
      <c r="H88" s="127" t="e">
        <f>ROUND(F88*G88,1)</f>
        <v>#DIV/0!</v>
      </c>
      <c r="I88" s="115"/>
      <c r="K88" s="123" t="str">
        <f>Relato!$A$256</f>
        <v>7 TS (S)</v>
      </c>
      <c r="L88" s="1182">
        <f>Relato!$D$293</f>
        <v>1.69</v>
      </c>
      <c r="M88" s="129">
        <f>ROUNDDOWN(L88,1)</f>
        <v>1.6</v>
      </c>
      <c r="N88" s="124"/>
      <c r="O88" s="124"/>
      <c r="P88" s="125">
        <f>ROUND((((O90-N90)/($E$3-$D$3))*($F$3-$D$3))+N90,1)</f>
        <v>0</v>
      </c>
      <c r="Q88" s="126">
        <f>Q85</f>
        <v>1.0249999999999999</v>
      </c>
      <c r="R88" s="127">
        <f>ROUND(P88*Q88,1)</f>
        <v>0</v>
      </c>
    </row>
    <row r="89" spans="1:18" ht="12.75" customHeight="1" x14ac:dyDescent="0.25">
      <c r="A89" s="109"/>
      <c r="B89" s="1182"/>
      <c r="C89" s="110">
        <f>ROUNDUP(B88,1)</f>
        <v>0</v>
      </c>
      <c r="D89" s="128"/>
      <c r="E89" s="128"/>
      <c r="F89" s="112"/>
      <c r="G89" s="112"/>
      <c r="H89" s="114"/>
      <c r="K89" s="109"/>
      <c r="L89" s="1182"/>
      <c r="M89" s="110">
        <f>ROUNDUP(L88,1)</f>
        <v>1.7000000000000002</v>
      </c>
      <c r="N89" s="128"/>
      <c r="O89" s="128"/>
      <c r="P89" s="112"/>
      <c r="Q89" s="112"/>
      <c r="R89" s="114"/>
    </row>
    <row r="90" spans="1:18" ht="12.75" customHeight="1" x14ac:dyDescent="0.25">
      <c r="A90" s="117"/>
      <c r="B90" s="118"/>
      <c r="C90" s="119"/>
      <c r="D90" s="120" t="e">
        <f>(((D89-D88)/(100*C89-100*C88))*(100*B88-100*C88))+D88</f>
        <v>#DIV/0!</v>
      </c>
      <c r="E90" s="134" t="e">
        <f>(((E89-E88)/(100*C89-100*C88))*(100*B88-100*C88))+E88</f>
        <v>#DIV/0!</v>
      </c>
      <c r="F90" s="112"/>
      <c r="G90" s="112"/>
      <c r="H90" s="114"/>
      <c r="K90" s="117"/>
      <c r="L90" s="118"/>
      <c r="M90" s="119"/>
      <c r="N90" s="120">
        <f>(((N89-N88)/(100*M89-100*M88))*(100*L88-100*M88))+N88</f>
        <v>0</v>
      </c>
      <c r="O90" s="134">
        <f>(((O89-O88)/(100*M89-100*M88))*(100*L88-100*M88))+O88</f>
        <v>0</v>
      </c>
      <c r="P90" s="112"/>
      <c r="Q90" s="112"/>
      <c r="R90" s="114"/>
    </row>
    <row r="91" spans="1:18" ht="12.75" customHeight="1" x14ac:dyDescent="0.25">
      <c r="A91" s="123" t="str">
        <f>Relato!$A$257</f>
        <v>A.PK</v>
      </c>
      <c r="B91" s="1182">
        <f>Relato!$G$257</f>
        <v>1.56</v>
      </c>
      <c r="C91" s="129">
        <f>ROUNDDOWN(B91,1)</f>
        <v>1.5</v>
      </c>
      <c r="D91" s="124">
        <v>0.32800000000000001</v>
      </c>
      <c r="E91" s="124">
        <v>0.32600000000000001</v>
      </c>
      <c r="F91" s="125">
        <f>ROUND((((E93-D93)/($E$3-$D$3))*($F$3-$D$3))+D93,1)</f>
        <v>0.3</v>
      </c>
      <c r="G91" s="126">
        <f>G88</f>
        <v>1.02</v>
      </c>
      <c r="H91" s="127">
        <f>ROUND(F91*G91,1)</f>
        <v>0.3</v>
      </c>
      <c r="I91" s="115"/>
      <c r="K91" s="123" t="str">
        <f>Relato!$A$257</f>
        <v>A.PK</v>
      </c>
      <c r="L91" s="1182">
        <f>Relato!$D$294</f>
        <v>0</v>
      </c>
      <c r="M91" s="129">
        <f>ROUNDDOWN(L91,1)</f>
        <v>0</v>
      </c>
      <c r="N91" s="124"/>
      <c r="O91" s="124"/>
      <c r="P91" s="125" t="e">
        <f>ROUND((((O93-N93)/($E$3-$D$3))*($F$3-$D$3))+N93,1)</f>
        <v>#DIV/0!</v>
      </c>
      <c r="Q91" s="126">
        <f>Q88</f>
        <v>1.0249999999999999</v>
      </c>
      <c r="R91" s="127" t="e">
        <f>ROUND(P91*Q91,1)</f>
        <v>#DIV/0!</v>
      </c>
    </row>
    <row r="92" spans="1:18" ht="12.75" customHeight="1" x14ac:dyDescent="0.25">
      <c r="A92" s="109"/>
      <c r="B92" s="1182"/>
      <c r="C92" s="110">
        <v>2</v>
      </c>
      <c r="D92" s="128">
        <v>0.42</v>
      </c>
      <c r="E92" s="128">
        <v>0.41799999999999998</v>
      </c>
      <c r="F92" s="112"/>
      <c r="G92" s="112"/>
      <c r="H92" s="114"/>
      <c r="K92" s="109"/>
      <c r="L92" s="1182"/>
      <c r="M92" s="110">
        <f>ROUNDUP(L91,1)</f>
        <v>0</v>
      </c>
      <c r="N92" s="128"/>
      <c r="O92" s="128"/>
      <c r="P92" s="112"/>
      <c r="Q92" s="112"/>
      <c r="R92" s="114"/>
    </row>
    <row r="93" spans="1:18" ht="12.75" customHeight="1" x14ac:dyDescent="0.25">
      <c r="A93" s="117"/>
      <c r="B93" s="118"/>
      <c r="C93" s="119"/>
      <c r="D93" s="120">
        <f>(((D92-D91)/(100*C92-100*C91))*(100*B91-100*C91))+D91</f>
        <v>0.33904000000000001</v>
      </c>
      <c r="E93" s="134">
        <f>(((E92-E91)/(100*C92-100*C91))*(100*B91-100*C91))+E91</f>
        <v>0.33704000000000001</v>
      </c>
      <c r="F93" s="112"/>
      <c r="G93" s="112"/>
      <c r="H93" s="114"/>
      <c r="K93" s="117"/>
      <c r="L93" s="118"/>
      <c r="M93" s="119"/>
      <c r="N93" s="120" t="e">
        <f>(((N92-N91)/(100*M92-100*M91))*(100*L91-100*M91))+N91</f>
        <v>#DIV/0!</v>
      </c>
      <c r="O93" s="134" t="e">
        <f>(((O92-O91)/(100*M92-100*M91))*(100*L91-100*M91))+O91</f>
        <v>#DIV/0!</v>
      </c>
      <c r="P93" s="112"/>
      <c r="Q93" s="112"/>
      <c r="R93" s="114"/>
    </row>
    <row r="94" spans="1:18" ht="12.75" customHeight="1" x14ac:dyDescent="0.25">
      <c r="A94" s="135"/>
      <c r="B94" s="136"/>
      <c r="C94" s="137"/>
      <c r="D94" s="138"/>
      <c r="E94" s="139" t="s">
        <v>79</v>
      </c>
      <c r="F94" s="140" t="e">
        <f>SUM(F91+F88+F85+F82+F79+F76+F73+F70+F67+F64+F61+F58+F55+F52+F49+F46+F43+F40+F37+F34+F31+F28+F25+F22+F19+F16+F13+F10+F7+F4)</f>
        <v>#DIV/0!</v>
      </c>
      <c r="G94" s="141"/>
      <c r="H94" s="142" t="e">
        <f>ROUND(SUM(H91+H88+H85+H82+H79+H76+H73+H70+H67+H64+H61+H58+H55+H52+H49+H46+H43+H40+H37+H34+H31+H28+H25+H22+H19+H16+H13+H10+H7+H4),1)</f>
        <v>#DIV/0!</v>
      </c>
      <c r="K94" s="135"/>
      <c r="L94" s="136"/>
      <c r="M94" s="137"/>
      <c r="N94" s="138"/>
      <c r="O94" s="139" t="s">
        <v>79</v>
      </c>
      <c r="P94" s="140" t="e">
        <f>SUM(P91+P88+P85+P82+P79+P76+P73+P70+P67+P64+P61+P58+P55+P52+P49+P46+P43+P40+P37+P34+P31+P28+P25+P22+P19+P16+P13+P10+P7+P4)</f>
        <v>#DIV/0!</v>
      </c>
      <c r="Q94" s="141"/>
      <c r="R94" s="142" t="e">
        <f>ROUND(SUM(R91+R88+R85+R82+R79+R76+R73+R70+R67+R64+R61+R58+R55+R52+R49+R46+R43+R40+R37+R34+R31+R28+R25+R22+R19+R16+R13+R10+R7+R4),1)</f>
        <v>#DIV/0!</v>
      </c>
    </row>
    <row r="95" spans="1:18" ht="26.25" customHeight="1" x14ac:dyDescent="0.25">
      <c r="A95" s="143"/>
      <c r="B95" s="144"/>
      <c r="C95" s="144"/>
      <c r="D95" s="144" t="s">
        <v>369</v>
      </c>
      <c r="E95" s="144"/>
      <c r="F95" s="145"/>
      <c r="G95" s="145"/>
      <c r="H95" s="145"/>
      <c r="K95" s="143"/>
      <c r="L95" s="144"/>
      <c r="M95" s="144"/>
      <c r="N95" s="144" t="s">
        <v>369</v>
      </c>
      <c r="O95" s="144"/>
      <c r="P95" s="145"/>
      <c r="Q95" s="145"/>
      <c r="R95" s="145"/>
    </row>
    <row r="96" spans="1:18" ht="12.75" customHeight="1" x14ac:dyDescent="0.25">
      <c r="A96" s="146" t="s">
        <v>359</v>
      </c>
      <c r="B96" s="147" t="s">
        <v>360</v>
      </c>
      <c r="C96" s="146" t="s">
        <v>361</v>
      </c>
      <c r="D96" s="148" t="s">
        <v>362</v>
      </c>
      <c r="E96" s="146"/>
      <c r="F96" s="146" t="s">
        <v>363</v>
      </c>
      <c r="G96" s="149" t="s">
        <v>364</v>
      </c>
      <c r="H96" s="146" t="s">
        <v>365</v>
      </c>
      <c r="K96" s="146" t="s">
        <v>359</v>
      </c>
      <c r="L96" s="147" t="s">
        <v>360</v>
      </c>
      <c r="M96" s="146" t="s">
        <v>361</v>
      </c>
      <c r="N96" s="148" t="s">
        <v>362</v>
      </c>
      <c r="O96" s="146"/>
      <c r="P96" s="146" t="s">
        <v>363</v>
      </c>
      <c r="Q96" s="149" t="s">
        <v>364</v>
      </c>
      <c r="R96" s="146" t="s">
        <v>365</v>
      </c>
    </row>
    <row r="97" spans="1:18" ht="12.75" customHeight="1" x14ac:dyDescent="0.25">
      <c r="A97" s="146"/>
      <c r="B97" s="147" t="s">
        <v>366</v>
      </c>
      <c r="C97" s="146" t="s">
        <v>367</v>
      </c>
      <c r="D97" s="150">
        <f>D3</f>
        <v>0.5</v>
      </c>
      <c r="E97" s="150">
        <f>E3</f>
        <v>1</v>
      </c>
      <c r="F97" s="151">
        <f>F3</f>
        <v>0.38999999999999968</v>
      </c>
      <c r="G97" s="152"/>
      <c r="H97" s="146" t="s">
        <v>368</v>
      </c>
      <c r="K97" s="146"/>
      <c r="L97" s="147" t="s">
        <v>366</v>
      </c>
      <c r="M97" s="146" t="s">
        <v>367</v>
      </c>
      <c r="N97" s="150">
        <f>N3</f>
        <v>1</v>
      </c>
      <c r="O97" s="150">
        <f>O3</f>
        <v>2</v>
      </c>
      <c r="P97" s="151">
        <f>P3</f>
        <v>5.8799999999999741E-2</v>
      </c>
      <c r="Q97" s="152"/>
      <c r="R97" s="146" t="s">
        <v>368</v>
      </c>
    </row>
    <row r="98" spans="1:18" ht="12.75" customHeight="1" x14ac:dyDescent="0.25">
      <c r="A98" s="153" t="str">
        <f>Relato!$A$301</f>
        <v>FWT (P)</v>
      </c>
      <c r="B98" s="1183">
        <f>Relato!$G$301</f>
        <v>0</v>
      </c>
      <c r="C98" s="129">
        <f>ROUNDDOWN(B98,1)</f>
        <v>0</v>
      </c>
      <c r="D98" s="154"/>
      <c r="E98" s="154"/>
      <c r="F98" s="155" t="e">
        <f>ROUND((((E100-D100)/($E$3-$D$3))*($F$3-$D$3))+D100,1)</f>
        <v>#DIV/0!</v>
      </c>
      <c r="G98" s="156">
        <v>1</v>
      </c>
      <c r="H98" s="157" t="e">
        <f>F98*G98</f>
        <v>#DIV/0!</v>
      </c>
      <c r="K98" s="153" t="str">
        <f>Relato!$A$301</f>
        <v>FWT (P)</v>
      </c>
      <c r="L98" s="1183">
        <f>Relato!D311</f>
        <v>0</v>
      </c>
      <c r="M98" s="129">
        <f>ROUNDDOWN(L98,1)</f>
        <v>0</v>
      </c>
      <c r="N98" s="154"/>
      <c r="O98" s="154"/>
      <c r="P98" s="155" t="e">
        <f>ROUND((((O100-N100)/($E$3-$D$3))*($F$3-$D$3))+N100,1)</f>
        <v>#DIV/0!</v>
      </c>
      <c r="Q98" s="156">
        <v>1</v>
      </c>
      <c r="R98" s="157" t="e">
        <f>P98*Q98</f>
        <v>#DIV/0!</v>
      </c>
    </row>
    <row r="99" spans="1:18" ht="12.75" customHeight="1" x14ac:dyDescent="0.25">
      <c r="A99" s="158"/>
      <c r="B99" s="1184"/>
      <c r="C99" s="110">
        <f>ROUNDUP(B98,1)</f>
        <v>0</v>
      </c>
      <c r="D99" s="159"/>
      <c r="E99" s="159"/>
      <c r="F99" s="160"/>
      <c r="G99" s="160"/>
      <c r="H99" s="161"/>
      <c r="K99" s="158"/>
      <c r="L99" s="1184"/>
      <c r="M99" s="110">
        <f>ROUNDUP(L98,1)</f>
        <v>0</v>
      </c>
      <c r="N99" s="159"/>
      <c r="O99" s="159"/>
      <c r="P99" s="160"/>
      <c r="Q99" s="160"/>
      <c r="R99" s="161"/>
    </row>
    <row r="100" spans="1:18" ht="12.75" customHeight="1" x14ac:dyDescent="0.25">
      <c r="A100" s="162"/>
      <c r="B100" s="163"/>
      <c r="C100" s="164"/>
      <c r="D100" s="165" t="e">
        <f>(((D99-D98)/(C99-C98))*(B98-C98))+D98</f>
        <v>#DIV/0!</v>
      </c>
      <c r="E100" s="165" t="e">
        <f>(((E99-E98)/(C99-C98))*(B98-C98))+E98</f>
        <v>#DIV/0!</v>
      </c>
      <c r="F100" s="166"/>
      <c r="G100" s="166"/>
      <c r="H100" s="167"/>
      <c r="K100" s="162"/>
      <c r="L100" s="163"/>
      <c r="M100" s="164"/>
      <c r="N100" s="165" t="e">
        <f>(((N99-N98)/(M99-M98))*(L98-M98))+N98</f>
        <v>#DIV/0!</v>
      </c>
      <c r="O100" s="165" t="e">
        <f>(((O99-O98)/(M99-M98))*(L98-M98))+O98</f>
        <v>#DIV/0!</v>
      </c>
      <c r="P100" s="166"/>
      <c r="Q100" s="166"/>
      <c r="R100" s="167"/>
    </row>
    <row r="101" spans="1:18" ht="12.75" customHeight="1" x14ac:dyDescent="0.25">
      <c r="A101" s="153" t="str">
        <f>Relato!$A$302</f>
        <v>FWT (S)</v>
      </c>
      <c r="B101" s="1183">
        <f>Relato!$G$302</f>
        <v>0</v>
      </c>
      <c r="C101" s="129">
        <f>ROUNDDOWN(B101,1)</f>
        <v>0</v>
      </c>
      <c r="D101" s="154"/>
      <c r="E101" s="154"/>
      <c r="F101" s="155" t="e">
        <f>ROUND((((E103-D103)/($E$3-$D$3))*($F$3-$D$3))+D103,1)</f>
        <v>#DIV/0!</v>
      </c>
      <c r="G101" s="156">
        <v>1</v>
      </c>
      <c r="H101" s="157" t="e">
        <f>F101*G101</f>
        <v>#DIV/0!</v>
      </c>
      <c r="K101" s="153" t="str">
        <f>Relato!$A$302</f>
        <v>FWT (S)</v>
      </c>
      <c r="L101" s="1183">
        <f>Relato!D312</f>
        <v>0</v>
      </c>
      <c r="M101" s="129">
        <f>ROUNDDOWN(L101,1)</f>
        <v>0</v>
      </c>
      <c r="N101" s="154"/>
      <c r="O101" s="154"/>
      <c r="P101" s="155" t="e">
        <f>ROUND((((O103-N103)/($E$3-$D$3))*($F$3-$D$3))+N103,1)</f>
        <v>#DIV/0!</v>
      </c>
      <c r="Q101" s="156">
        <v>1</v>
      </c>
      <c r="R101" s="157" t="e">
        <f>P101*Q101</f>
        <v>#DIV/0!</v>
      </c>
    </row>
    <row r="102" spans="1:18" ht="12.75" customHeight="1" x14ac:dyDescent="0.25">
      <c r="A102" s="158"/>
      <c r="B102" s="1184"/>
      <c r="C102" s="110">
        <f>ROUNDUP(B101,1)</f>
        <v>0</v>
      </c>
      <c r="D102" s="159"/>
      <c r="E102" s="159"/>
      <c r="F102" s="160"/>
      <c r="G102" s="160"/>
      <c r="H102" s="161"/>
      <c r="K102" s="158"/>
      <c r="L102" s="1184"/>
      <c r="M102" s="110">
        <f>ROUNDUP(L101,1)</f>
        <v>0</v>
      </c>
      <c r="N102" s="159"/>
      <c r="O102" s="159"/>
      <c r="P102" s="160"/>
      <c r="Q102" s="160"/>
      <c r="R102" s="161"/>
    </row>
    <row r="103" spans="1:18" ht="12.75" customHeight="1" x14ac:dyDescent="0.25">
      <c r="A103" s="162"/>
      <c r="B103" s="163"/>
      <c r="C103" s="164"/>
      <c r="D103" s="165" t="e">
        <f>(((D102-D101)/(C102-C101))*(B101-C101))+D101</f>
        <v>#DIV/0!</v>
      </c>
      <c r="E103" s="165" t="e">
        <f>(((E102-E101)/(C102-C101))*(B101-C101))+E101</f>
        <v>#DIV/0!</v>
      </c>
      <c r="F103" s="166"/>
      <c r="G103" s="166"/>
      <c r="H103" s="167"/>
      <c r="K103" s="162"/>
      <c r="L103" s="163"/>
      <c r="M103" s="164"/>
      <c r="N103" s="165" t="e">
        <f>(((N102-N101)/(M102-M101))*(L101-M101))+N101</f>
        <v>#DIV/0!</v>
      </c>
      <c r="O103" s="165" t="e">
        <f>(((O102-O101)/(M102-M101))*(L101-M101))+O101</f>
        <v>#DIV/0!</v>
      </c>
      <c r="P103" s="166"/>
      <c r="Q103" s="166"/>
      <c r="R103" s="167"/>
    </row>
    <row r="104" spans="1:18" ht="12.75" customHeight="1" x14ac:dyDescent="0.25">
      <c r="A104" s="153" t="str">
        <f>Relato!$A$303</f>
        <v>DWT (P)</v>
      </c>
      <c r="B104" s="1183">
        <f>Relato!$G$303</f>
        <v>0</v>
      </c>
      <c r="C104" s="129">
        <f>ROUNDDOWN(B104,1)</f>
        <v>0</v>
      </c>
      <c r="D104" s="154"/>
      <c r="E104" s="154"/>
      <c r="F104" s="155" t="e">
        <f>ROUND((((E106-D106)/($E$3-$D$3))*($F$3-$D$3))+D106,1)</f>
        <v>#DIV/0!</v>
      </c>
      <c r="G104" s="156">
        <v>1</v>
      </c>
      <c r="H104" s="157" t="e">
        <f>F104*G104</f>
        <v>#DIV/0!</v>
      </c>
      <c r="K104" s="153" t="str">
        <f>Relato!$A$303</f>
        <v>DWT (P)</v>
      </c>
      <c r="L104" s="1183">
        <f>Relato!D313</f>
        <v>0</v>
      </c>
      <c r="M104" s="129">
        <f>ROUNDDOWN(L104,1)</f>
        <v>0</v>
      </c>
      <c r="N104" s="154"/>
      <c r="O104" s="154"/>
      <c r="P104" s="155" t="e">
        <f>ROUND((((O106-N106)/($E$3-$D$3))*($F$3-$D$3))+N106,1)</f>
        <v>#DIV/0!</v>
      </c>
      <c r="Q104" s="156">
        <v>1</v>
      </c>
      <c r="R104" s="157" t="e">
        <f>P104*Q104</f>
        <v>#DIV/0!</v>
      </c>
    </row>
    <row r="105" spans="1:18" ht="12.75" customHeight="1" x14ac:dyDescent="0.25">
      <c r="A105" s="158"/>
      <c r="B105" s="1184"/>
      <c r="C105" s="110">
        <f>ROUNDUP(B104,1)</f>
        <v>0</v>
      </c>
      <c r="D105" s="159"/>
      <c r="E105" s="159"/>
      <c r="F105" s="160"/>
      <c r="G105" s="160"/>
      <c r="H105" s="161"/>
      <c r="K105" s="158"/>
      <c r="L105" s="1184"/>
      <c r="M105" s="110">
        <f>ROUNDUP(L104,1)</f>
        <v>0</v>
      </c>
      <c r="N105" s="159"/>
      <c r="O105" s="159"/>
      <c r="P105" s="160"/>
      <c r="Q105" s="160"/>
      <c r="R105" s="161"/>
    </row>
    <row r="106" spans="1:18" ht="12.75" customHeight="1" x14ac:dyDescent="0.25">
      <c r="A106" s="162"/>
      <c r="B106" s="163"/>
      <c r="C106" s="164"/>
      <c r="D106" s="165" t="e">
        <f>(((D105-D104)/(C105-C104))*(B104-C104))+D104</f>
        <v>#DIV/0!</v>
      </c>
      <c r="E106" s="165" t="e">
        <f>(((E105-E104)/(C105-C104))*(B104-C104))+E104</f>
        <v>#DIV/0!</v>
      </c>
      <c r="F106" s="166"/>
      <c r="G106" s="166"/>
      <c r="H106" s="167"/>
      <c r="K106" s="162"/>
      <c r="L106" s="163"/>
      <c r="M106" s="164"/>
      <c r="N106" s="165" t="e">
        <f>(((N105-N104)/(M105-M104))*(L104-M104))+N104</f>
        <v>#DIV/0!</v>
      </c>
      <c r="O106" s="165" t="e">
        <f>(((O105-O104)/(M105-M104))*(L104-M104))+O104</f>
        <v>#DIV/0!</v>
      </c>
      <c r="P106" s="166"/>
      <c r="Q106" s="166"/>
      <c r="R106" s="167"/>
    </row>
    <row r="107" spans="1:18" ht="12.75" customHeight="1" x14ac:dyDescent="0.25">
      <c r="A107" s="153" t="str">
        <f>Relato!$A$304</f>
        <v>DWT (S)</v>
      </c>
      <c r="B107" s="1183">
        <f>Relato!$G$304</f>
        <v>0</v>
      </c>
      <c r="C107" s="129">
        <f>ROUNDDOWN(B107,1)</f>
        <v>0</v>
      </c>
      <c r="D107" s="154"/>
      <c r="E107" s="154"/>
      <c r="F107" s="155" t="e">
        <f>ROUND((((E109-D109)/($E$3-$D$3))*($F$3-$D$3))+D109,1)</f>
        <v>#DIV/0!</v>
      </c>
      <c r="G107" s="156">
        <v>1</v>
      </c>
      <c r="H107" s="157" t="e">
        <f>F107*G107</f>
        <v>#DIV/0!</v>
      </c>
      <c r="K107" s="153" t="str">
        <f>Relato!$A$304</f>
        <v>DWT (S)</v>
      </c>
      <c r="L107" s="1183">
        <f>Relato!D314</f>
        <v>0</v>
      </c>
      <c r="M107" s="129">
        <f>ROUNDDOWN(L107,1)</f>
        <v>0</v>
      </c>
      <c r="N107" s="154"/>
      <c r="O107" s="154"/>
      <c r="P107" s="155" t="e">
        <f>ROUND((((O109-N109)/($E$3-$D$3))*($F$3-$D$3))+N109,1)</f>
        <v>#DIV/0!</v>
      </c>
      <c r="Q107" s="156">
        <v>1</v>
      </c>
      <c r="R107" s="157" t="e">
        <f>P107*Q107</f>
        <v>#DIV/0!</v>
      </c>
    </row>
    <row r="108" spans="1:18" ht="12.75" customHeight="1" x14ac:dyDescent="0.25">
      <c r="A108" s="168"/>
      <c r="B108" s="1184"/>
      <c r="C108" s="110">
        <f>ROUNDUP(B107,1)</f>
        <v>0</v>
      </c>
      <c r="D108" s="159"/>
      <c r="E108" s="159"/>
      <c r="F108" s="160"/>
      <c r="G108" s="160"/>
      <c r="H108" s="161"/>
      <c r="K108" s="168"/>
      <c r="L108" s="1184"/>
      <c r="M108" s="110">
        <f>ROUNDUP(L107,1)</f>
        <v>0</v>
      </c>
      <c r="N108" s="159"/>
      <c r="O108" s="159"/>
      <c r="P108" s="160"/>
      <c r="Q108" s="160"/>
      <c r="R108" s="161"/>
    </row>
    <row r="109" spans="1:18" ht="12.75" customHeight="1" x14ac:dyDescent="0.25">
      <c r="A109" s="169"/>
      <c r="B109" s="163"/>
      <c r="C109" s="164"/>
      <c r="D109" s="165" t="e">
        <f>(((D108-D107)/(C108-C107))*(B107-C107))+D107</f>
        <v>#DIV/0!</v>
      </c>
      <c r="E109" s="165" t="e">
        <f>(((E108-E107)/(C108-C107))*(B107-C107))+E107</f>
        <v>#DIV/0!</v>
      </c>
      <c r="F109" s="166"/>
      <c r="G109" s="166"/>
      <c r="H109" s="167"/>
      <c r="K109" s="169"/>
      <c r="L109" s="163"/>
      <c r="M109" s="164"/>
      <c r="N109" s="165" t="e">
        <f>(((N108-N107)/(M108-M107))*(L107-M107))+N107</f>
        <v>#DIV/0!</v>
      </c>
      <c r="O109" s="165" t="e">
        <f>(((O108-O107)/(M108-M107))*(L107-M107))+O107</f>
        <v>#DIV/0!</v>
      </c>
      <c r="P109" s="166"/>
      <c r="Q109" s="166"/>
      <c r="R109" s="167"/>
    </row>
    <row r="110" spans="1:18" ht="12.75" customHeight="1" x14ac:dyDescent="0.25">
      <c r="A110" s="170"/>
      <c r="B110" s="170"/>
      <c r="C110" s="170"/>
      <c r="D110" s="170"/>
      <c r="E110" s="171" t="s">
        <v>79</v>
      </c>
      <c r="F110" s="172" t="e">
        <f>SUM(F98:F109)</f>
        <v>#DIV/0!</v>
      </c>
      <c r="G110" s="173" t="s">
        <v>370</v>
      </c>
      <c r="H110" s="170"/>
      <c r="K110" s="170"/>
      <c r="L110" s="170"/>
      <c r="M110" s="170"/>
      <c r="N110" s="170"/>
      <c r="O110" s="171" t="s">
        <v>79</v>
      </c>
      <c r="P110" s="172" t="e">
        <f>SUM(P98:P109)</f>
        <v>#DIV/0!</v>
      </c>
      <c r="Q110" s="173" t="s">
        <v>370</v>
      </c>
      <c r="R110" s="170"/>
    </row>
    <row r="112" spans="1:18" x14ac:dyDescent="0.2">
      <c r="F112" s="174"/>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topLeftCell="A263" zoomScale="93" zoomScaleNormal="93" zoomScaleSheetLayoutView="93" workbookViewId="0">
      <selection activeCell="L4" sqref="L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1" t="str">
        <f>_xlfn.CONCAT("MV"," """,CAPA!B8,""" ")</f>
        <v xml:space="preserve">MV "STAR GENESIS" </v>
      </c>
      <c r="B1" s="861"/>
      <c r="C1" s="861"/>
      <c r="D1" s="861"/>
      <c r="E1" s="861"/>
      <c r="F1" s="861"/>
      <c r="G1" s="861"/>
      <c r="H1" s="861"/>
      <c r="I1" s="861"/>
      <c r="J1" s="861"/>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862" t="str">
        <f>_xlfn.CONCAT(CAPA!A5,CAPA!B5)</f>
        <v>PGUA/DS/068/26</v>
      </c>
      <c r="H3" s="862"/>
      <c r="I3" s="862"/>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711</v>
      </c>
      <c r="B9" s="253"/>
      <c r="C9" s="253"/>
      <c r="D9" s="253"/>
      <c r="E9" s="253"/>
      <c r="F9" s="253"/>
      <c r="G9" s="253"/>
      <c r="H9" s="255"/>
      <c r="I9" s="255" t="s">
        <v>17</v>
      </c>
    </row>
    <row r="10" spans="1:10" ht="19.5" x14ac:dyDescent="0.4">
      <c r="A10" s="254" t="s">
        <v>18</v>
      </c>
      <c r="B10" s="253"/>
      <c r="C10" s="253"/>
      <c r="D10" s="253"/>
      <c r="E10" s="253"/>
      <c r="F10" s="253"/>
      <c r="G10" s="253"/>
      <c r="H10" s="255"/>
      <c r="I10" s="255" t="s">
        <v>19</v>
      </c>
    </row>
    <row r="11" spans="1:10" ht="19.5" x14ac:dyDescent="0.4">
      <c r="A11" s="254" t="s">
        <v>20</v>
      </c>
      <c r="B11" s="253"/>
      <c r="C11" s="253"/>
      <c r="D11" s="253"/>
      <c r="E11" s="253"/>
      <c r="F11" s="253"/>
      <c r="G11" s="253"/>
      <c r="H11" s="255"/>
      <c r="I11" s="255" t="s">
        <v>19</v>
      </c>
    </row>
    <row r="12" spans="1:10" ht="19.5" x14ac:dyDescent="0.4">
      <c r="A12" s="256" t="s">
        <v>713</v>
      </c>
      <c r="B12" s="253"/>
      <c r="C12" s="253"/>
      <c r="D12" s="253"/>
      <c r="E12" s="253"/>
      <c r="F12" s="253"/>
      <c r="G12" s="253"/>
      <c r="H12" s="255"/>
      <c r="I12" s="255" t="s">
        <v>19</v>
      </c>
    </row>
    <row r="13" spans="1:10" ht="19.5" x14ac:dyDescent="0.4">
      <c r="A13" s="254" t="s">
        <v>21</v>
      </c>
      <c r="B13" s="253"/>
      <c r="C13" s="253"/>
      <c r="D13" s="253"/>
      <c r="E13" s="253"/>
      <c r="F13" s="253"/>
      <c r="G13" s="253"/>
      <c r="H13" s="255"/>
      <c r="I13" s="255" t="s">
        <v>22</v>
      </c>
    </row>
    <row r="14" spans="1:10" ht="19.5" x14ac:dyDescent="0.4">
      <c r="A14" s="254" t="s">
        <v>717</v>
      </c>
      <c r="B14" s="253"/>
      <c r="C14" s="253"/>
      <c r="D14" s="253"/>
      <c r="E14" s="253"/>
      <c r="F14" s="253"/>
      <c r="G14" s="253"/>
      <c r="H14" s="255"/>
      <c r="I14" s="255" t="s">
        <v>22</v>
      </c>
    </row>
    <row r="15" spans="1:10" ht="19.5" x14ac:dyDescent="0.4">
      <c r="A15" s="254" t="s">
        <v>718</v>
      </c>
      <c r="B15" s="253"/>
      <c r="C15" s="253"/>
      <c r="D15" s="253"/>
      <c r="E15" s="253"/>
      <c r="F15" s="253"/>
      <c r="G15" s="253"/>
      <c r="H15" s="255"/>
      <c r="I15" s="255" t="s">
        <v>22</v>
      </c>
    </row>
    <row r="16" spans="1:10" ht="19.5" x14ac:dyDescent="0.4">
      <c r="A16" s="254" t="s">
        <v>23</v>
      </c>
      <c r="B16" s="253"/>
      <c r="C16" s="253"/>
      <c r="D16" s="253"/>
      <c r="E16" s="253"/>
      <c r="F16" s="253"/>
      <c r="G16" s="253"/>
      <c r="H16" s="255"/>
      <c r="I16" s="255" t="s">
        <v>22</v>
      </c>
    </row>
    <row r="17" spans="1:16" ht="19.5" x14ac:dyDescent="0.4">
      <c r="A17" s="254" t="s">
        <v>709</v>
      </c>
      <c r="B17" s="253"/>
      <c r="C17" s="253"/>
      <c r="D17" s="253"/>
      <c r="E17" s="253"/>
      <c r="F17" s="253"/>
      <c r="G17" s="253"/>
      <c r="H17" s="255"/>
      <c r="I17" s="255" t="s">
        <v>24</v>
      </c>
    </row>
    <row r="18" spans="1:16" ht="19.5" x14ac:dyDescent="0.4">
      <c r="A18" s="254" t="s">
        <v>25</v>
      </c>
      <c r="B18" s="253"/>
      <c r="C18" s="253"/>
      <c r="D18" s="253"/>
      <c r="E18" s="253"/>
      <c r="F18" s="253"/>
      <c r="G18" s="253"/>
      <c r="H18" s="255"/>
      <c r="I18" s="255" t="s">
        <v>26</v>
      </c>
    </row>
    <row r="19" spans="1:16" ht="20.25" x14ac:dyDescent="0.4">
      <c r="A19" s="254" t="s">
        <v>27</v>
      </c>
      <c r="B19" s="253"/>
      <c r="C19" s="253"/>
      <c r="D19" s="253"/>
      <c r="E19" s="253"/>
      <c r="F19" s="253"/>
      <c r="G19" s="253"/>
      <c r="H19" s="255"/>
      <c r="I19" s="255" t="s">
        <v>26</v>
      </c>
      <c r="L19" s="426" t="s">
        <v>587</v>
      </c>
    </row>
    <row r="20" spans="1:16" ht="19.5" x14ac:dyDescent="0.4">
      <c r="A20" s="254" t="s">
        <v>28</v>
      </c>
      <c r="B20" s="253"/>
      <c r="C20" s="253"/>
      <c r="D20" s="253"/>
      <c r="E20" s="253"/>
      <c r="F20" s="253"/>
      <c r="G20" s="253"/>
      <c r="H20" s="255"/>
      <c r="I20" s="254" t="str">
        <f>IF($I$19="07","08","07")</f>
        <v>07</v>
      </c>
    </row>
    <row r="21" spans="1:16" ht="19.5" x14ac:dyDescent="0.4">
      <c r="A21" s="254" t="s">
        <v>29</v>
      </c>
      <c r="B21" s="253"/>
      <c r="C21" s="253"/>
      <c r="D21" s="253"/>
      <c r="E21" s="253"/>
      <c r="F21" s="253"/>
      <c r="G21" s="253"/>
      <c r="H21" s="255"/>
      <c r="I21" s="254" t="str">
        <f>$I$20</f>
        <v>07</v>
      </c>
    </row>
    <row r="22" spans="1:16" ht="19.5" x14ac:dyDescent="0.4">
      <c r="A22" s="254" t="s">
        <v>30</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37</v>
      </c>
      <c r="B30" s="254"/>
      <c r="C30" s="254"/>
      <c r="D30" s="254"/>
      <c r="E30" s="254"/>
      <c r="F30" s="254"/>
      <c r="G30" s="254"/>
      <c r="H30" s="254"/>
      <c r="I30" s="257"/>
      <c r="L30" s="455"/>
      <c r="M30" s="455"/>
      <c r="N30" s="455"/>
      <c r="O30" s="455"/>
      <c r="P30" s="455"/>
    </row>
    <row r="31" spans="1:16" ht="19.5" x14ac:dyDescent="0.4">
      <c r="A31" s="254" t="s">
        <v>38</v>
      </c>
      <c r="B31" s="254"/>
      <c r="C31" s="254"/>
      <c r="D31" s="254"/>
      <c r="E31" s="254"/>
      <c r="F31" s="254"/>
      <c r="G31" s="254"/>
      <c r="H31" s="254"/>
      <c r="I31" s="257"/>
      <c r="L31" s="455"/>
      <c r="M31" s="455"/>
      <c r="N31" s="455"/>
      <c r="O31" s="455"/>
      <c r="P31" s="455"/>
    </row>
    <row r="32" spans="1:16" ht="19.5" x14ac:dyDescent="0.4">
      <c r="A32" s="254" t="str">
        <f>Relato!A33</f>
        <v xml:space="preserve"> - LINK TO THE DIGITAL DOCUMENTATION, PHOTOGRAPHS AND VIDEOS;</v>
      </c>
      <c r="B32" s="254"/>
      <c r="C32" s="254"/>
      <c r="D32" s="254"/>
      <c r="E32" s="254"/>
      <c r="F32" s="254"/>
      <c r="G32" s="254"/>
      <c r="H32" s="254"/>
      <c r="I32" s="254"/>
      <c r="L32" s="455"/>
      <c r="M32" s="455"/>
      <c r="N32" s="455"/>
      <c r="O32" s="455"/>
      <c r="P32" s="455"/>
    </row>
    <row r="33" spans="1:16" ht="23.25" x14ac:dyDescent="0.35">
      <c r="A33" s="863" t="str">
        <f>$A$1</f>
        <v xml:space="preserve">MV "STAR GENESIS" </v>
      </c>
      <c r="B33" s="863"/>
      <c r="C33" s="863"/>
      <c r="D33" s="863"/>
      <c r="E33" s="863"/>
      <c r="F33" s="863"/>
      <c r="G33" s="863"/>
      <c r="H33" s="863"/>
      <c r="I33" s="863"/>
      <c r="J33" s="863"/>
      <c r="L33" s="455"/>
      <c r="M33" s="455"/>
      <c r="N33" s="455"/>
      <c r="O33" s="455"/>
      <c r="P33" s="455"/>
    </row>
    <row r="34" spans="1:16" ht="15.75" x14ac:dyDescent="0.25">
      <c r="A34" s="860" t="str">
        <f>$G$3</f>
        <v>PGUA/DS/068/26</v>
      </c>
      <c r="B34" s="860"/>
      <c r="C34" s="860"/>
      <c r="D34" s="860"/>
      <c r="E34" s="860"/>
      <c r="F34" s="860"/>
      <c r="G34" s="860"/>
      <c r="H34" s="860"/>
      <c r="I34" s="860"/>
      <c r="J34" s="860"/>
      <c r="L34" s="455"/>
      <c r="M34" s="455"/>
      <c r="N34" s="455"/>
      <c r="O34" s="455"/>
      <c r="P34" s="455"/>
    </row>
    <row r="35" spans="1:16" ht="15.75" x14ac:dyDescent="0.25">
      <c r="A35" s="860" t="str">
        <f>A3</f>
        <v>DRAUGHT SURVEY REPORT</v>
      </c>
      <c r="B35" s="860"/>
      <c r="C35" s="860"/>
      <c r="D35" s="860"/>
      <c r="E35" s="860"/>
      <c r="F35" s="860"/>
      <c r="G35" s="860"/>
      <c r="H35" s="860"/>
      <c r="I35" s="860"/>
      <c r="J35" s="860"/>
      <c r="L35" s="455"/>
      <c r="M35" s="455"/>
      <c r="N35" s="455"/>
      <c r="O35" s="455"/>
      <c r="P35" s="455"/>
    </row>
    <row r="36" spans="1:16" ht="23.25" customHeight="1" x14ac:dyDescent="0.25">
      <c r="A36" s="10"/>
      <c r="B36" s="10"/>
      <c r="C36" s="10"/>
      <c r="D36" s="10"/>
      <c r="E36" s="10"/>
      <c r="F36" s="10"/>
      <c r="G36" s="10"/>
      <c r="H36" s="10"/>
      <c r="I36" s="10"/>
      <c r="L36" s="455"/>
      <c r="M36" s="455"/>
      <c r="N36" s="455"/>
      <c r="O36" s="455"/>
      <c r="P36" s="455"/>
    </row>
    <row r="37" spans="1:16" ht="15" customHeight="1" x14ac:dyDescent="0.25">
      <c r="A37" s="864" t="s">
        <v>39</v>
      </c>
      <c r="B37" s="864"/>
      <c r="C37" s="864"/>
      <c r="D37" s="864"/>
      <c r="E37" s="864"/>
      <c r="F37" s="864"/>
      <c r="G37" s="864"/>
      <c r="H37" s="864"/>
      <c r="I37" s="864"/>
      <c r="J37" s="864"/>
      <c r="L37" s="455"/>
      <c r="M37" s="455"/>
      <c r="N37" s="455"/>
      <c r="O37" s="455"/>
      <c r="P37" s="455"/>
    </row>
    <row r="38" spans="1:16" ht="15" customHeight="1" x14ac:dyDescent="0.25">
      <c r="A38" s="864"/>
      <c r="B38" s="864"/>
      <c r="C38" s="864"/>
      <c r="D38" s="864"/>
      <c r="E38" s="864"/>
      <c r="F38" s="864"/>
      <c r="G38" s="864"/>
      <c r="H38" s="864"/>
      <c r="I38" s="864"/>
      <c r="J38" s="864"/>
      <c r="L38" s="455"/>
      <c r="M38" s="455"/>
      <c r="N38" s="455"/>
      <c r="O38" s="455"/>
      <c r="P38" s="455"/>
    </row>
    <row r="39" spans="1:16" ht="47.25" x14ac:dyDescent="0.25">
      <c r="A39" s="864" t="str">
        <f>_xlfn.CONCAT(CAPA!$E$46:$E$55,".")</f>
        <v xml:space="preserve"> Messrs. Cimbessul Terminal Portuario S/A, Messrs. Coamo Agroindustrial Cooperativa, Messrs. Cotriguaçu Cooperativa Central Regional Iguaçu Ltda.,  Messrs. Rocha Terminais Portuários e Logística .</v>
      </c>
      <c r="B39" s="864"/>
      <c r="C39" s="864"/>
      <c r="D39" s="864"/>
      <c r="E39" s="864"/>
      <c r="F39" s="864"/>
      <c r="G39" s="864"/>
      <c r="H39" s="864"/>
      <c r="I39" s="864"/>
      <c r="J39" s="864"/>
      <c r="L39" s="628" t="str">
        <f>_xlfn.CONCAT(CAPA!$E$46:$E$55,".")</f>
        <v xml:space="preserve"> Messrs. Cimbessul Terminal Portuario S/A, Messrs. Coamo Agroindustrial Cooperativa, Messrs. Cotriguaçu Cooperativa Central Regional Iguaçu Ltda.,  Messrs. Rocha Terminais Portuários e Logística .</v>
      </c>
      <c r="M39" s="455"/>
      <c r="N39" s="455"/>
      <c r="O39" s="455"/>
      <c r="P39" s="455"/>
    </row>
    <row r="40" spans="1:16" ht="60" x14ac:dyDescent="0.25">
      <c r="A40" s="867" t="str">
        <f>$L$40</f>
        <v>Attend on board the referenced vessel on  March 6th, 2026 from 8:00 until 10:00 hours, whilst she was anchored at inner roads area 9.3, and on  March 10th, 2026 from 21:30 until 23:00 hours, whilst she was berthed alongside wharf 212 at port of Paranaguá, Br - Brazil, with views to perform the initial and final draft surveys, ascertaining the following figures:</v>
      </c>
      <c r="B40" s="867"/>
      <c r="C40" s="867"/>
      <c r="D40" s="867"/>
      <c r="E40" s="867"/>
      <c r="F40" s="867"/>
      <c r="G40" s="867"/>
      <c r="H40" s="867"/>
      <c r="I40" s="867"/>
      <c r="J40" s="867"/>
      <c r="L40"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6th, 2026 from 8:00 until 10:00 hours, whilst she was anchored at inner roads area 9.3, and on  March 10th, 2026 from 21:30 until 23:00 hours, whilst she was berthed alongside wharf 212 at port of Paranaguá, Br - Brazil, with views to perform the initial and final draft surveys, ascertaining the following figures:</v>
      </c>
      <c r="M40" s="455"/>
      <c r="N40" s="455"/>
      <c r="O40" s="455"/>
      <c r="P40" s="455"/>
    </row>
    <row r="41" spans="1:16" x14ac:dyDescent="0.25">
      <c r="A41" s="10"/>
      <c r="B41" s="10"/>
      <c r="C41" s="10"/>
      <c r="D41" s="10"/>
      <c r="E41" s="10"/>
      <c r="F41" s="10"/>
      <c r="G41" s="10"/>
      <c r="H41" s="10"/>
      <c r="I41" s="10"/>
      <c r="L41" s="455"/>
      <c r="M41" s="455"/>
      <c r="N41" s="455"/>
      <c r="O41" s="455"/>
      <c r="P41" s="455"/>
    </row>
    <row r="42" spans="1:16" x14ac:dyDescent="0.25">
      <c r="A42" s="10"/>
      <c r="B42" s="10"/>
      <c r="C42" s="10"/>
      <c r="D42" s="10"/>
      <c r="E42" s="10"/>
      <c r="F42" s="10"/>
      <c r="G42" s="10"/>
      <c r="H42" s="10"/>
      <c r="I42" s="10"/>
      <c r="L42" s="455"/>
      <c r="M42" s="455"/>
      <c r="N42" s="455"/>
      <c r="O42" s="455"/>
      <c r="P42" s="455"/>
    </row>
    <row r="43" spans="1:16" ht="15.75" x14ac:dyDescent="0.25">
      <c r="A43" s="3" t="s">
        <v>711</v>
      </c>
      <c r="B43" s="10"/>
      <c r="C43" s="10"/>
      <c r="D43" s="10"/>
      <c r="E43" s="10"/>
      <c r="F43" s="10"/>
      <c r="G43" s="10"/>
      <c r="H43" s="10"/>
      <c r="I43" s="10"/>
      <c r="L43" s="455"/>
      <c r="M43" s="455"/>
      <c r="N43" s="455"/>
      <c r="O43" s="455"/>
      <c r="P43" s="455"/>
    </row>
    <row r="44" spans="1:16" x14ac:dyDescent="0.25">
      <c r="A44" s="10"/>
      <c r="B44" s="10"/>
      <c r="C44" s="10"/>
      <c r="D44" s="10"/>
      <c r="E44" s="10"/>
      <c r="F44" s="10"/>
      <c r="G44" s="10"/>
      <c r="H44" s="10"/>
      <c r="I44" s="10"/>
      <c r="L44" s="455"/>
      <c r="M44" s="455"/>
      <c r="N44" s="455"/>
      <c r="O44" s="455"/>
      <c r="P44" s="455"/>
    </row>
    <row r="45" spans="1:16" ht="15.75" x14ac:dyDescent="0.25">
      <c r="A45" s="12" t="s">
        <v>40</v>
      </c>
      <c r="B45" s="12"/>
      <c r="C45" s="12"/>
      <c r="D45" s="12"/>
      <c r="E45" s="12"/>
      <c r="F45" s="12"/>
      <c r="G45" s="12"/>
      <c r="H45" s="12"/>
      <c r="I45" s="10"/>
      <c r="L45" s="455"/>
      <c r="M45" s="455"/>
      <c r="N45" s="455"/>
      <c r="O45" s="455"/>
      <c r="P45" s="455"/>
    </row>
    <row r="46" spans="1:16" ht="15.75" x14ac:dyDescent="0.25">
      <c r="A46" s="12"/>
      <c r="B46" s="12"/>
      <c r="C46" s="12"/>
      <c r="D46" s="12"/>
      <c r="E46" s="12"/>
      <c r="F46" s="12"/>
      <c r="G46" s="12"/>
      <c r="H46" s="12"/>
      <c r="I46" s="10"/>
      <c r="L46" s="455"/>
      <c r="M46" s="455"/>
      <c r="N46" s="455"/>
      <c r="O46" s="455"/>
      <c r="P46" s="455"/>
    </row>
    <row r="47" spans="1:16" ht="15.75" x14ac:dyDescent="0.25">
      <c r="A47" s="13" t="str">
        <f>$A$33</f>
        <v xml:space="preserve">MV "STAR GENESIS" </v>
      </c>
      <c r="B47" s="12"/>
      <c r="C47" s="12"/>
      <c r="D47" s="12"/>
      <c r="E47" s="12"/>
      <c r="F47" s="13" t="str">
        <f>_xlfn.CONCAT("Mr. ",CAPA!$B$30,", ",$L$47)</f>
        <v>Mr. Albin Mariscal Almagro, the Master</v>
      </c>
      <c r="H47" s="13"/>
      <c r="I47" s="13"/>
      <c r="J47" s="12"/>
      <c r="K47" s="12"/>
      <c r="L47" s="456" t="s">
        <v>571</v>
      </c>
      <c r="M47" s="456"/>
      <c r="N47" s="455"/>
      <c r="O47" s="455"/>
      <c r="P47" s="455"/>
    </row>
    <row r="48" spans="1:16" ht="15.75" x14ac:dyDescent="0.25">
      <c r="A48" s="12"/>
      <c r="B48" s="12"/>
      <c r="C48" s="12"/>
      <c r="D48" s="12"/>
      <c r="E48" s="12"/>
      <c r="F48" s="13" t="str">
        <f>_xlfn.CONCAT("Mr. ",CAPA!$B$31,", ",$L$48)</f>
        <v>Mr. Berlie Langa Amedo, the Chief Officer</v>
      </c>
      <c r="H48" s="12"/>
      <c r="I48" s="12"/>
      <c r="J48" s="12"/>
      <c r="K48" s="12"/>
      <c r="L48" s="456" t="s">
        <v>572</v>
      </c>
      <c r="M48" s="456"/>
      <c r="N48" s="455"/>
      <c r="O48" s="455"/>
      <c r="P48" s="455"/>
    </row>
    <row r="49" spans="1:16" ht="15.75" x14ac:dyDescent="0.25">
      <c r="A49" s="12"/>
      <c r="B49" s="12"/>
      <c r="C49" s="12"/>
      <c r="D49" s="12"/>
      <c r="E49" s="12"/>
      <c r="F49" s="13" t="str">
        <f>_xlfn.CONCAT("Mr. ",CAPA!$B$32,", ",$L$49)</f>
        <v>Mr. Raul Lastima Solon, the Chief Engineer</v>
      </c>
      <c r="H49" s="12"/>
      <c r="I49" s="12"/>
      <c r="J49" s="12"/>
      <c r="K49" s="12"/>
      <c r="L49" s="457" t="s">
        <v>573</v>
      </c>
      <c r="M49" s="457"/>
      <c r="N49" s="455"/>
      <c r="O49" s="455"/>
      <c r="P49" s="455"/>
    </row>
    <row r="50" spans="1:16" ht="15.75" x14ac:dyDescent="0.25">
      <c r="A50" s="12"/>
      <c r="B50" s="12"/>
      <c r="C50" s="12"/>
      <c r="D50" s="12"/>
      <c r="E50" s="12"/>
      <c r="F50" s="13"/>
      <c r="H50" s="12"/>
      <c r="I50" s="12"/>
      <c r="J50" s="12"/>
      <c r="K50" s="12"/>
      <c r="L50" s="457"/>
      <c r="M50" s="457"/>
      <c r="N50" s="455"/>
      <c r="O50" s="455"/>
      <c r="P50" s="455"/>
    </row>
    <row r="51" spans="1:16" ht="15.75" x14ac:dyDescent="0.25">
      <c r="A51" s="12"/>
      <c r="B51" s="12"/>
      <c r="C51" s="12"/>
      <c r="D51" s="12"/>
      <c r="E51" s="12"/>
      <c r="F51" s="13"/>
      <c r="H51" s="12"/>
      <c r="I51" s="12"/>
      <c r="J51" s="12"/>
      <c r="K51" s="12"/>
      <c r="L51" s="457"/>
      <c r="M51" s="457"/>
      <c r="N51" s="455"/>
      <c r="O51" s="455"/>
      <c r="P51" s="455"/>
    </row>
    <row r="52" spans="1:16" ht="15.75" x14ac:dyDescent="0.25">
      <c r="A52" s="436" t="str">
        <f>CAPA!$A$41</f>
        <v>AGÊNCIA MARITIMA CARGONAVE LTDA</v>
      </c>
      <c r="B52" s="6"/>
      <c r="C52" s="6"/>
      <c r="D52" s="6"/>
      <c r="E52" s="6"/>
      <c r="F52" s="436" t="s">
        <v>791</v>
      </c>
      <c r="H52" s="12"/>
      <c r="I52" s="12"/>
      <c r="J52" s="12"/>
      <c r="K52" s="12"/>
      <c r="L52" s="457"/>
      <c r="M52" s="457"/>
      <c r="N52" s="455"/>
      <c r="O52" s="455"/>
      <c r="P52" s="455"/>
    </row>
    <row r="53" spans="1:16" ht="15.75" x14ac:dyDescent="0.25">
      <c r="A53" s="6" t="s">
        <v>42</v>
      </c>
      <c r="B53" s="6"/>
      <c r="C53" s="6"/>
      <c r="D53" s="6"/>
      <c r="E53" s="6"/>
      <c r="F53" s="436" t="str">
        <f>Clients!$D$51</f>
        <v>Mr. Renan Calixto</v>
      </c>
      <c r="H53" s="12"/>
      <c r="I53" s="12"/>
      <c r="J53" s="12"/>
      <c r="K53" s="12"/>
      <c r="L53" s="457"/>
      <c r="M53" s="457"/>
      <c r="N53" s="455"/>
      <c r="O53" s="455"/>
      <c r="P53" s="455"/>
    </row>
    <row r="54" spans="1:16" ht="15.75" x14ac:dyDescent="0.25">
      <c r="A54" s="6"/>
      <c r="B54" s="6"/>
      <c r="C54" s="6"/>
      <c r="D54" s="6"/>
      <c r="E54" s="6"/>
      <c r="F54" s="436" t="str">
        <f>Clients!$D$52</f>
        <v>Mr. Lorram Gabriel Florentino</v>
      </c>
      <c r="H54" s="12"/>
      <c r="I54" s="12"/>
      <c r="J54" s="12"/>
      <c r="K54" s="12"/>
      <c r="L54" s="457"/>
      <c r="M54" s="457"/>
      <c r="N54" s="455"/>
      <c r="O54" s="455"/>
      <c r="P54" s="455"/>
    </row>
    <row r="55" spans="1:16" ht="15.75" x14ac:dyDescent="0.25">
      <c r="A55" s="12"/>
      <c r="B55" s="12"/>
      <c r="C55" s="12"/>
      <c r="D55" s="12"/>
      <c r="E55" s="12"/>
      <c r="F55" s="11"/>
      <c r="H55" s="12"/>
      <c r="I55" s="12"/>
      <c r="J55" s="12"/>
      <c r="K55" s="12"/>
      <c r="L55" s="457"/>
      <c r="M55" s="457"/>
      <c r="N55" s="455"/>
      <c r="O55" s="455"/>
      <c r="P55" s="455"/>
    </row>
    <row r="56" spans="1:16" ht="15.75" x14ac:dyDescent="0.25">
      <c r="A56" s="12"/>
      <c r="B56" s="12"/>
      <c r="C56" s="12"/>
      <c r="D56" s="12"/>
      <c r="E56" s="12"/>
      <c r="F56" s="11"/>
      <c r="H56" s="12"/>
      <c r="I56" s="12"/>
      <c r="J56" s="12"/>
      <c r="K56" s="12"/>
      <c r="L56" s="457"/>
      <c r="M56" s="457"/>
      <c r="N56" s="455"/>
      <c r="O56" s="455"/>
      <c r="P56" s="455"/>
    </row>
    <row r="57" spans="1:16" ht="15.75" x14ac:dyDescent="0.25">
      <c r="A57" s="435" t="str">
        <f>CAPA!$A$43</f>
        <v>AGÊNCIA MARITIMA CARGONAVE LTDA</v>
      </c>
      <c r="B57" s="5"/>
      <c r="C57" s="5"/>
      <c r="D57" s="5"/>
      <c r="E57" s="5"/>
      <c r="F57" s="279" t="str">
        <f>Clients!$D$181</f>
        <v>Mr. Azemir do Rosario</v>
      </c>
      <c r="H57" s="6"/>
      <c r="I57" s="6"/>
      <c r="J57" s="437"/>
      <c r="L57" s="455"/>
      <c r="M57" s="455"/>
      <c r="N57" s="455"/>
      <c r="O57" s="455"/>
      <c r="P57" s="455"/>
    </row>
    <row r="58" spans="1:16" ht="15.75" x14ac:dyDescent="0.25">
      <c r="A58" s="435" t="s">
        <v>41</v>
      </c>
      <c r="B58" s="5"/>
      <c r="C58" s="5"/>
      <c r="D58" s="5"/>
      <c r="E58" s="5"/>
      <c r="F58" s="279" t="str">
        <f>Clients!$D$182</f>
        <v>Mr. Willian Cordeiro</v>
      </c>
      <c r="H58" s="6"/>
      <c r="I58" s="6"/>
      <c r="J58" s="437"/>
      <c r="L58" s="455"/>
      <c r="M58" s="455"/>
      <c r="N58" s="455"/>
      <c r="O58" s="455"/>
      <c r="P58" s="455"/>
    </row>
    <row r="59" spans="1:16" ht="15.75" x14ac:dyDescent="0.25">
      <c r="A59" s="6"/>
      <c r="B59" s="6"/>
      <c r="C59" s="6"/>
      <c r="D59" s="6"/>
      <c r="E59" s="6"/>
      <c r="F59" s="435"/>
      <c r="H59" s="6"/>
      <c r="I59" s="12"/>
      <c r="J59" s="437"/>
      <c r="L59" s="455"/>
      <c r="M59" s="455"/>
      <c r="N59" s="455"/>
      <c r="O59" s="455"/>
      <c r="P59" s="455"/>
    </row>
    <row r="60" spans="1:16" ht="15.75" x14ac:dyDescent="0.25">
      <c r="A60" s="5"/>
      <c r="B60" s="5"/>
      <c r="C60" s="5"/>
      <c r="D60" s="5"/>
      <c r="E60" s="5"/>
      <c r="F60" s="435"/>
      <c r="H60" s="12"/>
      <c r="I60" s="12"/>
      <c r="J60" s="437"/>
      <c r="L60" s="455"/>
      <c r="M60" s="455"/>
      <c r="N60" s="455"/>
      <c r="O60" s="455"/>
      <c r="P60" s="455"/>
    </row>
    <row r="61" spans="1:16" ht="15.75" x14ac:dyDescent="0.25">
      <c r="A61" s="5" t="s">
        <v>43</v>
      </c>
      <c r="B61" s="5"/>
      <c r="C61" s="5"/>
      <c r="D61" s="5"/>
      <c r="E61" s="5"/>
      <c r="F61" s="436" t="s">
        <v>777</v>
      </c>
      <c r="H61" s="12"/>
      <c r="I61" s="12"/>
      <c r="J61" s="437"/>
      <c r="L61" s="455"/>
      <c r="M61" s="455"/>
      <c r="N61" s="455"/>
      <c r="O61" s="455"/>
      <c r="P61" s="455"/>
    </row>
    <row r="62" spans="1:16" ht="15.75" x14ac:dyDescent="0.25">
      <c r="A62" s="5"/>
      <c r="B62" s="5"/>
      <c r="C62" s="5"/>
      <c r="D62" s="5"/>
      <c r="E62" s="5"/>
      <c r="F62" s="287"/>
      <c r="G62" s="287"/>
      <c r="H62" s="12"/>
      <c r="I62" s="12"/>
      <c r="J62" s="437"/>
      <c r="L62" s="455"/>
      <c r="M62" s="455"/>
      <c r="N62" s="455"/>
      <c r="O62" s="455"/>
      <c r="P62" s="455"/>
    </row>
    <row r="63" spans="1:16" ht="15.75" x14ac:dyDescent="0.25">
      <c r="A63" s="5"/>
      <c r="B63" s="5"/>
      <c r="C63" s="5"/>
      <c r="D63" s="5"/>
      <c r="E63" s="5"/>
      <c r="F63" s="287"/>
      <c r="G63" s="12"/>
      <c r="H63" s="12"/>
      <c r="I63" s="12"/>
      <c r="J63" s="437"/>
      <c r="L63" s="455"/>
      <c r="M63" s="455"/>
      <c r="N63" s="455"/>
      <c r="O63" s="455"/>
      <c r="P63" s="455"/>
    </row>
    <row r="64" spans="1:16" ht="15.75" x14ac:dyDescent="0.25">
      <c r="A64" s="260" t="s">
        <v>44</v>
      </c>
      <c r="B64" s="12"/>
      <c r="C64" s="12"/>
      <c r="D64" s="12"/>
      <c r="E64" s="12"/>
      <c r="F64" s="260" t="s">
        <v>584</v>
      </c>
      <c r="H64" s="260"/>
      <c r="I64" s="12"/>
      <c r="J64" s="437"/>
      <c r="L64" s="455"/>
      <c r="M64" s="455"/>
      <c r="N64" s="455"/>
      <c r="O64" s="455"/>
      <c r="P64" s="455"/>
    </row>
    <row r="65" spans="1:16" ht="15.75" x14ac:dyDescent="0.25">
      <c r="A65" s="260" t="s">
        <v>45</v>
      </c>
      <c r="B65" s="12"/>
      <c r="C65" s="12"/>
      <c r="D65" s="12"/>
      <c r="E65" s="12"/>
      <c r="F65" s="12" t="s">
        <v>46</v>
      </c>
      <c r="H65" s="12"/>
      <c r="I65" s="12"/>
      <c r="J65" s="12"/>
      <c r="L65" s="455"/>
      <c r="M65" s="455"/>
      <c r="N65" s="455"/>
      <c r="O65" s="455"/>
      <c r="P65" s="455"/>
    </row>
    <row r="66" spans="1:16" ht="15.75" x14ac:dyDescent="0.25">
      <c r="A66" s="12"/>
      <c r="B66" s="12"/>
      <c r="C66" s="12"/>
      <c r="D66" s="12"/>
      <c r="E66" s="12"/>
      <c r="F66" s="857" t="str">
        <f>_xlfn.CONCAT("Mr. ",CAPA!$A$97)</f>
        <v>Mr. Igor do Carmo C. Pinotti</v>
      </c>
      <c r="G66" s="857"/>
      <c r="H66" s="857"/>
      <c r="I66" s="857"/>
      <c r="J66" s="857"/>
      <c r="L66" s="455"/>
      <c r="M66" s="455"/>
      <c r="N66" s="455"/>
      <c r="O66" s="455"/>
      <c r="P66" s="455"/>
    </row>
    <row r="67" spans="1:16" ht="15.75" x14ac:dyDescent="0.25">
      <c r="A67" s="261" t="s">
        <v>47</v>
      </c>
      <c r="B67" s="12"/>
      <c r="C67" s="12"/>
      <c r="D67" s="12"/>
      <c r="E67" s="12"/>
      <c r="F67" s="12"/>
      <c r="G67" s="12"/>
      <c r="H67" s="12"/>
      <c r="I67" s="12"/>
      <c r="L67" s="455"/>
      <c r="M67" s="455"/>
      <c r="N67" s="455"/>
      <c r="O67" s="455"/>
      <c r="P67" s="455"/>
    </row>
    <row r="68" spans="1:16" ht="15.75" x14ac:dyDescent="0.25">
      <c r="A68" s="261"/>
      <c r="B68" s="12"/>
      <c r="C68" s="12"/>
      <c r="D68" s="12"/>
      <c r="E68" s="12"/>
      <c r="F68" s="12"/>
      <c r="G68" s="12"/>
      <c r="H68" s="12"/>
      <c r="I68" s="12"/>
      <c r="L68" s="455"/>
      <c r="M68" s="455"/>
      <c r="N68" s="455"/>
      <c r="O68" s="455"/>
      <c r="P68" s="455"/>
    </row>
    <row r="69" spans="1:16" ht="15.75" x14ac:dyDescent="0.25">
      <c r="A69" s="260" t="s">
        <v>48</v>
      </c>
      <c r="B69" s="12"/>
      <c r="C69" s="12"/>
      <c r="D69" s="12"/>
      <c r="E69" s="865" t="str">
        <f>CAPA!$B$8</f>
        <v>STAR GENESIS</v>
      </c>
      <c r="F69" s="865"/>
      <c r="G69" s="865"/>
      <c r="H69" s="865"/>
      <c r="I69" s="865"/>
      <c r="J69" s="865"/>
      <c r="L69" s="455"/>
      <c r="M69" s="455"/>
      <c r="N69" s="455"/>
      <c r="O69" s="455"/>
      <c r="P69" s="455"/>
    </row>
    <row r="70" spans="1:16" ht="15.75" x14ac:dyDescent="0.25">
      <c r="A70" s="260" t="s">
        <v>49</v>
      </c>
      <c r="B70" s="12"/>
      <c r="C70" s="12"/>
      <c r="D70" s="12"/>
      <c r="E70" s="865" t="str">
        <f>CAPA!$B$12</f>
        <v>V7JH9</v>
      </c>
      <c r="F70" s="865"/>
      <c r="G70" s="5"/>
      <c r="H70" s="5"/>
      <c r="I70" s="12"/>
      <c r="L70" s="455"/>
      <c r="M70" s="455"/>
      <c r="N70" s="455"/>
      <c r="O70" s="455"/>
      <c r="P70" s="455"/>
    </row>
    <row r="71" spans="1:16" ht="15.75" x14ac:dyDescent="0.25">
      <c r="A71" s="260" t="s">
        <v>50</v>
      </c>
      <c r="B71" s="12"/>
      <c r="C71" s="12"/>
      <c r="D71" s="12"/>
      <c r="E71" s="865" t="str">
        <f>CAPA!$B$13</f>
        <v>Majuro</v>
      </c>
      <c r="F71" s="865"/>
      <c r="G71" s="865"/>
      <c r="H71" s="5"/>
      <c r="I71" s="12"/>
      <c r="L71" s="455"/>
      <c r="M71" s="455"/>
      <c r="N71" s="455"/>
      <c r="O71" s="455"/>
      <c r="P71" s="455"/>
    </row>
    <row r="72" spans="1:16" ht="15.75" x14ac:dyDescent="0.25">
      <c r="A72" s="260" t="s">
        <v>51</v>
      </c>
      <c r="B72" s="12"/>
      <c r="C72" s="12"/>
      <c r="D72" s="12"/>
      <c r="E72" s="865" t="str">
        <f>CAPA!$B$14</f>
        <v>Marshallese</v>
      </c>
      <c r="F72" s="865"/>
      <c r="G72" s="865"/>
      <c r="H72" s="865"/>
      <c r="I72" s="865"/>
      <c r="J72" s="865"/>
      <c r="L72" s="455"/>
      <c r="M72" s="455"/>
      <c r="N72" s="455"/>
      <c r="O72" s="455"/>
      <c r="P72" s="455"/>
    </row>
    <row r="73" spans="1:16" ht="15.75" x14ac:dyDescent="0.25">
      <c r="A73" s="260" t="s">
        <v>52</v>
      </c>
      <c r="B73" s="12"/>
      <c r="C73" s="12"/>
      <c r="D73" s="12"/>
      <c r="E73" s="865">
        <f>CAPA!$B$10</f>
        <v>9457464</v>
      </c>
      <c r="F73" s="865"/>
      <c r="G73" s="5"/>
      <c r="H73" s="5"/>
      <c r="I73" s="12"/>
      <c r="L73" s="455"/>
      <c r="M73" s="455"/>
      <c r="N73" s="455"/>
      <c r="O73" s="455"/>
      <c r="P73" s="455"/>
    </row>
    <row r="74" spans="1:16" ht="15.75" x14ac:dyDescent="0.25">
      <c r="A74" s="260" t="s">
        <v>53</v>
      </c>
      <c r="B74" s="12"/>
      <c r="C74" s="12"/>
      <c r="D74" s="12"/>
      <c r="E74" s="262">
        <f>CAPA!$B$15</f>
        <v>229</v>
      </c>
      <c r="F74" s="262"/>
      <c r="G74" s="5"/>
      <c r="H74" s="5"/>
      <c r="I74" s="12"/>
      <c r="L74" s="455"/>
      <c r="M74" s="455"/>
      <c r="N74" s="455"/>
      <c r="O74" s="455"/>
      <c r="P74" s="455"/>
    </row>
    <row r="75" spans="1:16" ht="15.75" x14ac:dyDescent="0.25">
      <c r="A75" s="260" t="s">
        <v>54</v>
      </c>
      <c r="B75" s="12"/>
      <c r="C75" s="12"/>
      <c r="D75" s="12"/>
      <c r="E75" s="262">
        <f>CAPA!$B$16</f>
        <v>222</v>
      </c>
      <c r="F75" s="262"/>
      <c r="G75" s="5"/>
      <c r="H75" s="5"/>
      <c r="I75" s="12"/>
      <c r="L75" s="455"/>
      <c r="M75" s="455"/>
      <c r="N75" s="455"/>
      <c r="O75" s="455"/>
      <c r="P75" s="455"/>
    </row>
    <row r="76" spans="1:16" ht="15.75" x14ac:dyDescent="0.25">
      <c r="A76" s="260" t="s">
        <v>55</v>
      </c>
      <c r="B76" s="12"/>
      <c r="C76" s="12"/>
      <c r="D76" s="12"/>
      <c r="E76" s="262">
        <f>CAPA!$B$17</f>
        <v>20.100000000000001</v>
      </c>
      <c r="F76" s="262"/>
      <c r="G76" s="5"/>
      <c r="H76" s="5"/>
      <c r="I76" s="12"/>
      <c r="L76" s="455"/>
      <c r="M76" s="455"/>
      <c r="N76" s="455"/>
      <c r="O76" s="455"/>
      <c r="P76" s="455"/>
    </row>
    <row r="77" spans="1:16" ht="15.75" x14ac:dyDescent="0.25">
      <c r="A77" s="260" t="s">
        <v>56</v>
      </c>
      <c r="B77" s="12"/>
      <c r="C77" s="12"/>
      <c r="D77" s="12"/>
      <c r="E77" s="262">
        <f>CAPA!$B$18</f>
        <v>32.24</v>
      </c>
      <c r="F77" s="262"/>
      <c r="G77" s="5"/>
      <c r="H77" s="5"/>
      <c r="I77" s="12"/>
      <c r="L77" s="455"/>
      <c r="M77" s="455"/>
      <c r="N77" s="455"/>
      <c r="O77" s="455"/>
      <c r="P77" s="455"/>
    </row>
    <row r="78" spans="1:16" ht="15.75" x14ac:dyDescent="0.25">
      <c r="A78" s="260" t="s">
        <v>57</v>
      </c>
      <c r="B78" s="12"/>
      <c r="C78" s="12"/>
      <c r="D78" s="12"/>
      <c r="E78" s="856">
        <f>CAPA!$B$20</f>
        <v>43879</v>
      </c>
      <c r="F78" s="856"/>
      <c r="G78" s="856"/>
      <c r="H78" s="856"/>
      <c r="I78" s="856"/>
      <c r="J78" s="856"/>
      <c r="L78" s="455"/>
      <c r="M78" s="455"/>
      <c r="N78" s="455"/>
      <c r="O78" s="455"/>
      <c r="P78" s="455"/>
    </row>
    <row r="79" spans="1:16" ht="15.75" x14ac:dyDescent="0.25">
      <c r="A79" s="260" t="s">
        <v>58</v>
      </c>
      <c r="B79" s="12"/>
      <c r="C79" s="12"/>
      <c r="D79" s="12"/>
      <c r="E79" s="856">
        <f>CAPA!$B$21</f>
        <v>26694</v>
      </c>
      <c r="F79" s="856"/>
      <c r="G79" s="856"/>
      <c r="H79" s="856"/>
      <c r="I79" s="856"/>
      <c r="J79" s="856"/>
      <c r="L79" s="455"/>
      <c r="M79" s="455"/>
      <c r="N79" s="455"/>
      <c r="O79" s="455"/>
      <c r="P79" s="455"/>
    </row>
    <row r="80" spans="1:16" ht="77.25" customHeight="1" x14ac:dyDescent="0.25">
      <c r="A80" s="434" t="s">
        <v>59</v>
      </c>
      <c r="B80" s="12"/>
      <c r="C80" s="12"/>
      <c r="D80" s="12"/>
      <c r="E80" s="866" t="str">
        <f>CAPA!$B$23</f>
        <v>BV: 100A1 Bulk Carrier, CSR, BC-A, Grab[20], {Holds Nos.2,4&amp;6 May be empty}, ESP, Ship Right (ACS(B), CM), *IWS, LI, LMC, UMS, Part Higher Tensile Steel, Ship Right (BWMP(F), SCM) STX - Offshore &amp; Shipbuilding, Jinhae, South Korea.</v>
      </c>
      <c r="F80" s="866"/>
      <c r="G80" s="866"/>
      <c r="H80" s="866"/>
      <c r="I80" s="866"/>
      <c r="J80" s="866"/>
      <c r="L80" s="455"/>
      <c r="M80" s="458" t="str">
        <f>CAPA!$B$23</f>
        <v>BV: 100A1 Bulk Carrier, CSR, BC-A, Grab[20], {Holds Nos.2,4&amp;6 May be empty}, ESP, Ship Right (ACS(B), CM), *IWS, LI, LMC, UMS, Part Higher Tensile Steel, Ship Right (BWMP(F), SCM) STX - Offshore &amp; Shipbuilding, Jinhae, South Korea.</v>
      </c>
      <c r="N80" s="455"/>
      <c r="O80" s="455"/>
      <c r="P80" s="455"/>
    </row>
    <row r="81" spans="1:16" ht="15.75" x14ac:dyDescent="0.25">
      <c r="A81" s="260" t="s">
        <v>60</v>
      </c>
      <c r="B81" s="12"/>
      <c r="C81" s="12"/>
      <c r="D81" s="12"/>
      <c r="E81" s="856">
        <f>CAPA!$B$19</f>
        <v>13150.68</v>
      </c>
      <c r="F81" s="856"/>
      <c r="G81" s="5"/>
      <c r="H81" s="5"/>
      <c r="I81" s="12"/>
      <c r="L81" s="455"/>
      <c r="M81" s="459"/>
      <c r="N81" s="455"/>
      <c r="O81" s="455"/>
      <c r="P81" s="455"/>
    </row>
    <row r="82" spans="1:16" ht="15.75" x14ac:dyDescent="0.25">
      <c r="A82" s="260" t="s">
        <v>61</v>
      </c>
      <c r="B82" s="12"/>
      <c r="C82" s="12"/>
      <c r="D82" s="12"/>
      <c r="E82" s="856" t="str">
        <f>_xlfn.CONCAT(TEXT($I$117,"#,##0.0")," on ",TEXT(F117,"#,##0.00")," m")</f>
        <v>80671,200 on 14,45000 m</v>
      </c>
      <c r="F82" s="856"/>
      <c r="G82" s="856"/>
      <c r="H82" s="856"/>
      <c r="I82" s="856"/>
      <c r="J82" s="856"/>
      <c r="L82" s="455"/>
      <c r="M82" s="455"/>
      <c r="N82" s="455"/>
      <c r="O82" s="455"/>
      <c r="P82" s="455"/>
    </row>
    <row r="83" spans="1:16" ht="15.75" x14ac:dyDescent="0.25">
      <c r="A83" s="260"/>
      <c r="B83" s="12"/>
      <c r="C83" s="12"/>
      <c r="D83" s="12"/>
      <c r="E83" s="263"/>
      <c r="F83" s="263"/>
      <c r="G83" s="12"/>
      <c r="H83" s="12"/>
      <c r="I83" s="12"/>
      <c r="L83" s="455"/>
      <c r="M83" s="455"/>
      <c r="N83" s="455"/>
      <c r="O83" s="455"/>
      <c r="P83" s="455"/>
    </row>
    <row r="84" spans="1:16" ht="15.75" x14ac:dyDescent="0.25">
      <c r="A84" s="260" t="s">
        <v>62</v>
      </c>
      <c r="B84" s="12"/>
      <c r="C84" s="12"/>
      <c r="D84" s="12"/>
      <c r="E84" s="13" t="str">
        <f>CAPA!$B$11</f>
        <v>STX Offshore &amp; Shipbuilding Co., Ltd. - Jinhae</v>
      </c>
      <c r="F84" s="12"/>
      <c r="G84" s="12"/>
      <c r="H84" s="12"/>
      <c r="I84" s="12"/>
      <c r="L84" s="455"/>
      <c r="M84" s="455"/>
      <c r="N84" s="455"/>
      <c r="O84" s="455"/>
      <c r="P84" s="455"/>
    </row>
    <row r="85" spans="1:16" ht="15.75" x14ac:dyDescent="0.25">
      <c r="A85" s="260"/>
      <c r="B85" s="12"/>
      <c r="C85" s="12"/>
      <c r="D85" s="12"/>
      <c r="E85" s="263"/>
      <c r="F85" s="263"/>
      <c r="G85" s="12"/>
      <c r="H85" s="12"/>
      <c r="I85" s="12"/>
      <c r="L85" s="455"/>
      <c r="M85" s="455"/>
      <c r="N85" s="455"/>
      <c r="O85" s="455"/>
      <c r="P85" s="455"/>
    </row>
    <row r="86" spans="1:16" ht="15.75" x14ac:dyDescent="0.25">
      <c r="A86" s="260" t="s">
        <v>63</v>
      </c>
      <c r="B86" s="12"/>
      <c r="C86" s="12"/>
      <c r="D86" s="12"/>
      <c r="E86" s="857" t="str">
        <f>CAPA!$B$24</f>
        <v>Star Nor XII Llc. - Marshall Islands</v>
      </c>
      <c r="F86" s="857"/>
      <c r="G86" s="857"/>
      <c r="H86" s="857"/>
      <c r="I86" s="857"/>
      <c r="J86" s="857"/>
      <c r="L86" s="455"/>
      <c r="M86" s="455"/>
      <c r="N86" s="455"/>
      <c r="O86" s="455"/>
      <c r="P86" s="455"/>
    </row>
    <row r="87" spans="1:16" ht="15.75" x14ac:dyDescent="0.25">
      <c r="A87" s="260" t="s">
        <v>64</v>
      </c>
      <c r="B87" s="12"/>
      <c r="C87" s="12"/>
      <c r="D87" s="12"/>
      <c r="E87" s="857" t="str">
        <f>CAPA!$B$25</f>
        <v>Iblea Ship Management Ltd. - Greece</v>
      </c>
      <c r="F87" s="857"/>
      <c r="G87" s="857"/>
      <c r="H87" s="857"/>
      <c r="I87" s="857"/>
      <c r="J87" s="857"/>
      <c r="L87" s="455"/>
      <c r="M87" s="455"/>
      <c r="N87" s="455"/>
      <c r="O87" s="455"/>
      <c r="P87" s="455"/>
    </row>
    <row r="88" spans="1:16" ht="15.75" x14ac:dyDescent="0.25">
      <c r="A88" s="260"/>
      <c r="B88" s="12"/>
      <c r="C88" s="12"/>
      <c r="D88" s="12"/>
      <c r="E88" s="12"/>
      <c r="F88" s="12"/>
      <c r="G88" s="12"/>
      <c r="H88" s="12"/>
      <c r="I88" s="12"/>
      <c r="L88" s="455"/>
      <c r="M88" s="455"/>
      <c r="N88" s="455"/>
      <c r="O88" s="455"/>
      <c r="P88" s="455"/>
    </row>
    <row r="89" spans="1:16" ht="15.75" x14ac:dyDescent="0.25">
      <c r="A89" s="3" t="s">
        <v>20</v>
      </c>
      <c r="B89" s="12"/>
      <c r="C89" s="12"/>
      <c r="D89" s="12"/>
      <c r="E89" s="12"/>
      <c r="F89" s="12"/>
      <c r="G89" s="12"/>
      <c r="H89" s="12"/>
      <c r="I89" s="12"/>
      <c r="L89" s="455"/>
      <c r="M89" s="455"/>
      <c r="N89" s="455"/>
      <c r="O89" s="455"/>
      <c r="P89" s="455"/>
    </row>
    <row r="90" spans="1:16" ht="15.75" x14ac:dyDescent="0.25">
      <c r="A90" s="260"/>
      <c r="B90" s="12"/>
      <c r="C90" s="12"/>
      <c r="D90" s="12"/>
      <c r="E90" s="12"/>
      <c r="F90" s="12"/>
      <c r="G90" s="12"/>
      <c r="H90" s="12"/>
      <c r="I90" s="12"/>
      <c r="L90" s="455"/>
      <c r="M90" s="455"/>
      <c r="N90" s="455"/>
      <c r="O90" s="455"/>
      <c r="P90" s="455"/>
    </row>
    <row r="91" spans="1:16" ht="15.75" x14ac:dyDescent="0.25">
      <c r="A91" s="3" t="s">
        <v>65</v>
      </c>
      <c r="B91" s="858" t="s">
        <v>66</v>
      </c>
      <c r="C91" s="858"/>
      <c r="D91" s="859" t="s">
        <v>67</v>
      </c>
      <c r="E91" s="859"/>
      <c r="F91" s="860" t="s">
        <v>68</v>
      </c>
      <c r="G91" s="860"/>
      <c r="H91" s="860"/>
      <c r="I91" s="860"/>
      <c r="J91" s="264" t="s">
        <v>69</v>
      </c>
      <c r="L91" s="455"/>
      <c r="M91" s="455"/>
      <c r="N91" s="455"/>
      <c r="O91" s="455"/>
      <c r="P91" s="455"/>
    </row>
    <row r="92" spans="1:16" ht="15.75" x14ac:dyDescent="0.25">
      <c r="A92" s="3"/>
      <c r="B92" s="858" t="s">
        <v>70</v>
      </c>
      <c r="C92" s="858"/>
      <c r="D92" s="265"/>
      <c r="F92" s="860" t="s">
        <v>71</v>
      </c>
      <c r="G92" s="860"/>
      <c r="H92" s="860"/>
      <c r="I92" s="860"/>
      <c r="J92" s="12"/>
      <c r="L92" s="455"/>
      <c r="M92" s="455"/>
      <c r="N92" s="455"/>
      <c r="O92" s="455"/>
      <c r="P92" s="455"/>
    </row>
    <row r="93" spans="1:16" ht="15.75" x14ac:dyDescent="0.25">
      <c r="A93" s="259" t="s">
        <v>72</v>
      </c>
      <c r="B93" s="850">
        <f>DCP!$B$28</f>
        <v>430412</v>
      </c>
      <c r="C93" s="850"/>
      <c r="D93" s="851" t="str">
        <f>DCP!$B$15</f>
        <v>Soybeans</v>
      </c>
      <c r="E93" s="851"/>
      <c r="F93" s="852">
        <f>DCP!$B$27</f>
        <v>8892.51</v>
      </c>
      <c r="G93" s="852"/>
      <c r="H93" s="852"/>
      <c r="I93" s="852"/>
      <c r="J93" s="266">
        <f>Relato!J94</f>
        <v>48.401632385007154</v>
      </c>
      <c r="L93" s="455"/>
      <c r="M93" s="455"/>
      <c r="N93" s="455"/>
      <c r="O93" s="455"/>
      <c r="P93" s="455"/>
    </row>
    <row r="94" spans="1:16" ht="15.75" x14ac:dyDescent="0.25">
      <c r="A94" s="259" t="s">
        <v>73</v>
      </c>
      <c r="B94" s="850">
        <f>DCP!$C$28</f>
        <v>490920</v>
      </c>
      <c r="C94" s="850"/>
      <c r="D94" s="851" t="str">
        <f>DCP!$C$15</f>
        <v>Soybeans</v>
      </c>
      <c r="E94" s="851"/>
      <c r="F94" s="852">
        <f>DCP!$C$27</f>
        <v>9957.2000000000007</v>
      </c>
      <c r="G94" s="852"/>
      <c r="H94" s="852"/>
      <c r="I94" s="852" t="e">
        <f>C94/H94</f>
        <v>#DIV/0!</v>
      </c>
      <c r="J94" s="266">
        <f>Relato!J95</f>
        <v>49.303016912385004</v>
      </c>
      <c r="L94" s="455"/>
      <c r="M94" s="455"/>
      <c r="N94" s="455"/>
      <c r="O94" s="455"/>
      <c r="P94" s="455"/>
    </row>
    <row r="95" spans="1:16" ht="15.75" x14ac:dyDescent="0.25">
      <c r="A95" s="259" t="s">
        <v>74</v>
      </c>
      <c r="B95" s="850">
        <f>DCP!$D$28</f>
        <v>491351</v>
      </c>
      <c r="C95" s="850"/>
      <c r="D95" s="851" t="str">
        <f>DCP!$D$15</f>
        <v>Soybeans</v>
      </c>
      <c r="E95" s="851"/>
      <c r="F95" s="852">
        <f>DCP!$D$27</f>
        <v>10141.66</v>
      </c>
      <c r="G95" s="852"/>
      <c r="H95" s="852"/>
      <c r="I95" s="852" t="e">
        <f>D95/H95</f>
        <v>#VALUE!</v>
      </c>
      <c r="J95" s="266">
        <f>Relato!J96</f>
        <v>48.44877465819205</v>
      </c>
      <c r="L95" s="455"/>
      <c r="M95" s="455"/>
      <c r="N95" s="455"/>
      <c r="O95" s="455"/>
      <c r="P95" s="455"/>
    </row>
    <row r="96" spans="1:16" ht="15.75" x14ac:dyDescent="0.25">
      <c r="A96" s="259" t="s">
        <v>75</v>
      </c>
      <c r="B96" s="850">
        <f>DCP!$E$28</f>
        <v>491351</v>
      </c>
      <c r="C96" s="850"/>
      <c r="D96" s="851" t="str">
        <f>DCP!$E$15</f>
        <v>Soybeans</v>
      </c>
      <c r="E96" s="851"/>
      <c r="F96" s="852">
        <f>DCP!$E$27</f>
        <v>10100.58</v>
      </c>
      <c r="G96" s="852"/>
      <c r="H96" s="852"/>
      <c r="I96" s="852" t="e">
        <f>D96/H96</f>
        <v>#VALUE!</v>
      </c>
      <c r="J96" s="266">
        <f>Relato!J97</f>
        <v>48.645820339030038</v>
      </c>
      <c r="L96" s="455"/>
      <c r="M96" s="455"/>
      <c r="N96" s="455"/>
      <c r="O96" s="455"/>
      <c r="P96" s="455"/>
    </row>
    <row r="97" spans="1:16" ht="15.75" x14ac:dyDescent="0.25">
      <c r="A97" s="259" t="s">
        <v>76</v>
      </c>
      <c r="B97" s="850">
        <f>DCP!$F$28</f>
        <v>491351</v>
      </c>
      <c r="C97" s="850"/>
      <c r="D97" s="851" t="str">
        <f>DCP!$F$15</f>
        <v>Soybeans</v>
      </c>
      <c r="E97" s="851"/>
      <c r="F97" s="852">
        <f>DCP!$F$27</f>
        <v>10151.08</v>
      </c>
      <c r="G97" s="852"/>
      <c r="H97" s="852"/>
      <c r="I97" s="852" t="e">
        <f>D97/H97</f>
        <v>#VALUE!</v>
      </c>
      <c r="J97" s="266">
        <f>Relato!J98</f>
        <v>48.403815160554345</v>
      </c>
      <c r="L97" s="455"/>
      <c r="M97" s="455"/>
      <c r="N97" s="455"/>
      <c r="O97" s="455"/>
      <c r="P97" s="455"/>
    </row>
    <row r="98" spans="1:16" ht="15.75" x14ac:dyDescent="0.25">
      <c r="A98" s="259" t="s">
        <v>77</v>
      </c>
      <c r="B98" s="850">
        <f>DCP!$G$28</f>
        <v>491351</v>
      </c>
      <c r="C98" s="850"/>
      <c r="D98" s="851" t="str">
        <f>DCP!$G$15</f>
        <v>Soybeans</v>
      </c>
      <c r="E98" s="851"/>
      <c r="F98" s="852">
        <f>DCP!$G$27</f>
        <v>10138.42</v>
      </c>
      <c r="G98" s="852"/>
      <c r="H98" s="852"/>
      <c r="I98" s="852" t="e">
        <f>D98/H98</f>
        <v>#VALUE!</v>
      </c>
      <c r="J98" s="266">
        <f>Relato!J99</f>
        <v>48.464257744303353</v>
      </c>
      <c r="L98" s="455"/>
      <c r="M98" s="455"/>
      <c r="N98" s="455"/>
      <c r="O98" s="455"/>
      <c r="P98" s="455"/>
    </row>
    <row r="99" spans="1:16" ht="15.75" x14ac:dyDescent="0.25">
      <c r="A99" s="259" t="s">
        <v>78</v>
      </c>
      <c r="B99" s="850">
        <f>DCP!$H$28</f>
        <v>474223</v>
      </c>
      <c r="C99" s="850"/>
      <c r="D99" s="851" t="str">
        <f>DCP!$H$15</f>
        <v>Soybeans</v>
      </c>
      <c r="E99" s="851"/>
      <c r="F99" s="852">
        <f>DCP!$H$27</f>
        <v>9789.6</v>
      </c>
      <c r="G99" s="852"/>
      <c r="H99" s="852"/>
      <c r="I99" s="852" t="e">
        <f>D99/H99</f>
        <v>#VALUE!</v>
      </c>
      <c r="J99" s="266">
        <f>Relato!J100</f>
        <v>48.441509356868515</v>
      </c>
      <c r="L99" s="455"/>
      <c r="M99" s="455"/>
      <c r="N99" s="455"/>
      <c r="O99" s="455"/>
      <c r="P99" s="455"/>
    </row>
    <row r="100" spans="1:16" ht="15.75" x14ac:dyDescent="0.25">
      <c r="A100" s="3" t="s">
        <v>79</v>
      </c>
      <c r="B100" s="853">
        <f>SUM(B93:B99)</f>
        <v>3360959</v>
      </c>
      <c r="C100" s="853"/>
      <c r="D100" s="12"/>
      <c r="F100" s="854">
        <f>SUM(F93:F99)</f>
        <v>69171.05</v>
      </c>
      <c r="G100" s="854"/>
      <c r="H100" s="854"/>
      <c r="I100" s="854"/>
      <c r="L100" s="455"/>
      <c r="M100" s="455"/>
      <c r="N100" s="455"/>
      <c r="O100" s="455"/>
      <c r="P100" s="455"/>
    </row>
    <row r="101" spans="1:16" ht="15.75" x14ac:dyDescent="0.25">
      <c r="A101" s="3"/>
      <c r="B101" s="267"/>
      <c r="C101" s="12"/>
      <c r="D101" s="12"/>
      <c r="E101" s="268"/>
      <c r="F101" s="269"/>
      <c r="G101" s="12"/>
      <c r="H101" s="12"/>
      <c r="I101" s="12"/>
      <c r="L101" s="455"/>
      <c r="M101" s="455"/>
      <c r="N101" s="455"/>
      <c r="O101" s="455"/>
      <c r="P101" s="455"/>
    </row>
    <row r="102" spans="1:16" ht="15.75" x14ac:dyDescent="0.25">
      <c r="A102" s="260"/>
      <c r="B102" s="12"/>
      <c r="C102" s="12"/>
      <c r="D102" s="12"/>
      <c r="E102" s="12"/>
      <c r="F102" s="12"/>
      <c r="G102" s="12"/>
      <c r="H102" s="12"/>
      <c r="I102" s="12"/>
      <c r="L102" s="455"/>
      <c r="M102" s="455"/>
      <c r="N102" s="455"/>
      <c r="O102" s="455"/>
      <c r="P102" s="455"/>
    </row>
    <row r="103" spans="1:16" ht="15.75" x14ac:dyDescent="0.25">
      <c r="A103" s="261" t="s">
        <v>712</v>
      </c>
      <c r="B103" s="12"/>
      <c r="C103" s="12"/>
      <c r="D103" s="12"/>
      <c r="E103" s="12"/>
      <c r="F103" s="12"/>
      <c r="G103" s="12"/>
      <c r="H103" s="12"/>
      <c r="I103" s="12"/>
      <c r="L103" s="455"/>
      <c r="M103" s="455"/>
      <c r="N103" s="455"/>
      <c r="O103" s="455"/>
      <c r="P103" s="455"/>
    </row>
    <row r="104" spans="1:16" ht="15.75" x14ac:dyDescent="0.25">
      <c r="A104" s="261"/>
      <c r="B104" s="12"/>
      <c r="C104" s="12"/>
      <c r="D104" s="12"/>
      <c r="E104" s="12"/>
      <c r="F104" s="12"/>
      <c r="G104" s="12"/>
      <c r="H104" s="12"/>
      <c r="I104" s="12"/>
      <c r="L104" s="455"/>
      <c r="M104" s="455"/>
      <c r="N104" s="455"/>
      <c r="O104" s="455"/>
      <c r="P104" s="455"/>
    </row>
    <row r="105" spans="1:16" ht="15.75" x14ac:dyDescent="0.25">
      <c r="A105" s="260" t="s">
        <v>80</v>
      </c>
      <c r="B105" s="12"/>
      <c r="C105" s="12"/>
      <c r="D105" s="12"/>
      <c r="E105" s="12" t="str">
        <f>_xlfn.CONCAT("Issued by ",CAPA!$B$67)</f>
        <v>Issued by STX Offshore &amp; Shipbuilding Co., Ltd.</v>
      </c>
      <c r="G105" s="12"/>
      <c r="H105" s="12"/>
      <c r="I105" s="12"/>
      <c r="L105" s="455"/>
      <c r="M105" s="455"/>
      <c r="N105" s="455"/>
      <c r="O105" s="455"/>
      <c r="P105" s="455"/>
    </row>
    <row r="106" spans="1:16" ht="15.75" x14ac:dyDescent="0.25">
      <c r="A106" s="260"/>
      <c r="B106" s="12"/>
      <c r="C106" s="12"/>
      <c r="D106" s="12"/>
      <c r="E106" s="12" t="str">
        <f>_xlfn.CONCAT("on ",CAPA!$B$68,", Dwg. No. ",CAPA!$B$69)</f>
        <v>on 09.12.2010, Dwg. No. B0113000</v>
      </c>
      <c r="G106" s="12"/>
      <c r="H106" s="12"/>
      <c r="I106" s="12"/>
      <c r="L106" s="455"/>
      <c r="M106" s="455"/>
      <c r="N106" s="455"/>
      <c r="O106" s="455"/>
      <c r="P106" s="455"/>
    </row>
    <row r="107" spans="1:16" ht="15.75" x14ac:dyDescent="0.25">
      <c r="A107" s="260"/>
      <c r="B107" s="12"/>
      <c r="C107" s="12"/>
      <c r="D107" s="12"/>
      <c r="E107" s="12" t="str">
        <f>_xlfn.CONCAT("Approved by  ",CAPA!$B$70," on  ",CAPA!$B$71)</f>
        <v>Approved by  LRS on  04.01.2011</v>
      </c>
      <c r="G107" s="12"/>
      <c r="H107" s="12"/>
      <c r="I107" s="12"/>
      <c r="L107" s="455"/>
      <c r="M107" s="455"/>
      <c r="N107" s="455"/>
      <c r="O107" s="455"/>
      <c r="P107" s="455"/>
    </row>
    <row r="108" spans="1:16" ht="15.75" x14ac:dyDescent="0.25">
      <c r="A108" s="260"/>
      <c r="B108" s="12"/>
      <c r="C108" s="12"/>
      <c r="D108" s="12"/>
      <c r="E108" s="13"/>
      <c r="G108" s="13"/>
      <c r="H108" s="13"/>
      <c r="I108" s="12"/>
      <c r="L108" s="455"/>
      <c r="M108" s="455"/>
      <c r="N108" s="455"/>
      <c r="O108" s="455"/>
      <c r="P108" s="455"/>
    </row>
    <row r="109" spans="1:16" ht="15.75" x14ac:dyDescent="0.25">
      <c r="A109" s="260" t="s">
        <v>81</v>
      </c>
      <c r="B109" s="12"/>
      <c r="C109" s="12"/>
      <c r="D109" s="12"/>
      <c r="E109" s="12" t="str">
        <f>$E$105</f>
        <v>Issued by STX Offshore &amp; Shipbuilding Co., Ltd.</v>
      </c>
      <c r="G109" s="12"/>
      <c r="H109" s="12"/>
      <c r="I109" s="12"/>
      <c r="L109" s="455"/>
      <c r="M109" s="455"/>
      <c r="N109" s="455"/>
      <c r="O109" s="455"/>
      <c r="P109" s="455"/>
    </row>
    <row r="110" spans="1:16" ht="15.75" x14ac:dyDescent="0.25">
      <c r="A110" s="12"/>
      <c r="B110" s="12"/>
      <c r="C110" s="12"/>
      <c r="D110" s="12"/>
      <c r="E110" s="12" t="str">
        <f>_xlfn.CONCAT("on ",CAPA!$B$73," Dwg. no. ",CAPA!$B$74)</f>
        <v>on 07.01.2011 Dwg. no. T017400</v>
      </c>
      <c r="G110" s="12"/>
      <c r="H110" s="12"/>
      <c r="I110" s="12"/>
      <c r="L110" s="455"/>
      <c r="M110" s="455"/>
      <c r="N110" s="455"/>
      <c r="O110" s="455"/>
      <c r="P110" s="455"/>
    </row>
    <row r="111" spans="1:16" ht="15.75" x14ac:dyDescent="0.25">
      <c r="A111" s="12"/>
      <c r="B111" s="12"/>
      <c r="C111" s="12"/>
      <c r="D111" s="12"/>
      <c r="E111" s="12"/>
      <c r="F111" s="12"/>
      <c r="G111" s="12"/>
      <c r="H111" s="12"/>
      <c r="I111" s="12"/>
      <c r="L111" s="455"/>
      <c r="M111" s="455"/>
      <c r="N111" s="455"/>
      <c r="O111" s="455"/>
      <c r="P111" s="455"/>
    </row>
    <row r="112" spans="1:16" ht="15.75" x14ac:dyDescent="0.25">
      <c r="A112" s="261" t="s">
        <v>21</v>
      </c>
      <c r="B112" s="12"/>
      <c r="C112" s="12"/>
      <c r="D112" s="12"/>
      <c r="E112" s="12"/>
      <c r="F112" s="12"/>
      <c r="G112" s="12"/>
      <c r="H112" s="12"/>
      <c r="I112" s="12"/>
      <c r="L112" s="455"/>
      <c r="M112" s="455"/>
      <c r="N112" s="455"/>
      <c r="O112" s="455"/>
      <c r="P112" s="455"/>
    </row>
    <row r="113" spans="1:16" ht="15.75" x14ac:dyDescent="0.25">
      <c r="A113" s="260"/>
      <c r="B113" s="12"/>
      <c r="E113" s="710" t="s">
        <v>82</v>
      </c>
      <c r="F113" s="711" t="s">
        <v>714</v>
      </c>
      <c r="G113" s="855" t="s">
        <v>84</v>
      </c>
      <c r="H113" s="855"/>
      <c r="I113" s="855" t="s">
        <v>85</v>
      </c>
      <c r="J113" s="855"/>
      <c r="K113" s="270"/>
      <c r="L113" s="460"/>
      <c r="M113" s="461"/>
      <c r="N113" s="455"/>
      <c r="O113" s="455"/>
      <c r="P113" s="455"/>
    </row>
    <row r="114" spans="1:16" ht="15.75" x14ac:dyDescent="0.25">
      <c r="A114" s="260" t="s">
        <v>86</v>
      </c>
      <c r="B114" s="10"/>
      <c r="E114" s="271">
        <f>CAPA!$L$78</f>
        <v>5.0389999999999997</v>
      </c>
      <c r="F114" s="271">
        <f>CAPA!$M$78</f>
        <v>15.085000000000001</v>
      </c>
      <c r="G114" s="846">
        <f>CAPA!$N$78</f>
        <v>95894.88</v>
      </c>
      <c r="H114" s="846"/>
      <c r="I114" s="846">
        <f>CAPA!$O$78</f>
        <v>82744.2</v>
      </c>
      <c r="J114" s="846"/>
      <c r="K114" s="272"/>
      <c r="L114" s="462"/>
      <c r="M114" s="463"/>
      <c r="N114" s="455"/>
      <c r="O114" s="455"/>
      <c r="P114" s="455"/>
    </row>
    <row r="115" spans="1:16" ht="15.75" x14ac:dyDescent="0.25">
      <c r="A115" s="260" t="s">
        <v>87</v>
      </c>
      <c r="B115" s="10"/>
      <c r="E115" s="271">
        <f>CAPA!$L$79</f>
        <v>5.34</v>
      </c>
      <c r="F115" s="271">
        <f>CAPA!$M$79</f>
        <v>14.784000000000001</v>
      </c>
      <c r="G115" s="846">
        <f>CAPA!$N$79</f>
        <v>93826.38</v>
      </c>
      <c r="H115" s="846"/>
      <c r="I115" s="846">
        <f>CAPA!$O$79</f>
        <v>80675.7</v>
      </c>
      <c r="J115" s="846"/>
      <c r="K115" s="272"/>
      <c r="L115" s="462"/>
      <c r="M115" s="463"/>
      <c r="N115" s="455"/>
      <c r="O115" s="455"/>
      <c r="P115" s="455"/>
    </row>
    <row r="116" spans="1:16" ht="15.75" x14ac:dyDescent="0.25">
      <c r="A116" s="260" t="s">
        <v>88</v>
      </c>
      <c r="B116" s="10"/>
      <c r="E116" s="271">
        <f>CAPA!$L$80</f>
        <v>5.3730000000000002</v>
      </c>
      <c r="F116" s="271">
        <f>CAPA!$M$80</f>
        <v>14.750999999999999</v>
      </c>
      <c r="G116" s="846">
        <f>CAPA!$N$80</f>
        <v>95939.78</v>
      </c>
      <c r="H116" s="846"/>
      <c r="I116" s="846">
        <f>CAPA!$O$80</f>
        <v>82789.100000000006</v>
      </c>
      <c r="J116" s="846"/>
      <c r="K116" s="272"/>
      <c r="L116" s="462"/>
      <c r="M116" s="463"/>
      <c r="N116" s="455"/>
      <c r="O116" s="455"/>
      <c r="P116" s="455"/>
    </row>
    <row r="117" spans="1:16" ht="15.75" x14ac:dyDescent="0.25">
      <c r="A117" s="260" t="s">
        <v>89</v>
      </c>
      <c r="B117" s="10"/>
      <c r="E117" s="271">
        <f>CAPA!$L$81</f>
        <v>5.6740000000000004</v>
      </c>
      <c r="F117" s="271">
        <f>CAPA!$M$81</f>
        <v>14.45</v>
      </c>
      <c r="G117" s="846">
        <f>CAPA!$N$81</f>
        <v>93821.88</v>
      </c>
      <c r="H117" s="846"/>
      <c r="I117" s="846">
        <f>CAPA!$O$81</f>
        <v>80671.199999999997</v>
      </c>
      <c r="J117" s="846"/>
      <c r="K117" s="272"/>
      <c r="L117" s="462"/>
      <c r="M117" s="463"/>
      <c r="N117" s="455"/>
      <c r="O117" s="455"/>
      <c r="P117" s="455"/>
    </row>
    <row r="118" spans="1:16" ht="15.75" x14ac:dyDescent="0.25">
      <c r="A118" s="260" t="s">
        <v>90</v>
      </c>
      <c r="B118" s="10"/>
      <c r="E118" s="271">
        <f>CAPA!$L$82</f>
        <v>5.9749999999999996</v>
      </c>
      <c r="F118" s="271">
        <f>CAPA!$M$82</f>
        <v>14.148999999999999</v>
      </c>
      <c r="G118" s="846">
        <f>CAPA!$N$82</f>
        <v>91706.48000000001</v>
      </c>
      <c r="H118" s="846"/>
      <c r="I118" s="846">
        <f>CAPA!$O$82</f>
        <v>78555.8</v>
      </c>
      <c r="J118" s="846"/>
      <c r="K118" s="272"/>
      <c r="L118" s="462"/>
      <c r="M118" s="463"/>
      <c r="N118" s="455"/>
      <c r="O118" s="455"/>
      <c r="P118" s="455"/>
    </row>
    <row r="119" spans="1:16" ht="15.75" x14ac:dyDescent="0.25">
      <c r="A119" s="260"/>
      <c r="B119" s="10"/>
      <c r="C119" s="10"/>
      <c r="D119" s="10"/>
      <c r="E119" s="10"/>
      <c r="F119" s="10"/>
      <c r="G119" s="10"/>
      <c r="H119" s="10"/>
      <c r="I119" s="10"/>
      <c r="L119" s="455"/>
      <c r="M119" s="455"/>
      <c r="N119" s="455"/>
      <c r="O119" s="455"/>
      <c r="P119" s="455"/>
    </row>
    <row r="120" spans="1:16" ht="15.75" x14ac:dyDescent="0.25">
      <c r="A120" s="260"/>
      <c r="B120" s="10"/>
      <c r="C120" s="10"/>
      <c r="D120" s="10"/>
      <c r="E120" s="10"/>
      <c r="F120" s="10"/>
      <c r="G120" s="10"/>
      <c r="H120" s="10"/>
      <c r="I120" s="10"/>
      <c r="L120" s="455"/>
      <c r="M120" s="455"/>
      <c r="N120" s="455"/>
      <c r="O120" s="455"/>
      <c r="P120" s="455"/>
    </row>
    <row r="121" spans="1:16" ht="15.75" x14ac:dyDescent="0.25">
      <c r="A121" s="261" t="s">
        <v>715</v>
      </c>
      <c r="B121" s="10"/>
      <c r="C121" s="10"/>
      <c r="D121" s="10"/>
      <c r="E121" s="10"/>
      <c r="F121" s="10"/>
      <c r="G121" s="10"/>
      <c r="H121" s="10"/>
      <c r="I121" s="10"/>
      <c r="L121" s="455"/>
      <c r="M121" s="455"/>
      <c r="N121" s="455"/>
      <c r="O121" s="455"/>
      <c r="P121" s="455"/>
    </row>
    <row r="122" spans="1:16" x14ac:dyDescent="0.25">
      <c r="A122" s="273"/>
      <c r="B122" s="10"/>
      <c r="C122" s="10"/>
      <c r="D122" s="10"/>
      <c r="E122" s="10"/>
      <c r="F122" s="10"/>
      <c r="G122" s="10"/>
      <c r="H122" s="10"/>
      <c r="I122" s="10"/>
      <c r="L122" s="455"/>
      <c r="M122" s="455"/>
      <c r="N122" s="455"/>
      <c r="O122" s="455"/>
      <c r="P122" s="455"/>
    </row>
    <row r="123" spans="1:16" ht="15.75" x14ac:dyDescent="0.25">
      <c r="A123" s="260" t="s">
        <v>91</v>
      </c>
      <c r="B123" s="10"/>
      <c r="C123" s="10"/>
      <c r="D123" s="10"/>
      <c r="E123" s="389" t="str">
        <f>Relato!$E$124</f>
        <v xml:space="preserve"> March 6th, 2026 from 8:00 until 10:00 hrs</v>
      </c>
      <c r="G123" s="274"/>
      <c r="H123" s="274"/>
      <c r="I123" s="10"/>
      <c r="L123" s="455"/>
      <c r="M123" s="455"/>
      <c r="N123" s="455"/>
      <c r="O123" s="455"/>
      <c r="P123" s="455"/>
    </row>
    <row r="124" spans="1:16" ht="15.75" x14ac:dyDescent="0.25">
      <c r="A124" s="260" t="s">
        <v>92</v>
      </c>
      <c r="B124" s="10"/>
      <c r="C124" s="10"/>
      <c r="D124" s="10"/>
      <c r="E124" s="13" t="str">
        <f>Relato!$E$125</f>
        <v>Paranaguá, Br - Brazil (inner roads 9.3)</v>
      </c>
      <c r="G124" s="12"/>
      <c r="H124" s="12"/>
      <c r="I124" s="10"/>
      <c r="L124" s="455"/>
      <c r="M124" s="455"/>
      <c r="N124" s="455"/>
      <c r="O124" s="455"/>
      <c r="P124" s="455"/>
    </row>
    <row r="125" spans="1:16" ht="15.75" x14ac:dyDescent="0.25">
      <c r="A125" s="260" t="s">
        <v>93</v>
      </c>
      <c r="B125" s="10"/>
      <c r="C125" s="10"/>
      <c r="D125" s="10"/>
      <c r="E125" s="390">
        <f>Draft!$O$7</f>
        <v>0.2</v>
      </c>
      <c r="G125" s="12"/>
      <c r="H125" s="12"/>
      <c r="I125" s="10"/>
      <c r="L125" s="455"/>
      <c r="M125" s="455"/>
      <c r="N125" s="455"/>
      <c r="O125" s="455"/>
      <c r="P125" s="455"/>
    </row>
    <row r="126" spans="1:16" ht="15.75" x14ac:dyDescent="0.25">
      <c r="A126" s="260" t="s">
        <v>614</v>
      </c>
      <c r="B126" s="10"/>
      <c r="C126" s="10"/>
      <c r="D126" s="10"/>
      <c r="E126" s="626">
        <f>Draft!$O$8</f>
        <v>1</v>
      </c>
      <c r="F126" s="388"/>
      <c r="G126" s="275"/>
      <c r="H126" s="275"/>
      <c r="I126" s="275"/>
      <c r="L126" s="455"/>
      <c r="M126" s="455"/>
      <c r="N126" s="455"/>
      <c r="O126" s="455"/>
      <c r="P126" s="455"/>
    </row>
    <row r="127" spans="1:16" ht="15.75" x14ac:dyDescent="0.25">
      <c r="A127" s="260" t="s">
        <v>94</v>
      </c>
      <c r="B127" s="10"/>
      <c r="C127" s="10"/>
      <c r="D127" s="10"/>
      <c r="E127" s="13" t="str">
        <f>Draft!$E$8</f>
        <v>Ebb tide, &lt;1knot</v>
      </c>
      <c r="G127" s="12"/>
      <c r="H127" s="12"/>
      <c r="I127" s="10"/>
      <c r="L127" s="455"/>
      <c r="M127" s="455"/>
      <c r="N127" s="455"/>
      <c r="O127" s="455"/>
      <c r="P127" s="455"/>
    </row>
    <row r="128" spans="1:16" ht="15.75" x14ac:dyDescent="0.25">
      <c r="A128" s="260" t="s">
        <v>95</v>
      </c>
      <c r="B128" s="10"/>
      <c r="C128" s="10"/>
      <c r="D128" s="10"/>
      <c r="E128" s="13" t="str">
        <f>Draft!$E$7</f>
        <v>Sunny</v>
      </c>
      <c r="G128" s="12"/>
      <c r="H128" s="12"/>
      <c r="I128" s="10"/>
      <c r="L128" s="455"/>
      <c r="M128" s="455"/>
      <c r="N128" s="455"/>
      <c r="O128" s="455"/>
      <c r="P128" s="455"/>
    </row>
    <row r="129" spans="1:16" ht="15.75" x14ac:dyDescent="0.25">
      <c r="A129" s="260"/>
      <c r="B129" s="10"/>
      <c r="C129" s="10"/>
      <c r="D129" s="10"/>
      <c r="E129" s="10"/>
      <c r="F129" s="12"/>
      <c r="G129" s="12"/>
      <c r="H129" s="12"/>
      <c r="I129" s="10"/>
      <c r="L129" s="455"/>
      <c r="M129" s="455"/>
      <c r="N129" s="455"/>
      <c r="O129" s="455"/>
      <c r="P129" s="455"/>
    </row>
    <row r="130" spans="1:16" ht="15.75" x14ac:dyDescent="0.25">
      <c r="A130" s="260"/>
      <c r="B130" s="10"/>
      <c r="C130" s="10"/>
      <c r="D130" s="10"/>
      <c r="E130" s="10"/>
      <c r="F130" s="12"/>
      <c r="G130" s="12"/>
      <c r="H130" s="12"/>
      <c r="I130" s="10"/>
      <c r="L130" s="455"/>
      <c r="M130" s="455"/>
      <c r="N130" s="455"/>
      <c r="O130" s="455"/>
      <c r="P130" s="455"/>
    </row>
    <row r="131" spans="1:16" ht="15.75" x14ac:dyDescent="0.25">
      <c r="A131" s="261" t="s">
        <v>716</v>
      </c>
      <c r="B131" s="10"/>
      <c r="C131" s="10"/>
      <c r="D131" s="10"/>
      <c r="E131" s="10"/>
      <c r="F131" s="12"/>
      <c r="G131" s="12"/>
      <c r="H131" s="12"/>
      <c r="I131" s="10"/>
      <c r="L131" s="455"/>
      <c r="M131" s="455"/>
      <c r="N131" s="455"/>
      <c r="O131" s="455"/>
      <c r="P131" s="455"/>
    </row>
    <row r="132" spans="1:16" ht="15.75" x14ac:dyDescent="0.25">
      <c r="A132" s="260"/>
      <c r="B132" s="10"/>
      <c r="C132" s="10"/>
      <c r="D132" s="10"/>
      <c r="E132" s="10"/>
      <c r="F132" s="12"/>
      <c r="G132" s="12"/>
      <c r="H132" s="12"/>
      <c r="I132" s="10"/>
      <c r="L132" s="455"/>
      <c r="M132" s="455"/>
      <c r="N132" s="455"/>
      <c r="O132" s="455"/>
      <c r="P132" s="455"/>
    </row>
    <row r="133" spans="1:16" ht="15.75" x14ac:dyDescent="0.25">
      <c r="A133" s="260" t="s">
        <v>91</v>
      </c>
      <c r="B133" s="10"/>
      <c r="C133" s="10"/>
      <c r="D133" s="10"/>
      <c r="E133" s="389" t="str">
        <f>Relato!$E$134</f>
        <v xml:space="preserve"> March 10th, 2026 from 21:30 until 23:00 hrs</v>
      </c>
      <c r="G133" s="12"/>
      <c r="H133" s="12"/>
      <c r="I133" s="10"/>
      <c r="L133" s="455"/>
      <c r="M133" s="455"/>
      <c r="N133" s="455"/>
      <c r="O133" s="455"/>
      <c r="P133" s="455"/>
    </row>
    <row r="134" spans="1:16" ht="15.75" x14ac:dyDescent="0.25">
      <c r="A134" s="260" t="s">
        <v>92</v>
      </c>
      <c r="B134" s="10"/>
      <c r="C134" s="10"/>
      <c r="D134" s="10"/>
      <c r="E134" s="13" t="str">
        <f>Relato!$E$135</f>
        <v>Paranaguá, Br - Brazil (wharf 212)</v>
      </c>
      <c r="G134" s="12"/>
      <c r="H134" s="12"/>
      <c r="I134" s="10"/>
      <c r="L134" s="455"/>
      <c r="M134" s="455"/>
      <c r="N134" s="455"/>
      <c r="O134" s="455"/>
      <c r="P134" s="455"/>
    </row>
    <row r="135" spans="1:16" ht="15.75" x14ac:dyDescent="0.25">
      <c r="A135" s="260" t="s">
        <v>93</v>
      </c>
      <c r="B135" s="10"/>
      <c r="C135" s="10"/>
      <c r="D135" s="10"/>
      <c r="E135" s="390">
        <f>Draft!$AH$7</f>
        <v>0.15</v>
      </c>
      <c r="G135" s="12"/>
      <c r="H135" s="12"/>
      <c r="I135" s="10"/>
      <c r="L135" s="455"/>
      <c r="M135" s="455"/>
      <c r="N135" s="455"/>
      <c r="O135" s="455"/>
      <c r="P135" s="455"/>
    </row>
    <row r="136" spans="1:16" ht="15.75" x14ac:dyDescent="0.25">
      <c r="A136" s="260" t="s">
        <v>614</v>
      </c>
      <c r="B136" s="10"/>
      <c r="C136" s="10"/>
      <c r="D136" s="10"/>
      <c r="E136" s="626">
        <f>Draft!$AH$8</f>
        <v>1</v>
      </c>
      <c r="G136" s="276"/>
      <c r="H136" s="276"/>
      <c r="I136" s="10"/>
      <c r="L136" s="451"/>
      <c r="M136" s="451"/>
      <c r="N136" s="451"/>
      <c r="O136" s="451"/>
      <c r="P136" s="451"/>
    </row>
    <row r="137" spans="1:16" ht="15.75" x14ac:dyDescent="0.25">
      <c r="A137" s="260" t="s">
        <v>94</v>
      </c>
      <c r="B137" s="10"/>
      <c r="C137" s="10"/>
      <c r="D137" s="10"/>
      <c r="E137" s="13" t="str">
        <f>Draft!$X$8</f>
        <v>Ebb tide, &gt;1knot</v>
      </c>
      <c r="G137" s="12"/>
      <c r="H137" s="12"/>
      <c r="I137" s="10"/>
      <c r="L137" s="451"/>
      <c r="M137" s="451"/>
      <c r="N137" s="451"/>
      <c r="O137" s="451"/>
      <c r="P137" s="451"/>
    </row>
    <row r="138" spans="1:16" ht="15.75" x14ac:dyDescent="0.25">
      <c r="A138" s="260" t="s">
        <v>95</v>
      </c>
      <c r="B138" s="10"/>
      <c r="C138" s="10"/>
      <c r="D138" s="10"/>
      <c r="E138" s="13" t="str">
        <f>Draft!$X$7</f>
        <v>Rainny</v>
      </c>
      <c r="G138" s="12"/>
      <c r="H138" s="12"/>
      <c r="I138" s="10"/>
      <c r="L138" s="451"/>
      <c r="M138" s="451"/>
      <c r="N138" s="451"/>
      <c r="O138" s="451"/>
      <c r="P138" s="451"/>
    </row>
    <row r="139" spans="1:16" ht="15.75" x14ac:dyDescent="0.25">
      <c r="A139" s="260"/>
      <c r="B139" s="10"/>
      <c r="C139" s="10"/>
      <c r="D139" s="10"/>
      <c r="E139" s="10"/>
      <c r="F139" s="12"/>
      <c r="G139" s="12"/>
      <c r="H139" s="12"/>
      <c r="I139" s="10"/>
      <c r="L139" s="451"/>
      <c r="M139" s="451"/>
      <c r="N139" s="451"/>
      <c r="O139" s="451"/>
      <c r="P139" s="451"/>
    </row>
    <row r="140" spans="1:16" ht="15.75" x14ac:dyDescent="0.25">
      <c r="A140" s="260"/>
      <c r="B140" s="10"/>
      <c r="C140" s="10"/>
      <c r="D140" s="10"/>
      <c r="E140" s="10"/>
      <c r="F140" s="12"/>
      <c r="G140" s="12"/>
      <c r="H140" s="12"/>
      <c r="I140" s="10"/>
      <c r="L140" s="451"/>
      <c r="M140" s="451"/>
      <c r="N140" s="451"/>
      <c r="O140" s="451"/>
      <c r="P140" s="451"/>
    </row>
    <row r="141" spans="1:16" ht="15.75" x14ac:dyDescent="0.25">
      <c r="A141" s="261" t="s">
        <v>96</v>
      </c>
      <c r="B141" s="10"/>
      <c r="C141" s="10"/>
      <c r="D141" s="10"/>
      <c r="E141" s="10"/>
      <c r="F141" s="12"/>
      <c r="G141" s="12"/>
      <c r="H141" s="12"/>
      <c r="I141" s="10"/>
      <c r="L141" s="451"/>
      <c r="M141" s="451"/>
      <c r="N141" s="451"/>
      <c r="O141" s="451"/>
      <c r="P141" s="451"/>
    </row>
    <row r="142" spans="1:16" ht="15.75" x14ac:dyDescent="0.25">
      <c r="A142" s="260"/>
      <c r="B142" s="10"/>
      <c r="C142" s="10"/>
      <c r="D142" s="10"/>
      <c r="E142" s="10"/>
      <c r="F142" s="12"/>
      <c r="G142" s="12"/>
      <c r="H142" s="12"/>
      <c r="I142" s="10"/>
      <c r="L142" s="451"/>
      <c r="M142" s="451"/>
      <c r="N142" s="451"/>
      <c r="O142" s="451"/>
      <c r="P142" s="451"/>
    </row>
    <row r="143" spans="1:16" ht="15.75" x14ac:dyDescent="0.25">
      <c r="A143" s="260" t="s">
        <v>97</v>
      </c>
      <c r="B143" s="10"/>
      <c r="C143" s="10"/>
      <c r="D143" s="10"/>
      <c r="E143" s="13" t="str">
        <f>CAPA!$B$6</f>
        <v>Soybeans in bulk</v>
      </c>
      <c r="G143" s="12"/>
      <c r="H143" s="12"/>
      <c r="I143" s="10"/>
      <c r="L143" s="451"/>
      <c r="M143" s="451"/>
      <c r="N143" s="451"/>
      <c r="O143" s="451"/>
      <c r="P143" s="451"/>
    </row>
    <row r="144" spans="1:16" ht="15.75" x14ac:dyDescent="0.25">
      <c r="A144" s="260" t="s">
        <v>98</v>
      </c>
      <c r="B144" s="10"/>
      <c r="C144" s="10"/>
      <c r="D144" s="10"/>
      <c r="E144" s="13" t="str">
        <f>_xlfn.CONCAT("Port of ",Draft!$E$5)</f>
        <v>Port of Paranaguá, Br - Brazil</v>
      </c>
      <c r="G144" s="12"/>
      <c r="H144" s="12"/>
      <c r="I144" s="10"/>
      <c r="L144" s="451"/>
      <c r="M144" s="451"/>
      <c r="N144" s="451"/>
      <c r="O144" s="451"/>
      <c r="P144" s="451"/>
    </row>
    <row r="145" spans="1:21" ht="15.75" x14ac:dyDescent="0.25">
      <c r="A145" s="260" t="s">
        <v>99</v>
      </c>
      <c r="B145" s="10"/>
      <c r="C145" s="10"/>
      <c r="D145" s="10"/>
      <c r="E145" s="13" t="str">
        <f>CAPA!$B$38</f>
        <v>Dalian, China</v>
      </c>
      <c r="G145" s="12"/>
      <c r="H145" s="12"/>
      <c r="I145" s="10"/>
      <c r="L145" s="451"/>
      <c r="M145" s="451"/>
      <c r="N145" s="451"/>
      <c r="O145" s="451"/>
      <c r="P145" s="451"/>
    </row>
    <row r="146" spans="1:21" ht="15.75" x14ac:dyDescent="0.25">
      <c r="A146" s="260" t="s">
        <v>100</v>
      </c>
      <c r="B146" s="10"/>
      <c r="C146" s="10"/>
      <c r="D146" s="10"/>
      <c r="E146" s="13" t="str">
        <f>CAPA!$B$36</f>
        <v>Coal in bulk</v>
      </c>
      <c r="G146" s="12"/>
      <c r="H146" s="12"/>
      <c r="I146" s="10"/>
      <c r="L146" s="451"/>
      <c r="M146" s="452" t="s">
        <v>574</v>
      </c>
      <c r="N146" s="453" t="s">
        <v>318</v>
      </c>
      <c r="O146" s="454"/>
      <c r="P146" s="454"/>
      <c r="Q146" s="10"/>
      <c r="R146" s="10"/>
      <c r="S146" s="10"/>
      <c r="T146" s="10"/>
      <c r="U146" s="10"/>
    </row>
    <row r="147" spans="1:21" ht="15.75" x14ac:dyDescent="0.25">
      <c r="A147" s="260" t="s">
        <v>101</v>
      </c>
      <c r="B147" s="10"/>
      <c r="C147" s="10"/>
      <c r="D147" s="10"/>
      <c r="E147" s="13" t="str">
        <f>CAPA!$B$37</f>
        <v>Cam Pha, Vietnam</v>
      </c>
      <c r="G147" s="12"/>
      <c r="H147" s="12"/>
      <c r="I147" s="10"/>
      <c r="L147" s="451"/>
      <c r="M147" s="452" t="s">
        <v>575</v>
      </c>
      <c r="N147" s="453" t="s">
        <v>320</v>
      </c>
      <c r="O147" s="454"/>
      <c r="P147" s="454"/>
      <c r="Q147" s="10"/>
      <c r="R147" s="10"/>
      <c r="S147" s="10"/>
      <c r="T147" s="10"/>
      <c r="U147" s="10"/>
    </row>
    <row r="148" spans="1:21" ht="15.75" x14ac:dyDescent="0.25">
      <c r="A148" s="260"/>
      <c r="B148" s="10"/>
      <c r="C148" s="10"/>
      <c r="D148" s="10"/>
      <c r="E148" s="10"/>
      <c r="F148" s="12"/>
      <c r="G148" s="12"/>
      <c r="H148" s="12"/>
      <c r="I148" s="10"/>
      <c r="L148" s="451"/>
      <c r="M148" s="452" t="s">
        <v>576</v>
      </c>
      <c r="N148" s="453" t="s">
        <v>321</v>
      </c>
      <c r="O148" s="454"/>
      <c r="P148" s="454"/>
      <c r="Q148" s="10"/>
      <c r="R148" s="10"/>
      <c r="S148" s="10"/>
      <c r="T148" s="10"/>
      <c r="U148" s="10"/>
    </row>
    <row r="149" spans="1:21" ht="15.75" x14ac:dyDescent="0.25">
      <c r="A149" s="260"/>
      <c r="B149" s="10"/>
      <c r="C149" s="10"/>
      <c r="D149" s="10"/>
      <c r="E149" s="10"/>
      <c r="F149" s="10"/>
      <c r="G149" s="10"/>
      <c r="H149" s="10"/>
      <c r="I149" s="10"/>
      <c r="L149" s="451"/>
      <c r="M149" s="452" t="s">
        <v>577</v>
      </c>
      <c r="N149" s="453" t="s">
        <v>323</v>
      </c>
      <c r="O149" s="454"/>
      <c r="P149" s="454"/>
      <c r="Q149" s="10"/>
      <c r="R149" s="10"/>
      <c r="S149" s="10"/>
      <c r="T149" s="10"/>
      <c r="U149" s="10"/>
    </row>
    <row r="150" spans="1:21" ht="15.75" x14ac:dyDescent="0.25">
      <c r="A150" s="277" t="s">
        <v>102</v>
      </c>
      <c r="B150" s="277"/>
      <c r="C150" s="10"/>
      <c r="D150" s="10"/>
      <c r="E150" s="10"/>
      <c r="F150" s="10"/>
      <c r="G150" s="15"/>
      <c r="H150" s="845">
        <f>$I$206</f>
        <v>69171.05</v>
      </c>
      <c r="I150" s="845"/>
      <c r="J150" s="10" t="s">
        <v>103</v>
      </c>
      <c r="L150" s="451"/>
      <c r="M150" s="452" t="s">
        <v>578</v>
      </c>
      <c r="N150" s="453" t="s">
        <v>324</v>
      </c>
      <c r="O150" s="454"/>
      <c r="P150" s="454"/>
      <c r="Q150" s="10"/>
      <c r="R150" s="10"/>
      <c r="S150" s="10"/>
      <c r="T150" s="10"/>
      <c r="U150" s="10"/>
    </row>
    <row r="151" spans="1:21" ht="15.75" x14ac:dyDescent="0.25">
      <c r="A151" s="260"/>
      <c r="B151" s="10"/>
      <c r="C151" s="10"/>
      <c r="D151" s="10"/>
      <c r="E151" s="10"/>
      <c r="F151" s="10"/>
      <c r="G151" s="11"/>
      <c r="H151" s="10"/>
      <c r="I151" s="10"/>
      <c r="J151" s="10"/>
      <c r="L151" s="451"/>
      <c r="M151" s="452" t="s">
        <v>576</v>
      </c>
      <c r="N151" s="453" t="s">
        <v>325</v>
      </c>
      <c r="O151" s="454"/>
      <c r="P151" s="454"/>
      <c r="Q151" s="10"/>
      <c r="R151" s="10"/>
      <c r="S151" s="10"/>
      <c r="T151" s="10"/>
      <c r="U151" s="10"/>
    </row>
    <row r="152" spans="1:21" ht="15.75" x14ac:dyDescent="0.25">
      <c r="A152" s="277" t="s">
        <v>719</v>
      </c>
      <c r="B152" s="277"/>
      <c r="C152" s="12"/>
      <c r="D152" s="12" t="s">
        <v>104</v>
      </c>
      <c r="E152" s="10"/>
      <c r="G152" s="15"/>
      <c r="H152" s="845">
        <f>$I$207</f>
        <v>69235.12026043277</v>
      </c>
      <c r="I152" s="845"/>
      <c r="J152" s="10" t="s">
        <v>103</v>
      </c>
      <c r="L152" s="451"/>
      <c r="M152" s="452" t="s">
        <v>579</v>
      </c>
      <c r="N152" s="453" t="s">
        <v>326</v>
      </c>
      <c r="O152" s="454"/>
      <c r="P152" s="454"/>
      <c r="Q152" s="10"/>
      <c r="R152" s="10"/>
      <c r="S152" s="10"/>
      <c r="T152" s="10"/>
      <c r="U152" s="10"/>
    </row>
    <row r="153" spans="1:21" ht="15.75" x14ac:dyDescent="0.25">
      <c r="A153" s="278"/>
      <c r="B153" s="278"/>
      <c r="C153" s="13"/>
      <c r="D153" s="13" t="s">
        <v>105</v>
      </c>
      <c r="E153" s="10"/>
      <c r="G153" s="15"/>
      <c r="H153" s="845">
        <f>$H$211</f>
        <v>69418.312999999995</v>
      </c>
      <c r="I153" s="845"/>
      <c r="J153" s="10" t="s">
        <v>103</v>
      </c>
      <c r="L153" s="451"/>
      <c r="M153" s="451"/>
      <c r="N153" s="451"/>
      <c r="O153" s="451"/>
      <c r="P153" s="451"/>
    </row>
    <row r="154" spans="1:21" ht="15.75" x14ac:dyDescent="0.25">
      <c r="A154" s="278"/>
      <c r="B154" s="278"/>
      <c r="C154" s="12"/>
      <c r="D154" s="12" t="s">
        <v>106</v>
      </c>
      <c r="E154" s="12"/>
      <c r="G154" s="15"/>
      <c r="H154" s="845">
        <f>$H$212</f>
        <v>69195.657999999996</v>
      </c>
      <c r="I154" s="845"/>
      <c r="J154" s="10" t="s">
        <v>103</v>
      </c>
      <c r="L154" s="451"/>
      <c r="M154" s="451"/>
      <c r="N154" s="451"/>
      <c r="O154" s="451"/>
      <c r="P154" s="451"/>
    </row>
    <row r="155" spans="1:21" ht="7.5" customHeight="1" thickBot="1" x14ac:dyDescent="0.3">
      <c r="A155" s="288"/>
      <c r="B155" s="288"/>
      <c r="C155" s="289"/>
      <c r="D155" s="289"/>
      <c r="E155" s="289"/>
      <c r="F155" s="289"/>
      <c r="G155" s="290"/>
      <c r="H155" s="291"/>
      <c r="I155" s="292"/>
      <c r="J155" s="293"/>
      <c r="L155" s="451"/>
      <c r="M155" s="451"/>
      <c r="N155" s="451"/>
      <c r="O155" s="451"/>
      <c r="P155" s="451"/>
    </row>
    <row r="156" spans="1:21" ht="21" customHeight="1" thickBot="1" x14ac:dyDescent="0.45">
      <c r="A156" s="294"/>
      <c r="B156" s="291"/>
      <c r="C156" s="291"/>
      <c r="D156" s="291"/>
      <c r="E156" s="291"/>
      <c r="F156" s="295"/>
      <c r="G156" s="819" t="s">
        <v>107</v>
      </c>
      <c r="H156" s="820"/>
      <c r="I156" s="821" t="s">
        <v>108</v>
      </c>
      <c r="J156" s="822"/>
      <c r="L156" s="451"/>
      <c r="M156" s="451"/>
      <c r="N156" s="451"/>
      <c r="O156" s="451"/>
      <c r="P156" s="451"/>
    </row>
    <row r="157" spans="1:21" ht="14.1" customHeight="1" x14ac:dyDescent="0.25">
      <c r="A157" s="823" t="str">
        <f>$A$1</f>
        <v xml:space="preserve">MV "STAR GENESIS" </v>
      </c>
      <c r="B157" s="824"/>
      <c r="C157" s="824"/>
      <c r="D157" s="824"/>
      <c r="E157" s="824"/>
      <c r="F157" s="825"/>
      <c r="G157" s="832" t="str">
        <f>Relato!$G$158</f>
        <v>Inner roads 9.3</v>
      </c>
      <c r="H157" s="832"/>
      <c r="I157" s="833" t="str">
        <f>Relato!$I$158</f>
        <v>Wharf 212</v>
      </c>
      <c r="J157" s="834"/>
      <c r="L157" s="451"/>
      <c r="M157" s="451"/>
      <c r="N157" s="451"/>
      <c r="O157" s="451"/>
      <c r="P157" s="451"/>
    </row>
    <row r="158" spans="1:21" ht="14.1" customHeight="1" x14ac:dyDescent="0.25">
      <c r="A158" s="826"/>
      <c r="B158" s="827"/>
      <c r="C158" s="827"/>
      <c r="D158" s="827"/>
      <c r="E158" s="827"/>
      <c r="F158" s="828"/>
      <c r="G158" s="838" t="str">
        <f>Relato!$G$159</f>
        <v>06.03.2026 - 08:20 h</v>
      </c>
      <c r="H158" s="840"/>
      <c r="I158" s="838" t="str">
        <f>Relato!$I$159</f>
        <v>10.03.2026 - 21:45 h</v>
      </c>
      <c r="J158" s="839"/>
      <c r="L158" s="451"/>
      <c r="M158" s="451"/>
      <c r="N158" s="451"/>
      <c r="O158" s="451"/>
      <c r="P158" s="451"/>
    </row>
    <row r="159" spans="1:21" ht="14.1" customHeight="1" x14ac:dyDescent="0.25">
      <c r="A159" s="829"/>
      <c r="B159" s="830"/>
      <c r="C159" s="830"/>
      <c r="D159" s="830"/>
      <c r="E159" s="830"/>
      <c r="F159" s="831"/>
      <c r="G159" s="835">
        <f>Relato!$G$160</f>
        <v>0.2</v>
      </c>
      <c r="H159" s="836"/>
      <c r="I159" s="835">
        <f>Relato!$I$160</f>
        <v>0.15</v>
      </c>
      <c r="J159" s="837"/>
      <c r="L159" s="451"/>
      <c r="M159" s="451"/>
      <c r="N159" s="451"/>
      <c r="O159" s="451"/>
      <c r="P159" s="451"/>
    </row>
    <row r="160" spans="1:21" ht="14.1" customHeight="1" x14ac:dyDescent="0.25">
      <c r="A160" s="847" t="str">
        <f>_xlfn.CONCAT("IMO NO.  ",CAPA!$B$10)</f>
        <v>IMO NO.  9457464</v>
      </c>
      <c r="B160" s="848"/>
      <c r="C160" s="848" t="str">
        <f>_xlfn.CONCAT("FLAG:  ",CAPA!$B$14)</f>
        <v>FLAG:  Marshallese</v>
      </c>
      <c r="D160" s="848"/>
      <c r="E160" s="848" t="str">
        <f>_xlfn.CONCAT("BUILD:  ",CAPA!$B$9)</f>
        <v>BUILD:  2010</v>
      </c>
      <c r="F160" s="849"/>
      <c r="G160" s="814" t="str">
        <f>CONCATENATE("Wind force ",TEXT(Draft!$O$8,"00"))</f>
        <v>Wind force 01</v>
      </c>
      <c r="H160" s="815"/>
      <c r="I160" s="814" t="str">
        <f>Relato!$I$161</f>
        <v>Wind force 01</v>
      </c>
      <c r="J160" s="816"/>
      <c r="L160" s="451"/>
      <c r="M160" s="451"/>
      <c r="N160" s="451"/>
      <c r="O160" s="451"/>
      <c r="P160" s="451"/>
    </row>
    <row r="161" spans="1:16" ht="14.1" customHeight="1" x14ac:dyDescent="0.25">
      <c r="A161" s="438" t="str">
        <f>IF(Draft!H84="NÃO","DRAUGHT SURVEY CERTIFICATE","FULL DISPLACEMENT SURVEY CERTIFICATE")</f>
        <v>DRAUGHT SURVEY CERTIFICATE</v>
      </c>
      <c r="B161" s="296"/>
      <c r="C161" s="296"/>
      <c r="D161" s="296"/>
      <c r="E161" s="296"/>
      <c r="F161" s="297"/>
      <c r="G161" s="814" t="str">
        <f>Draft!$E$8</f>
        <v>Ebb tide, &lt;1knot</v>
      </c>
      <c r="H161" s="815"/>
      <c r="I161" s="814" t="str">
        <f>Relato!$I$162</f>
        <v>Ebb tide, &gt;1knot</v>
      </c>
      <c r="J161" s="816"/>
      <c r="L161" s="451"/>
      <c r="M161" s="451"/>
      <c r="N161" s="451"/>
      <c r="O161" s="451"/>
      <c r="P161" s="451"/>
    </row>
    <row r="162" spans="1:16" ht="14.1" customHeight="1" thickBot="1" x14ac:dyDescent="0.3">
      <c r="A162" s="439" t="str">
        <f>$G$3</f>
        <v>PGUA/DS/068/26</v>
      </c>
      <c r="B162" s="298"/>
      <c r="C162" s="298"/>
      <c r="D162" s="298"/>
      <c r="E162" s="298"/>
      <c r="F162" s="299"/>
      <c r="G162" s="841" t="str">
        <f>Relato!$G$163</f>
        <v>Weather:   Sunny</v>
      </c>
      <c r="H162" s="842"/>
      <c r="I162" s="843" t="str">
        <f>Relato!$I$163</f>
        <v>Weather:   Rainny</v>
      </c>
      <c r="J162" s="844"/>
      <c r="L162" s="451"/>
      <c r="M162" s="451"/>
      <c r="N162" s="451"/>
      <c r="O162" s="451"/>
      <c r="P162" s="451"/>
    </row>
    <row r="163" spans="1:16" ht="3.75" customHeight="1" thickBot="1" x14ac:dyDescent="0.3">
      <c r="A163" s="300"/>
      <c r="B163" s="300"/>
      <c r="C163" s="300"/>
      <c r="D163" s="300"/>
      <c r="E163" s="300"/>
      <c r="F163" s="301"/>
      <c r="G163" s="300"/>
      <c r="H163" s="300"/>
      <c r="I163" s="302"/>
      <c r="J163" s="303"/>
      <c r="L163" s="451"/>
      <c r="M163" s="451"/>
      <c r="N163" s="451"/>
      <c r="O163" s="451"/>
      <c r="P163" s="451"/>
    </row>
    <row r="164" spans="1:16" ht="12.95" customHeight="1" x14ac:dyDescent="0.25">
      <c r="A164" s="320" t="s">
        <v>720</v>
      </c>
      <c r="B164" s="330"/>
      <c r="C164" s="330"/>
      <c r="D164" s="330"/>
      <c r="E164" s="330"/>
      <c r="F164" s="331"/>
      <c r="G164" s="794" t="s">
        <v>109</v>
      </c>
      <c r="H164" s="795"/>
      <c r="I164" s="817" t="s">
        <v>110</v>
      </c>
      <c r="J164" s="818"/>
      <c r="L164" s="451"/>
      <c r="M164" s="451"/>
      <c r="N164" s="451"/>
      <c r="O164" s="451"/>
      <c r="P164" s="451"/>
    </row>
    <row r="165" spans="1:16" ht="12.95" customHeight="1" x14ac:dyDescent="0.25">
      <c r="A165" s="332" t="s">
        <v>111</v>
      </c>
      <c r="B165" s="306"/>
      <c r="C165" s="306"/>
      <c r="D165" s="306"/>
      <c r="E165" s="306"/>
      <c r="F165" s="307"/>
      <c r="G165" s="809">
        <f>Draft!$C$25</f>
        <v>5.98</v>
      </c>
      <c r="H165" s="810"/>
      <c r="I165" s="811">
        <f>Draft!$U$25</f>
        <v>13.17</v>
      </c>
      <c r="J165" s="812"/>
      <c r="L165" s="451"/>
      <c r="M165" s="451"/>
      <c r="N165" s="451"/>
      <c r="O165" s="451"/>
      <c r="P165" s="451"/>
    </row>
    <row r="166" spans="1:16" ht="12.95" customHeight="1" x14ac:dyDescent="0.25">
      <c r="A166" s="443" t="s">
        <v>112</v>
      </c>
      <c r="B166" s="309"/>
      <c r="C166" s="309"/>
      <c r="D166" s="309"/>
      <c r="E166" s="309"/>
      <c r="F166" s="310"/>
      <c r="G166" s="798">
        <f>Draft!$G$25</f>
        <v>5.91</v>
      </c>
      <c r="H166" s="799"/>
      <c r="I166" s="813">
        <f>Draft!$Y$25</f>
        <v>13.18</v>
      </c>
      <c r="J166" s="800"/>
      <c r="L166" s="451"/>
      <c r="M166" s="451"/>
      <c r="N166" s="451"/>
      <c r="O166" s="451"/>
      <c r="P166" s="451"/>
    </row>
    <row r="167" spans="1:16" ht="12.95" customHeight="1" x14ac:dyDescent="0.25">
      <c r="A167" s="333" t="s">
        <v>113</v>
      </c>
      <c r="B167" s="309"/>
      <c r="C167" s="309"/>
      <c r="D167" s="309"/>
      <c r="E167" s="309"/>
      <c r="F167" s="310"/>
      <c r="G167" s="798">
        <f>($G$165+$G$166)/2</f>
        <v>5.9450000000000003</v>
      </c>
      <c r="H167" s="799"/>
      <c r="I167" s="798">
        <f>($I$165+$I$166)/2</f>
        <v>13.175000000000001</v>
      </c>
      <c r="J167" s="800"/>
      <c r="L167" s="451"/>
      <c r="M167" s="451"/>
      <c r="N167" s="451"/>
      <c r="O167" s="451"/>
      <c r="P167" s="451"/>
    </row>
    <row r="168" spans="1:16" ht="12.95" customHeight="1" x14ac:dyDescent="0.25">
      <c r="A168" s="443" t="s">
        <v>114</v>
      </c>
      <c r="B168" s="308"/>
      <c r="C168" s="308"/>
      <c r="D168" s="308"/>
      <c r="E168" s="308"/>
      <c r="F168" s="311"/>
      <c r="G168" s="801">
        <f>Draft!$M$25</f>
        <v>-5.3000000000000824E-3</v>
      </c>
      <c r="H168" s="802"/>
      <c r="I168" s="803">
        <f>Draft!$AE$25</f>
        <v>-7.9999999999991189E-4</v>
      </c>
      <c r="J168" s="804"/>
      <c r="L168" s="451"/>
      <c r="M168" s="451"/>
      <c r="N168" s="451"/>
      <c r="O168" s="451"/>
      <c r="P168" s="451"/>
    </row>
    <row r="169" spans="1:16" ht="12.95" customHeight="1" x14ac:dyDescent="0.25">
      <c r="A169" s="324" t="s">
        <v>721</v>
      </c>
      <c r="B169" s="304"/>
      <c r="C169" s="304"/>
      <c r="D169" s="304"/>
      <c r="E169" s="304"/>
      <c r="F169" s="305"/>
      <c r="G169" s="805">
        <f>Draft!$P$25</f>
        <v>5.9397000000000002</v>
      </c>
      <c r="H169" s="806"/>
      <c r="I169" s="807">
        <f>Draft!$AH$25</f>
        <v>13.174200000000001</v>
      </c>
      <c r="J169" s="808"/>
      <c r="L169" s="451"/>
      <c r="M169" s="451"/>
      <c r="N169" s="451"/>
      <c r="O169" s="451"/>
      <c r="P169" s="451"/>
    </row>
    <row r="170" spans="1:16" ht="12.95" customHeight="1" x14ac:dyDescent="0.25">
      <c r="A170" s="332" t="s">
        <v>115</v>
      </c>
      <c r="B170" s="306"/>
      <c r="C170" s="306"/>
      <c r="D170" s="306"/>
      <c r="E170" s="306"/>
      <c r="F170" s="307"/>
      <c r="G170" s="809">
        <f>Draft!$C$26</f>
        <v>6.21</v>
      </c>
      <c r="H170" s="810"/>
      <c r="I170" s="811">
        <f>Draft!$U$26</f>
        <v>13.33</v>
      </c>
      <c r="J170" s="812"/>
      <c r="L170" s="451"/>
      <c r="M170" s="451"/>
      <c r="N170" s="451"/>
      <c r="O170" s="451"/>
      <c r="P170" s="451"/>
    </row>
    <row r="171" spans="1:16" ht="12.95" customHeight="1" x14ac:dyDescent="0.25">
      <c r="A171" s="443" t="s">
        <v>116</v>
      </c>
      <c r="B171" s="309"/>
      <c r="C171" s="309"/>
      <c r="D171" s="309"/>
      <c r="E171" s="309"/>
      <c r="F171" s="310"/>
      <c r="G171" s="798">
        <f>Draft!$G$26</f>
        <v>5.98</v>
      </c>
      <c r="H171" s="799"/>
      <c r="I171" s="813">
        <f>Draft!$Y$26</f>
        <v>13.35</v>
      </c>
      <c r="J171" s="800"/>
      <c r="L171" s="451"/>
      <c r="M171" s="451"/>
      <c r="N171" s="451"/>
      <c r="O171" s="451"/>
      <c r="P171" s="451"/>
    </row>
    <row r="172" spans="1:16" ht="12.95" customHeight="1" x14ac:dyDescent="0.25">
      <c r="A172" s="333" t="s">
        <v>117</v>
      </c>
      <c r="B172" s="309"/>
      <c r="C172" s="309"/>
      <c r="D172" s="309"/>
      <c r="E172" s="309"/>
      <c r="F172" s="310"/>
      <c r="G172" s="798">
        <f>($G$170+$G$171)/2</f>
        <v>6.0950000000000006</v>
      </c>
      <c r="H172" s="799"/>
      <c r="I172" s="798">
        <f>($I$170+$I$171)/2</f>
        <v>13.34</v>
      </c>
      <c r="J172" s="800"/>
      <c r="L172" s="451"/>
      <c r="M172" s="451"/>
      <c r="N172" s="451"/>
      <c r="O172" s="451"/>
      <c r="P172" s="451"/>
    </row>
    <row r="173" spans="1:16" ht="12.95" customHeight="1" x14ac:dyDescent="0.25">
      <c r="A173" s="443" t="s">
        <v>118</v>
      </c>
      <c r="B173" s="308"/>
      <c r="C173" s="308"/>
      <c r="D173" s="308"/>
      <c r="E173" s="308"/>
      <c r="F173" s="311"/>
      <c r="G173" s="801">
        <f>Draft!$M$26</f>
        <v>-9.0000000000056701E-4</v>
      </c>
      <c r="H173" s="802"/>
      <c r="I173" s="803">
        <f>Draft!$AE$26</f>
        <v>-9.9999999999766942E-5</v>
      </c>
      <c r="J173" s="804"/>
      <c r="L173" s="451"/>
      <c r="M173" s="451"/>
      <c r="N173" s="451"/>
      <c r="O173" s="451"/>
      <c r="P173" s="451"/>
    </row>
    <row r="174" spans="1:16" ht="12.95" customHeight="1" x14ac:dyDescent="0.25">
      <c r="A174" s="324" t="s">
        <v>722</v>
      </c>
      <c r="B174" s="304"/>
      <c r="C174" s="304"/>
      <c r="D174" s="304"/>
      <c r="E174" s="304"/>
      <c r="F174" s="305"/>
      <c r="G174" s="805">
        <f>Draft!$P$26</f>
        <v>6.0941000000000001</v>
      </c>
      <c r="H174" s="806"/>
      <c r="I174" s="807">
        <f>Draft!$AH$26</f>
        <v>13.3399</v>
      </c>
      <c r="J174" s="808"/>
      <c r="L174" s="451"/>
      <c r="M174" s="451"/>
      <c r="N174" s="451"/>
      <c r="O174" s="451"/>
      <c r="P174" s="451"/>
    </row>
    <row r="175" spans="1:16" ht="12.95" customHeight="1" x14ac:dyDescent="0.25">
      <c r="A175" s="332" t="s">
        <v>119</v>
      </c>
      <c r="B175" s="306"/>
      <c r="C175" s="306"/>
      <c r="D175" s="306"/>
      <c r="E175" s="306"/>
      <c r="F175" s="307"/>
      <c r="G175" s="809">
        <f>Draft!$C$27</f>
        <v>6.31</v>
      </c>
      <c r="H175" s="810"/>
      <c r="I175" s="811">
        <f>Draft!$U$27</f>
        <v>13.22</v>
      </c>
      <c r="J175" s="812"/>
      <c r="L175" s="451"/>
      <c r="M175" s="451"/>
      <c r="N175" s="451"/>
      <c r="O175" s="451"/>
      <c r="P175" s="451"/>
    </row>
    <row r="176" spans="1:16" ht="12.95" customHeight="1" x14ac:dyDescent="0.25">
      <c r="A176" s="333" t="s">
        <v>120</v>
      </c>
      <c r="B176" s="309"/>
      <c r="C176" s="309"/>
      <c r="D176" s="309"/>
      <c r="E176" s="309"/>
      <c r="F176" s="310"/>
      <c r="G176" s="798">
        <f>Draft!$G$27</f>
        <v>6.31</v>
      </c>
      <c r="H176" s="799"/>
      <c r="I176" s="813">
        <f>Draft!$Y$27</f>
        <v>13.24</v>
      </c>
      <c r="J176" s="800"/>
      <c r="L176" s="451"/>
      <c r="M176" s="451"/>
      <c r="N176" s="451"/>
      <c r="O176" s="451"/>
      <c r="P176" s="451"/>
    </row>
    <row r="177" spans="1:16" ht="12.95" customHeight="1" x14ac:dyDescent="0.25">
      <c r="A177" s="333" t="s">
        <v>121</v>
      </c>
      <c r="B177" s="309"/>
      <c r="C177" s="309"/>
      <c r="D177" s="309"/>
      <c r="E177" s="309"/>
      <c r="F177" s="310"/>
      <c r="G177" s="798">
        <f>($G$175+$G$176)/2</f>
        <v>6.31</v>
      </c>
      <c r="H177" s="799"/>
      <c r="I177" s="798">
        <f>($I$175+$I$176)/2</f>
        <v>13.23</v>
      </c>
      <c r="J177" s="800"/>
      <c r="L177" s="451"/>
      <c r="M177" s="451"/>
      <c r="N177" s="451"/>
      <c r="O177" s="451"/>
      <c r="P177" s="451"/>
    </row>
    <row r="178" spans="1:16" ht="12.95" customHeight="1" x14ac:dyDescent="0.25">
      <c r="A178" s="443" t="s">
        <v>122</v>
      </c>
      <c r="B178" s="308"/>
      <c r="C178" s="308"/>
      <c r="D178" s="308"/>
      <c r="E178" s="308"/>
      <c r="F178" s="311"/>
      <c r="G178" s="801">
        <f>Draft!$M$27</f>
        <v>1.9700000000000273E-2</v>
      </c>
      <c r="H178" s="802"/>
      <c r="I178" s="803">
        <f>Draft!$AE$27</f>
        <v>3.0000000000001137E-3</v>
      </c>
      <c r="J178" s="804"/>
      <c r="L178" s="451"/>
      <c r="M178" s="451"/>
      <c r="N178" s="451"/>
      <c r="O178" s="451"/>
      <c r="P178" s="451"/>
    </row>
    <row r="179" spans="1:16" ht="12.95" customHeight="1" x14ac:dyDescent="0.25">
      <c r="A179" s="324" t="s">
        <v>723</v>
      </c>
      <c r="B179" s="304"/>
      <c r="C179" s="304"/>
      <c r="D179" s="304"/>
      <c r="E179" s="304"/>
      <c r="F179" s="305"/>
      <c r="G179" s="805">
        <f>Draft!$P$27</f>
        <v>6.3296999999999999</v>
      </c>
      <c r="H179" s="806"/>
      <c r="I179" s="807">
        <f>Draft!$AH$27</f>
        <v>13.233000000000001</v>
      </c>
      <c r="J179" s="808"/>
      <c r="L179" s="451"/>
      <c r="M179" s="451"/>
      <c r="N179" s="451"/>
      <c r="O179" s="451"/>
      <c r="P179" s="451"/>
    </row>
    <row r="180" spans="1:16" ht="12.95" customHeight="1" thickBot="1" x14ac:dyDescent="0.3">
      <c r="A180" s="444" t="s">
        <v>123</v>
      </c>
      <c r="B180" s="312"/>
      <c r="C180" s="312"/>
      <c r="D180" s="312"/>
      <c r="E180" s="312"/>
      <c r="F180" s="313"/>
      <c r="G180" s="787">
        <f>Draft!$O$20+Draft!$H$18</f>
        <v>0</v>
      </c>
      <c r="H180" s="788"/>
      <c r="I180" s="789">
        <f>$G$180</f>
        <v>0</v>
      </c>
      <c r="J180" s="790"/>
      <c r="L180" s="451"/>
      <c r="M180" s="451"/>
      <c r="N180" s="451"/>
      <c r="O180" s="451"/>
      <c r="P180" s="451"/>
    </row>
    <row r="181" spans="1:16" ht="12.95" customHeight="1" thickBot="1" x14ac:dyDescent="0.3">
      <c r="A181" s="334" t="s">
        <v>591</v>
      </c>
      <c r="B181" s="335"/>
      <c r="C181" s="335"/>
      <c r="D181" s="335"/>
      <c r="E181" s="335"/>
      <c r="F181" s="336"/>
      <c r="G181" s="737">
        <f>Draft!$M$37</f>
        <v>4.3945545526371532E-3</v>
      </c>
      <c r="H181" s="738"/>
      <c r="I181" s="737">
        <f>Draft!$AE$37</f>
        <v>-1.9944218502699229E-2</v>
      </c>
      <c r="J181" s="738"/>
      <c r="L181" s="451"/>
      <c r="M181" s="451"/>
      <c r="N181" s="451"/>
      <c r="O181" s="451"/>
      <c r="P181" s="451"/>
    </row>
    <row r="182" spans="1:16" ht="12.95" customHeight="1" thickBot="1" x14ac:dyDescent="0.3">
      <c r="A182" s="445" t="s">
        <v>592</v>
      </c>
      <c r="B182" s="314"/>
      <c r="C182" s="314"/>
      <c r="D182" s="314"/>
      <c r="E182" s="314"/>
      <c r="F182" s="315"/>
      <c r="G182" s="791">
        <f>Draft!$M$39</f>
        <v>6.1086445545526376</v>
      </c>
      <c r="H182" s="792"/>
      <c r="I182" s="791">
        <f>Draft!$AE$39</f>
        <v>13.285880781497301</v>
      </c>
      <c r="J182" s="793"/>
      <c r="L182" s="451"/>
      <c r="M182" s="451"/>
      <c r="N182" s="451"/>
      <c r="O182" s="451"/>
      <c r="P182" s="451"/>
    </row>
    <row r="183" spans="1:16" ht="3.75" customHeight="1" thickBot="1" x14ac:dyDescent="0.3">
      <c r="A183" s="450"/>
      <c r="B183" s="316"/>
      <c r="C183" s="316"/>
      <c r="D183" s="316"/>
      <c r="E183" s="316"/>
      <c r="F183" s="316"/>
      <c r="G183" s="317"/>
      <c r="H183" s="318"/>
      <c r="I183" s="319"/>
      <c r="J183" s="345"/>
      <c r="L183" s="451"/>
      <c r="M183" s="451"/>
      <c r="N183" s="451"/>
      <c r="O183" s="451"/>
      <c r="P183" s="451"/>
    </row>
    <row r="184" spans="1:16" ht="12.95" customHeight="1" x14ac:dyDescent="0.25">
      <c r="A184" s="320" t="s">
        <v>125</v>
      </c>
      <c r="B184" s="321"/>
      <c r="C184" s="321"/>
      <c r="D184" s="321"/>
      <c r="E184" s="321"/>
      <c r="F184" s="322"/>
      <c r="G184" s="323" t="str">
        <f>IF(G179=0,"",IF(G179&gt;G169,"BY STERN","BY HEAD"))</f>
        <v>BY STERN</v>
      </c>
      <c r="H184" s="391">
        <f>Draft!$P$29</f>
        <v>0.38999999999999968</v>
      </c>
      <c r="I184" s="323" t="str">
        <f>IF(I179=0,"",IF(I179&gt;I169,"BY STERN","BY HEAD"))</f>
        <v>BY STERN</v>
      </c>
      <c r="J184" s="440">
        <f>Draft!$AH$29</f>
        <v>5.8799999999999741E-2</v>
      </c>
      <c r="L184" s="451"/>
      <c r="M184" s="451"/>
      <c r="N184" s="451"/>
      <c r="O184" s="451"/>
      <c r="P184" s="451"/>
    </row>
    <row r="185" spans="1:16" ht="12.95" customHeight="1" x14ac:dyDescent="0.25">
      <c r="A185" s="324" t="s">
        <v>126</v>
      </c>
      <c r="B185" s="325"/>
      <c r="C185" s="325"/>
      <c r="D185" s="325"/>
      <c r="E185" s="325"/>
      <c r="F185" s="326"/>
      <c r="G185" s="327" t="str">
        <f>_xlfn.CONCAT(Draft!$P$35," ",TEXT(Draft!$M$35,"0.00")," º")</f>
        <v>P 000 º</v>
      </c>
      <c r="H185" s="392">
        <f>Draft!$G$35</f>
        <v>23</v>
      </c>
      <c r="I185" s="327" t="str">
        <f>_xlfn.CONCAT(Draft!$AH$35," ",TEXT(Draft!$AE$35,"0.00")," º")</f>
        <v>S 000 º</v>
      </c>
      <c r="J185" s="441">
        <f>Draft!$Y$35</f>
        <v>2</v>
      </c>
      <c r="L185" s="451"/>
      <c r="M185" s="451"/>
      <c r="N185" s="451"/>
      <c r="O185" s="451"/>
      <c r="P185" s="451"/>
    </row>
    <row r="186" spans="1:16" ht="12.95" customHeight="1" thickBot="1" x14ac:dyDescent="0.3">
      <c r="A186" s="328" t="s">
        <v>128</v>
      </c>
      <c r="B186" s="293"/>
      <c r="C186" s="293"/>
      <c r="D186" s="293"/>
      <c r="E186" s="293"/>
      <c r="F186" s="329"/>
      <c r="G186" s="394" t="str">
        <f>Draft!$M$33</f>
        <v>HOGGING</v>
      </c>
      <c r="H186" s="393">
        <f>Draft!$G$33</f>
        <v>4.0600000000000414</v>
      </c>
      <c r="I186" s="394" t="str">
        <f>Draft!$AE$33</f>
        <v>SAGGING</v>
      </c>
      <c r="J186" s="442">
        <f>Draft!$Y$33</f>
        <v>13.629999999999853</v>
      </c>
      <c r="L186" s="451"/>
      <c r="M186" s="451"/>
      <c r="N186" s="451"/>
      <c r="O186" s="451"/>
      <c r="P186" s="451"/>
    </row>
    <row r="187" spans="1:16" ht="3.75" customHeight="1" thickBot="1" x14ac:dyDescent="0.3">
      <c r="A187" s="308"/>
      <c r="B187" s="308"/>
      <c r="C187" s="308"/>
      <c r="D187" s="308"/>
      <c r="E187" s="308"/>
      <c r="F187" s="308"/>
      <c r="G187" s="308"/>
      <c r="H187" s="308"/>
      <c r="I187" s="319"/>
      <c r="J187" s="303"/>
      <c r="L187" s="451"/>
      <c r="M187" s="451"/>
      <c r="N187" s="451"/>
      <c r="O187" s="451"/>
      <c r="P187" s="451"/>
    </row>
    <row r="188" spans="1:16" ht="12.95" customHeight="1" x14ac:dyDescent="0.25">
      <c r="A188" s="320" t="s">
        <v>129</v>
      </c>
      <c r="B188" s="330"/>
      <c r="C188" s="330"/>
      <c r="D188" s="330"/>
      <c r="E188" s="330"/>
      <c r="F188" s="331"/>
      <c r="G188" s="794" t="s">
        <v>109</v>
      </c>
      <c r="H188" s="795"/>
      <c r="I188" s="796" t="s">
        <v>110</v>
      </c>
      <c r="J188" s="797"/>
      <c r="L188" s="451"/>
      <c r="M188" s="451"/>
      <c r="N188" s="451"/>
      <c r="O188" s="451"/>
      <c r="P188" s="451"/>
    </row>
    <row r="189" spans="1:16" ht="12.95" customHeight="1" x14ac:dyDescent="0.25">
      <c r="A189" s="332" t="s">
        <v>130</v>
      </c>
      <c r="B189" s="306"/>
      <c r="C189" s="306"/>
      <c r="D189" s="306"/>
      <c r="E189" s="306"/>
      <c r="F189" s="307"/>
      <c r="G189" s="781">
        <f>Draft!$M$43</f>
        <v>37189.050000000003</v>
      </c>
      <c r="H189" s="782"/>
      <c r="I189" s="781">
        <f>Draft!$AE$43</f>
        <v>85530.11</v>
      </c>
      <c r="J189" s="783"/>
      <c r="L189" s="451"/>
      <c r="M189" s="451"/>
      <c r="N189" s="451"/>
      <c r="O189" s="451"/>
      <c r="P189" s="451"/>
    </row>
    <row r="190" spans="1:16" ht="12.95" customHeight="1" x14ac:dyDescent="0.25">
      <c r="A190" s="333" t="s">
        <v>131</v>
      </c>
      <c r="B190" s="309"/>
      <c r="C190" s="309"/>
      <c r="D190" s="309"/>
      <c r="E190" s="309"/>
      <c r="F190" s="310"/>
      <c r="G190" s="784">
        <f>Draft!$N$57</f>
        <v>-95.037928208107999</v>
      </c>
      <c r="H190" s="785"/>
      <c r="I190" s="784">
        <f>Draft!$AF$57</f>
        <v>2.8954129135135016</v>
      </c>
      <c r="J190" s="786"/>
      <c r="L190" s="451"/>
      <c r="M190" s="451"/>
      <c r="N190" s="451"/>
      <c r="O190" s="451"/>
      <c r="P190" s="451"/>
    </row>
    <row r="191" spans="1:16" ht="12.95" customHeight="1" x14ac:dyDescent="0.25">
      <c r="A191" s="333" t="s">
        <v>132</v>
      </c>
      <c r="B191" s="309"/>
      <c r="C191" s="309"/>
      <c r="D191" s="309"/>
      <c r="E191" s="309"/>
      <c r="F191" s="310"/>
      <c r="G191" s="784">
        <f>Draft!$N$58</f>
        <v>1.0379797297297266</v>
      </c>
      <c r="H191" s="785"/>
      <c r="I191" s="784">
        <f>Draft!$AF$58</f>
        <v>1.4172389189189099E-2</v>
      </c>
      <c r="J191" s="786"/>
      <c r="L191" s="451"/>
      <c r="M191" s="451"/>
      <c r="N191" s="451"/>
      <c r="O191" s="451"/>
      <c r="P191" s="451"/>
    </row>
    <row r="192" spans="1:16" ht="12.95" customHeight="1" x14ac:dyDescent="0.25">
      <c r="A192" s="333" t="s">
        <v>133</v>
      </c>
      <c r="B192" s="309"/>
      <c r="C192" s="309"/>
      <c r="D192" s="309"/>
      <c r="E192" s="309"/>
      <c r="F192" s="310"/>
      <c r="G192" s="775">
        <f>Draft!$N$61</f>
        <v>37095.050051521626</v>
      </c>
      <c r="H192" s="776"/>
      <c r="I192" s="775">
        <f>Draft!$AF$61</f>
        <v>85533.019585302696</v>
      </c>
      <c r="J192" s="777"/>
      <c r="L192" s="451"/>
      <c r="M192" s="451"/>
      <c r="N192" s="451"/>
      <c r="O192" s="451"/>
      <c r="P192" s="451"/>
    </row>
    <row r="193" spans="1:16" ht="12.95" customHeight="1" x14ac:dyDescent="0.25">
      <c r="A193" s="333" t="s">
        <v>134</v>
      </c>
      <c r="B193" s="309"/>
      <c r="C193" s="309"/>
      <c r="D193" s="309"/>
      <c r="E193" s="309"/>
      <c r="F193" s="310"/>
      <c r="G193" s="778">
        <f>Draft!$H$62</f>
        <v>1.016</v>
      </c>
      <c r="H193" s="779"/>
      <c r="I193" s="778">
        <f>Draft!$Z$62</f>
        <v>1.0145</v>
      </c>
      <c r="J193" s="780"/>
      <c r="L193" s="451"/>
      <c r="M193" s="451"/>
      <c r="N193" s="451"/>
      <c r="O193" s="451"/>
      <c r="P193" s="451"/>
    </row>
    <row r="194" spans="1:16" ht="12.95" customHeight="1" x14ac:dyDescent="0.25">
      <c r="A194" s="333" t="s">
        <v>724</v>
      </c>
      <c r="B194" s="309"/>
      <c r="C194" s="309"/>
      <c r="D194" s="309"/>
      <c r="E194" s="309"/>
      <c r="F194" s="310"/>
      <c r="G194" s="775">
        <f>Draft!$N$63</f>
        <v>36769.337416922906</v>
      </c>
      <c r="H194" s="776"/>
      <c r="I194" s="775">
        <f>Draft!$AF$63</f>
        <v>84656.827677355686</v>
      </c>
      <c r="J194" s="777"/>
      <c r="L194" s="451"/>
      <c r="M194" s="451"/>
      <c r="N194" s="451"/>
      <c r="O194" s="451"/>
      <c r="P194" s="451"/>
    </row>
    <row r="195" spans="1:16" ht="12.95" customHeight="1" thickBot="1" x14ac:dyDescent="0.3">
      <c r="A195" s="334" t="s">
        <v>725</v>
      </c>
      <c r="B195" s="335"/>
      <c r="C195" s="335"/>
      <c r="D195" s="335"/>
      <c r="E195" s="335"/>
      <c r="F195" s="336"/>
      <c r="G195" s="762">
        <f>Draft!$H$72</f>
        <v>23118.34</v>
      </c>
      <c r="H195" s="763"/>
      <c r="I195" s="762">
        <f>Draft!$AF$72</f>
        <v>1740.71</v>
      </c>
      <c r="J195" s="764"/>
      <c r="L195" s="451"/>
      <c r="M195" s="451"/>
      <c r="N195" s="451"/>
      <c r="O195" s="451"/>
      <c r="P195" s="451"/>
    </row>
    <row r="196" spans="1:16" ht="12.95" customHeight="1" thickBot="1" x14ac:dyDescent="0.3">
      <c r="A196" s="616" t="s">
        <v>726</v>
      </c>
      <c r="B196" s="617"/>
      <c r="C196" s="617"/>
      <c r="D196" s="617"/>
      <c r="E196" s="617"/>
      <c r="F196" s="617"/>
      <c r="G196" s="765">
        <f>Draft!$N$74</f>
        <v>13650.997416922906</v>
      </c>
      <c r="H196" s="766"/>
      <c r="I196" s="765">
        <f>Draft!$AF$74</f>
        <v>82916.11767735568</v>
      </c>
      <c r="J196" s="767"/>
      <c r="K196" s="446"/>
      <c r="L196" s="451"/>
      <c r="M196" s="451"/>
      <c r="N196" s="451"/>
      <c r="O196" s="451"/>
      <c r="P196" s="451"/>
    </row>
    <row r="197" spans="1:16" ht="12.95" customHeight="1" x14ac:dyDescent="0.25">
      <c r="A197" s="337" t="s">
        <v>628</v>
      </c>
      <c r="B197" s="338"/>
      <c r="C197" s="338"/>
      <c r="D197" s="338"/>
      <c r="E197" s="338"/>
      <c r="F197" s="339"/>
      <c r="G197" s="768">
        <f>Draft!$H$75</f>
        <v>13150.68</v>
      </c>
      <c r="H197" s="769"/>
      <c r="I197" s="340"/>
      <c r="J197" s="341"/>
      <c r="L197" s="451"/>
      <c r="M197" s="451"/>
      <c r="N197" s="451"/>
      <c r="O197" s="451"/>
      <c r="P197" s="451"/>
    </row>
    <row r="198" spans="1:16" ht="12.95" customHeight="1" x14ac:dyDescent="0.25">
      <c r="A198" s="342" t="str">
        <f>IF(Draft!H84="NÃO","Calculated constant","Declared constant")</f>
        <v>Calculated constant</v>
      </c>
      <c r="B198" s="343"/>
      <c r="C198" s="343"/>
      <c r="D198" s="343"/>
      <c r="E198" s="343"/>
      <c r="F198" s="344"/>
      <c r="G198" s="770">
        <f>Draft!$N$77</f>
        <v>530.31741692290598</v>
      </c>
      <c r="H198" s="771"/>
      <c r="I198" s="319"/>
      <c r="J198" s="345"/>
      <c r="L198" s="451"/>
      <c r="M198" s="451"/>
      <c r="N198" s="451"/>
      <c r="O198" s="451"/>
      <c r="P198" s="451"/>
    </row>
    <row r="199" spans="1:16" ht="12.95" customHeight="1" x14ac:dyDescent="0.25">
      <c r="A199" s="346" t="s">
        <v>727</v>
      </c>
      <c r="B199" s="347"/>
      <c r="C199" s="347"/>
      <c r="D199" s="347"/>
      <c r="E199" s="347"/>
      <c r="F199" s="348"/>
      <c r="G199" s="752">
        <f>Draft!$H$76</f>
        <v>30</v>
      </c>
      <c r="H199" s="753"/>
      <c r="I199" s="752">
        <f>Draft!$Z$76</f>
        <v>0</v>
      </c>
      <c r="J199" s="754"/>
      <c r="L199" s="451"/>
      <c r="M199" s="451"/>
      <c r="N199" s="451"/>
      <c r="O199" s="451"/>
      <c r="P199" s="451"/>
    </row>
    <row r="200" spans="1:16" ht="12.95" customHeight="1" thickBot="1" x14ac:dyDescent="0.3">
      <c r="A200" s="349" t="str">
        <f>IF(I196=0,"",IF(I196&gt;G196,"Total cargo loaded on board as per draught survey","Total cargo discharged as per draught survey"))</f>
        <v>Total cargo loaded on board as per draught survey</v>
      </c>
      <c r="B200" s="350"/>
      <c r="C200" s="350"/>
      <c r="D200" s="350"/>
      <c r="E200" s="350"/>
      <c r="F200" s="350"/>
      <c r="G200" s="351"/>
      <c r="H200" s="352"/>
      <c r="I200" s="755">
        <f>Draft!$AF$77</f>
        <v>69235.12026043277</v>
      </c>
      <c r="J200" s="756"/>
      <c r="L200" s="464" t="str">
        <f>_xlfn.CONCAT(Draft!$AQ$32,Draft!$AQ$33," on initial draft survey")</f>
        <v xml:space="preserve"> on initial draft survey</v>
      </c>
      <c r="M200" s="464" t="str">
        <f>IF($L$200="sagging on initial draft survey",1,"")</f>
        <v/>
      </c>
      <c r="N200" s="451" t="str">
        <f>IF($L$200="hogging on initial draft survey",1,"")</f>
        <v/>
      </c>
      <c r="O200" s="455" t="str">
        <f>IF(SUM($M$200:$N$200)=1,$L$200,"")</f>
        <v/>
      </c>
      <c r="P200" s="465" t="str">
        <f>IF(O200=1,L200,"")</f>
        <v/>
      </c>
    </row>
    <row r="201" spans="1:16" ht="3.75" customHeight="1" thickBot="1" x14ac:dyDescent="0.3">
      <c r="A201" s="300"/>
      <c r="B201" s="300"/>
      <c r="C201" s="300"/>
      <c r="D201" s="300"/>
      <c r="E201" s="300"/>
      <c r="F201" s="300"/>
      <c r="G201" s="300"/>
      <c r="H201" s="300"/>
      <c r="I201" s="302"/>
      <c r="J201" s="303"/>
      <c r="L201" s="464" t="str">
        <f>IFERROR(IF(SUM(M200:N200,M202:N202)=2," and ",""),"")</f>
        <v/>
      </c>
      <c r="M201" s="451"/>
      <c r="N201" s="451"/>
      <c r="O201" s="455"/>
      <c r="P201" s="455"/>
    </row>
    <row r="202" spans="1:16" ht="12.95" customHeight="1" x14ac:dyDescent="0.25">
      <c r="A202" s="353" t="str">
        <f>_xlfn.CONCAT("Loading terminals: ",CAPA!E58,CAPA!E59,CAPA!E60,CAPA!E61,CAPA!E62,CAPA!E63,CAPA!E64,CAPA!E65,CAPA!E66,CAPA!E67,CAPA!E68,CAPA!E69,CAPA!E70,CAPA!E71,".")</f>
        <v>Loading terminals: CB, CO, CT, ALTP, RO, BTG-V, .</v>
      </c>
      <c r="B202" s="354"/>
      <c r="C202" s="354"/>
      <c r="D202" s="354"/>
      <c r="E202" s="354"/>
      <c r="F202" s="632"/>
      <c r="G202" s="9" t="s">
        <v>135</v>
      </c>
      <c r="H202" s="398">
        <f>Draft!$M$47</f>
        <v>64.317999999999998</v>
      </c>
      <c r="I202" s="9" t="s">
        <v>135</v>
      </c>
      <c r="J202" s="447">
        <f>Draft!$AE$47</f>
        <v>69.900000000000006</v>
      </c>
      <c r="L202" s="451" t="str">
        <f>_xlfn.CONCAT(Draft!$AQ$35,Draft!$AQ$36," on final draft survey")</f>
        <v>sagging on final draft survey</v>
      </c>
      <c r="M202" s="464" t="str">
        <f>IF($L$202="hogging on final draft survey",1,"")</f>
        <v/>
      </c>
      <c r="N202" s="451">
        <f>IF($L$202="sagging on final draft survey",1,"")</f>
        <v>1</v>
      </c>
      <c r="O202" s="455" t="str">
        <f>IF(SUM($M$202:$N$202)=1,$L$202,"")</f>
        <v>sagging on final draft survey</v>
      </c>
      <c r="P202" s="455" t="str">
        <f>IF(O202=1,L202,"")</f>
        <v/>
      </c>
    </row>
    <row r="203" spans="1:16" ht="12.95" customHeight="1" thickBot="1" x14ac:dyDescent="0.3">
      <c r="A203" s="395" t="str">
        <f>_xlfn.CONCAT("Cargo: ",CAPA!B6)</f>
        <v>Cargo: Soybeans in bulk</v>
      </c>
      <c r="B203" s="397"/>
      <c r="C203" s="397"/>
      <c r="D203" s="397"/>
      <c r="E203" s="397"/>
      <c r="F203" s="396"/>
      <c r="G203" s="355" t="s">
        <v>141</v>
      </c>
      <c r="H203" s="399">
        <f>Draft!$J$53</f>
        <v>952.4</v>
      </c>
      <c r="I203" s="355" t="s">
        <v>141</v>
      </c>
      <c r="J203" s="448">
        <f>Draft!$AB$53</f>
        <v>1200.2</v>
      </c>
      <c r="L203" s="451" t="s">
        <v>708</v>
      </c>
      <c r="M203" s="451"/>
      <c r="N203" s="451"/>
      <c r="O203" s="455"/>
      <c r="P203" s="455"/>
    </row>
    <row r="204" spans="1:16" ht="12.95" customHeight="1" thickTop="1" thickBot="1" x14ac:dyDescent="0.3">
      <c r="A204" s="757" t="str">
        <f>Relato!A204</f>
        <v>Paranaguá, Br - Brazil.  March 10th, 2026</v>
      </c>
      <c r="B204" s="758"/>
      <c r="C204" s="758"/>
      <c r="D204" s="758"/>
      <c r="E204" s="758"/>
      <c r="F204" s="759"/>
      <c r="G204" s="356" t="s">
        <v>142</v>
      </c>
      <c r="H204" s="400">
        <f>Draft!$J$54</f>
        <v>922.1</v>
      </c>
      <c r="I204" s="356" t="s">
        <v>142</v>
      </c>
      <c r="J204" s="449">
        <f>Draft!$AB$54</f>
        <v>1182</v>
      </c>
      <c r="L204" s="451"/>
      <c r="M204" s="451"/>
      <c r="N204" s="451"/>
      <c r="O204" s="455"/>
      <c r="P204" s="455"/>
    </row>
    <row r="205" spans="1:16" ht="3.75" customHeight="1" thickBot="1" x14ac:dyDescent="0.3">
      <c r="A205" s="357"/>
      <c r="B205" s="358"/>
      <c r="C205" s="358"/>
      <c r="D205" s="358"/>
      <c r="E205" s="358"/>
      <c r="F205" s="359"/>
      <c r="G205" s="359"/>
      <c r="H205" s="359"/>
      <c r="I205" s="359"/>
      <c r="J205" s="303"/>
      <c r="L205" s="451"/>
      <c r="M205" s="451"/>
      <c r="N205" s="451"/>
      <c r="O205" s="451"/>
      <c r="P205" s="451"/>
    </row>
    <row r="206" spans="1:16" ht="12.95" customHeight="1" thickTop="1" x14ac:dyDescent="0.25">
      <c r="A206" s="360" t="str">
        <f>IF(I196=0,"",IF(I196&gt;G196,"Total cargo loaded on board as per shore scales","Total manifested cargo"))</f>
        <v>Total cargo loaded on board as per shore scales</v>
      </c>
      <c r="B206" s="361"/>
      <c r="C206" s="361"/>
      <c r="D206" s="361"/>
      <c r="E206" s="361"/>
      <c r="F206" s="361"/>
      <c r="G206" s="362"/>
      <c r="H206" s="363"/>
      <c r="I206" s="760">
        <f>Draft!$Z$78</f>
        <v>69171.05</v>
      </c>
      <c r="J206" s="761"/>
      <c r="L206" s="451"/>
      <c r="M206" s="451"/>
      <c r="N206" s="451"/>
      <c r="O206" s="451"/>
      <c r="P206" s="451"/>
    </row>
    <row r="207" spans="1:16" ht="12.95" customHeight="1" x14ac:dyDescent="0.25">
      <c r="A207" s="364" t="str">
        <f>A200</f>
        <v>Total cargo loaded on board as per draught survey</v>
      </c>
      <c r="B207" s="618"/>
      <c r="C207" s="618"/>
      <c r="D207" s="618"/>
      <c r="E207" s="618"/>
      <c r="F207" s="618"/>
      <c r="G207" s="619"/>
      <c r="H207" s="620"/>
      <c r="I207" s="747">
        <f>Draft!$AF$77</f>
        <v>69235.12026043277</v>
      </c>
      <c r="J207" s="748"/>
      <c r="L207" s="451"/>
      <c r="M207" s="451"/>
      <c r="N207" s="451"/>
      <c r="O207" s="451"/>
      <c r="P207" s="451"/>
    </row>
    <row r="208" spans="1:16" ht="12.95" customHeight="1" thickBot="1" x14ac:dyDescent="0.3">
      <c r="A208" s="621" t="str">
        <f>IF($G$208&gt;0,"Surplus","Shortage")</f>
        <v>Surplus</v>
      </c>
      <c r="B208" s="365"/>
      <c r="C208" s="365"/>
      <c r="D208" s="365"/>
      <c r="E208" s="365"/>
      <c r="F208" s="365"/>
      <c r="G208" s="749">
        <f>$I$207-$I$206</f>
        <v>64.0702604327671</v>
      </c>
      <c r="H208" s="749"/>
      <c r="I208" s="750">
        <f>($G$208/$I$206)*100</f>
        <v>9.2625831807912548E-2</v>
      </c>
      <c r="J208" s="751"/>
      <c r="L208" s="451"/>
      <c r="M208" s="451"/>
      <c r="N208" s="451"/>
      <c r="O208" s="451"/>
      <c r="P208" s="451"/>
    </row>
    <row r="209" spans="1:16" ht="39" customHeight="1" thickTop="1" x14ac:dyDescent="0.25">
      <c r="A209" s="736" t="str">
        <f>CONCATENATE("Remarks: 1) Due to huge hull deflexion in ",$O$200,$L$201,$O$202,$L$203,Draft!$H$78," t.")</f>
        <v>Remarks: 1) Due to huge hull deflexion in sagging on final draft survey, it was applied the waterplane area coefficient correction for the deflexion formula as per UN/ECE/Energy/19/1992.  2) According to the Master/Chief Officer usual constant would amount to450 t.</v>
      </c>
      <c r="B209" s="736"/>
      <c r="C209" s="736"/>
      <c r="D209" s="736"/>
      <c r="E209" s="736"/>
      <c r="F209" s="736"/>
      <c r="G209" s="736"/>
      <c r="H209" s="736"/>
      <c r="I209" s="736"/>
      <c r="J209" s="736"/>
      <c r="L209" s="451"/>
      <c r="M209" s="451"/>
      <c r="N209" s="451"/>
      <c r="O209" s="451"/>
      <c r="P209" s="451"/>
    </row>
    <row r="210" spans="1:16" ht="12.95" customHeight="1" x14ac:dyDescent="0.25">
      <c r="A210" s="10"/>
      <c r="B210" s="10"/>
      <c r="C210" s="10"/>
      <c r="D210" s="10"/>
      <c r="E210" s="10"/>
      <c r="F210" s="10"/>
      <c r="G210" s="10"/>
      <c r="H210" s="10"/>
      <c r="I210" s="10"/>
      <c r="L210" s="451"/>
      <c r="M210" s="451"/>
      <c r="N210" s="451"/>
      <c r="O210" s="455"/>
      <c r="P210" s="455"/>
    </row>
    <row r="211" spans="1:16" ht="12.95" customHeight="1" x14ac:dyDescent="0.25">
      <c r="A211" s="408" t="s">
        <v>137</v>
      </c>
      <c r="B211" s="408"/>
      <c r="C211" s="408"/>
      <c r="D211" s="408"/>
      <c r="E211" s="408"/>
      <c r="F211" s="409"/>
      <c r="G211" s="410" t="s">
        <v>138</v>
      </c>
      <c r="H211" s="579">
        <f>Draft!$X$82</f>
        <v>69418.312999999995</v>
      </c>
      <c r="I211" s="580">
        <f>H211-I206</f>
        <v>247.26299999999173</v>
      </c>
      <c r="J211" s="625">
        <f>IFERROR((I211/I206)*100,"")</f>
        <v>0.35746602082806567</v>
      </c>
      <c r="L211" s="451"/>
      <c r="M211" s="451"/>
      <c r="N211" s="451"/>
      <c r="O211" s="455"/>
      <c r="P211" s="455"/>
    </row>
    <row r="212" spans="1:16" ht="12.95" customHeight="1" x14ac:dyDescent="0.25">
      <c r="A212" s="411" t="str">
        <f>_xlfn.CONCAT("José Antonio Machado Gomes Pereira"," / ",CAPA!A97)</f>
        <v>José Antonio Machado Gomes Pereira / Igor do Carmo C. Pinotti</v>
      </c>
      <c r="B212" s="411"/>
      <c r="C212" s="411"/>
      <c r="D212" s="411"/>
      <c r="E212" s="411"/>
      <c r="F212" s="409"/>
      <c r="G212" s="410" t="s">
        <v>139</v>
      </c>
      <c r="H212" s="579">
        <f>Draft!$X$83</f>
        <v>69195.657999999996</v>
      </c>
      <c r="I212" s="580">
        <f>H212-I206</f>
        <v>24.607999999992899</v>
      </c>
      <c r="J212" s="625">
        <f>IFERROR((I212/I206)*100,"")</f>
        <v>3.557557677669039E-2</v>
      </c>
    </row>
    <row r="213" spans="1:16" ht="12.95" customHeight="1" x14ac:dyDescent="0.25">
      <c r="A213" s="411" t="s">
        <v>140</v>
      </c>
      <c r="B213" s="411"/>
      <c r="C213" s="411"/>
      <c r="D213" s="411"/>
      <c r="E213" s="411"/>
      <c r="F213" s="412"/>
      <c r="G213" s="413">
        <f>Draft!$U$84</f>
        <v>0</v>
      </c>
      <c r="H213" s="579">
        <f>Draft!$X$84</f>
        <v>0</v>
      </c>
      <c r="I213" s="580">
        <f>H213-I206</f>
        <v>-69171.05</v>
      </c>
      <c r="J213" s="625"/>
    </row>
    <row r="214" spans="1:16" ht="12.95" customHeight="1" x14ac:dyDescent="0.25">
      <c r="A214" s="302"/>
      <c r="B214" s="367"/>
      <c r="C214" s="367"/>
      <c r="D214" s="367"/>
      <c r="E214" s="367"/>
      <c r="F214" s="367"/>
      <c r="G214" s="302"/>
      <c r="H214" s="302"/>
      <c r="I214" s="302"/>
      <c r="J214" s="303"/>
      <c r="L214" s="451"/>
      <c r="M214" s="451"/>
      <c r="N214" s="451"/>
      <c r="O214" s="455"/>
      <c r="P214" s="455"/>
    </row>
    <row r="215" spans="1:16" ht="12.95" customHeight="1" x14ac:dyDescent="0.25">
      <c r="A215" s="302"/>
      <c r="B215" s="367"/>
      <c r="C215" s="367"/>
      <c r="D215" s="367"/>
      <c r="E215" s="367"/>
      <c r="F215" s="367"/>
      <c r="G215" s="302"/>
      <c r="H215" s="302"/>
      <c r="I215" s="302"/>
      <c r="J215" s="303"/>
      <c r="L215" s="451"/>
      <c r="M215" s="451"/>
      <c r="N215" s="451"/>
      <c r="O215" s="455"/>
      <c r="P215" s="455"/>
    </row>
    <row r="216" spans="1:16" ht="15.75" x14ac:dyDescent="0.25">
      <c r="A216" s="3" t="s">
        <v>553</v>
      </c>
      <c r="B216" s="14"/>
      <c r="C216" s="14"/>
      <c r="D216" s="14"/>
      <c r="E216" s="14"/>
      <c r="F216" s="286" t="s">
        <v>554</v>
      </c>
      <c r="G216" s="405">
        <f>Draft!$E$4</f>
        <v>46087</v>
      </c>
      <c r="H216" s="372">
        <v>0.37152777777777779</v>
      </c>
      <c r="I216" s="373" t="s">
        <v>555</v>
      </c>
      <c r="J216" s="374">
        <f>IFERROR(ROUND(Draft!$P$29,2),"")</f>
        <v>0.39</v>
      </c>
      <c r="L216" s="451"/>
      <c r="M216" s="451"/>
      <c r="N216" s="451"/>
      <c r="O216" s="455"/>
      <c r="P216" s="455"/>
    </row>
    <row r="217" spans="1:16" x14ac:dyDescent="0.25">
      <c r="A217" s="280" t="s">
        <v>0</v>
      </c>
      <c r="B217" s="280" t="s">
        <v>1</v>
      </c>
      <c r="C217" s="280" t="s">
        <v>2</v>
      </c>
      <c r="D217" s="280" t="s">
        <v>1</v>
      </c>
      <c r="E217" s="741" t="s">
        <v>583</v>
      </c>
      <c r="F217" s="741"/>
      <c r="G217" s="280" t="s">
        <v>3</v>
      </c>
      <c r="H217" s="280" t="s">
        <v>1</v>
      </c>
      <c r="I217" s="280" t="s">
        <v>1</v>
      </c>
      <c r="J217" s="280" t="s">
        <v>4</v>
      </c>
      <c r="L217" s="451"/>
      <c r="M217" s="451"/>
      <c r="N217" s="451"/>
      <c r="O217" s="455"/>
      <c r="P217" s="455"/>
    </row>
    <row r="218" spans="1:16" x14ac:dyDescent="0.25">
      <c r="A218" s="281" t="s">
        <v>728</v>
      </c>
      <c r="B218" s="281" t="s">
        <v>5</v>
      </c>
      <c r="C218" s="281" t="s">
        <v>6</v>
      </c>
      <c r="D218" s="281" t="s">
        <v>7</v>
      </c>
      <c r="E218" s="282" t="s">
        <v>8</v>
      </c>
      <c r="F218" s="282" t="s">
        <v>9</v>
      </c>
      <c r="G218" s="281" t="s">
        <v>7</v>
      </c>
      <c r="H218" s="281" t="s">
        <v>552</v>
      </c>
      <c r="I218" s="281" t="s">
        <v>10</v>
      </c>
      <c r="J218" s="281" t="s">
        <v>11</v>
      </c>
      <c r="L218" s="451"/>
      <c r="M218" s="451"/>
      <c r="N218" s="451"/>
      <c r="O218" s="451"/>
      <c r="P218" s="451"/>
    </row>
    <row r="219" spans="1:16" x14ac:dyDescent="0.25">
      <c r="A219" s="371" t="str">
        <f>Relato!$A$228</f>
        <v>F.PK</v>
      </c>
      <c r="B219" s="520">
        <f>Relato!$B$228</f>
        <v>21.15</v>
      </c>
      <c r="C219" s="520">
        <f>Relato!$C$228</f>
        <v>0.36</v>
      </c>
      <c r="D219" s="520">
        <f>Relato!$D$228</f>
        <v>9.48</v>
      </c>
      <c r="E219" s="772" t="s">
        <v>798</v>
      </c>
      <c r="F219" s="772"/>
      <c r="G219" s="576">
        <f>IFERROR(D219+(E219+F219),D219)</f>
        <v>9.48</v>
      </c>
      <c r="H219" s="520">
        <f>Relato!$H$228</f>
        <v>1495.7</v>
      </c>
      <c r="I219" s="521">
        <f>Relato!$I$228</f>
        <v>1.02</v>
      </c>
      <c r="J219" s="522">
        <f>ROUND(H219*I219,1)</f>
        <v>1525.6</v>
      </c>
      <c r="L219" s="451"/>
      <c r="M219" s="451"/>
      <c r="N219" s="451"/>
      <c r="O219" s="451"/>
      <c r="P219" s="451"/>
    </row>
    <row r="220" spans="1:16" x14ac:dyDescent="0.25">
      <c r="A220" s="368" t="str">
        <f>Relato!$A$229</f>
        <v>1 WBT (P)</v>
      </c>
      <c r="B220" s="1">
        <f>Relato!$B$229</f>
        <v>20.89</v>
      </c>
      <c r="C220" s="1">
        <f>Relato!$C$229</f>
        <v>0.35</v>
      </c>
      <c r="D220" s="1">
        <f>Relato!$D$229</f>
        <v>20.6</v>
      </c>
      <c r="E220" s="773"/>
      <c r="F220" s="773"/>
      <c r="G220" s="674">
        <f>IFERROR(D220+(E220+F220),D220)</f>
        <v>20.6</v>
      </c>
      <c r="H220" s="1">
        <f>Relato!$H$229</f>
        <v>1609.7</v>
      </c>
      <c r="I220" s="524">
        <f>Relato!$I$229</f>
        <v>1.02</v>
      </c>
      <c r="J220" s="523">
        <f>IFERROR(ROUND(H220*I220,1),"")</f>
        <v>1641.9</v>
      </c>
      <c r="L220" s="451"/>
      <c r="M220" s="451"/>
      <c r="N220" s="451"/>
      <c r="O220" s="451"/>
      <c r="P220" s="451"/>
    </row>
    <row r="221" spans="1:16" x14ac:dyDescent="0.25">
      <c r="A221" s="368" t="str">
        <f>Relato!$A$230</f>
        <v>1 WBT (S)</v>
      </c>
      <c r="B221" s="1">
        <f>Relato!$B$230</f>
        <v>20.88</v>
      </c>
      <c r="C221" s="1">
        <f>Relato!$C$230</f>
        <v>0.35</v>
      </c>
      <c r="D221" s="1">
        <f>Relato!$D$230</f>
        <v>20.6</v>
      </c>
      <c r="E221" s="773"/>
      <c r="F221" s="773"/>
      <c r="G221" s="674">
        <f t="shared" ref="G221:G247" si="0">IFERROR(D221+(E221+F221),D221)</f>
        <v>20.6</v>
      </c>
      <c r="H221" s="1">
        <f>Relato!$H$230</f>
        <v>1609.7</v>
      </c>
      <c r="I221" s="524">
        <f>Relato!$I$230</f>
        <v>1.02</v>
      </c>
      <c r="J221" s="523">
        <f t="shared" ref="J221:J248" si="1">IFERROR(ROUND(H221*I221,1),"")</f>
        <v>1641.9</v>
      </c>
      <c r="L221" s="451"/>
      <c r="M221" s="451"/>
      <c r="N221" s="451"/>
      <c r="O221" s="451"/>
      <c r="P221" s="451"/>
    </row>
    <row r="222" spans="1:16" x14ac:dyDescent="0.25">
      <c r="A222" s="368" t="str">
        <f>Relato!$A$231</f>
        <v>2 WBT (P)</v>
      </c>
      <c r="B222" s="1">
        <f>Relato!$B$231</f>
        <v>21.26</v>
      </c>
      <c r="C222" s="1">
        <f>Relato!$C$231</f>
        <v>0.86</v>
      </c>
      <c r="D222" s="1">
        <f>Relato!$D$231</f>
        <v>20.6</v>
      </c>
      <c r="E222" s="773"/>
      <c r="F222" s="773"/>
      <c r="G222" s="674">
        <f t="shared" si="0"/>
        <v>20.6</v>
      </c>
      <c r="H222" s="1">
        <f>Relato!$H$231</f>
        <v>1605.7</v>
      </c>
      <c r="I222" s="524">
        <f>Relato!$I$231</f>
        <v>1.02</v>
      </c>
      <c r="J222" s="523">
        <f t="shared" si="1"/>
        <v>1637.8</v>
      </c>
      <c r="L222" s="451"/>
      <c r="M222" s="451"/>
      <c r="N222" s="451"/>
      <c r="O222" s="451"/>
      <c r="P222" s="451"/>
    </row>
    <row r="223" spans="1:16" x14ac:dyDescent="0.25">
      <c r="A223" s="368" t="str">
        <f>Relato!$A$232</f>
        <v>2 WBT (S)</v>
      </c>
      <c r="B223" s="1">
        <f>Relato!$B$232</f>
        <v>20.72</v>
      </c>
      <c r="C223" s="1">
        <f>Relato!$C$232</f>
        <v>0.35</v>
      </c>
      <c r="D223" s="1">
        <f>Relato!$D$232</f>
        <v>20.6</v>
      </c>
      <c r="E223" s="773"/>
      <c r="F223" s="773"/>
      <c r="G223" s="674">
        <f t="shared" si="0"/>
        <v>20.6</v>
      </c>
      <c r="H223" s="1">
        <f>Relato!$H$232</f>
        <v>1605.7</v>
      </c>
      <c r="I223" s="524">
        <f>Relato!$I$232</f>
        <v>1.02</v>
      </c>
      <c r="J223" s="523">
        <f t="shared" si="1"/>
        <v>1637.8</v>
      </c>
      <c r="L223" s="451"/>
      <c r="M223" s="451"/>
      <c r="N223" s="451"/>
      <c r="O223" s="451"/>
      <c r="P223" s="451"/>
    </row>
    <row r="224" spans="1:16" x14ac:dyDescent="0.25">
      <c r="A224" s="368" t="str">
        <f>Relato!$A$233</f>
        <v>3 WBT (P)</v>
      </c>
      <c r="B224" s="1">
        <f>Relato!$B$233</f>
        <v>21.2</v>
      </c>
      <c r="C224" s="1">
        <f>Relato!C233</f>
        <v>0.85</v>
      </c>
      <c r="D224" s="1">
        <f>Relato!$D$233</f>
        <v>20.61</v>
      </c>
      <c r="E224" s="773"/>
      <c r="F224" s="773"/>
      <c r="G224" s="674">
        <f t="shared" si="0"/>
        <v>20.61</v>
      </c>
      <c r="H224" s="1">
        <f>Relato!$H$233</f>
        <v>3210</v>
      </c>
      <c r="I224" s="524">
        <f>Relato!$I$233</f>
        <v>1.02</v>
      </c>
      <c r="J224" s="523">
        <f t="shared" si="1"/>
        <v>3274.2</v>
      </c>
      <c r="L224" s="451"/>
      <c r="M224" s="451"/>
      <c r="N224" s="451"/>
      <c r="O224" s="451"/>
      <c r="P224" s="451"/>
    </row>
    <row r="225" spans="1:16" x14ac:dyDescent="0.25">
      <c r="A225" s="368" t="str">
        <f>Relato!$A$234</f>
        <v>3 WBT (S)</v>
      </c>
      <c r="B225" s="1">
        <f>Relato!$B$234</f>
        <v>20.75</v>
      </c>
      <c r="C225" s="1">
        <f>Relato!$C$234</f>
        <v>0.36</v>
      </c>
      <c r="D225" s="1">
        <f>Relato!$D$234</f>
        <v>20.61</v>
      </c>
      <c r="E225" s="773"/>
      <c r="F225" s="773"/>
      <c r="G225" s="674">
        <f t="shared" si="0"/>
        <v>20.61</v>
      </c>
      <c r="H225" s="1">
        <f>Relato!$H$234</f>
        <v>3210</v>
      </c>
      <c r="I225" s="524">
        <f>Relato!$I$234</f>
        <v>1.02</v>
      </c>
      <c r="J225" s="523">
        <f t="shared" si="1"/>
        <v>3274.2</v>
      </c>
      <c r="L225" s="451"/>
      <c r="M225" s="451"/>
      <c r="N225" s="451"/>
      <c r="O225" s="451"/>
      <c r="P225" s="451"/>
    </row>
    <row r="226" spans="1:16" x14ac:dyDescent="0.25">
      <c r="A226" s="368" t="str">
        <f>Relato!$A$235</f>
        <v>4 WBT (P)</v>
      </c>
      <c r="B226" s="1">
        <f>Relato!$B$235</f>
        <v>21.2</v>
      </c>
      <c r="C226" s="1">
        <f>Relato!$C$235</f>
        <v>0.85</v>
      </c>
      <c r="D226" s="1">
        <f>Relato!$D$235</f>
        <v>20.6</v>
      </c>
      <c r="E226" s="773"/>
      <c r="F226" s="773"/>
      <c r="G226" s="674">
        <f t="shared" si="0"/>
        <v>20.6</v>
      </c>
      <c r="H226" s="1">
        <f>Relato!$H$235</f>
        <v>1604.9</v>
      </c>
      <c r="I226" s="524">
        <f>Relato!$I$235</f>
        <v>1.02</v>
      </c>
      <c r="J226" s="523">
        <f t="shared" si="1"/>
        <v>1637</v>
      </c>
      <c r="L226" s="451"/>
      <c r="M226" s="451"/>
      <c r="N226" s="451"/>
      <c r="O226" s="451"/>
      <c r="P226" s="451"/>
    </row>
    <row r="227" spans="1:16" x14ac:dyDescent="0.25">
      <c r="A227" s="368" t="str">
        <f>Relato!$A$236</f>
        <v>4 WBT (S)</v>
      </c>
      <c r="B227" s="1">
        <f>Relato!$B$236</f>
        <v>20.71</v>
      </c>
      <c r="C227" s="1">
        <f>Relato!$C$236</f>
        <v>0.35</v>
      </c>
      <c r="D227" s="1">
        <f>Relato!$D$236</f>
        <v>20.6</v>
      </c>
      <c r="E227" s="773"/>
      <c r="F227" s="773"/>
      <c r="G227" s="674">
        <f t="shared" si="0"/>
        <v>20.6</v>
      </c>
      <c r="H227" s="1">
        <f>Relato!$H$236</f>
        <v>1605.6</v>
      </c>
      <c r="I227" s="524">
        <f>Relato!$I$236</f>
        <v>1.02</v>
      </c>
      <c r="J227" s="523">
        <f t="shared" si="1"/>
        <v>1637.7</v>
      </c>
      <c r="L227" s="451"/>
      <c r="M227" s="451"/>
      <c r="N227" s="451"/>
      <c r="O227" s="451"/>
      <c r="P227" s="451"/>
    </row>
    <row r="228" spans="1:16" x14ac:dyDescent="0.25">
      <c r="A228" s="368" t="str">
        <f>Relato!$A$237</f>
        <v>5 WBT (P)</v>
      </c>
      <c r="B228" s="1">
        <f>Relato!$B$237</f>
        <v>21</v>
      </c>
      <c r="C228" s="1">
        <f>Relato!$C$237</f>
        <v>0.34</v>
      </c>
      <c r="D228" s="1">
        <f>Relato!$D$237</f>
        <v>5.98</v>
      </c>
      <c r="E228" s="773"/>
      <c r="F228" s="773"/>
      <c r="G228" s="674">
        <f t="shared" si="0"/>
        <v>5.98</v>
      </c>
      <c r="H228" s="1">
        <f>Relato!$H$237</f>
        <v>936.6</v>
      </c>
      <c r="I228" s="524">
        <f>Relato!$I$237</f>
        <v>1.02</v>
      </c>
      <c r="J228" s="523">
        <f t="shared" si="1"/>
        <v>955.3</v>
      </c>
      <c r="L228" s="451"/>
      <c r="M228" s="451"/>
      <c r="N228" s="451"/>
      <c r="O228" s="451"/>
      <c r="P228" s="451"/>
    </row>
    <row r="229" spans="1:16" x14ac:dyDescent="0.25">
      <c r="A229" s="368" t="str">
        <f>Relato!$A$238</f>
        <v>5 WBT (S)</v>
      </c>
      <c r="B229" s="1">
        <f>Relato!$B$238</f>
        <v>21</v>
      </c>
      <c r="C229" s="1">
        <f>Relato!$C$238</f>
        <v>0.34</v>
      </c>
      <c r="D229" s="1">
        <f>Relato!$D$238</f>
        <v>5.98</v>
      </c>
      <c r="E229" s="773"/>
      <c r="F229" s="773"/>
      <c r="G229" s="674">
        <f t="shared" si="0"/>
        <v>5.98</v>
      </c>
      <c r="H229" s="1">
        <f>Relato!$H$238</f>
        <v>936.6</v>
      </c>
      <c r="I229" s="524">
        <f>Relato!$I$238</f>
        <v>1.02</v>
      </c>
      <c r="J229" s="523">
        <f t="shared" si="1"/>
        <v>955.3</v>
      </c>
      <c r="L229" s="451"/>
      <c r="M229" s="451"/>
      <c r="N229" s="451"/>
      <c r="O229" s="451"/>
      <c r="P229" s="451"/>
    </row>
    <row r="230" spans="1:16" x14ac:dyDescent="0.25">
      <c r="A230" s="368" t="str">
        <f>Relato!$A$239</f>
        <v>6 WBT (P)</v>
      </c>
      <c r="B230" s="1">
        <f>Relato!$B$239</f>
        <v>21.03</v>
      </c>
      <c r="C230" s="1">
        <f>Relato!$C$239</f>
        <v>0.35</v>
      </c>
      <c r="D230" s="1">
        <f>Relato!$D$239</f>
        <v>9.5</v>
      </c>
      <c r="E230" s="773"/>
      <c r="F230" s="773"/>
      <c r="G230" s="674">
        <f t="shared" si="0"/>
        <v>9.5</v>
      </c>
      <c r="H230" s="1">
        <f>Relato!$H$239</f>
        <v>980.4</v>
      </c>
      <c r="I230" s="524">
        <f>Relato!$I$239</f>
        <v>1.02</v>
      </c>
      <c r="J230" s="523">
        <f t="shared" si="1"/>
        <v>1000</v>
      </c>
      <c r="L230" s="451"/>
      <c r="M230" s="451"/>
      <c r="N230" s="451"/>
      <c r="O230" s="451"/>
      <c r="P230" s="451"/>
    </row>
    <row r="231" spans="1:16" x14ac:dyDescent="0.25">
      <c r="A231" s="368" t="str">
        <f>Relato!$A$240</f>
        <v>6 WBT (S)</v>
      </c>
      <c r="B231" s="1">
        <f>Relato!$B$240</f>
        <v>21.03</v>
      </c>
      <c r="C231" s="1">
        <f>Relato!$C$240</f>
        <v>0.36</v>
      </c>
      <c r="D231" s="1">
        <f>Relato!$D$240</f>
        <v>9.5</v>
      </c>
      <c r="E231" s="773"/>
      <c r="F231" s="773"/>
      <c r="G231" s="674">
        <f t="shared" si="0"/>
        <v>9.5</v>
      </c>
      <c r="H231" s="1">
        <f>Relato!$H$240</f>
        <v>980.4</v>
      </c>
      <c r="I231" s="524">
        <f>Relato!$I$240</f>
        <v>1.02</v>
      </c>
      <c r="J231" s="523">
        <f t="shared" si="1"/>
        <v>1000</v>
      </c>
      <c r="L231" s="451"/>
      <c r="M231" s="451"/>
      <c r="N231" s="451"/>
      <c r="O231" s="451"/>
      <c r="P231" s="451"/>
    </row>
    <row r="232" spans="1:16" ht="15" hidden="1" customHeight="1" x14ac:dyDescent="0.25">
      <c r="A232" s="369" t="str">
        <f>Relato!$A$241</f>
        <v>7 WBT (P)</v>
      </c>
      <c r="B232" s="1">
        <f>Relato!$B$241</f>
        <v>0</v>
      </c>
      <c r="C232" s="1">
        <f>Relato!$C$241</f>
        <v>0</v>
      </c>
      <c r="D232" s="1">
        <f>Relato!$D$241</f>
        <v>0</v>
      </c>
      <c r="E232" s="773"/>
      <c r="F232" s="773"/>
      <c r="G232" s="674">
        <f t="shared" si="0"/>
        <v>0</v>
      </c>
      <c r="H232" s="1" t="str">
        <f>Relato!$H$241</f>
        <v/>
      </c>
      <c r="I232" s="524">
        <f>Relato!$I$241</f>
        <v>1.0249999999999999</v>
      </c>
      <c r="J232" s="523" t="str">
        <f t="shared" si="1"/>
        <v/>
      </c>
      <c r="L232" s="451"/>
      <c r="M232" s="451"/>
      <c r="N232" s="451"/>
      <c r="O232" s="451"/>
      <c r="P232" s="451"/>
    </row>
    <row r="233" spans="1:16" ht="15" hidden="1" customHeight="1" x14ac:dyDescent="0.25">
      <c r="A233" s="369" t="str">
        <f>Relato!$A$242</f>
        <v>7 WBT (S)</v>
      </c>
      <c r="B233" s="1">
        <f>Relato!$B$242</f>
        <v>0</v>
      </c>
      <c r="C233" s="1">
        <f>Relato!$C$242</f>
        <v>0</v>
      </c>
      <c r="D233" s="1">
        <f>Relato!$D$242</f>
        <v>0</v>
      </c>
      <c r="E233" s="773"/>
      <c r="F233" s="773"/>
      <c r="G233" s="674">
        <f t="shared" si="0"/>
        <v>0</v>
      </c>
      <c r="H233" s="1" t="str">
        <f>Relato!$H$242</f>
        <v/>
      </c>
      <c r="I233" s="524">
        <f>Relato!$I$242</f>
        <v>1.0249999999999999</v>
      </c>
      <c r="J233" s="523" t="str">
        <f t="shared" si="1"/>
        <v/>
      </c>
      <c r="L233" s="451"/>
      <c r="M233" s="451"/>
      <c r="N233" s="451"/>
      <c r="O233" s="451"/>
      <c r="P233" s="451"/>
    </row>
    <row r="234" spans="1:16" ht="15" hidden="1" customHeight="1" x14ac:dyDescent="0.25">
      <c r="A234" s="369" t="str">
        <f>Relato!$A$243</f>
        <v>1 TS (P)</v>
      </c>
      <c r="B234" s="1">
        <f>Relato!$B$243</f>
        <v>0</v>
      </c>
      <c r="C234" s="1">
        <f>Relato!$C$243</f>
        <v>0</v>
      </c>
      <c r="D234" s="1">
        <f>Relato!$D$243</f>
        <v>0</v>
      </c>
      <c r="E234" s="773"/>
      <c r="F234" s="773"/>
      <c r="G234" s="674">
        <f t="shared" si="0"/>
        <v>0</v>
      </c>
      <c r="H234" s="1" t="str">
        <f>Relato!$H$243</f>
        <v/>
      </c>
      <c r="I234" s="524">
        <f>Relato!$I$243</f>
        <v>1.0249999999999999</v>
      </c>
      <c r="J234" s="523" t="str">
        <f t="shared" si="1"/>
        <v/>
      </c>
      <c r="L234" s="451"/>
      <c r="M234" s="451"/>
      <c r="N234" s="451"/>
      <c r="O234" s="451"/>
      <c r="P234" s="451"/>
    </row>
    <row r="235" spans="1:16" ht="15" hidden="1" customHeight="1" x14ac:dyDescent="0.25">
      <c r="A235" s="369" t="str">
        <f>Relato!$A$244</f>
        <v>1 TS (S)</v>
      </c>
      <c r="B235" s="1">
        <f>Relato!$B$244</f>
        <v>0</v>
      </c>
      <c r="C235" s="1">
        <f>Relato!$C$244</f>
        <v>0</v>
      </c>
      <c r="D235" s="1">
        <f>Relato!$D$244</f>
        <v>0</v>
      </c>
      <c r="E235" s="773"/>
      <c r="F235" s="773"/>
      <c r="G235" s="674">
        <f t="shared" si="0"/>
        <v>0</v>
      </c>
      <c r="H235" s="1" t="str">
        <f>Relato!$H$244</f>
        <v/>
      </c>
      <c r="I235" s="524">
        <f>Relato!$I$244</f>
        <v>1.0249999999999999</v>
      </c>
      <c r="J235" s="523" t="str">
        <f t="shared" si="1"/>
        <v/>
      </c>
      <c r="L235" s="451"/>
      <c r="M235" s="451"/>
      <c r="N235" s="451"/>
      <c r="O235" s="451"/>
      <c r="P235" s="451"/>
    </row>
    <row r="236" spans="1:16" ht="15" hidden="1" customHeight="1" x14ac:dyDescent="0.25">
      <c r="A236" s="369" t="str">
        <f>Relato!$A$245</f>
        <v>2 TS (P)</v>
      </c>
      <c r="B236" s="1">
        <f>Relato!$B$245</f>
        <v>0</v>
      </c>
      <c r="C236" s="1">
        <f>Relato!$C$245</f>
        <v>0</v>
      </c>
      <c r="D236" s="1">
        <f>Relato!$D$245</f>
        <v>0</v>
      </c>
      <c r="E236" s="773"/>
      <c r="F236" s="773"/>
      <c r="G236" s="674">
        <f t="shared" si="0"/>
        <v>0</v>
      </c>
      <c r="H236" s="1" t="str">
        <f>Relato!$H$245</f>
        <v/>
      </c>
      <c r="I236" s="524">
        <f>Relato!$I$245</f>
        <v>1.0249999999999999</v>
      </c>
      <c r="J236" s="523" t="str">
        <f t="shared" si="1"/>
        <v/>
      </c>
      <c r="L236" s="451"/>
      <c r="M236" s="451"/>
      <c r="N236" s="451"/>
      <c r="O236" s="451"/>
      <c r="P236" s="451"/>
    </row>
    <row r="237" spans="1:16" ht="15" hidden="1" customHeight="1" x14ac:dyDescent="0.25">
      <c r="A237" s="369" t="str">
        <f>Relato!$A$246</f>
        <v>2 TS (S)</v>
      </c>
      <c r="B237" s="1">
        <f>Relato!$B$246</f>
        <v>0</v>
      </c>
      <c r="C237" s="1">
        <f>Relato!$C$246</f>
        <v>0</v>
      </c>
      <c r="D237" s="1">
        <f>Relato!$D$246</f>
        <v>0</v>
      </c>
      <c r="E237" s="773"/>
      <c r="F237" s="773"/>
      <c r="G237" s="674">
        <f t="shared" si="0"/>
        <v>0</v>
      </c>
      <c r="H237" s="1" t="str">
        <f>Relato!$H$246</f>
        <v/>
      </c>
      <c r="I237" s="524">
        <f>Relato!$I$246</f>
        <v>1.0249999999999999</v>
      </c>
      <c r="J237" s="523" t="str">
        <f t="shared" si="1"/>
        <v/>
      </c>
      <c r="L237" s="451"/>
      <c r="M237" s="451"/>
      <c r="N237" s="451"/>
      <c r="O237" s="451"/>
      <c r="P237" s="451"/>
    </row>
    <row r="238" spans="1:16" ht="15" hidden="1" customHeight="1" x14ac:dyDescent="0.25">
      <c r="A238" s="369" t="str">
        <f>Relato!$A$247</f>
        <v>3 TS (P)</v>
      </c>
      <c r="B238" s="1">
        <f>Relato!$B$247</f>
        <v>0</v>
      </c>
      <c r="C238" s="1">
        <f>Relato!$C$247</f>
        <v>0</v>
      </c>
      <c r="D238" s="1">
        <f>Relato!$D$247</f>
        <v>0</v>
      </c>
      <c r="E238" s="773"/>
      <c r="F238" s="773"/>
      <c r="G238" s="674">
        <f t="shared" si="0"/>
        <v>0</v>
      </c>
      <c r="H238" s="1" t="str">
        <f>Relato!$H$247</f>
        <v/>
      </c>
      <c r="I238" s="524">
        <f>Relato!$I$247</f>
        <v>1.0249999999999999</v>
      </c>
      <c r="J238" s="523" t="str">
        <f t="shared" si="1"/>
        <v/>
      </c>
      <c r="L238" s="451"/>
      <c r="M238" s="451"/>
      <c r="N238" s="451"/>
      <c r="O238" s="451"/>
      <c r="P238" s="451"/>
    </row>
    <row r="239" spans="1:16" ht="15" hidden="1" customHeight="1" x14ac:dyDescent="0.25">
      <c r="A239" s="369" t="str">
        <f>Relato!$A$248</f>
        <v>3 TS (S)</v>
      </c>
      <c r="B239" s="1">
        <f>Relato!$B$248</f>
        <v>0</v>
      </c>
      <c r="C239" s="1">
        <f>Relato!$C$248</f>
        <v>0</v>
      </c>
      <c r="D239" s="1">
        <f>Relato!$D$248</f>
        <v>0</v>
      </c>
      <c r="E239" s="773"/>
      <c r="F239" s="773"/>
      <c r="G239" s="674">
        <f t="shared" si="0"/>
        <v>0</v>
      </c>
      <c r="H239" s="1" t="str">
        <f>Relato!$H$248</f>
        <v/>
      </c>
      <c r="I239" s="524">
        <f>Relato!$I$248</f>
        <v>1.0249999999999999</v>
      </c>
      <c r="J239" s="523" t="str">
        <f t="shared" si="1"/>
        <v/>
      </c>
      <c r="L239" s="451"/>
      <c r="M239" s="451"/>
      <c r="N239" s="451"/>
      <c r="O239" s="451"/>
      <c r="P239" s="451"/>
    </row>
    <row r="240" spans="1:16" ht="15" hidden="1" customHeight="1" x14ac:dyDescent="0.25">
      <c r="A240" s="369" t="str">
        <f>Relato!$A$249</f>
        <v>4 TS (P)</v>
      </c>
      <c r="B240" s="1">
        <f>Relato!$B$249</f>
        <v>0</v>
      </c>
      <c r="C240" s="1">
        <f>Relato!$C$249</f>
        <v>0</v>
      </c>
      <c r="D240" s="1">
        <f>Relato!$D$249</f>
        <v>0</v>
      </c>
      <c r="E240" s="773"/>
      <c r="F240" s="773"/>
      <c r="G240" s="674">
        <f t="shared" si="0"/>
        <v>0</v>
      </c>
      <c r="H240" s="1" t="str">
        <f>Relato!$H$249</f>
        <v/>
      </c>
      <c r="I240" s="524">
        <f>Relato!$I$249</f>
        <v>1.0249999999999999</v>
      </c>
      <c r="J240" s="523" t="str">
        <f t="shared" si="1"/>
        <v/>
      </c>
      <c r="L240" s="451"/>
      <c r="M240" s="451"/>
      <c r="N240" s="451"/>
      <c r="O240" s="451"/>
      <c r="P240" s="451"/>
    </row>
    <row r="241" spans="1:16" ht="15" hidden="1" customHeight="1" x14ac:dyDescent="0.25">
      <c r="A241" s="369" t="str">
        <f>Relato!$A$250</f>
        <v>4 TS (S)</v>
      </c>
      <c r="B241" s="1">
        <f>Relato!$B$250</f>
        <v>0</v>
      </c>
      <c r="C241" s="1">
        <f>Relato!$C$250</f>
        <v>0</v>
      </c>
      <c r="D241" s="1">
        <f>Relato!$D$250</f>
        <v>0</v>
      </c>
      <c r="E241" s="773"/>
      <c r="F241" s="773"/>
      <c r="G241" s="674">
        <f t="shared" si="0"/>
        <v>0</v>
      </c>
      <c r="H241" s="1" t="str">
        <f>Relato!$H$250</f>
        <v/>
      </c>
      <c r="I241" s="524">
        <f>Relato!$I$250</f>
        <v>1.0249999999999999</v>
      </c>
      <c r="J241" s="523" t="str">
        <f t="shared" si="1"/>
        <v/>
      </c>
      <c r="L241" s="451"/>
      <c r="M241" s="451"/>
      <c r="N241" s="451"/>
      <c r="O241" s="451"/>
      <c r="P241" s="451"/>
    </row>
    <row r="242" spans="1:16" ht="15" hidden="1" customHeight="1" x14ac:dyDescent="0.25">
      <c r="A242" s="369" t="str">
        <f>Relato!$A$251</f>
        <v>5 TS (P)</v>
      </c>
      <c r="B242" s="1">
        <f>Relato!$B$251</f>
        <v>0</v>
      </c>
      <c r="C242" s="1">
        <f>Relato!$C$251</f>
        <v>0</v>
      </c>
      <c r="D242" s="1">
        <f>Relato!$D$251</f>
        <v>0</v>
      </c>
      <c r="E242" s="773"/>
      <c r="F242" s="773"/>
      <c r="G242" s="674">
        <f t="shared" si="0"/>
        <v>0</v>
      </c>
      <c r="H242" s="1" t="str">
        <f>Relato!$H$251</f>
        <v/>
      </c>
      <c r="I242" s="524">
        <f>Relato!$I$251</f>
        <v>1.0249999999999999</v>
      </c>
      <c r="J242" s="523" t="str">
        <f t="shared" si="1"/>
        <v/>
      </c>
      <c r="L242" s="451"/>
      <c r="M242" s="451"/>
      <c r="N242" s="451"/>
      <c r="O242" s="451"/>
      <c r="P242" s="451"/>
    </row>
    <row r="243" spans="1:16" ht="15" hidden="1" customHeight="1" x14ac:dyDescent="0.25">
      <c r="A243" s="369" t="str">
        <f>Relato!$A$252</f>
        <v>5 TS (S)</v>
      </c>
      <c r="B243" s="1">
        <f>Relato!$B$252</f>
        <v>0</v>
      </c>
      <c r="C243" s="1">
        <f>Relato!$C$252</f>
        <v>0</v>
      </c>
      <c r="D243" s="1">
        <f>Relato!$D$252</f>
        <v>0</v>
      </c>
      <c r="E243" s="773"/>
      <c r="F243" s="773"/>
      <c r="G243" s="674">
        <f t="shared" si="0"/>
        <v>0</v>
      </c>
      <c r="H243" s="1" t="str">
        <f>Relato!$H$252</f>
        <v/>
      </c>
      <c r="I243" s="524">
        <f>Relato!$I$252</f>
        <v>1.0249999999999999</v>
      </c>
      <c r="J243" s="523" t="str">
        <f t="shared" si="1"/>
        <v/>
      </c>
      <c r="L243" s="451"/>
      <c r="M243" s="451"/>
      <c r="N243" s="451"/>
      <c r="O243" s="451"/>
      <c r="P243" s="451"/>
    </row>
    <row r="244" spans="1:16" ht="15" hidden="1" customHeight="1" x14ac:dyDescent="0.25">
      <c r="A244" s="369" t="str">
        <f>Relato!$A$253</f>
        <v>6 TS (P)</v>
      </c>
      <c r="B244" s="1">
        <f>Relato!$B$253</f>
        <v>0</v>
      </c>
      <c r="C244" s="1">
        <f>Relato!$C$253</f>
        <v>0</v>
      </c>
      <c r="D244" s="1">
        <f>Relato!$D$253</f>
        <v>0</v>
      </c>
      <c r="E244" s="773"/>
      <c r="F244" s="773"/>
      <c r="G244" s="674">
        <f t="shared" si="0"/>
        <v>0</v>
      </c>
      <c r="H244" s="1" t="str">
        <f>Relato!$H$253</f>
        <v/>
      </c>
      <c r="I244" s="524">
        <f>Relato!$I$253</f>
        <v>1.0249999999999999</v>
      </c>
      <c r="J244" s="523" t="str">
        <f t="shared" si="1"/>
        <v/>
      </c>
      <c r="L244" s="451"/>
      <c r="M244" s="451"/>
      <c r="N244" s="451"/>
      <c r="O244" s="451"/>
      <c r="P244" s="451"/>
    </row>
    <row r="245" spans="1:16" ht="15" hidden="1" customHeight="1" x14ac:dyDescent="0.25">
      <c r="A245" s="369" t="str">
        <f>Relato!$A$254</f>
        <v>6 TS (S)</v>
      </c>
      <c r="B245" s="1">
        <f>Relato!$B$254</f>
        <v>0</v>
      </c>
      <c r="C245" s="1">
        <f>Relato!$C$254</f>
        <v>0</v>
      </c>
      <c r="D245" s="1">
        <f>Relato!$D$254</f>
        <v>0</v>
      </c>
      <c r="E245" s="773"/>
      <c r="F245" s="773"/>
      <c r="G245" s="674">
        <f t="shared" si="0"/>
        <v>0</v>
      </c>
      <c r="H245" s="1" t="str">
        <f>Relato!$H$254</f>
        <v/>
      </c>
      <c r="I245" s="524">
        <f>Relato!$I$254</f>
        <v>1.0249999999999999</v>
      </c>
      <c r="J245" s="523" t="str">
        <f t="shared" si="1"/>
        <v/>
      </c>
      <c r="L245" s="451"/>
      <c r="M245" s="451"/>
      <c r="N245" s="451"/>
      <c r="O245" s="451"/>
      <c r="P245" s="451"/>
    </row>
    <row r="246" spans="1:16" ht="15" hidden="1" customHeight="1" x14ac:dyDescent="0.25">
      <c r="A246" s="369" t="str">
        <f>Relato!$A$255</f>
        <v>7 TS (P)</v>
      </c>
      <c r="B246" s="1">
        <f>Relato!$B$255</f>
        <v>0</v>
      </c>
      <c r="C246" s="1">
        <f>Relato!$C$255</f>
        <v>0</v>
      </c>
      <c r="D246" s="1">
        <f>Relato!$D$255</f>
        <v>0</v>
      </c>
      <c r="E246" s="773"/>
      <c r="F246" s="773"/>
      <c r="G246" s="674">
        <f t="shared" si="0"/>
        <v>0</v>
      </c>
      <c r="H246" s="1" t="str">
        <f>Relato!$H$255</f>
        <v/>
      </c>
      <c r="I246" s="524">
        <f>Relato!$I$255</f>
        <v>1.0249999999999999</v>
      </c>
      <c r="J246" s="523" t="str">
        <f t="shared" si="1"/>
        <v/>
      </c>
      <c r="L246" s="451"/>
      <c r="M246" s="451"/>
      <c r="N246" s="451"/>
      <c r="O246" s="451"/>
      <c r="P246" s="451"/>
    </row>
    <row r="247" spans="1:16" ht="15" hidden="1" customHeight="1" x14ac:dyDescent="0.25">
      <c r="A247" s="369" t="str">
        <f>Relato!$A$256</f>
        <v>7 TS (S)</v>
      </c>
      <c r="B247" s="1">
        <f>Relato!$B$256</f>
        <v>0</v>
      </c>
      <c r="C247" s="1">
        <f>Relato!$C$256</f>
        <v>0</v>
      </c>
      <c r="D247" s="1">
        <f>Relato!$D$256</f>
        <v>0</v>
      </c>
      <c r="E247" s="773"/>
      <c r="F247" s="773"/>
      <c r="G247" s="674">
        <f t="shared" si="0"/>
        <v>0</v>
      </c>
      <c r="H247" s="1" t="str">
        <f>Relato!$H$256</f>
        <v/>
      </c>
      <c r="I247" s="524">
        <f>Relato!$I$256</f>
        <v>1.0249999999999999</v>
      </c>
      <c r="J247" s="523" t="str">
        <f t="shared" si="1"/>
        <v/>
      </c>
      <c r="L247" s="451"/>
      <c r="M247" s="451"/>
      <c r="N247" s="451"/>
      <c r="O247" s="451"/>
      <c r="P247" s="451"/>
    </row>
    <row r="248" spans="1:16" x14ac:dyDescent="0.25">
      <c r="A248" s="370" t="str">
        <f>Relato!$A$257</f>
        <v>A.PK</v>
      </c>
      <c r="B248" s="1">
        <f>Relato!$B$257</f>
        <v>14.38</v>
      </c>
      <c r="C248" s="2">
        <f>Relato!$C$257</f>
        <v>0.37</v>
      </c>
      <c r="D248" s="2">
        <f>Relato!$D$257</f>
        <v>1.56</v>
      </c>
      <c r="E248" s="774"/>
      <c r="F248" s="774"/>
      <c r="G248" s="577">
        <f>IFERROR(D248+(E248+F248),D248)</f>
        <v>1.56</v>
      </c>
      <c r="H248" s="2">
        <f>Relato!$H$257</f>
        <v>0.3</v>
      </c>
      <c r="I248" s="525">
        <f>Relato!$I$257</f>
        <v>1.02</v>
      </c>
      <c r="J248" s="526">
        <f t="shared" si="1"/>
        <v>0.3</v>
      </c>
      <c r="L248" s="451"/>
      <c r="M248" s="451"/>
      <c r="N248" s="451"/>
      <c r="O248" s="451"/>
      <c r="P248" s="451"/>
    </row>
    <row r="249" spans="1:16" x14ac:dyDescent="0.25">
      <c r="A249" s="283" t="s">
        <v>14</v>
      </c>
      <c r="B249" s="284"/>
      <c r="C249" s="284"/>
      <c r="D249" s="284"/>
      <c r="E249" s="284"/>
      <c r="F249" s="284"/>
      <c r="G249" s="285"/>
      <c r="H249" s="527">
        <f>SUM($H$219:$H$248)</f>
        <v>21391.3</v>
      </c>
      <c r="I249" s="528"/>
      <c r="J249" s="527">
        <f>SUM($J$219:$J$248)</f>
        <v>21819</v>
      </c>
      <c r="L249" s="451"/>
      <c r="M249" s="451"/>
      <c r="N249" s="451"/>
      <c r="O249" s="451"/>
      <c r="P249" s="451"/>
    </row>
    <row r="250" spans="1:16" x14ac:dyDescent="0.25">
      <c r="L250" s="451"/>
      <c r="M250" s="451"/>
      <c r="N250" s="451"/>
      <c r="O250" s="451"/>
      <c r="P250" s="451"/>
    </row>
    <row r="251" spans="1:16" x14ac:dyDescent="0.25">
      <c r="L251" s="451"/>
      <c r="M251" s="451"/>
      <c r="N251" s="451"/>
      <c r="O251" s="451"/>
      <c r="P251" s="451"/>
    </row>
    <row r="252" spans="1:16" ht="15.75" x14ac:dyDescent="0.25">
      <c r="A252" s="3" t="str">
        <f>Relato!A261</f>
        <v>11) FINAL BALLAST CONDITION:</v>
      </c>
      <c r="F252" s="286" t="s">
        <v>554</v>
      </c>
      <c r="G252" s="405">
        <f>Draft!$X$4</f>
        <v>46091</v>
      </c>
      <c r="H252" s="372">
        <v>0.91666666666666663</v>
      </c>
      <c r="I252" s="373" t="s">
        <v>555</v>
      </c>
      <c r="J252" s="374">
        <f>IFERROR(ROUND(Draft!$AH$29,2),"")</f>
        <v>0.06</v>
      </c>
      <c r="L252" s="451"/>
      <c r="M252" s="451"/>
      <c r="N252" s="451"/>
      <c r="O252" s="451"/>
      <c r="P252" s="451"/>
    </row>
    <row r="253" spans="1:16" x14ac:dyDescent="0.25">
      <c r="A253" s="280" t="str">
        <f>Relato!A262</f>
        <v>Vessel's</v>
      </c>
      <c r="B253" s="280" t="s">
        <v>1</v>
      </c>
      <c r="C253" s="280" t="s">
        <v>2</v>
      </c>
      <c r="D253" s="280" t="s">
        <v>1</v>
      </c>
      <c r="E253" s="741" t="s">
        <v>583</v>
      </c>
      <c r="F253" s="741"/>
      <c r="G253" s="280" t="s">
        <v>3</v>
      </c>
      <c r="H253" s="280" t="s">
        <v>1</v>
      </c>
      <c r="I253" s="280" t="s">
        <v>1</v>
      </c>
      <c r="J253" s="280" t="s">
        <v>4</v>
      </c>
      <c r="L253" s="451"/>
      <c r="M253" s="451"/>
      <c r="N253" s="451"/>
      <c r="O253" s="451"/>
      <c r="P253" s="451"/>
    </row>
    <row r="254" spans="1:16" x14ac:dyDescent="0.25">
      <c r="A254" s="281" t="str">
        <f>Relato!A263</f>
        <v>Tank No.</v>
      </c>
      <c r="B254" s="281" t="s">
        <v>5</v>
      </c>
      <c r="C254" s="281" t="s">
        <v>6</v>
      </c>
      <c r="D254" s="281" t="s">
        <v>7</v>
      </c>
      <c r="E254" s="282" t="s">
        <v>8</v>
      </c>
      <c r="F254" s="282" t="s">
        <v>9</v>
      </c>
      <c r="G254" s="281" t="s">
        <v>7</v>
      </c>
      <c r="H254" s="281" t="s">
        <v>552</v>
      </c>
      <c r="I254" s="281" t="s">
        <v>10</v>
      </c>
      <c r="J254" s="281" t="s">
        <v>11</v>
      </c>
      <c r="L254" s="451"/>
      <c r="M254" s="451"/>
      <c r="N254" s="451"/>
      <c r="O254" s="451"/>
      <c r="P254" s="451"/>
    </row>
    <row r="255" spans="1:16" x14ac:dyDescent="0.25">
      <c r="A255" s="371" t="str">
        <f>Relato!A264</f>
        <v>F.PK</v>
      </c>
      <c r="B255" s="520">
        <f t="shared" ref="B255:C284" si="2">B219</f>
        <v>21.15</v>
      </c>
      <c r="C255" s="520">
        <f t="shared" si="2"/>
        <v>0.36</v>
      </c>
      <c r="D255" s="520">
        <f>Relato!$D$264</f>
        <v>0.1</v>
      </c>
      <c r="E255" s="772" t="s">
        <v>798</v>
      </c>
      <c r="F255" s="772"/>
      <c r="G255" s="576">
        <f>IFERROR(D255+(E255+F255),D255)</f>
        <v>0.1</v>
      </c>
      <c r="H255" s="520">
        <f>Relato!$H$264</f>
        <v>6.5</v>
      </c>
      <c r="I255" s="521">
        <f>Relato!I264</f>
        <v>1.02</v>
      </c>
      <c r="J255" s="522">
        <f>ROUND(H255*I255,1)</f>
        <v>6.6</v>
      </c>
      <c r="L255" s="451"/>
      <c r="M255" s="451"/>
      <c r="N255" s="451"/>
      <c r="O255" s="451"/>
      <c r="P255" s="451"/>
    </row>
    <row r="256" spans="1:16" x14ac:dyDescent="0.25">
      <c r="A256" s="368" t="str">
        <f>Relato!A265</f>
        <v>1 WBT (P)</v>
      </c>
      <c r="B256" s="1">
        <f t="shared" si="2"/>
        <v>20.89</v>
      </c>
      <c r="C256" s="1">
        <f t="shared" si="2"/>
        <v>0.35</v>
      </c>
      <c r="D256" s="1">
        <f>Relato!$D$265</f>
        <v>0.08</v>
      </c>
      <c r="E256" s="773"/>
      <c r="F256" s="773"/>
      <c r="G256" s="674">
        <f>IFERROR(D256+(E256+F256),D256)</f>
        <v>0.08</v>
      </c>
      <c r="H256" s="1">
        <f>Relato!$H$265</f>
        <v>31.8</v>
      </c>
      <c r="I256" s="524">
        <f>Relato!I265</f>
        <v>1.02</v>
      </c>
      <c r="J256" s="523">
        <f>IFERROR(ROUND(H256*I256,1),"")</f>
        <v>32.4</v>
      </c>
      <c r="L256" s="451"/>
      <c r="M256" s="451"/>
      <c r="N256" s="451"/>
      <c r="O256" s="451"/>
      <c r="P256" s="451"/>
    </row>
    <row r="257" spans="1:16" x14ac:dyDescent="0.25">
      <c r="A257" s="368" t="str">
        <f>Relato!A266</f>
        <v>1 WBT (S)</v>
      </c>
      <c r="B257" s="1">
        <f t="shared" si="2"/>
        <v>20.88</v>
      </c>
      <c r="C257" s="1">
        <f t="shared" si="2"/>
        <v>0.35</v>
      </c>
      <c r="D257" s="1">
        <f>Relato!$D$266</f>
        <v>7.0000000000000007E-2</v>
      </c>
      <c r="E257" s="773"/>
      <c r="F257" s="773"/>
      <c r="G257" s="674">
        <f t="shared" ref="G257:G283" si="3">IFERROR(D257+(E257+F257),D257)</f>
        <v>7.0000000000000007E-2</v>
      </c>
      <c r="H257" s="1">
        <f>Relato!$H$266</f>
        <v>30</v>
      </c>
      <c r="I257" s="524">
        <f>Relato!I266</f>
        <v>1.02</v>
      </c>
      <c r="J257" s="523">
        <f t="shared" ref="J257:J284" si="4">IFERROR(ROUND(H257*I257,1),"")</f>
        <v>30.6</v>
      </c>
      <c r="L257" s="451"/>
      <c r="M257" s="451"/>
      <c r="N257" s="451"/>
      <c r="O257" s="451"/>
      <c r="P257" s="451"/>
    </row>
    <row r="258" spans="1:16" x14ac:dyDescent="0.25">
      <c r="A258" s="368" t="str">
        <f>Relato!A267</f>
        <v>2 WBT (P)</v>
      </c>
      <c r="B258" s="1">
        <f t="shared" si="2"/>
        <v>21.26</v>
      </c>
      <c r="C258" s="1">
        <f t="shared" si="2"/>
        <v>0.86</v>
      </c>
      <c r="D258" s="1">
        <f>Relato!$D$267</f>
        <v>0.06</v>
      </c>
      <c r="E258" s="773"/>
      <c r="F258" s="773"/>
      <c r="G258" s="674">
        <f t="shared" si="3"/>
        <v>0.06</v>
      </c>
      <c r="H258" s="1">
        <f>Relato!$H$267</f>
        <v>33.1</v>
      </c>
      <c r="I258" s="524">
        <f>Relato!I267</f>
        <v>1.02</v>
      </c>
      <c r="J258" s="523">
        <f t="shared" si="4"/>
        <v>33.799999999999997</v>
      </c>
      <c r="L258" s="451"/>
      <c r="M258" s="451"/>
      <c r="N258" s="451"/>
      <c r="O258" s="451"/>
      <c r="P258" s="451"/>
    </row>
    <row r="259" spans="1:16" x14ac:dyDescent="0.25">
      <c r="A259" s="368" t="str">
        <f t="shared" ref="A259:A284" si="5">A223</f>
        <v>2 WBT (S)</v>
      </c>
      <c r="B259" s="1">
        <f t="shared" si="2"/>
        <v>20.72</v>
      </c>
      <c r="C259" s="1">
        <f t="shared" si="2"/>
        <v>0.35</v>
      </c>
      <c r="D259" s="1">
        <f>Relato!$D$268</f>
        <v>0.06</v>
      </c>
      <c r="E259" s="773"/>
      <c r="F259" s="773"/>
      <c r="G259" s="674">
        <f t="shared" si="3"/>
        <v>0.06</v>
      </c>
      <c r="H259" s="1">
        <f>Relato!$H$268</f>
        <v>33.1</v>
      </c>
      <c r="I259" s="524">
        <f>Relato!I268</f>
        <v>1.02</v>
      </c>
      <c r="J259" s="523">
        <f t="shared" si="4"/>
        <v>33.799999999999997</v>
      </c>
      <c r="L259" s="451"/>
      <c r="M259" s="451"/>
      <c r="N259" s="451"/>
      <c r="O259" s="451"/>
      <c r="P259" s="451"/>
    </row>
    <row r="260" spans="1:16" x14ac:dyDescent="0.25">
      <c r="A260" s="368" t="str">
        <f t="shared" si="5"/>
        <v>3 WBT (P)</v>
      </c>
      <c r="B260" s="1">
        <f t="shared" si="2"/>
        <v>21.2</v>
      </c>
      <c r="C260" s="1">
        <f t="shared" si="2"/>
        <v>0.85</v>
      </c>
      <c r="D260" s="1">
        <f>Relato!$D$269</f>
        <v>0.03</v>
      </c>
      <c r="E260" s="773"/>
      <c r="F260" s="773"/>
      <c r="G260" s="674">
        <f t="shared" si="3"/>
        <v>0.03</v>
      </c>
      <c r="H260" s="1">
        <f>Relato!$H$269</f>
        <v>46.7</v>
      </c>
      <c r="I260" s="524">
        <f>Relato!I269</f>
        <v>1.02</v>
      </c>
      <c r="J260" s="523">
        <f t="shared" si="4"/>
        <v>47.6</v>
      </c>
      <c r="L260" s="451"/>
      <c r="M260" s="451"/>
      <c r="N260" s="451"/>
      <c r="O260" s="451"/>
      <c r="P260" s="451"/>
    </row>
    <row r="261" spans="1:16" x14ac:dyDescent="0.25">
      <c r="A261" s="368" t="str">
        <f t="shared" si="5"/>
        <v>3 WBT (S)</v>
      </c>
      <c r="B261" s="1">
        <f t="shared" si="2"/>
        <v>20.75</v>
      </c>
      <c r="C261" s="1">
        <f t="shared" si="2"/>
        <v>0.36</v>
      </c>
      <c r="D261" s="1">
        <f>Relato!$D$270</f>
        <v>0.1</v>
      </c>
      <c r="E261" s="773"/>
      <c r="F261" s="773"/>
      <c r="G261" s="674">
        <f t="shared" si="3"/>
        <v>0.1</v>
      </c>
      <c r="H261" s="1">
        <f>Relato!$H$270</f>
        <v>100.1</v>
      </c>
      <c r="I261" s="524">
        <f>Relato!I270</f>
        <v>1.02</v>
      </c>
      <c r="J261" s="523">
        <f t="shared" si="4"/>
        <v>102.1</v>
      </c>
      <c r="L261" s="451"/>
      <c r="M261" s="451"/>
      <c r="N261" s="451"/>
      <c r="O261" s="451"/>
      <c r="P261" s="451"/>
    </row>
    <row r="262" spans="1:16" x14ac:dyDescent="0.25">
      <c r="A262" s="368" t="str">
        <f t="shared" si="5"/>
        <v>4 WBT (P)</v>
      </c>
      <c r="B262" s="1">
        <f t="shared" si="2"/>
        <v>21.2</v>
      </c>
      <c r="C262" s="1">
        <f t="shared" si="2"/>
        <v>0.85</v>
      </c>
      <c r="D262" s="1">
        <f>Relato!$D$271</f>
        <v>0.04</v>
      </c>
      <c r="E262" s="773"/>
      <c r="F262" s="773"/>
      <c r="G262" s="674">
        <f t="shared" si="3"/>
        <v>0.04</v>
      </c>
      <c r="H262" s="1">
        <f>Relato!$H$271</f>
        <v>30</v>
      </c>
      <c r="I262" s="524">
        <f>Relato!I271</f>
        <v>1.02</v>
      </c>
      <c r="J262" s="523">
        <f t="shared" si="4"/>
        <v>30.6</v>
      </c>
      <c r="L262" s="451"/>
      <c r="M262" s="451"/>
      <c r="N262" s="451"/>
      <c r="O262" s="451"/>
      <c r="P262" s="451"/>
    </row>
    <row r="263" spans="1:16" x14ac:dyDescent="0.25">
      <c r="A263" s="368" t="str">
        <f t="shared" si="5"/>
        <v>4 WBT (S)</v>
      </c>
      <c r="B263" s="1">
        <f t="shared" si="2"/>
        <v>20.71</v>
      </c>
      <c r="C263" s="1">
        <f t="shared" si="2"/>
        <v>0.35</v>
      </c>
      <c r="D263" s="1">
        <f>Relato!$D$272</f>
        <v>0.06</v>
      </c>
      <c r="E263" s="773"/>
      <c r="F263" s="773"/>
      <c r="G263" s="674">
        <f t="shared" si="3"/>
        <v>0.06</v>
      </c>
      <c r="H263" s="1">
        <f>Relato!$H$272</f>
        <v>37.4</v>
      </c>
      <c r="I263" s="524">
        <f>Relato!I272</f>
        <v>1.02</v>
      </c>
      <c r="J263" s="523">
        <f t="shared" si="4"/>
        <v>38.1</v>
      </c>
      <c r="L263" s="451"/>
      <c r="M263" s="451"/>
      <c r="N263" s="451"/>
      <c r="O263" s="451"/>
      <c r="P263" s="451"/>
    </row>
    <row r="264" spans="1:16" x14ac:dyDescent="0.25">
      <c r="A264" s="368" t="str">
        <f t="shared" si="5"/>
        <v>5 WBT (P)</v>
      </c>
      <c r="B264" s="1">
        <f t="shared" si="2"/>
        <v>21</v>
      </c>
      <c r="C264" s="1">
        <f t="shared" si="2"/>
        <v>0.34</v>
      </c>
      <c r="D264" s="1">
        <f>Relato!$D$273</f>
        <v>0.06</v>
      </c>
      <c r="E264" s="773"/>
      <c r="F264" s="773"/>
      <c r="G264" s="674">
        <f t="shared" si="3"/>
        <v>0.06</v>
      </c>
      <c r="H264" s="1">
        <f>Relato!$H$273</f>
        <v>33.799999999999997</v>
      </c>
      <c r="I264" s="524">
        <f>Relato!I273</f>
        <v>1.02</v>
      </c>
      <c r="J264" s="523">
        <f t="shared" si="4"/>
        <v>34.5</v>
      </c>
      <c r="L264" s="451"/>
      <c r="M264" s="451"/>
      <c r="N264" s="451"/>
      <c r="O264" s="451"/>
      <c r="P264" s="451"/>
    </row>
    <row r="265" spans="1:16" x14ac:dyDescent="0.25">
      <c r="A265" s="368" t="str">
        <f t="shared" si="5"/>
        <v>5 WBT (S)</v>
      </c>
      <c r="B265" s="1">
        <f t="shared" si="2"/>
        <v>21</v>
      </c>
      <c r="C265" s="1">
        <f t="shared" si="2"/>
        <v>0.34</v>
      </c>
      <c r="D265" s="1">
        <f>Relato!$D$274</f>
        <v>0.02</v>
      </c>
      <c r="E265" s="773"/>
      <c r="F265" s="773"/>
      <c r="G265" s="674">
        <f t="shared" si="3"/>
        <v>0.02</v>
      </c>
      <c r="H265" s="1">
        <f>Relato!$H$274</f>
        <v>19.100000000000001</v>
      </c>
      <c r="I265" s="524">
        <f>Relato!I274</f>
        <v>1.02</v>
      </c>
      <c r="J265" s="523">
        <f t="shared" si="4"/>
        <v>19.5</v>
      </c>
      <c r="L265" s="451"/>
      <c r="M265" s="451"/>
      <c r="N265" s="451"/>
      <c r="O265" s="451"/>
      <c r="P265" s="451"/>
    </row>
    <row r="266" spans="1:16" x14ac:dyDescent="0.25">
      <c r="A266" s="368" t="str">
        <f t="shared" si="5"/>
        <v>6 WBT (P)</v>
      </c>
      <c r="B266" s="1">
        <f t="shared" si="2"/>
        <v>21.03</v>
      </c>
      <c r="C266" s="1">
        <f t="shared" si="2"/>
        <v>0.35</v>
      </c>
      <c r="D266" s="1">
        <f>Relato!$D$275</f>
        <v>0.02</v>
      </c>
      <c r="E266" s="773"/>
      <c r="F266" s="773"/>
      <c r="G266" s="674">
        <f t="shared" si="3"/>
        <v>0.02</v>
      </c>
      <c r="H266" s="1">
        <f>Relato!$H$275</f>
        <v>11.6</v>
      </c>
      <c r="I266" s="524">
        <f>Relato!I275</f>
        <v>1.02</v>
      </c>
      <c r="J266" s="523">
        <f t="shared" si="4"/>
        <v>11.8</v>
      </c>
      <c r="L266" s="451"/>
      <c r="M266" s="451"/>
      <c r="N266" s="451"/>
      <c r="O266" s="451"/>
      <c r="P266" s="451"/>
    </row>
    <row r="267" spans="1:16" x14ac:dyDescent="0.25">
      <c r="A267" s="368" t="str">
        <f t="shared" si="5"/>
        <v>6 WBT (S)</v>
      </c>
      <c r="B267" s="1">
        <f t="shared" si="2"/>
        <v>21.03</v>
      </c>
      <c r="C267" s="1">
        <f t="shared" si="2"/>
        <v>0.36</v>
      </c>
      <c r="D267" s="1">
        <f>Relato!$D$276</f>
        <v>0.05</v>
      </c>
      <c r="E267" s="773"/>
      <c r="F267" s="773"/>
      <c r="G267" s="674">
        <f t="shared" si="3"/>
        <v>0.05</v>
      </c>
      <c r="H267" s="1">
        <f>Relato!$H$276</f>
        <v>18.5</v>
      </c>
      <c r="I267" s="524">
        <f>Relato!I276</f>
        <v>1.02</v>
      </c>
      <c r="J267" s="523">
        <f t="shared" si="4"/>
        <v>18.899999999999999</v>
      </c>
      <c r="L267" s="451"/>
      <c r="M267" s="451"/>
      <c r="N267" s="451"/>
      <c r="O267" s="451"/>
      <c r="P267" s="451"/>
    </row>
    <row r="268" spans="1:16" ht="15" hidden="1" customHeight="1" x14ac:dyDescent="0.25">
      <c r="A268" s="369" t="str">
        <f t="shared" si="5"/>
        <v>7 WBT (P)</v>
      </c>
      <c r="B268" s="1">
        <f t="shared" si="2"/>
        <v>0</v>
      </c>
      <c r="C268" s="1">
        <f t="shared" si="2"/>
        <v>0</v>
      </c>
      <c r="D268" s="1">
        <f>Relato!$D$277</f>
        <v>0</v>
      </c>
      <c r="E268" s="773"/>
      <c r="F268" s="773"/>
      <c r="G268" s="674">
        <f t="shared" si="3"/>
        <v>0</v>
      </c>
      <c r="H268" s="1" t="str">
        <f>Relato!$H$277</f>
        <v/>
      </c>
      <c r="I268" s="268">
        <f>Relato!I277</f>
        <v>1.0249999999999999</v>
      </c>
      <c r="J268" s="523" t="str">
        <f t="shared" si="4"/>
        <v/>
      </c>
      <c r="L268" s="451"/>
      <c r="M268" s="451"/>
      <c r="N268" s="451"/>
      <c r="O268" s="451"/>
      <c r="P268" s="451"/>
    </row>
    <row r="269" spans="1:16" ht="15" hidden="1" customHeight="1" x14ac:dyDescent="0.25">
      <c r="A269" s="369" t="str">
        <f t="shared" si="5"/>
        <v>7 WBT (S)</v>
      </c>
      <c r="B269" s="1">
        <f t="shared" si="2"/>
        <v>0</v>
      </c>
      <c r="C269" s="1">
        <f t="shared" si="2"/>
        <v>0</v>
      </c>
      <c r="D269" s="1">
        <f>Relato!$D$278</f>
        <v>0</v>
      </c>
      <c r="E269" s="773"/>
      <c r="F269" s="773"/>
      <c r="G269" s="674">
        <f t="shared" si="3"/>
        <v>0</v>
      </c>
      <c r="H269" s="1" t="str">
        <f>Relato!$H$278</f>
        <v/>
      </c>
      <c r="I269" s="268">
        <f>Relato!I278</f>
        <v>1.0249999999999999</v>
      </c>
      <c r="J269" s="523" t="str">
        <f t="shared" si="4"/>
        <v/>
      </c>
      <c r="L269" s="451"/>
      <c r="M269" s="451"/>
      <c r="N269" s="451"/>
      <c r="O269" s="451"/>
      <c r="P269" s="451"/>
    </row>
    <row r="270" spans="1:16" ht="15" hidden="1" customHeight="1" x14ac:dyDescent="0.25">
      <c r="A270" s="369" t="str">
        <f t="shared" si="5"/>
        <v>1 TS (P)</v>
      </c>
      <c r="B270" s="1">
        <f t="shared" si="2"/>
        <v>0</v>
      </c>
      <c r="C270" s="1">
        <f t="shared" si="2"/>
        <v>0</v>
      </c>
      <c r="D270" s="1">
        <f>Relato!$D$279</f>
        <v>0</v>
      </c>
      <c r="E270" s="773"/>
      <c r="F270" s="773"/>
      <c r="G270" s="674">
        <f t="shared" si="3"/>
        <v>0</v>
      </c>
      <c r="H270" s="1" t="str">
        <f>Relato!$H$279</f>
        <v/>
      </c>
      <c r="I270" s="268">
        <f>Relato!I279</f>
        <v>1.0249999999999999</v>
      </c>
      <c r="J270" s="523" t="str">
        <f t="shared" si="4"/>
        <v/>
      </c>
      <c r="L270" s="451"/>
      <c r="M270" s="451"/>
      <c r="N270" s="451"/>
      <c r="O270" s="451"/>
      <c r="P270" s="451"/>
    </row>
    <row r="271" spans="1:16" ht="15" hidden="1" customHeight="1" x14ac:dyDescent="0.25">
      <c r="A271" s="369" t="str">
        <f t="shared" si="5"/>
        <v>1 TS (S)</v>
      </c>
      <c r="B271" s="1">
        <f t="shared" si="2"/>
        <v>0</v>
      </c>
      <c r="C271" s="1">
        <f t="shared" si="2"/>
        <v>0</v>
      </c>
      <c r="D271" s="1">
        <f>Relato!$D$280</f>
        <v>0</v>
      </c>
      <c r="E271" s="773"/>
      <c r="F271" s="773"/>
      <c r="G271" s="674">
        <f t="shared" si="3"/>
        <v>0</v>
      </c>
      <c r="H271" s="1" t="str">
        <f>Relato!$H$280</f>
        <v/>
      </c>
      <c r="I271" s="268">
        <f>Relato!I280</f>
        <v>1.0249999999999999</v>
      </c>
      <c r="J271" s="523" t="str">
        <f t="shared" si="4"/>
        <v/>
      </c>
      <c r="L271" s="451"/>
      <c r="M271" s="451"/>
      <c r="N271" s="451"/>
      <c r="O271" s="451"/>
      <c r="P271" s="451"/>
    </row>
    <row r="272" spans="1:16" ht="15" hidden="1" customHeight="1" x14ac:dyDescent="0.25">
      <c r="A272" s="369" t="str">
        <f t="shared" si="5"/>
        <v>2 TS (P)</v>
      </c>
      <c r="B272" s="1">
        <f t="shared" si="2"/>
        <v>0</v>
      </c>
      <c r="C272" s="1">
        <f t="shared" si="2"/>
        <v>0</v>
      </c>
      <c r="D272" s="1">
        <f>Relato!$D$281</f>
        <v>0</v>
      </c>
      <c r="E272" s="773"/>
      <c r="F272" s="773"/>
      <c r="G272" s="674">
        <f t="shared" si="3"/>
        <v>0</v>
      </c>
      <c r="H272" s="1" t="str">
        <f>Relato!$H$281</f>
        <v/>
      </c>
      <c r="I272" s="268">
        <f>Relato!I281</f>
        <v>1.0249999999999999</v>
      </c>
      <c r="J272" s="523" t="str">
        <f t="shared" si="4"/>
        <v/>
      </c>
      <c r="L272" s="451"/>
      <c r="M272" s="451"/>
      <c r="N272" s="451"/>
      <c r="O272" s="451"/>
      <c r="P272" s="451"/>
    </row>
    <row r="273" spans="1:16" ht="15" hidden="1" customHeight="1" x14ac:dyDescent="0.25">
      <c r="A273" s="369" t="str">
        <f t="shared" si="5"/>
        <v>2 TS (S)</v>
      </c>
      <c r="B273" s="1">
        <f t="shared" si="2"/>
        <v>0</v>
      </c>
      <c r="C273" s="1">
        <f t="shared" si="2"/>
        <v>0</v>
      </c>
      <c r="D273" s="1">
        <f>Relato!$D$282</f>
        <v>0</v>
      </c>
      <c r="E273" s="773"/>
      <c r="F273" s="773"/>
      <c r="G273" s="674">
        <f t="shared" si="3"/>
        <v>0</v>
      </c>
      <c r="H273" s="1" t="str">
        <f>Relato!$H$282</f>
        <v/>
      </c>
      <c r="I273" s="268">
        <f>Relato!I282</f>
        <v>1.0249999999999999</v>
      </c>
      <c r="J273" s="523" t="str">
        <f t="shared" si="4"/>
        <v/>
      </c>
      <c r="L273" s="451"/>
      <c r="M273" s="451"/>
      <c r="N273" s="451"/>
      <c r="O273" s="451"/>
      <c r="P273" s="451"/>
    </row>
    <row r="274" spans="1:16" ht="15" hidden="1" customHeight="1" x14ac:dyDescent="0.25">
      <c r="A274" s="369" t="str">
        <f t="shared" si="5"/>
        <v>3 TS (P)</v>
      </c>
      <c r="B274" s="1">
        <f t="shared" si="2"/>
        <v>0</v>
      </c>
      <c r="C274" s="1">
        <f t="shared" si="2"/>
        <v>0</v>
      </c>
      <c r="D274" s="1">
        <f>Relato!$D$283</f>
        <v>0</v>
      </c>
      <c r="E274" s="773"/>
      <c r="F274" s="773"/>
      <c r="G274" s="674">
        <f t="shared" si="3"/>
        <v>0</v>
      </c>
      <c r="H274" s="1" t="str">
        <f>Relato!$H$283</f>
        <v/>
      </c>
      <c r="I274" s="268">
        <f>Relato!I283</f>
        <v>1.0249999999999999</v>
      </c>
      <c r="J274" s="523" t="str">
        <f t="shared" si="4"/>
        <v/>
      </c>
      <c r="L274" s="451"/>
      <c r="M274" s="451"/>
      <c r="N274" s="451"/>
      <c r="O274" s="451"/>
      <c r="P274" s="451"/>
    </row>
    <row r="275" spans="1:16" ht="15" hidden="1" customHeight="1" x14ac:dyDescent="0.25">
      <c r="A275" s="369" t="str">
        <f t="shared" si="5"/>
        <v>3 TS (S)</v>
      </c>
      <c r="B275" s="1">
        <f t="shared" si="2"/>
        <v>0</v>
      </c>
      <c r="C275" s="1">
        <f t="shared" si="2"/>
        <v>0</v>
      </c>
      <c r="D275" s="1">
        <f>Relato!$D$284</f>
        <v>0</v>
      </c>
      <c r="E275" s="773"/>
      <c r="F275" s="773"/>
      <c r="G275" s="674">
        <f t="shared" si="3"/>
        <v>0</v>
      </c>
      <c r="H275" s="1" t="str">
        <f>Relato!$H$284</f>
        <v/>
      </c>
      <c r="I275" s="268">
        <f>Relato!I284</f>
        <v>1.0249999999999999</v>
      </c>
      <c r="J275" s="523" t="str">
        <f t="shared" si="4"/>
        <v/>
      </c>
      <c r="L275" s="451"/>
      <c r="M275" s="451"/>
      <c r="N275" s="451"/>
      <c r="O275" s="451"/>
      <c r="P275" s="451"/>
    </row>
    <row r="276" spans="1:16" ht="15" hidden="1" customHeight="1" x14ac:dyDescent="0.25">
      <c r="A276" s="369" t="str">
        <f t="shared" si="5"/>
        <v>4 TS (P)</v>
      </c>
      <c r="B276" s="1">
        <f t="shared" si="2"/>
        <v>0</v>
      </c>
      <c r="C276" s="1">
        <f t="shared" si="2"/>
        <v>0</v>
      </c>
      <c r="D276" s="1">
        <f>Relato!$D$285</f>
        <v>0</v>
      </c>
      <c r="E276" s="773"/>
      <c r="F276" s="773"/>
      <c r="G276" s="674">
        <f t="shared" si="3"/>
        <v>0</v>
      </c>
      <c r="H276" s="1" t="str">
        <f>Relato!$H$285</f>
        <v/>
      </c>
      <c r="I276" s="268">
        <f>Relato!I285</f>
        <v>1.0249999999999999</v>
      </c>
      <c r="J276" s="523" t="str">
        <f t="shared" si="4"/>
        <v/>
      </c>
      <c r="L276" s="451"/>
      <c r="M276" s="451"/>
      <c r="N276" s="451"/>
      <c r="O276" s="451"/>
      <c r="P276" s="451"/>
    </row>
    <row r="277" spans="1:16" ht="15" hidden="1" customHeight="1" x14ac:dyDescent="0.25">
      <c r="A277" s="369" t="str">
        <f t="shared" si="5"/>
        <v>4 TS (S)</v>
      </c>
      <c r="B277" s="1">
        <f t="shared" si="2"/>
        <v>0</v>
      </c>
      <c r="C277" s="1">
        <f t="shared" si="2"/>
        <v>0</v>
      </c>
      <c r="D277" s="1">
        <f>Relato!$D$286</f>
        <v>0</v>
      </c>
      <c r="E277" s="773"/>
      <c r="F277" s="773"/>
      <c r="G277" s="674">
        <f t="shared" si="3"/>
        <v>0</v>
      </c>
      <c r="H277" s="1" t="str">
        <f>Relato!$H$286</f>
        <v/>
      </c>
      <c r="I277" s="268">
        <f>Relato!I286</f>
        <v>1.0249999999999999</v>
      </c>
      <c r="J277" s="523" t="str">
        <f t="shared" si="4"/>
        <v/>
      </c>
      <c r="L277" s="451"/>
      <c r="M277" s="451"/>
      <c r="N277" s="451"/>
      <c r="O277" s="451"/>
      <c r="P277" s="451"/>
    </row>
    <row r="278" spans="1:16" ht="15" hidden="1" customHeight="1" x14ac:dyDescent="0.25">
      <c r="A278" s="369" t="str">
        <f t="shared" si="5"/>
        <v>5 TS (P)</v>
      </c>
      <c r="B278" s="1">
        <f t="shared" si="2"/>
        <v>0</v>
      </c>
      <c r="C278" s="1">
        <f t="shared" si="2"/>
        <v>0</v>
      </c>
      <c r="D278" s="1">
        <f>Relato!$D$287</f>
        <v>0</v>
      </c>
      <c r="E278" s="773"/>
      <c r="F278" s="773"/>
      <c r="G278" s="674">
        <f t="shared" si="3"/>
        <v>0</v>
      </c>
      <c r="H278" s="1" t="str">
        <f>Relato!$H$287</f>
        <v/>
      </c>
      <c r="I278" s="268">
        <f>Relato!I287</f>
        <v>1.0249999999999999</v>
      </c>
      <c r="J278" s="523" t="str">
        <f t="shared" si="4"/>
        <v/>
      </c>
      <c r="L278" s="451"/>
      <c r="M278" s="451"/>
      <c r="N278" s="451"/>
      <c r="O278" s="451"/>
      <c r="P278" s="451"/>
    </row>
    <row r="279" spans="1:16" ht="15" hidden="1" customHeight="1" x14ac:dyDescent="0.25">
      <c r="A279" s="369" t="str">
        <f t="shared" si="5"/>
        <v>5 TS (S)</v>
      </c>
      <c r="B279" s="1">
        <f t="shared" si="2"/>
        <v>0</v>
      </c>
      <c r="C279" s="1">
        <f t="shared" si="2"/>
        <v>0</v>
      </c>
      <c r="D279" s="1">
        <f>Relato!$D$288</f>
        <v>0</v>
      </c>
      <c r="E279" s="773"/>
      <c r="F279" s="773"/>
      <c r="G279" s="674">
        <f t="shared" si="3"/>
        <v>0</v>
      </c>
      <c r="H279" s="1" t="str">
        <f>Relato!$H$288</f>
        <v/>
      </c>
      <c r="I279" s="268">
        <f>Relato!I288</f>
        <v>1.0249999999999999</v>
      </c>
      <c r="J279" s="523" t="str">
        <f t="shared" si="4"/>
        <v/>
      </c>
      <c r="L279" s="451"/>
      <c r="M279" s="451"/>
      <c r="N279" s="451"/>
      <c r="O279" s="451"/>
      <c r="P279" s="451"/>
    </row>
    <row r="280" spans="1:16" ht="15" hidden="1" customHeight="1" x14ac:dyDescent="0.25">
      <c r="A280" s="369" t="str">
        <f t="shared" si="5"/>
        <v>6 TS (P)</v>
      </c>
      <c r="B280" s="1">
        <f t="shared" si="2"/>
        <v>0</v>
      </c>
      <c r="C280" s="1">
        <f t="shared" si="2"/>
        <v>0</v>
      </c>
      <c r="D280" s="1">
        <f>Relato!$D$289</f>
        <v>0</v>
      </c>
      <c r="E280" s="773"/>
      <c r="F280" s="773"/>
      <c r="G280" s="674">
        <f t="shared" si="3"/>
        <v>0</v>
      </c>
      <c r="H280" s="1" t="str">
        <f>Relato!$H$289</f>
        <v/>
      </c>
      <c r="I280" s="268">
        <f>Relato!I289</f>
        <v>1.0249999999999999</v>
      </c>
      <c r="J280" s="523" t="str">
        <f t="shared" si="4"/>
        <v/>
      </c>
      <c r="L280" s="451"/>
      <c r="M280" s="451"/>
      <c r="N280" s="451"/>
      <c r="O280" s="451"/>
      <c r="P280" s="451"/>
    </row>
    <row r="281" spans="1:16" ht="15" hidden="1" customHeight="1" x14ac:dyDescent="0.25">
      <c r="A281" s="369" t="str">
        <f t="shared" si="5"/>
        <v>6 TS (S)</v>
      </c>
      <c r="B281" s="1">
        <f t="shared" si="2"/>
        <v>0</v>
      </c>
      <c r="C281" s="1">
        <f t="shared" si="2"/>
        <v>0</v>
      </c>
      <c r="D281" s="1">
        <f>Relato!$D$290</f>
        <v>0</v>
      </c>
      <c r="E281" s="773"/>
      <c r="F281" s="773"/>
      <c r="G281" s="674">
        <f t="shared" si="3"/>
        <v>0</v>
      </c>
      <c r="H281" s="1" t="str">
        <f>Relato!$H$290</f>
        <v/>
      </c>
      <c r="I281" s="268">
        <f>Relato!I290</f>
        <v>1.0249999999999999</v>
      </c>
      <c r="J281" s="523" t="str">
        <f t="shared" si="4"/>
        <v/>
      </c>
      <c r="L281" s="451"/>
      <c r="M281" s="451"/>
      <c r="N281" s="451"/>
      <c r="O281" s="451"/>
      <c r="P281" s="451"/>
    </row>
    <row r="282" spans="1:16" ht="15" hidden="1" customHeight="1" x14ac:dyDescent="0.25">
      <c r="A282" s="369" t="str">
        <f t="shared" si="5"/>
        <v>7 TS (P)</v>
      </c>
      <c r="B282" s="1">
        <f t="shared" si="2"/>
        <v>0</v>
      </c>
      <c r="C282" s="1">
        <f t="shared" si="2"/>
        <v>0</v>
      </c>
      <c r="D282" s="1">
        <f>Relato!$D$291</f>
        <v>0</v>
      </c>
      <c r="E282" s="773"/>
      <c r="F282" s="773"/>
      <c r="G282" s="674">
        <f t="shared" si="3"/>
        <v>0</v>
      </c>
      <c r="H282" s="1" t="str">
        <f>Relato!$H$291</f>
        <v/>
      </c>
      <c r="I282" s="268">
        <f>Relato!I291</f>
        <v>1.0249999999999999</v>
      </c>
      <c r="J282" s="523" t="str">
        <f t="shared" si="4"/>
        <v/>
      </c>
      <c r="L282" s="451"/>
      <c r="M282" s="451"/>
      <c r="N282" s="451"/>
      <c r="O282" s="451"/>
      <c r="P282" s="451"/>
    </row>
    <row r="283" spans="1:16" ht="15" hidden="1" customHeight="1" x14ac:dyDescent="0.25">
      <c r="A283" s="369" t="str">
        <f t="shared" si="5"/>
        <v>7 TS (S)</v>
      </c>
      <c r="B283" s="1">
        <f t="shared" si="2"/>
        <v>0</v>
      </c>
      <c r="C283" s="1">
        <f t="shared" si="2"/>
        <v>0</v>
      </c>
      <c r="D283" s="1">
        <f>Relato!$D$292</f>
        <v>0</v>
      </c>
      <c r="E283" s="773"/>
      <c r="F283" s="773"/>
      <c r="G283" s="674">
        <f t="shared" si="3"/>
        <v>0</v>
      </c>
      <c r="H283" s="1">
        <f>Relato!$H$292</f>
        <v>0</v>
      </c>
      <c r="I283" s="268">
        <f>Relato!I292</f>
        <v>1.0249999999999999</v>
      </c>
      <c r="J283" s="523">
        <f t="shared" si="4"/>
        <v>0</v>
      </c>
      <c r="L283" s="451"/>
      <c r="M283" s="451"/>
      <c r="N283" s="451"/>
      <c r="O283" s="451"/>
      <c r="P283" s="451"/>
    </row>
    <row r="284" spans="1:16" x14ac:dyDescent="0.25">
      <c r="A284" s="370" t="str">
        <f t="shared" si="5"/>
        <v>A.PK</v>
      </c>
      <c r="B284" s="2">
        <f t="shared" si="2"/>
        <v>14.38</v>
      </c>
      <c r="C284" s="2">
        <f t="shared" si="2"/>
        <v>0.37</v>
      </c>
      <c r="D284" s="2">
        <f>Relato!$D$293</f>
        <v>1.69</v>
      </c>
      <c r="E284" s="774"/>
      <c r="F284" s="774"/>
      <c r="G284" s="577">
        <f>IFERROR(D284+(E284+F284),D284)</f>
        <v>1.69</v>
      </c>
      <c r="H284" s="2">
        <f>Relato!$H$293</f>
        <v>20</v>
      </c>
      <c r="I284" s="525">
        <f>Relato!I293</f>
        <v>1.02</v>
      </c>
      <c r="J284" s="526">
        <f t="shared" si="4"/>
        <v>20.399999999999999</v>
      </c>
      <c r="L284" s="451"/>
      <c r="M284" s="451"/>
      <c r="N284" s="451"/>
      <c r="O284" s="451"/>
      <c r="P284" s="451"/>
    </row>
    <row r="285" spans="1:16" x14ac:dyDescent="0.25">
      <c r="A285" s="283" t="s">
        <v>14</v>
      </c>
      <c r="B285" s="284"/>
      <c r="C285" s="284"/>
      <c r="D285" s="284"/>
      <c r="E285" s="284"/>
      <c r="F285" s="284"/>
      <c r="G285" s="285"/>
      <c r="H285" s="527">
        <f>SUM($H$255:$H$284)</f>
        <v>451.7</v>
      </c>
      <c r="I285" s="528"/>
      <c r="J285" s="527">
        <f>SUM($J$255:$J$284)</f>
        <v>460.7</v>
      </c>
      <c r="L285" s="451"/>
      <c r="M285" s="451"/>
      <c r="N285" s="451"/>
      <c r="O285" s="451"/>
      <c r="P285" s="451"/>
    </row>
    <row r="286" spans="1:16" x14ac:dyDescent="0.25">
      <c r="L286" s="451"/>
      <c r="M286" s="451"/>
      <c r="N286" s="451"/>
      <c r="O286" s="451"/>
      <c r="P286" s="451"/>
    </row>
    <row r="287" spans="1:16" x14ac:dyDescent="0.25">
      <c r="L287" s="451"/>
      <c r="M287" s="451"/>
      <c r="N287" s="451"/>
      <c r="O287" s="451"/>
      <c r="P287" s="451"/>
    </row>
    <row r="288" spans="1:16" x14ac:dyDescent="0.25">
      <c r="L288" s="451"/>
      <c r="M288" s="451"/>
      <c r="N288" s="451"/>
      <c r="O288" s="451"/>
      <c r="P288" s="451"/>
    </row>
    <row r="289" spans="1:16" ht="15.75" x14ac:dyDescent="0.25">
      <c r="A289" s="375" t="s">
        <v>557</v>
      </c>
      <c r="L289" s="451"/>
      <c r="M289" s="451"/>
      <c r="N289" s="451"/>
      <c r="O289" s="451"/>
      <c r="P289" s="451"/>
    </row>
    <row r="290" spans="1:16" x14ac:dyDescent="0.25">
      <c r="A290" s="280" t="s">
        <v>0</v>
      </c>
      <c r="B290" s="280" t="s">
        <v>1</v>
      </c>
      <c r="C290" s="280" t="s">
        <v>2</v>
      </c>
      <c r="D290" s="280" t="s">
        <v>1</v>
      </c>
      <c r="E290" s="741" t="s">
        <v>583</v>
      </c>
      <c r="F290" s="741"/>
      <c r="G290" s="280" t="s">
        <v>3</v>
      </c>
      <c r="H290" s="280" t="s">
        <v>1</v>
      </c>
      <c r="I290" s="280" t="s">
        <v>1</v>
      </c>
      <c r="J290" s="280" t="s">
        <v>4</v>
      </c>
      <c r="L290" s="451"/>
      <c r="M290" s="451"/>
      <c r="N290" s="451"/>
      <c r="O290" s="451"/>
      <c r="P290" s="451"/>
    </row>
    <row r="291" spans="1:16" x14ac:dyDescent="0.25">
      <c r="A291" s="281" t="s">
        <v>728</v>
      </c>
      <c r="B291" s="407" t="s">
        <v>5</v>
      </c>
      <c r="C291" s="407" t="s">
        <v>6</v>
      </c>
      <c r="D291" s="281" t="s">
        <v>7</v>
      </c>
      <c r="E291" s="282" t="s">
        <v>8</v>
      </c>
      <c r="F291" s="282" t="s">
        <v>9</v>
      </c>
      <c r="G291" s="407" t="s">
        <v>7</v>
      </c>
      <c r="H291" s="281" t="s">
        <v>552</v>
      </c>
      <c r="I291" s="281" t="s">
        <v>10</v>
      </c>
      <c r="J291" s="407" t="s">
        <v>11</v>
      </c>
      <c r="L291" s="451"/>
      <c r="M291" s="451"/>
      <c r="N291" s="451"/>
      <c r="O291" s="451"/>
      <c r="P291" s="451"/>
    </row>
    <row r="292" spans="1:16" x14ac:dyDescent="0.25">
      <c r="A292" s="371" t="s">
        <v>559</v>
      </c>
      <c r="B292" s="772" t="s">
        <v>797</v>
      </c>
      <c r="C292" s="772"/>
      <c r="D292" s="772"/>
      <c r="E292" s="772"/>
      <c r="F292" s="772"/>
      <c r="G292" s="772"/>
      <c r="H292" s="520">
        <f>Relato!$H$301</f>
        <v>55</v>
      </c>
      <c r="I292" s="521">
        <f>Relato!$I$301</f>
        <v>1</v>
      </c>
      <c r="J292" s="523">
        <f t="shared" ref="J292:J295" si="6">IFERROR(ROUND(H292*I292,1),"")</f>
        <v>55</v>
      </c>
      <c r="L292" s="451"/>
      <c r="M292" s="451"/>
      <c r="N292" s="451"/>
      <c r="O292" s="451"/>
      <c r="P292" s="451"/>
    </row>
    <row r="293" spans="1:16" ht="15" hidden="1" customHeight="1" x14ac:dyDescent="0.25">
      <c r="A293" s="368" t="s">
        <v>560</v>
      </c>
      <c r="B293" s="773"/>
      <c r="C293" s="773"/>
      <c r="D293" s="773"/>
      <c r="E293" s="773"/>
      <c r="F293" s="773"/>
      <c r="G293" s="773"/>
      <c r="H293" s="1">
        <f>Relato!$H$302</f>
        <v>0</v>
      </c>
      <c r="I293" s="524">
        <f>Relato!$I$302</f>
        <v>1</v>
      </c>
      <c r="J293" s="523">
        <f t="shared" si="6"/>
        <v>0</v>
      </c>
      <c r="L293" s="451"/>
      <c r="M293" s="451"/>
      <c r="N293" s="451"/>
      <c r="O293" s="451"/>
      <c r="P293" s="451"/>
    </row>
    <row r="294" spans="1:16" ht="15" hidden="1" customHeight="1" x14ac:dyDescent="0.25">
      <c r="A294" s="368" t="s">
        <v>561</v>
      </c>
      <c r="B294" s="773"/>
      <c r="C294" s="773"/>
      <c r="D294" s="773"/>
      <c r="E294" s="773"/>
      <c r="F294" s="773"/>
      <c r="G294" s="773"/>
      <c r="H294" s="1">
        <f>Relato!$H$303</f>
        <v>0</v>
      </c>
      <c r="I294" s="524">
        <f>Relato!$I$303</f>
        <v>1</v>
      </c>
      <c r="J294" s="523">
        <f t="shared" si="6"/>
        <v>0</v>
      </c>
      <c r="L294" s="451"/>
      <c r="M294" s="451"/>
      <c r="N294" s="451"/>
      <c r="O294" s="451"/>
      <c r="P294" s="451"/>
    </row>
    <row r="295" spans="1:16" x14ac:dyDescent="0.25">
      <c r="A295" s="377" t="s">
        <v>562</v>
      </c>
      <c r="B295" s="774"/>
      <c r="C295" s="774"/>
      <c r="D295" s="774"/>
      <c r="E295" s="774"/>
      <c r="F295" s="774"/>
      <c r="G295" s="774"/>
      <c r="H295" s="2">
        <f>Relato!$H$304</f>
        <v>65</v>
      </c>
      <c r="I295" s="525">
        <f>Relato!$I$304</f>
        <v>1</v>
      </c>
      <c r="J295" s="526">
        <f t="shared" si="6"/>
        <v>65</v>
      </c>
      <c r="L295" s="451"/>
      <c r="M295" s="451"/>
      <c r="N295" s="451"/>
      <c r="O295" s="451"/>
      <c r="P295" s="451"/>
    </row>
    <row r="296" spans="1:16" x14ac:dyDescent="0.25">
      <c r="A296" s="376" t="s">
        <v>14</v>
      </c>
      <c r="B296" s="285"/>
      <c r="C296" s="285"/>
      <c r="D296" s="285"/>
      <c r="E296" s="285"/>
      <c r="F296" s="285"/>
      <c r="G296" s="285"/>
      <c r="H296" s="529">
        <f>SUM($H$292:$H$295)</f>
        <v>120</v>
      </c>
      <c r="I296" s="530"/>
      <c r="J296" s="529">
        <f>SUM($J$292:$J$295)</f>
        <v>120</v>
      </c>
      <c r="L296" s="451"/>
      <c r="M296" s="451"/>
      <c r="N296" s="451"/>
      <c r="O296" s="451"/>
      <c r="P296" s="451"/>
    </row>
    <row r="297" spans="1:16" x14ac:dyDescent="0.25">
      <c r="D297" s="531"/>
      <c r="E297" s="531"/>
      <c r="F297" s="531"/>
      <c r="L297" s="451"/>
      <c r="M297" s="451"/>
      <c r="N297" s="451"/>
      <c r="O297" s="451"/>
      <c r="P297" s="451"/>
    </row>
    <row r="298" spans="1:16" x14ac:dyDescent="0.25">
      <c r="D298" s="531"/>
      <c r="E298" s="531"/>
      <c r="F298" s="531"/>
      <c r="L298" s="451"/>
      <c r="M298" s="451"/>
      <c r="N298" s="451"/>
      <c r="O298" s="451"/>
      <c r="P298" s="451"/>
    </row>
    <row r="299" spans="1:16" ht="15.75" x14ac:dyDescent="0.25">
      <c r="A299" s="3" t="s">
        <v>558</v>
      </c>
      <c r="D299" s="531"/>
      <c r="E299" s="531"/>
      <c r="F299" s="531"/>
      <c r="L299" s="451"/>
      <c r="M299" s="451"/>
      <c r="N299" s="451"/>
      <c r="O299" s="451"/>
      <c r="P299" s="451"/>
    </row>
    <row r="300" spans="1:16" x14ac:dyDescent="0.25">
      <c r="A300" s="280" t="s">
        <v>0</v>
      </c>
      <c r="B300" s="280" t="s">
        <v>1</v>
      </c>
      <c r="C300" s="280" t="s">
        <v>2</v>
      </c>
      <c r="D300" s="280" t="s">
        <v>1</v>
      </c>
      <c r="E300" s="741" t="s">
        <v>583</v>
      </c>
      <c r="F300" s="741"/>
      <c r="G300" s="280" t="s">
        <v>3</v>
      </c>
      <c r="H300" s="280" t="s">
        <v>1</v>
      </c>
      <c r="I300" s="280" t="s">
        <v>1</v>
      </c>
      <c r="J300" s="280" t="s">
        <v>4</v>
      </c>
      <c r="L300" s="451"/>
      <c r="M300" s="451"/>
      <c r="N300" s="451"/>
      <c r="O300" s="451"/>
      <c r="P300" s="451"/>
    </row>
    <row r="301" spans="1:16" x14ac:dyDescent="0.25">
      <c r="A301" s="281" t="s">
        <v>728</v>
      </c>
      <c r="B301" s="281" t="s">
        <v>5</v>
      </c>
      <c r="C301" s="281" t="s">
        <v>6</v>
      </c>
      <c r="D301" s="281" t="s">
        <v>7</v>
      </c>
      <c r="E301" s="282" t="s">
        <v>8</v>
      </c>
      <c r="F301" s="282" t="s">
        <v>9</v>
      </c>
      <c r="G301" s="407" t="s">
        <v>7</v>
      </c>
      <c r="H301" s="281" t="s">
        <v>552</v>
      </c>
      <c r="I301" s="281" t="s">
        <v>10</v>
      </c>
      <c r="J301" s="407" t="s">
        <v>11</v>
      </c>
      <c r="L301" s="451"/>
      <c r="M301" s="451"/>
      <c r="N301" s="451"/>
      <c r="O301" s="451"/>
      <c r="P301" s="451"/>
    </row>
    <row r="302" spans="1:16" x14ac:dyDescent="0.25">
      <c r="A302" s="371" t="s">
        <v>559</v>
      </c>
      <c r="B302" s="772" t="s">
        <v>797</v>
      </c>
      <c r="C302" s="772"/>
      <c r="D302" s="772"/>
      <c r="E302" s="772"/>
      <c r="F302" s="772"/>
      <c r="G302" s="772"/>
      <c r="H302" s="520">
        <f>Relato!$H$311</f>
        <v>39</v>
      </c>
      <c r="I302" s="521">
        <f>I292</f>
        <v>1</v>
      </c>
      <c r="J302" s="523">
        <f t="shared" ref="J302:J305" si="7">IFERROR(ROUND(H302*I302,1),"")</f>
        <v>39</v>
      </c>
      <c r="L302" s="451"/>
      <c r="M302" s="451"/>
      <c r="N302" s="451"/>
      <c r="O302" s="451"/>
      <c r="P302" s="451"/>
    </row>
    <row r="303" spans="1:16" ht="15" hidden="1" customHeight="1" x14ac:dyDescent="0.25">
      <c r="A303" s="368" t="s">
        <v>560</v>
      </c>
      <c r="B303" s="773"/>
      <c r="C303" s="773"/>
      <c r="D303" s="773"/>
      <c r="E303" s="773"/>
      <c r="F303" s="773"/>
      <c r="G303" s="773"/>
      <c r="H303" s="1">
        <f>Relato!$H$312</f>
        <v>0</v>
      </c>
      <c r="I303" s="524">
        <f t="shared" ref="I303:I305" si="8">I293</f>
        <v>1</v>
      </c>
      <c r="J303" s="523">
        <f t="shared" si="7"/>
        <v>0</v>
      </c>
      <c r="L303" s="451"/>
      <c r="M303" s="451"/>
      <c r="N303" s="451"/>
      <c r="O303" s="451"/>
      <c r="P303" s="451"/>
    </row>
    <row r="304" spans="1:16" ht="15" hidden="1" customHeight="1" x14ac:dyDescent="0.25">
      <c r="A304" s="368" t="s">
        <v>561</v>
      </c>
      <c r="B304" s="773"/>
      <c r="C304" s="773"/>
      <c r="D304" s="773"/>
      <c r="E304" s="773"/>
      <c r="F304" s="773"/>
      <c r="G304" s="773"/>
      <c r="H304" s="1">
        <f>Relato!$H$313</f>
        <v>0</v>
      </c>
      <c r="I304" s="524">
        <f t="shared" si="8"/>
        <v>1</v>
      </c>
      <c r="J304" s="523">
        <f t="shared" si="7"/>
        <v>0</v>
      </c>
      <c r="L304" s="451"/>
      <c r="M304" s="451"/>
      <c r="N304" s="451"/>
      <c r="O304" s="451"/>
      <c r="P304" s="451"/>
    </row>
    <row r="305" spans="1:16" x14ac:dyDescent="0.25">
      <c r="A305" s="377" t="s">
        <v>562</v>
      </c>
      <c r="B305" s="774"/>
      <c r="C305" s="774"/>
      <c r="D305" s="774"/>
      <c r="E305" s="774"/>
      <c r="F305" s="774"/>
      <c r="G305" s="774"/>
      <c r="H305" s="2">
        <f>Relato!$H$314</f>
        <v>66</v>
      </c>
      <c r="I305" s="525">
        <f t="shared" si="8"/>
        <v>1</v>
      </c>
      <c r="J305" s="526">
        <f t="shared" si="7"/>
        <v>66</v>
      </c>
      <c r="L305" s="451"/>
      <c r="M305" s="451"/>
      <c r="N305" s="451"/>
      <c r="O305" s="451"/>
      <c r="P305" s="451"/>
    </row>
    <row r="306" spans="1:16" x14ac:dyDescent="0.25">
      <c r="A306" s="376" t="s">
        <v>14</v>
      </c>
      <c r="B306" s="285"/>
      <c r="C306" s="285"/>
      <c r="D306" s="285"/>
      <c r="E306" s="285"/>
      <c r="F306" s="285"/>
      <c r="G306" s="285"/>
      <c r="H306" s="529">
        <f>SUM($H$302:$H$305)</f>
        <v>105</v>
      </c>
      <c r="I306" s="530"/>
      <c r="J306" s="529">
        <f>SUM($J$302:$J$305)</f>
        <v>105</v>
      </c>
      <c r="L306" s="451"/>
      <c r="M306" s="451"/>
      <c r="N306" s="451"/>
      <c r="O306" s="451"/>
      <c r="P306" s="451"/>
    </row>
    <row r="307" spans="1:16" x14ac:dyDescent="0.25">
      <c r="L307" s="451"/>
      <c r="M307" s="451"/>
      <c r="N307" s="451"/>
      <c r="O307" s="451"/>
      <c r="P307" s="451"/>
    </row>
    <row r="308" spans="1:16" x14ac:dyDescent="0.25">
      <c r="L308" s="451"/>
      <c r="M308" s="451"/>
      <c r="N308" s="451"/>
      <c r="O308" s="451"/>
      <c r="P308" s="451"/>
    </row>
    <row r="309" spans="1:16" ht="15.75" x14ac:dyDescent="0.25">
      <c r="A309" s="375" t="s">
        <v>710</v>
      </c>
      <c r="B309" s="7"/>
      <c r="C309" s="7"/>
      <c r="D309" s="7"/>
      <c r="E309" s="7"/>
      <c r="F309" s="7"/>
      <c r="G309" s="7"/>
      <c r="H309" s="7"/>
      <c r="I309" s="7"/>
      <c r="J309" s="7"/>
      <c r="L309" s="451"/>
      <c r="M309" s="451"/>
      <c r="N309" s="451"/>
      <c r="O309" s="451"/>
      <c r="P309" s="451"/>
    </row>
    <row r="310" spans="1:16" x14ac:dyDescent="0.25">
      <c r="A310" s="378"/>
      <c r="B310" s="8"/>
      <c r="C310" s="8"/>
      <c r="D310" s="383"/>
      <c r="E310" s="8"/>
      <c r="F310" s="742" t="s">
        <v>563</v>
      </c>
      <c r="G310" s="742"/>
      <c r="H310" s="379"/>
      <c r="I310" s="743" t="s">
        <v>564</v>
      </c>
      <c r="J310" s="744"/>
      <c r="L310" s="451"/>
      <c r="M310" s="451"/>
      <c r="N310" s="451"/>
      <c r="O310" s="451"/>
      <c r="P310" s="451"/>
    </row>
    <row r="311" spans="1:16" ht="15.75" x14ac:dyDescent="0.25">
      <c r="A311" s="384" t="s">
        <v>565</v>
      </c>
      <c r="B311" s="385"/>
      <c r="C311" s="385"/>
      <c r="D311" s="414"/>
      <c r="E311" s="385"/>
      <c r="F311" s="745">
        <f>Draft!$H$65</f>
        <v>1028.0899999999999</v>
      </c>
      <c r="G311" s="745"/>
      <c r="H311" s="401"/>
      <c r="I311" s="745">
        <f>Draft!$Z$65</f>
        <v>1028.0899999999999</v>
      </c>
      <c r="J311" s="746"/>
      <c r="L311" s="451"/>
      <c r="M311" s="451"/>
      <c r="N311" s="451"/>
      <c r="O311" s="451"/>
      <c r="P311" s="451"/>
    </row>
    <row r="312" spans="1:16" ht="15.75" x14ac:dyDescent="0.25">
      <c r="A312" s="380" t="s">
        <v>566</v>
      </c>
      <c r="D312" s="415"/>
      <c r="F312" s="739">
        <f>Draft!$H$66</f>
        <v>151.25</v>
      </c>
      <c r="G312" s="739"/>
      <c r="H312" s="402"/>
      <c r="I312" s="739">
        <f>Draft!$Z$66</f>
        <v>131.91999999999999</v>
      </c>
      <c r="J312" s="740"/>
      <c r="L312" s="451"/>
      <c r="M312" s="451"/>
      <c r="N312" s="451"/>
      <c r="O312" s="451"/>
      <c r="P312" s="451"/>
    </row>
    <row r="313" spans="1:16" ht="15.75" x14ac:dyDescent="0.25">
      <c r="A313" s="380" t="s">
        <v>567</v>
      </c>
      <c r="D313" s="415"/>
      <c r="F313" s="739" t="str">
        <f>Draft!$H$67</f>
        <v>K</v>
      </c>
      <c r="G313" s="739"/>
      <c r="H313" s="402"/>
      <c r="I313" s="739" t="str">
        <f>Draft!$Z$67</f>
        <v>K</v>
      </c>
      <c r="J313" s="740"/>
      <c r="L313" s="451"/>
      <c r="M313" s="451"/>
      <c r="N313" s="451"/>
      <c r="O313" s="451"/>
      <c r="P313" s="451"/>
    </row>
    <row r="314" spans="1:16" ht="15.75" x14ac:dyDescent="0.25">
      <c r="A314" s="380" t="s">
        <v>568</v>
      </c>
      <c r="D314" s="415"/>
      <c r="F314" s="739">
        <f>$J$296</f>
        <v>120</v>
      </c>
      <c r="G314" s="739"/>
      <c r="H314" s="402"/>
      <c r="I314" s="739">
        <f>$J$306</f>
        <v>105</v>
      </c>
      <c r="J314" s="740"/>
      <c r="L314" s="451"/>
      <c r="M314" s="451"/>
      <c r="N314" s="451"/>
      <c r="O314" s="451"/>
      <c r="P314" s="451"/>
    </row>
    <row r="315" spans="1:16" ht="15.75" x14ac:dyDescent="0.25">
      <c r="A315" s="380" t="s">
        <v>569</v>
      </c>
      <c r="D315" s="415"/>
      <c r="F315" s="739">
        <f>$J$249</f>
        <v>21819</v>
      </c>
      <c r="G315" s="739"/>
      <c r="H315" s="402"/>
      <c r="I315" s="739">
        <f>$J$285</f>
        <v>460.7</v>
      </c>
      <c r="J315" s="740"/>
      <c r="L315" s="451"/>
      <c r="M315" s="451"/>
      <c r="N315" s="451"/>
      <c r="O315" s="451"/>
      <c r="P315" s="451"/>
    </row>
    <row r="316" spans="1:16" ht="15.75" x14ac:dyDescent="0.25">
      <c r="A316" s="386" t="s">
        <v>796</v>
      </c>
      <c r="B316" s="387"/>
      <c r="C316" s="387"/>
      <c r="D316" s="416"/>
      <c r="E316" s="387"/>
      <c r="F316" s="733">
        <f>Draft!$H$71</f>
        <v>0</v>
      </c>
      <c r="G316" s="733"/>
      <c r="H316" s="403"/>
      <c r="I316" s="733">
        <f>Draft!$Z$71</f>
        <v>15</v>
      </c>
      <c r="J316" s="734"/>
      <c r="L316" s="451"/>
      <c r="M316" s="451"/>
      <c r="N316" s="451"/>
      <c r="O316" s="451"/>
      <c r="P316" s="451"/>
    </row>
    <row r="317" spans="1:16" ht="15.75" x14ac:dyDescent="0.25">
      <c r="A317" s="381" t="s">
        <v>14</v>
      </c>
      <c r="B317" s="8"/>
      <c r="C317" s="8"/>
      <c r="D317" s="382"/>
      <c r="E317" s="8"/>
      <c r="F317" s="735">
        <f>SUM($F$311:$G$316)</f>
        <v>23118.34</v>
      </c>
      <c r="G317" s="735"/>
      <c r="H317" s="404"/>
      <c r="I317" s="733">
        <f>SUM($I$311:$J$316)</f>
        <v>1740.71</v>
      </c>
      <c r="J317" s="733"/>
      <c r="L317" s="451"/>
      <c r="M317" s="451"/>
      <c r="N317" s="451"/>
      <c r="O317" s="451"/>
      <c r="P317" s="451"/>
    </row>
    <row r="318" spans="1:16" x14ac:dyDescent="0.25">
      <c r="L318" s="451"/>
      <c r="M318" s="451"/>
      <c r="N318" s="451"/>
      <c r="O318" s="451"/>
      <c r="P318" s="451"/>
    </row>
  </sheetData>
  <mergeCells count="174">
    <mergeCell ref="B292:G295"/>
    <mergeCell ref="B302:G305"/>
    <mergeCell ref="A1:J1"/>
    <mergeCell ref="G3:I3"/>
    <mergeCell ref="A33:J33"/>
    <mergeCell ref="A34:J34"/>
    <mergeCell ref="A35:J35"/>
    <mergeCell ref="A37:J38"/>
    <mergeCell ref="E72:J72"/>
    <mergeCell ref="E73:F73"/>
    <mergeCell ref="E78:J78"/>
    <mergeCell ref="E79:J79"/>
    <mergeCell ref="E80:J80"/>
    <mergeCell ref="E81:F81"/>
    <mergeCell ref="A39:J39"/>
    <mergeCell ref="A40:J40"/>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H153:I153"/>
    <mergeCell ref="H154:I154"/>
    <mergeCell ref="G117:H117"/>
    <mergeCell ref="I117:J117"/>
    <mergeCell ref="G118:H118"/>
    <mergeCell ref="I118:J118"/>
    <mergeCell ref="H150:I150"/>
    <mergeCell ref="H152:I152"/>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9:H189"/>
    <mergeCell ref="I189:J189"/>
    <mergeCell ref="G190:H190"/>
    <mergeCell ref="I190:J190"/>
    <mergeCell ref="G191:H191"/>
    <mergeCell ref="I191:J191"/>
    <mergeCell ref="E253:F253"/>
    <mergeCell ref="E290:F290"/>
    <mergeCell ref="G199:H199"/>
    <mergeCell ref="I199:J199"/>
    <mergeCell ref="I200:J200"/>
    <mergeCell ref="A204:F204"/>
    <mergeCell ref="I206:J206"/>
    <mergeCell ref="G195:H195"/>
    <mergeCell ref="I195:J195"/>
    <mergeCell ref="G196:H196"/>
    <mergeCell ref="I196:J196"/>
    <mergeCell ref="G197:H197"/>
    <mergeCell ref="G198:H198"/>
    <mergeCell ref="E255:F284"/>
    <mergeCell ref="E219:F248"/>
    <mergeCell ref="F316:G316"/>
    <mergeCell ref="I316:J316"/>
    <mergeCell ref="F317:G317"/>
    <mergeCell ref="I317:J317"/>
    <mergeCell ref="A209:J209"/>
    <mergeCell ref="G181:H181"/>
    <mergeCell ref="I181:J181"/>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I207:J207"/>
    <mergeCell ref="G208:H208"/>
    <mergeCell ref="I208:J208"/>
    <mergeCell ref="E217:F217"/>
  </mergeCells>
  <conditionalFormatting sqref="B93">
    <cfRule type="cellIs" dxfId="59" priority="24" operator="equal">
      <formula>0</formula>
    </cfRule>
  </conditionalFormatting>
  <conditionalFormatting sqref="F93">
    <cfRule type="cellIs" dxfId="58" priority="23" operator="equal">
      <formula>0</formula>
    </cfRule>
  </conditionalFormatting>
  <conditionalFormatting sqref="F94:F99">
    <cfRule type="cellIs" dxfId="57" priority="22" operator="equal">
      <formula>0</formula>
    </cfRule>
  </conditionalFormatting>
  <conditionalFormatting sqref="B94:B99">
    <cfRule type="cellIs" dxfId="56" priority="19" operator="equal">
      <formula>0</formula>
    </cfRule>
  </conditionalFormatting>
  <conditionalFormatting sqref="D93">
    <cfRule type="cellIs" dxfId="55" priority="21" operator="equal">
      <formula>0</formula>
    </cfRule>
  </conditionalFormatting>
  <conditionalFormatting sqref="D94:D99">
    <cfRule type="cellIs" dxfId="54" priority="20" operator="equal">
      <formula>0</formula>
    </cfRule>
  </conditionalFormatting>
  <conditionalFormatting sqref="G213:I213">
    <cfRule type="expression" dxfId="53" priority="18">
      <formula>$G$213=0</formula>
    </cfRule>
  </conditionalFormatting>
  <conditionalFormatting sqref="H216">
    <cfRule type="cellIs" dxfId="52" priority="9" operator="equal">
      <formula>0</formula>
    </cfRule>
  </conditionalFormatting>
  <conditionalFormatting sqref="H252">
    <cfRule type="cellIs" dxfId="51" priority="8" operator="equal">
      <formula>0</formula>
    </cfRule>
  </conditionalFormatting>
  <conditionalFormatting sqref="G57:J58">
    <cfRule type="expression" dxfId="50"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&amp;RPGUA/DS/068/26</oddHeader>
    <oddFooter>&amp;C&amp;P</oddFooter>
  </headerFooter>
  <rowBreaks count="6" manualBreakCount="6">
    <brk id="32" max="17" man="1"/>
    <brk id="66" max="17" man="1"/>
    <brk id="110" max="17" man="1"/>
    <brk id="154" max="17" man="1"/>
    <brk id="213"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R35" sqref="R35"/>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STAR GENESIS</v>
      </c>
    </row>
    <row r="3" spans="1:14" ht="24" customHeight="1" x14ac:dyDescent="0.3">
      <c r="C3" s="418" t="str">
        <f>_xlfn.CONCAT(N5,N6,"MV ""","",_xlfn.CONCAT(C5),"",""" - Resumo dos números apurados - ","(",TEXT(G36,"#,##0.000")," t"," ou ",TEXT(I36,"#,##0.00"),"%",")")</f>
        <v>MV "STAR GENESIS" - Resumo dos números apurados - (64,070260 t ou ,09263%)</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STAR GENESIS</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6"/>
      <c r="D16" s="1186"/>
      <c r="E16" s="1186"/>
      <c r="F16" s="1186"/>
      <c r="G16" s="1186"/>
      <c r="H16" s="1186"/>
      <c r="I16" s="1186"/>
      <c r="J16" s="1186"/>
      <c r="K16" s="1186"/>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586</v>
      </c>
      <c r="D19" s="549" t="s">
        <v>519</v>
      </c>
      <c r="E19" s="550">
        <f>Draft!$E$4</f>
        <v>46087</v>
      </c>
      <c r="F19" s="551"/>
      <c r="G19" s="1187" t="str">
        <f>_xlfn.CONCAT(TEXT(Draft!$O$5,"hh:mm")," - ",Draft!$AN$7,Draft!$H$6)</f>
        <v>08:20 - Fundeado - área 9.3</v>
      </c>
      <c r="H19" s="1187"/>
      <c r="I19" s="1187"/>
      <c r="J19" s="1187"/>
      <c r="K19" s="1188"/>
      <c r="L19" s="244"/>
      <c r="M19" s="244"/>
      <c r="N19" s="244"/>
      <c r="O19" s="244" t="e">
        <f>IF(Draft!H6="berthed",Atracado,Fundeado)</f>
        <v>#NAME?</v>
      </c>
      <c r="P19" s="244"/>
      <c r="Q19" s="244"/>
    </row>
    <row r="20" spans="1:17" ht="17.25" x14ac:dyDescent="0.3">
      <c r="A20" s="533"/>
      <c r="B20" s="533"/>
      <c r="C20" s="552" t="s">
        <v>585</v>
      </c>
      <c r="D20" s="538" t="s">
        <v>519</v>
      </c>
      <c r="E20" s="539">
        <f>Draft!$X$4</f>
        <v>46091</v>
      </c>
      <c r="F20" s="540"/>
      <c r="G20" s="1189" t="str">
        <f>_xlfn.CONCAT(TEXT(Draft!$AH$5,"hh:mm")," - ",Draft!$AN$8,Draft!$AA$6)</f>
        <v>21:45 - Atracado - berço 212</v>
      </c>
      <c r="H20" s="1189"/>
      <c r="I20" s="1189"/>
      <c r="J20" s="1189"/>
      <c r="K20" s="1190"/>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57" t="s">
        <v>630</v>
      </c>
      <c r="D22" s="658" t="s">
        <v>519</v>
      </c>
      <c r="E22" s="659" t="s">
        <v>631</v>
      </c>
      <c r="F22" s="660"/>
      <c r="G22" s="660" t="s">
        <v>632</v>
      </c>
      <c r="H22" s="660"/>
      <c r="I22" s="661"/>
      <c r="J22" s="661"/>
      <c r="K22" s="662"/>
      <c r="L22" s="537"/>
      <c r="M22" s="244"/>
      <c r="N22" s="244"/>
      <c r="O22" s="417">
        <v>3000</v>
      </c>
      <c r="P22" s="244"/>
      <c r="Q22" s="244"/>
    </row>
    <row r="23" spans="1:17" ht="15" customHeight="1" x14ac:dyDescent="0.3">
      <c r="A23" s="533"/>
      <c r="B23" s="533"/>
      <c r="C23" s="663" t="s">
        <v>343</v>
      </c>
      <c r="D23" s="664" t="s">
        <v>519</v>
      </c>
      <c r="E23" s="665">
        <v>0</v>
      </c>
      <c r="F23" s="661"/>
      <c r="G23" s="666">
        <f>IFERROR(E23/E34*100,"")</f>
        <v>0</v>
      </c>
      <c r="H23" s="661"/>
      <c r="I23" s="661"/>
      <c r="J23" s="661"/>
      <c r="K23" s="662"/>
      <c r="L23" s="537"/>
      <c r="M23" s="244"/>
      <c r="N23" s="244"/>
      <c r="O23" s="417"/>
      <c r="P23" s="244"/>
      <c r="Q23" s="244"/>
    </row>
    <row r="24" spans="1:17" ht="15" customHeight="1" x14ac:dyDescent="0.3">
      <c r="A24" s="533"/>
      <c r="B24" s="533"/>
      <c r="C24" s="663" t="s">
        <v>344</v>
      </c>
      <c r="D24" s="664" t="s">
        <v>519</v>
      </c>
      <c r="E24" s="665">
        <v>2667.5250000000001</v>
      </c>
      <c r="F24" s="661"/>
      <c r="G24" s="666">
        <f>IFERROR(E24/E34*100,"")</f>
        <v>3.8564182559033005</v>
      </c>
      <c r="H24" s="661"/>
      <c r="I24" s="661"/>
      <c r="J24" s="661"/>
      <c r="K24" s="662"/>
      <c r="L24" s="537"/>
      <c r="M24" s="244"/>
      <c r="N24" s="244"/>
      <c r="O24" s="417"/>
      <c r="P24" s="244"/>
      <c r="Q24" s="244"/>
    </row>
    <row r="25" spans="1:17" ht="15" customHeight="1" x14ac:dyDescent="0.3">
      <c r="A25" s="533"/>
      <c r="B25" s="533"/>
      <c r="C25" s="663" t="s">
        <v>345</v>
      </c>
      <c r="D25" s="664" t="s">
        <v>519</v>
      </c>
      <c r="E25" s="665">
        <v>0</v>
      </c>
      <c r="F25" s="661"/>
      <c r="G25" s="666">
        <f>IFERROR(E25/E34*100,"")</f>
        <v>0</v>
      </c>
      <c r="H25" s="661"/>
      <c r="I25" s="661"/>
      <c r="J25" s="661"/>
      <c r="K25" s="662"/>
      <c r="L25" s="537"/>
      <c r="M25" s="244"/>
      <c r="N25" s="244"/>
      <c r="O25" s="417"/>
      <c r="P25" s="244"/>
      <c r="Q25" s="244"/>
    </row>
    <row r="26" spans="1:17" ht="15" customHeight="1" x14ac:dyDescent="0.3">
      <c r="A26" s="533"/>
      <c r="B26" s="533"/>
      <c r="C26" s="663" t="s">
        <v>346</v>
      </c>
      <c r="D26" s="664" t="s">
        <v>519</v>
      </c>
      <c r="E26" s="665">
        <v>20900</v>
      </c>
      <c r="F26" s="661"/>
      <c r="G26" s="666">
        <f>IFERROR(E26/E34*100,"")</f>
        <v>30.214952642760228</v>
      </c>
      <c r="H26" s="661"/>
      <c r="I26" s="661"/>
      <c r="J26" s="661"/>
      <c r="K26" s="662"/>
      <c r="L26" s="537"/>
      <c r="M26" s="244"/>
      <c r="N26" s="244"/>
      <c r="O26" s="417"/>
      <c r="P26" s="244"/>
      <c r="Q26" s="244"/>
    </row>
    <row r="27" spans="1:17" ht="15" customHeight="1" x14ac:dyDescent="0.3">
      <c r="A27" s="533"/>
      <c r="B27" s="533"/>
      <c r="C27" s="663" t="s">
        <v>347</v>
      </c>
      <c r="D27" s="664" t="s">
        <v>519</v>
      </c>
      <c r="E27" s="665">
        <v>8100</v>
      </c>
      <c r="F27" s="661"/>
      <c r="G27" s="666">
        <f>IFERROR(E27/E34*100,"")</f>
        <v>11.710101263462098</v>
      </c>
      <c r="H27" s="661"/>
      <c r="I27" s="661"/>
      <c r="J27" s="661"/>
      <c r="K27" s="662"/>
      <c r="L27" s="537"/>
      <c r="M27" s="244"/>
      <c r="N27" s="244"/>
      <c r="O27" s="417"/>
      <c r="P27" s="244"/>
      <c r="Q27" s="244"/>
    </row>
    <row r="28" spans="1:17" ht="15" customHeight="1" x14ac:dyDescent="0.3">
      <c r="A28" s="533"/>
      <c r="B28" s="533"/>
      <c r="C28" s="663" t="s">
        <v>770</v>
      </c>
      <c r="D28" s="664" t="s">
        <v>519</v>
      </c>
      <c r="E28" s="665">
        <v>20361.05</v>
      </c>
      <c r="F28" s="661"/>
      <c r="G28" s="666">
        <f>IFERROR(E28/E34*100,"")</f>
        <v>29.435797201285794</v>
      </c>
      <c r="H28" s="661"/>
      <c r="I28" s="661"/>
      <c r="J28" s="661"/>
      <c r="K28" s="662"/>
      <c r="L28" s="537"/>
      <c r="M28" s="244"/>
      <c r="N28" s="244"/>
      <c r="O28" s="417"/>
      <c r="P28" s="244"/>
      <c r="Q28" s="244"/>
    </row>
    <row r="29" spans="1:17" ht="15" customHeight="1" x14ac:dyDescent="0.3">
      <c r="A29" s="533"/>
      <c r="B29" s="533"/>
      <c r="C29" s="663" t="s">
        <v>349</v>
      </c>
      <c r="D29" s="664" t="s">
        <v>519</v>
      </c>
      <c r="E29" s="665">
        <v>0</v>
      </c>
      <c r="F29" s="661"/>
      <c r="G29" s="666">
        <f>IFERROR(E29/E34*100,"")</f>
        <v>0</v>
      </c>
      <c r="H29" s="661"/>
      <c r="I29" s="661"/>
      <c r="J29" s="661"/>
      <c r="K29" s="662"/>
      <c r="L29" s="537"/>
      <c r="M29" s="244"/>
      <c r="N29" s="244"/>
      <c r="O29" s="417"/>
      <c r="P29" s="244"/>
      <c r="Q29" s="244"/>
    </row>
    <row r="30" spans="1:17" ht="15" customHeight="1" x14ac:dyDescent="0.3">
      <c r="A30" s="533"/>
      <c r="B30" s="533"/>
      <c r="C30" s="663" t="s">
        <v>350</v>
      </c>
      <c r="D30" s="664" t="s">
        <v>519</v>
      </c>
      <c r="E30" s="665">
        <v>6500</v>
      </c>
      <c r="F30" s="661"/>
      <c r="G30" s="666">
        <f>IFERROR(E30/E34*100,"")</f>
        <v>9.3969948410498318</v>
      </c>
      <c r="H30" s="661"/>
      <c r="I30" s="661"/>
      <c r="J30" s="661"/>
      <c r="K30" s="662"/>
      <c r="L30" s="537"/>
      <c r="M30" s="244"/>
      <c r="N30" s="244"/>
      <c r="O30" s="417"/>
      <c r="P30" s="244"/>
      <c r="Q30" s="244"/>
    </row>
    <row r="31" spans="1:17" ht="15" customHeight="1" x14ac:dyDescent="0.3">
      <c r="A31" s="533"/>
      <c r="B31" s="533"/>
      <c r="C31" s="663" t="s">
        <v>351</v>
      </c>
      <c r="D31" s="664" t="s">
        <v>519</v>
      </c>
      <c r="E31" s="665">
        <v>0</v>
      </c>
      <c r="F31" s="661"/>
      <c r="G31" s="666">
        <f>IFERROR(E31/E34*100,"")</f>
        <v>0</v>
      </c>
      <c r="H31" s="661"/>
      <c r="I31" s="661"/>
      <c r="J31" s="661"/>
      <c r="K31" s="662"/>
      <c r="L31" s="537"/>
      <c r="M31" s="244"/>
      <c r="N31" s="244"/>
      <c r="O31" s="417"/>
      <c r="P31" s="244"/>
      <c r="Q31" s="244"/>
    </row>
    <row r="32" spans="1:17" ht="15" customHeight="1" x14ac:dyDescent="0.3">
      <c r="A32" s="533"/>
      <c r="B32" s="533"/>
      <c r="C32" s="663" t="s">
        <v>769</v>
      </c>
      <c r="D32" s="664" t="s">
        <v>519</v>
      </c>
      <c r="E32" s="665">
        <v>8832.4750000000004</v>
      </c>
      <c r="F32" s="667"/>
      <c r="G32" s="666">
        <f>IFERROR(E32/E34*100,"")</f>
        <v>12.769034155184864</v>
      </c>
      <c r="H32" s="667"/>
      <c r="I32" s="667"/>
      <c r="J32" s="667"/>
      <c r="K32" s="668"/>
    </row>
    <row r="33" spans="1:17" ht="15" customHeight="1" x14ac:dyDescent="0.3">
      <c r="A33" s="533"/>
      <c r="B33" s="533"/>
      <c r="C33" s="663" t="s">
        <v>353</v>
      </c>
      <c r="D33" s="664" t="s">
        <v>519</v>
      </c>
      <c r="E33" s="665">
        <v>1810</v>
      </c>
      <c r="F33" s="667"/>
      <c r="G33" s="666">
        <f>IFERROR(E33/E34*100,"")</f>
        <v>2.6167016403538761</v>
      </c>
      <c r="H33" s="667"/>
      <c r="I33" s="667"/>
      <c r="J33" s="667"/>
      <c r="K33" s="668"/>
    </row>
    <row r="34" spans="1:17" ht="15" customHeight="1" x14ac:dyDescent="0.3">
      <c r="A34" s="533"/>
      <c r="B34" s="533"/>
      <c r="C34" s="657" t="s">
        <v>629</v>
      </c>
      <c r="D34" s="658" t="s">
        <v>519</v>
      </c>
      <c r="E34" s="669">
        <f>Draft!$Z$78</f>
        <v>69171.05</v>
      </c>
      <c r="F34" s="669"/>
      <c r="G34" s="670">
        <f>SUM(G23:G33)</f>
        <v>100</v>
      </c>
      <c r="H34" s="671"/>
      <c r="I34" s="671"/>
      <c r="J34" s="671"/>
      <c r="K34" s="672"/>
      <c r="O34" s="242" t="s">
        <v>318</v>
      </c>
      <c r="P34" s="243" t="s">
        <v>520</v>
      </c>
    </row>
    <row r="35" spans="1:17" ht="17.100000000000001" customHeight="1" x14ac:dyDescent="0.3">
      <c r="A35" s="533"/>
      <c r="B35" s="533"/>
      <c r="C35" s="555"/>
      <c r="D35" s="540"/>
      <c r="E35" s="540"/>
      <c r="F35" s="540"/>
      <c r="G35" s="540"/>
      <c r="H35" s="540"/>
      <c r="I35" s="540"/>
      <c r="J35" s="540"/>
      <c r="K35" s="696" t="s">
        <v>695</v>
      </c>
      <c r="O35" s="242" t="s">
        <v>320</v>
      </c>
      <c r="P35" s="243" t="s">
        <v>521</v>
      </c>
    </row>
    <row r="36" spans="1:17" ht="17.100000000000001" customHeight="1" x14ac:dyDescent="0.3">
      <c r="A36" s="541"/>
      <c r="B36" s="541"/>
      <c r="C36" s="556" t="s">
        <v>522</v>
      </c>
      <c r="D36" s="534" t="s">
        <v>519</v>
      </c>
      <c r="E36" s="568">
        <f>IF(K36="SIM",Draft!AF77,Draft!Z77)</f>
        <v>69235.12026043277</v>
      </c>
      <c r="F36" s="535" t="s">
        <v>523</v>
      </c>
      <c r="G36" s="568">
        <f>IF(K36="SIM",Draft!AF79,Draft!Z79)</f>
        <v>64.0702604327671</v>
      </c>
      <c r="H36" s="536" t="s">
        <v>524</v>
      </c>
      <c r="I36" s="569">
        <f>$G$36/$E$34*100</f>
        <v>9.2625831807912548E-2</v>
      </c>
      <c r="J36" s="535" t="s">
        <v>525</v>
      </c>
      <c r="K36" s="695" t="s">
        <v>593</v>
      </c>
      <c r="L36" s="243"/>
      <c r="M36" s="244"/>
      <c r="N36" s="244"/>
      <c r="O36" s="242" t="s">
        <v>321</v>
      </c>
      <c r="P36" s="243" t="s">
        <v>526</v>
      </c>
      <c r="Q36" s="244"/>
    </row>
    <row r="37" spans="1:17" ht="17.100000000000001" customHeight="1" x14ac:dyDescent="0.3">
      <c r="A37" s="541"/>
      <c r="B37" s="541"/>
      <c r="C37" s="556" t="s">
        <v>527</v>
      </c>
      <c r="D37" s="534" t="s">
        <v>519</v>
      </c>
      <c r="E37" s="568">
        <f>Draft!$X$82</f>
        <v>69418.312999999995</v>
      </c>
      <c r="F37" s="535" t="s">
        <v>523</v>
      </c>
      <c r="G37" s="568">
        <f>Draft!$AA$82</f>
        <v>247.26299999999173</v>
      </c>
      <c r="H37" s="536" t="s">
        <v>524</v>
      </c>
      <c r="I37" s="569">
        <f>$G$37/$E$34*100</f>
        <v>0.35746602082806567</v>
      </c>
      <c r="J37" s="535" t="s">
        <v>525</v>
      </c>
      <c r="K37" s="557"/>
      <c r="L37" s="243"/>
      <c r="M37" s="244"/>
      <c r="N37" s="244"/>
      <c r="O37" s="242" t="s">
        <v>323</v>
      </c>
      <c r="P37" s="243" t="s">
        <v>528</v>
      </c>
      <c r="Q37" s="244"/>
    </row>
    <row r="38" spans="1:17" ht="17.100000000000001" customHeight="1" x14ac:dyDescent="0.3">
      <c r="A38" s="541"/>
      <c r="B38" s="541"/>
      <c r="C38" s="556" t="s">
        <v>529</v>
      </c>
      <c r="D38" s="534" t="s">
        <v>519</v>
      </c>
      <c r="E38" s="568">
        <f>Draft!$X$83</f>
        <v>69195.657999999996</v>
      </c>
      <c r="F38" s="535" t="s">
        <v>523</v>
      </c>
      <c r="G38" s="568">
        <f>Draft!$AA$83</f>
        <v>24.607999999992899</v>
      </c>
      <c r="H38" s="536" t="s">
        <v>524</v>
      </c>
      <c r="I38" s="569">
        <f>$G$38/$E$34*100</f>
        <v>3.557557677669039E-2</v>
      </c>
      <c r="J38" s="535" t="s">
        <v>525</v>
      </c>
      <c r="K38" s="557"/>
      <c r="L38" s="243"/>
      <c r="M38" s="244"/>
      <c r="N38" s="244"/>
      <c r="O38" s="242" t="s">
        <v>324</v>
      </c>
      <c r="P38" s="243" t="s">
        <v>530</v>
      </c>
      <c r="Q38" s="244"/>
    </row>
    <row r="39" spans="1:17" ht="17.100000000000001" customHeight="1" x14ac:dyDescent="0.3">
      <c r="A39" s="542"/>
      <c r="B39" s="543">
        <f>Draft!$U$84</f>
        <v>0</v>
      </c>
      <c r="C39" s="556" t="str">
        <f>IFERROR(_xlfn.IFS(B39=O34,P34,B39=O35,P35,B39=O36,P36,B39=O37,P37,B39=O38,P38,B39=O39,P39,B39=O40,P40,B39=O41,P41,B39=O42,P42),"")</f>
        <v/>
      </c>
      <c r="D39" s="534" t="s">
        <v>519</v>
      </c>
      <c r="E39" s="568">
        <f>Draft!$X$84</f>
        <v>0</v>
      </c>
      <c r="F39" s="535" t="s">
        <v>523</v>
      </c>
      <c r="G39" s="568">
        <f>Draft!$AA$84</f>
        <v>-69171.05</v>
      </c>
      <c r="H39" s="536" t="s">
        <v>524</v>
      </c>
      <c r="I39" s="569">
        <f>Draft!$AC$84</f>
        <v>-100</v>
      </c>
      <c r="J39" s="535" t="s">
        <v>525</v>
      </c>
      <c r="K39" s="557"/>
      <c r="L39" s="243"/>
      <c r="M39" s="244"/>
      <c r="N39" s="244"/>
      <c r="O39" s="242" t="s">
        <v>325</v>
      </c>
      <c r="P39" s="243" t="s">
        <v>531</v>
      </c>
      <c r="Q39" s="244"/>
    </row>
    <row r="40" spans="1:17" ht="17.100000000000001" customHeight="1" x14ac:dyDescent="0.3">
      <c r="A40" s="542"/>
      <c r="B40" s="543">
        <f>Draft!$U$85</f>
        <v>0</v>
      </c>
      <c r="C40" s="556" t="str">
        <f>IFERROR(_xlfn.IFS(B40=O34,P34,B40=O35,P35,B40=O36,P36,B40=O37,P37,B40=O38,P38,B40=O39,P39,B40=O40,P40,B40=O41,P41,B40=O42,P42),"")</f>
        <v/>
      </c>
      <c r="D40" s="534" t="s">
        <v>519</v>
      </c>
      <c r="E40" s="568">
        <f>Draft!$X$85</f>
        <v>0</v>
      </c>
      <c r="F40" s="535" t="s">
        <v>523</v>
      </c>
      <c r="G40" s="568">
        <f>Draft!$AA$85</f>
        <v>-69171.05</v>
      </c>
      <c r="H40" s="536" t="s">
        <v>524</v>
      </c>
      <c r="I40" s="569">
        <f>Draft!$AC$85</f>
        <v>-100</v>
      </c>
      <c r="J40" s="535" t="s">
        <v>525</v>
      </c>
      <c r="K40" s="557"/>
      <c r="L40" s="243"/>
      <c r="M40" s="244"/>
      <c r="N40" s="244"/>
      <c r="O40" s="242" t="s">
        <v>326</v>
      </c>
      <c r="P40" s="243" t="s">
        <v>532</v>
      </c>
      <c r="Q40" s="244"/>
    </row>
    <row r="41" spans="1:17" ht="17.100000000000001" customHeight="1" x14ac:dyDescent="0.3">
      <c r="A41" s="542"/>
      <c r="B41" s="543">
        <f>Draft!$U$86</f>
        <v>0</v>
      </c>
      <c r="C41" s="556" t="str">
        <f>IFERROR(_xlfn.IFS(B41=O34,P34,B41=O35,P35,B41=O36,P36,B41=O37,P37,B41=O38,P38,B41=O39,P39,B41=O40,P40,B41=O41,P41,B41=O42,P42),"")</f>
        <v/>
      </c>
      <c r="D41" s="534" t="s">
        <v>519</v>
      </c>
      <c r="E41" s="568">
        <f>Draft!$X$86</f>
        <v>0</v>
      </c>
      <c r="F41" s="535" t="s">
        <v>523</v>
      </c>
      <c r="G41" s="568">
        <f>Draft!$AA$86</f>
        <v>-69171.05</v>
      </c>
      <c r="H41" s="536" t="s">
        <v>524</v>
      </c>
      <c r="I41" s="569">
        <f>Draft!$AC$86</f>
        <v>-100</v>
      </c>
      <c r="J41" s="535" t="s">
        <v>525</v>
      </c>
      <c r="K41" s="557"/>
      <c r="L41" s="243"/>
      <c r="M41" s="244"/>
      <c r="N41" s="244"/>
      <c r="O41" s="69" t="s">
        <v>63</v>
      </c>
      <c r="P41" s="243" t="s">
        <v>528</v>
      </c>
      <c r="Q41" s="244"/>
    </row>
    <row r="42" spans="1:17" ht="17.100000000000001" customHeight="1" x14ac:dyDescent="0.3">
      <c r="A42" s="542"/>
      <c r="B42" s="543">
        <f>Draft!$U$87</f>
        <v>0</v>
      </c>
      <c r="C42" s="556" t="str">
        <f>IFERROR(_xlfn.IFS(B42=O34,P34,B42=O35,P35,B42=O36,P36,B42=O37,P37,B42=O38,P38,B42=O39,P39,B42=O40,P40,B42=O41,P41,B42=O42,P42),"")</f>
        <v/>
      </c>
      <c r="D42" s="534" t="s">
        <v>519</v>
      </c>
      <c r="E42" s="568">
        <f>Draft!$X$87</f>
        <v>0</v>
      </c>
      <c r="F42" s="535" t="s">
        <v>523</v>
      </c>
      <c r="G42" s="568">
        <f>Draft!$AA$87</f>
        <v>-69171.05</v>
      </c>
      <c r="H42" s="536" t="s">
        <v>524</v>
      </c>
      <c r="I42" s="569">
        <f>Draft!$AC$87</f>
        <v>-100</v>
      </c>
      <c r="J42" s="535" t="s">
        <v>525</v>
      </c>
      <c r="K42" s="557"/>
      <c r="L42" s="243"/>
      <c r="M42" s="244"/>
      <c r="N42" s="244"/>
      <c r="O42" s="69" t="s">
        <v>624</v>
      </c>
      <c r="P42" s="243" t="s">
        <v>627</v>
      </c>
      <c r="Q42" s="244"/>
    </row>
    <row r="43" spans="1:17" ht="17.100000000000001" customHeight="1" x14ac:dyDescent="0.3">
      <c r="A43" s="542"/>
      <c r="B43" s="543">
        <f>Draft!$U$88</f>
        <v>0</v>
      </c>
      <c r="C43" s="556"/>
      <c r="D43" s="535"/>
      <c r="E43" s="568">
        <f>Draft!$X$88</f>
        <v>0</v>
      </c>
      <c r="F43" s="535" t="s">
        <v>523</v>
      </c>
      <c r="G43" s="568">
        <f>Draft!$Z$88</f>
        <v>0</v>
      </c>
      <c r="H43" s="536" t="s">
        <v>524</v>
      </c>
      <c r="I43" s="569">
        <f>Draft!$AC$88</f>
        <v>0</v>
      </c>
      <c r="J43" s="535" t="s">
        <v>525</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91" t="s">
        <v>692</v>
      </c>
      <c r="D45" s="1192"/>
      <c r="E45" s="1192"/>
      <c r="F45" s="1192"/>
      <c r="G45" s="1192"/>
      <c r="H45" s="1192"/>
      <c r="I45" s="1192"/>
      <c r="J45" s="1192"/>
      <c r="K45" s="1193"/>
    </row>
    <row r="46" spans="1:17" s="693" customFormat="1" ht="18" customHeight="1" x14ac:dyDescent="0.25">
      <c r="C46" s="694" t="s">
        <v>341</v>
      </c>
      <c r="D46" s="1194" t="s">
        <v>688</v>
      </c>
      <c r="E46" s="1194"/>
      <c r="F46" s="1194" t="s">
        <v>693</v>
      </c>
      <c r="G46" s="1194"/>
      <c r="H46" s="1194" t="s">
        <v>694</v>
      </c>
      <c r="I46" s="1194"/>
      <c r="J46" s="1194" t="s">
        <v>342</v>
      </c>
      <c r="K46" s="1194"/>
    </row>
    <row r="47" spans="1:17" ht="12.75" customHeight="1" x14ac:dyDescent="0.2">
      <c r="C47" s="692">
        <v>1</v>
      </c>
      <c r="D47" s="1185">
        <v>8892.51</v>
      </c>
      <c r="E47" s="1185"/>
      <c r="F47" s="1195">
        <f>DCP!B28</f>
        <v>430412</v>
      </c>
      <c r="G47" s="1185"/>
      <c r="H47" s="1185" t="s">
        <v>795</v>
      </c>
      <c r="I47" s="1185"/>
      <c r="J47" s="1185" t="s">
        <v>771</v>
      </c>
      <c r="K47" s="1185"/>
    </row>
    <row r="48" spans="1:17" ht="12.75" customHeight="1" x14ac:dyDescent="0.2">
      <c r="C48" s="692">
        <v>2</v>
      </c>
      <c r="D48" s="1185">
        <v>9957.2000000000007</v>
      </c>
      <c r="E48" s="1185"/>
      <c r="F48" s="1195">
        <f>DCP!C28</f>
        <v>490920</v>
      </c>
      <c r="G48" s="1185"/>
      <c r="H48" s="1185" t="s">
        <v>795</v>
      </c>
      <c r="I48" s="1185"/>
      <c r="J48" s="1185" t="s">
        <v>771</v>
      </c>
      <c r="K48" s="1185"/>
    </row>
    <row r="49" spans="3:11" ht="12.75" customHeight="1" x14ac:dyDescent="0.2">
      <c r="C49" s="692">
        <v>3</v>
      </c>
      <c r="D49" s="1185">
        <v>10141.66</v>
      </c>
      <c r="E49" s="1185"/>
      <c r="F49" s="1195">
        <f>DCP!D28</f>
        <v>491351</v>
      </c>
      <c r="G49" s="1185"/>
      <c r="H49" s="1185" t="s">
        <v>795</v>
      </c>
      <c r="I49" s="1185"/>
      <c r="J49" s="1185" t="s">
        <v>771</v>
      </c>
      <c r="K49" s="1185"/>
    </row>
    <row r="50" spans="3:11" ht="12.75" customHeight="1" x14ac:dyDescent="0.2">
      <c r="C50" s="692">
        <v>4</v>
      </c>
      <c r="D50" s="1185">
        <v>10100.58</v>
      </c>
      <c r="E50" s="1185"/>
      <c r="F50" s="1195">
        <f>DCP!E28</f>
        <v>491351</v>
      </c>
      <c r="G50" s="1185"/>
      <c r="H50" s="1185" t="s">
        <v>795</v>
      </c>
      <c r="I50" s="1185"/>
      <c r="J50" s="1185" t="s">
        <v>771</v>
      </c>
      <c r="K50" s="1185"/>
    </row>
    <row r="51" spans="3:11" ht="12.75" customHeight="1" x14ac:dyDescent="0.2">
      <c r="C51" s="692">
        <v>5</v>
      </c>
      <c r="D51" s="1185">
        <v>10151.08</v>
      </c>
      <c r="E51" s="1185"/>
      <c r="F51" s="1195">
        <f>DCP!F28</f>
        <v>491351</v>
      </c>
      <c r="G51" s="1185"/>
      <c r="H51" s="1185" t="s">
        <v>795</v>
      </c>
      <c r="I51" s="1185"/>
      <c r="J51" s="1185" t="s">
        <v>771</v>
      </c>
      <c r="K51" s="1185"/>
    </row>
    <row r="52" spans="3:11" ht="12.75" customHeight="1" x14ac:dyDescent="0.2">
      <c r="C52" s="692">
        <v>6</v>
      </c>
      <c r="D52" s="1185">
        <v>10138.42</v>
      </c>
      <c r="E52" s="1185"/>
      <c r="F52" s="1195">
        <f>DCP!G28</f>
        <v>491351</v>
      </c>
      <c r="G52" s="1185"/>
      <c r="H52" s="1185" t="s">
        <v>795</v>
      </c>
      <c r="I52" s="1185"/>
      <c r="J52" s="1185" t="s">
        <v>771</v>
      </c>
      <c r="K52" s="1185"/>
    </row>
    <row r="53" spans="3:11" ht="12.75" customHeight="1" x14ac:dyDescent="0.2">
      <c r="C53" s="692">
        <v>7</v>
      </c>
      <c r="D53" s="1185">
        <v>9789.6</v>
      </c>
      <c r="E53" s="1185"/>
      <c r="F53" s="1195">
        <f>DCP!H28</f>
        <v>474223</v>
      </c>
      <c r="G53" s="1185"/>
      <c r="H53" s="1185" t="s">
        <v>795</v>
      </c>
      <c r="I53" s="1185"/>
      <c r="J53" s="1185" t="s">
        <v>771</v>
      </c>
      <c r="K53" s="1185"/>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6" t="s">
        <v>533</v>
      </c>
      <c r="C8" s="1196"/>
      <c r="D8" s="1196"/>
      <c r="E8" s="1196"/>
    </row>
    <row r="9" spans="2:7" ht="15" x14ac:dyDescent="0.25">
      <c r="B9" s="245" t="s">
        <v>534</v>
      </c>
      <c r="C9" s="245" t="s">
        <v>535</v>
      </c>
      <c r="D9" s="245" t="s">
        <v>536</v>
      </c>
      <c r="E9" s="245" t="s">
        <v>537</v>
      </c>
    </row>
    <row r="10" spans="2:7" x14ac:dyDescent="0.2">
      <c r="B10" s="246" t="str">
        <f>'DADOS E-MAIL '!$C$36</f>
        <v>Standard Brazil</v>
      </c>
      <c r="C10" s="247">
        <f>'DADOS E-MAIL '!$E$36</f>
        <v>69235.12026043277</v>
      </c>
      <c r="D10" s="248">
        <f>C10-$G$10</f>
        <v>64.0702604327671</v>
      </c>
      <c r="E10" s="249">
        <f>$D$10/$G$10*100</f>
        <v>9.2625831807912548E-2</v>
      </c>
      <c r="G10" s="240">
        <f>'DADOS E-MAIL '!$E$34</f>
        <v>69171.05</v>
      </c>
    </row>
    <row r="11" spans="2:7" x14ac:dyDescent="0.2">
      <c r="B11" s="246" t="str">
        <f>'DADOS E-MAIL '!$C$37</f>
        <v>Comando do navio:</v>
      </c>
      <c r="C11" s="247">
        <f>'DADOS E-MAIL '!$E$37</f>
        <v>69418.312999999995</v>
      </c>
      <c r="D11" s="248">
        <f>C11-$G$11</f>
        <v>247.26299999999173</v>
      </c>
      <c r="E11" s="249">
        <f>$D$11/$G$11*100</f>
        <v>0.35746602082806567</v>
      </c>
      <c r="G11" s="240">
        <f>'DADOS E-MAIL '!$E$34</f>
        <v>69171.05</v>
      </c>
    </row>
    <row r="12" spans="2:7" x14ac:dyDescent="0.2">
      <c r="B12" s="246" t="str">
        <f>'DADOS E-MAIL '!$C$38</f>
        <v>Receita Federal:</v>
      </c>
      <c r="C12" s="247">
        <f>'DADOS E-MAIL '!$E$38</f>
        <v>69195.657999999996</v>
      </c>
      <c r="D12" s="248">
        <f>C12-$G$12</f>
        <v>24.607999999992899</v>
      </c>
      <c r="E12" s="249">
        <f>$D$12/$G$12*100</f>
        <v>3.557557677669039E-2</v>
      </c>
      <c r="G12" s="240">
        <f>'DADOS E-MAIL '!$E$34</f>
        <v>69171.05</v>
      </c>
    </row>
    <row r="14" spans="2:7" x14ac:dyDescent="0.2">
      <c r="B14" s="1196" t="s">
        <v>286</v>
      </c>
      <c r="C14" s="1196"/>
      <c r="D14" s="1196"/>
      <c r="E14" s="1196"/>
    </row>
    <row r="15" spans="2:7" ht="15" x14ac:dyDescent="0.25">
      <c r="B15" s="245" t="s">
        <v>534</v>
      </c>
      <c r="C15" s="245" t="s">
        <v>535</v>
      </c>
      <c r="D15" s="245" t="s">
        <v>536</v>
      </c>
      <c r="E15" s="245" t="s">
        <v>537</v>
      </c>
    </row>
    <row r="16" spans="2:7" x14ac:dyDescent="0.2">
      <c r="B16" s="246" t="str">
        <f>'DADOS E-MAIL '!$C$36</f>
        <v>Standard Brazil</v>
      </c>
      <c r="C16" s="247">
        <f>Draft!$AF$77</f>
        <v>69235.12026043277</v>
      </c>
      <c r="D16" s="248">
        <f>$C$16-$G$16</f>
        <v>64.0702604327671</v>
      </c>
      <c r="E16" s="249">
        <f>$D$16/$G$16*100</f>
        <v>9.2625831807912548E-2</v>
      </c>
      <c r="G16" s="240">
        <f>'DADOS E-MAIL '!$E$34</f>
        <v>69171.05</v>
      </c>
    </row>
    <row r="17" spans="2:7" x14ac:dyDescent="0.2">
      <c r="B17" s="246" t="str">
        <f>'DADOS E-MAIL '!$C$37</f>
        <v>Comando do navio:</v>
      </c>
      <c r="C17" s="247">
        <f>'DADOS E-MAIL '!$E$37</f>
        <v>69418.312999999995</v>
      </c>
      <c r="D17" s="248">
        <f>C17-$G$11</f>
        <v>247.26299999999173</v>
      </c>
      <c r="E17" s="249">
        <f>$D$11/$G$11*100</f>
        <v>0.35746602082806567</v>
      </c>
      <c r="G17" s="240">
        <f>'DADOS E-MAIL '!$E$34</f>
        <v>69171.05</v>
      </c>
    </row>
    <row r="18" spans="2:7" x14ac:dyDescent="0.2">
      <c r="B18" s="246" t="str">
        <f>'DADOS E-MAIL '!$C$38</f>
        <v>Receita Federal:</v>
      </c>
      <c r="C18" s="247">
        <f>'DADOS E-MAIL '!$E$38</f>
        <v>69195.657999999996</v>
      </c>
      <c r="D18" s="248">
        <f>C18-$G$12</f>
        <v>24.607999999992899</v>
      </c>
      <c r="E18" s="249">
        <f>$D$12/$G$12*100</f>
        <v>3.557557677669039E-2</v>
      </c>
      <c r="G18" s="240">
        <f>'DADOS E-MAIL '!$E$34</f>
        <v>69171.05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0" zoomScaleNormal="100" zoomScaleSheetLayoutView="100" workbookViewId="0">
      <selection activeCell="A95" sqref="A95"/>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254" t="str">
        <f>(_xlfn.CONCAT("MV ",CAPA!B8))</f>
        <v>MV STAR GENESIS</v>
      </c>
      <c r="I2" s="1254"/>
      <c r="J2" s="1254"/>
      <c r="K2" s="1254"/>
      <c r="L2" s="1254"/>
      <c r="M2" s="1254"/>
      <c r="N2" s="1254"/>
      <c r="O2" s="1254"/>
      <c r="P2" s="303"/>
      <c r="Q2" s="303"/>
      <c r="R2" s="1255" t="s">
        <v>684</v>
      </c>
      <c r="S2" s="1255"/>
      <c r="T2" s="1255"/>
      <c r="U2" s="1255"/>
      <c r="V2" s="303"/>
    </row>
    <row r="3" spans="1:22" x14ac:dyDescent="0.25">
      <c r="A3" s="303"/>
      <c r="B3" s="303"/>
      <c r="C3" s="303"/>
      <c r="D3" s="303"/>
      <c r="E3" s="303"/>
      <c r="F3" s="303"/>
      <c r="G3" s="303"/>
      <c r="H3" s="1254"/>
      <c r="I3" s="1254"/>
      <c r="J3" s="1254"/>
      <c r="K3" s="1254"/>
      <c r="L3" s="1254"/>
      <c r="M3" s="1254"/>
      <c r="N3" s="1254"/>
      <c r="O3" s="1254"/>
      <c r="P3" s="303"/>
      <c r="Q3" s="303"/>
      <c r="R3" s="1256">
        <f>Draft!Z78</f>
        <v>69171.05</v>
      </c>
      <c r="S3" s="1256"/>
      <c r="T3" s="1256"/>
      <c r="U3" s="1256"/>
      <c r="V3" s="303"/>
    </row>
    <row r="4" spans="1:22" x14ac:dyDescent="0.25">
      <c r="A4" s="303"/>
      <c r="B4" s="303"/>
      <c r="C4" s="303"/>
      <c r="D4" s="303"/>
      <c r="E4" s="303"/>
      <c r="F4" s="303"/>
      <c r="G4" s="303"/>
      <c r="H4" s="303"/>
      <c r="I4" s="303"/>
      <c r="J4" s="303"/>
      <c r="K4" s="303"/>
      <c r="L4" s="303"/>
      <c r="M4" s="303"/>
      <c r="N4" s="303"/>
      <c r="O4" s="303"/>
      <c r="P4" s="303"/>
      <c r="Q4" s="303"/>
      <c r="R4" s="1255"/>
      <c r="S4" s="1255"/>
      <c r="T4" s="1255"/>
      <c r="U4" s="1255"/>
      <c r="V4" s="303"/>
    </row>
    <row r="5" spans="1:22" ht="15.75" thickBot="1" x14ac:dyDescent="0.3">
      <c r="A5" s="303"/>
      <c r="B5" s="303"/>
      <c r="C5" s="303"/>
      <c r="D5" s="303"/>
      <c r="E5" s="303"/>
      <c r="F5" s="303"/>
      <c r="G5" s="303"/>
      <c r="H5" s="697"/>
      <c r="I5" s="697"/>
      <c r="J5" s="697"/>
      <c r="K5" s="697"/>
      <c r="L5" s="697"/>
      <c r="M5" s="697"/>
      <c r="N5" s="697"/>
      <c r="O5" s="697"/>
      <c r="P5" s="303"/>
      <c r="Q5" s="303"/>
      <c r="R5" s="303"/>
      <c r="S5" s="303"/>
      <c r="T5" s="303"/>
      <c r="U5" s="303"/>
      <c r="V5" s="303"/>
    </row>
    <row r="6" spans="1:22" ht="20.25" thickTop="1" thickBot="1" x14ac:dyDescent="0.35">
      <c r="A6" s="303"/>
      <c r="B6" s="303"/>
      <c r="C6" s="303"/>
      <c r="D6" s="303"/>
      <c r="E6" s="303"/>
      <c r="F6" s="303"/>
      <c r="G6" s="303"/>
      <c r="H6" s="1257" t="s">
        <v>683</v>
      </c>
      <c r="I6" s="1257"/>
      <c r="J6" s="1257"/>
      <c r="K6" s="1258"/>
      <c r="L6" s="1259" t="s">
        <v>682</v>
      </c>
      <c r="M6" s="1257"/>
      <c r="N6" s="1257"/>
      <c r="O6" s="1257"/>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60" t="s">
        <v>681</v>
      </c>
      <c r="D10" s="1260"/>
      <c r="E10" s="1260"/>
      <c r="F10" s="1260"/>
      <c r="G10" s="1260"/>
      <c r="H10" s="1260"/>
      <c r="I10" s="1260"/>
      <c r="J10" s="1260"/>
      <c r="K10" s="1260"/>
      <c r="L10" s="1260"/>
      <c r="M10" s="1260"/>
      <c r="N10" s="1260"/>
      <c r="O10" s="1260"/>
      <c r="P10" s="1260"/>
      <c r="Q10" s="1260"/>
      <c r="R10" s="1260"/>
      <c r="S10" s="1260"/>
      <c r="T10" s="1260"/>
      <c r="U10" s="303"/>
      <c r="V10" s="303"/>
    </row>
    <row r="11" spans="1:22" ht="15" customHeight="1" x14ac:dyDescent="0.25">
      <c r="A11" s="303"/>
      <c r="B11" s="303"/>
      <c r="C11" s="1260"/>
      <c r="D11" s="1260"/>
      <c r="E11" s="1260"/>
      <c r="F11" s="1260"/>
      <c r="G11" s="1260"/>
      <c r="H11" s="1260"/>
      <c r="I11" s="1260"/>
      <c r="J11" s="1260"/>
      <c r="K11" s="1260"/>
      <c r="L11" s="1260"/>
      <c r="M11" s="1260"/>
      <c r="N11" s="1260"/>
      <c r="O11" s="1260"/>
      <c r="P11" s="1260"/>
      <c r="Q11" s="1260"/>
      <c r="R11" s="1260"/>
      <c r="S11" s="1260"/>
      <c r="T11" s="1260"/>
      <c r="U11" s="303"/>
      <c r="V11" s="303"/>
    </row>
    <row r="12" spans="1:22" ht="15" customHeight="1" x14ac:dyDescent="0.25">
      <c r="A12" s="303"/>
      <c r="B12" s="303"/>
      <c r="C12" s="1260"/>
      <c r="D12" s="1260"/>
      <c r="E12" s="1260"/>
      <c r="F12" s="1260"/>
      <c r="G12" s="1260"/>
      <c r="H12" s="1260"/>
      <c r="I12" s="1260"/>
      <c r="J12" s="1260"/>
      <c r="K12" s="1260"/>
      <c r="L12" s="1260"/>
      <c r="M12" s="1260"/>
      <c r="N12" s="1260"/>
      <c r="O12" s="1260"/>
      <c r="P12" s="1260"/>
      <c r="Q12" s="1260"/>
      <c r="R12" s="1260"/>
      <c r="S12" s="1260"/>
      <c r="T12" s="1260"/>
      <c r="U12" s="303"/>
      <c r="V12" s="303"/>
    </row>
    <row r="13" spans="1:22" ht="18" customHeight="1" x14ac:dyDescent="0.25">
      <c r="A13" s="303"/>
      <c r="B13" s="303"/>
      <c r="C13" s="1260"/>
      <c r="D13" s="1260"/>
      <c r="E13" s="1260"/>
      <c r="F13" s="1260"/>
      <c r="G13" s="1260"/>
      <c r="H13" s="1260"/>
      <c r="I13" s="1260"/>
      <c r="J13" s="1260"/>
      <c r="K13" s="1260"/>
      <c r="L13" s="1260"/>
      <c r="M13" s="1260"/>
      <c r="N13" s="1260"/>
      <c r="O13" s="1260"/>
      <c r="P13" s="1260"/>
      <c r="Q13" s="1260"/>
      <c r="R13" s="1260"/>
      <c r="S13" s="1260"/>
      <c r="T13" s="1260"/>
      <c r="U13" s="303"/>
      <c r="V13" s="303"/>
    </row>
    <row r="14" spans="1:22" ht="18" customHeight="1" x14ac:dyDescent="0.25">
      <c r="A14" s="303"/>
      <c r="B14" s="303"/>
      <c r="C14" s="698"/>
      <c r="D14" s="698"/>
      <c r="E14" s="698"/>
      <c r="F14" s="698"/>
      <c r="G14" s="698"/>
      <c r="H14" s="698"/>
      <c r="I14" s="698"/>
      <c r="J14" s="698"/>
      <c r="K14" s="698"/>
      <c r="L14" s="698"/>
      <c r="M14" s="698"/>
      <c r="N14" s="698"/>
      <c r="O14" s="698"/>
      <c r="P14" s="698"/>
      <c r="Q14" s="698"/>
      <c r="R14" s="698"/>
      <c r="S14" s="698"/>
      <c r="T14" s="698"/>
      <c r="U14" s="303"/>
      <c r="V14" s="303"/>
    </row>
    <row r="15" spans="1:22" ht="18" customHeight="1" x14ac:dyDescent="0.25">
      <c r="A15" s="303"/>
      <c r="B15" s="303"/>
      <c r="C15" s="698"/>
      <c r="D15" s="698"/>
      <c r="E15" s="698"/>
      <c r="F15" s="698"/>
      <c r="G15" s="698"/>
      <c r="H15" s="698"/>
      <c r="I15" s="698"/>
      <c r="J15" s="698"/>
      <c r="K15" s="698"/>
      <c r="L15" s="698"/>
      <c r="M15" s="698"/>
      <c r="N15" s="698"/>
      <c r="O15" s="698"/>
      <c r="P15" s="698"/>
      <c r="Q15" s="698"/>
      <c r="R15" s="698"/>
      <c r="S15" s="698"/>
      <c r="T15" s="698"/>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36" t="s">
        <v>680</v>
      </c>
      <c r="C18" s="1236"/>
      <c r="D18" s="1236"/>
      <c r="E18" s="1236"/>
      <c r="F18" s="1236"/>
      <c r="G18" s="1236"/>
      <c r="H18" s="1236"/>
      <c r="I18" s="1236"/>
      <c r="J18" s="1236"/>
      <c r="K18" s="303"/>
      <c r="L18" s="683"/>
      <c r="M18" s="1236" t="s">
        <v>679</v>
      </c>
      <c r="N18" s="1236"/>
      <c r="O18" s="1236"/>
      <c r="P18" s="1236"/>
      <c r="Q18" s="1236"/>
      <c r="R18" s="1236"/>
      <c r="S18" s="1236"/>
      <c r="T18" s="1236"/>
      <c r="U18" s="1236"/>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61" t="s">
        <v>678</v>
      </c>
      <c r="C20" s="1261"/>
      <c r="D20" s="1261" t="s">
        <v>677</v>
      </c>
      <c r="E20" s="1261"/>
      <c r="F20" s="1261" t="s">
        <v>676</v>
      </c>
      <c r="G20" s="1261"/>
      <c r="H20" s="1261"/>
      <c r="I20" s="1261"/>
      <c r="J20" s="1261"/>
      <c r="K20" s="303"/>
      <c r="L20" s="303"/>
      <c r="M20" s="1261" t="s">
        <v>678</v>
      </c>
      <c r="N20" s="1261"/>
      <c r="O20" s="1261" t="s">
        <v>677</v>
      </c>
      <c r="P20" s="1261"/>
      <c r="Q20" s="1261" t="s">
        <v>676</v>
      </c>
      <c r="R20" s="1261"/>
      <c r="S20" s="1261"/>
      <c r="T20" s="1261"/>
      <c r="U20" s="1261"/>
      <c r="V20" s="303"/>
    </row>
    <row r="21" spans="1:22" x14ac:dyDescent="0.25">
      <c r="A21" s="303"/>
      <c r="B21" s="1251"/>
      <c r="C21" s="1252"/>
      <c r="D21" s="1252"/>
      <c r="E21" s="1252"/>
      <c r="F21" s="1253"/>
      <c r="G21" s="1253"/>
      <c r="H21" s="1253"/>
      <c r="I21" s="1253"/>
      <c r="J21" s="1253"/>
      <c r="K21" s="303"/>
      <c r="L21" s="303"/>
      <c r="M21" s="1251"/>
      <c r="N21" s="1252"/>
      <c r="O21" s="1252"/>
      <c r="P21" s="1252"/>
      <c r="Q21" s="1253"/>
      <c r="R21" s="1253"/>
      <c r="S21" s="1253"/>
      <c r="T21" s="1253"/>
      <c r="U21" s="1253"/>
      <c r="V21" s="303"/>
    </row>
    <row r="22" spans="1:22" ht="15.75" x14ac:dyDescent="0.25">
      <c r="A22" s="303"/>
      <c r="B22" s="1247">
        <f>Draft!E4</f>
        <v>46087</v>
      </c>
      <c r="C22" s="1248"/>
      <c r="D22" s="1249" t="str">
        <f>_xlfn.CONCAT(TEXT(Draft!O4,"hh:mm")," - ",TEXT(Draft!O6,"hh:mm")," h")</f>
        <v>08:00 - 10:00 h</v>
      </c>
      <c r="E22" s="1248"/>
      <c r="F22" s="1250" t="s">
        <v>675</v>
      </c>
      <c r="G22" s="1250"/>
      <c r="H22" s="1250"/>
      <c r="I22" s="1250"/>
      <c r="J22" s="1250"/>
      <c r="K22" s="700"/>
      <c r="L22" s="700"/>
      <c r="M22" s="1247">
        <v>46087</v>
      </c>
      <c r="N22" s="1248"/>
      <c r="O22" s="1249">
        <v>0.82986111111111116</v>
      </c>
      <c r="P22" s="1248"/>
      <c r="Q22" s="1250" t="s">
        <v>674</v>
      </c>
      <c r="R22" s="1250"/>
      <c r="S22" s="1250"/>
      <c r="T22" s="1250"/>
      <c r="U22" s="1250"/>
      <c r="V22" s="303"/>
    </row>
    <row r="23" spans="1:22" ht="15.75" x14ac:dyDescent="0.25">
      <c r="A23" s="303"/>
      <c r="B23" s="1247">
        <f>Draft!X4</f>
        <v>46091</v>
      </c>
      <c r="C23" s="1248"/>
      <c r="D23" s="1249" t="str">
        <f>_xlfn.CONCAT(TEXT(Draft!AH4,"hh:mm")," - ",TEXT(Draft!AH6,"hh:mm")," h")</f>
        <v>21:30 - 23:00 h</v>
      </c>
      <c r="E23" s="1248"/>
      <c r="F23" s="1250" t="s">
        <v>673</v>
      </c>
      <c r="G23" s="1250"/>
      <c r="H23" s="1250"/>
      <c r="I23" s="1250"/>
      <c r="J23" s="1250"/>
      <c r="K23" s="700"/>
      <c r="L23" s="700"/>
      <c r="M23" s="1247">
        <v>46091</v>
      </c>
      <c r="N23" s="1248"/>
      <c r="O23" s="1249">
        <v>0.88888888888888884</v>
      </c>
      <c r="P23" s="1248"/>
      <c r="Q23" s="1250" t="s">
        <v>672</v>
      </c>
      <c r="R23" s="1250"/>
      <c r="S23" s="1250"/>
      <c r="T23" s="1250"/>
      <c r="U23" s="1250"/>
      <c r="V23" s="303"/>
    </row>
    <row r="24" spans="1:22" x14ac:dyDescent="0.25">
      <c r="A24" s="303"/>
      <c r="B24" s="1242"/>
      <c r="C24" s="1237"/>
      <c r="D24" s="1243"/>
      <c r="E24" s="1237"/>
      <c r="F24" s="1244"/>
      <c r="G24" s="1244"/>
      <c r="H24" s="1244"/>
      <c r="I24" s="1244"/>
      <c r="J24" s="1244"/>
      <c r="K24" s="303"/>
      <c r="L24" s="303"/>
      <c r="M24" s="1242"/>
      <c r="N24" s="1237"/>
      <c r="O24" s="1243"/>
      <c r="P24" s="1237"/>
      <c r="Q24" s="1244"/>
      <c r="R24" s="1244"/>
      <c r="S24" s="1244"/>
      <c r="T24" s="1244"/>
      <c r="U24" s="1244"/>
      <c r="V24" s="303"/>
    </row>
    <row r="25" spans="1:22" x14ac:dyDescent="0.25">
      <c r="A25" s="303"/>
      <c r="B25" s="1242"/>
      <c r="C25" s="1237"/>
      <c r="D25" s="1243"/>
      <c r="E25" s="1237"/>
      <c r="F25" s="1244"/>
      <c r="G25" s="1244"/>
      <c r="H25" s="1244"/>
      <c r="I25" s="1244"/>
      <c r="J25" s="1244"/>
      <c r="K25" s="303"/>
      <c r="L25" s="303"/>
      <c r="M25" s="1242"/>
      <c r="N25" s="1237"/>
      <c r="O25" s="1243"/>
      <c r="P25" s="1237"/>
      <c r="Q25" s="1244"/>
      <c r="R25" s="1244"/>
      <c r="S25" s="1244"/>
      <c r="T25" s="1244"/>
      <c r="U25" s="1244"/>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36" t="s">
        <v>671</v>
      </c>
      <c r="E29" s="1236"/>
      <c r="F29" s="1236"/>
      <c r="G29" s="1236"/>
      <c r="H29" s="1236"/>
      <c r="I29" s="1236"/>
      <c r="J29" s="1236"/>
      <c r="K29" s="1236"/>
      <c r="L29" s="1236"/>
      <c r="M29" s="1236"/>
      <c r="N29" s="1236"/>
      <c r="O29" s="1236"/>
      <c r="P29" s="1236"/>
      <c r="Q29" s="1236"/>
      <c r="R29" s="1236"/>
      <c r="S29" s="1236"/>
      <c r="T29" s="303"/>
      <c r="U29" s="303"/>
      <c r="V29" s="303"/>
    </row>
    <row r="30" spans="1:22" x14ac:dyDescent="0.25">
      <c r="A30" s="303"/>
      <c r="B30" s="303"/>
      <c r="C30" s="303"/>
      <c r="D30" s="303"/>
      <c r="E30" s="303"/>
      <c r="F30" s="303"/>
      <c r="G30" s="303"/>
      <c r="H30" s="303"/>
      <c r="I30" s="303"/>
      <c r="J30" s="303"/>
      <c r="K30" s="303"/>
      <c r="L30" s="683"/>
      <c r="M30" s="303"/>
      <c r="N30" s="303"/>
      <c r="O30" s="303"/>
      <c r="P30" s="303"/>
      <c r="Q30" s="303"/>
      <c r="R30" s="303"/>
      <c r="S30" s="303"/>
      <c r="T30" s="303"/>
      <c r="U30" s="303"/>
      <c r="V30" s="303"/>
    </row>
    <row r="31" spans="1:22" x14ac:dyDescent="0.25">
      <c r="A31" s="303"/>
      <c r="B31" s="687"/>
      <c r="C31" s="687"/>
      <c r="D31" s="687"/>
      <c r="E31" s="687"/>
      <c r="F31" s="687"/>
      <c r="G31" s="687"/>
      <c r="H31" s="687"/>
      <c r="I31" s="687"/>
      <c r="J31" s="687"/>
      <c r="K31" s="303"/>
      <c r="L31" s="683"/>
      <c r="M31" s="687"/>
      <c r="N31" s="687"/>
      <c r="O31" s="687"/>
      <c r="P31" s="687"/>
      <c r="Q31" s="687"/>
      <c r="R31" s="687"/>
      <c r="S31" s="687"/>
      <c r="T31" s="687"/>
      <c r="U31" s="687"/>
      <c r="V31" s="303"/>
    </row>
    <row r="32" spans="1:22" ht="28.5" x14ac:dyDescent="0.25">
      <c r="A32" s="303"/>
      <c r="B32" s="687"/>
      <c r="C32" s="687"/>
      <c r="D32" s="687"/>
      <c r="E32" s="687"/>
      <c r="F32" s="687"/>
      <c r="G32" s="1245">
        <f>H74</f>
        <v>69171.049999999988</v>
      </c>
      <c r="H32" s="1246"/>
      <c r="I32" s="1246"/>
      <c r="J32" s="1246"/>
      <c r="K32" s="1246"/>
      <c r="L32" s="1246"/>
      <c r="M32" s="1246"/>
      <c r="N32" s="1246"/>
      <c r="O32" s="1246"/>
      <c r="P32" s="1246"/>
      <c r="Q32" s="1246"/>
      <c r="R32" s="1246"/>
      <c r="S32" s="687"/>
      <c r="T32" s="687"/>
      <c r="U32" s="687"/>
      <c r="V32" s="303"/>
    </row>
    <row r="33" spans="1:22" ht="18.75" x14ac:dyDescent="0.3">
      <c r="A33" s="303"/>
      <c r="B33" s="688"/>
      <c r="C33" s="682"/>
      <c r="D33" s="702"/>
      <c r="E33" s="704"/>
      <c r="F33" s="704"/>
      <c r="G33" s="1216" t="s">
        <v>631</v>
      </c>
      <c r="H33" s="1217"/>
      <c r="I33" s="1217"/>
      <c r="J33" s="1217"/>
      <c r="K33" s="1218" t="s">
        <v>670</v>
      </c>
      <c r="L33" s="1219"/>
      <c r="M33" s="1219"/>
      <c r="N33" s="1219"/>
      <c r="O33" s="1218" t="s">
        <v>670</v>
      </c>
      <c r="P33" s="1219"/>
      <c r="Q33" s="1219"/>
      <c r="R33" s="1219"/>
      <c r="S33" s="682"/>
      <c r="T33" s="682"/>
      <c r="U33" s="688"/>
      <c r="V33" s="303"/>
    </row>
    <row r="34" spans="1:22" ht="18.75" x14ac:dyDescent="0.3">
      <c r="A34" s="303"/>
      <c r="B34" s="303"/>
      <c r="C34" s="682"/>
      <c r="D34" s="703" t="s">
        <v>669</v>
      </c>
      <c r="E34" s="703"/>
      <c r="F34" s="703"/>
      <c r="G34" s="1216" t="s">
        <v>668</v>
      </c>
      <c r="H34" s="1217"/>
      <c r="I34" s="1217"/>
      <c r="J34" s="1217"/>
      <c r="K34" s="1216" t="s">
        <v>668</v>
      </c>
      <c r="L34" s="1217"/>
      <c r="M34" s="1217"/>
      <c r="N34" s="1217"/>
      <c r="O34" s="1218" t="s">
        <v>667</v>
      </c>
      <c r="P34" s="1219"/>
      <c r="Q34" s="1219"/>
      <c r="R34" s="1219"/>
      <c r="S34" s="1234"/>
      <c r="T34" s="1234"/>
      <c r="U34" s="303"/>
      <c r="V34" s="303"/>
    </row>
    <row r="35" spans="1:22" ht="18.75" x14ac:dyDescent="0.3">
      <c r="A35" s="303"/>
      <c r="B35" s="303"/>
      <c r="C35" s="701"/>
      <c r="D35" s="702" t="str">
        <f>'DADOS E-MAIL '!C36</f>
        <v>Standard Brazil</v>
      </c>
      <c r="E35" s="704"/>
      <c r="F35" s="704"/>
      <c r="G35" s="1209">
        <f>'DADOS E-MAIL '!E36</f>
        <v>69235.12026043277</v>
      </c>
      <c r="H35" s="1210"/>
      <c r="I35" s="1210"/>
      <c r="J35" s="1210"/>
      <c r="K35" s="1211">
        <f>'DADOS E-MAIL '!G36</f>
        <v>64.0702604327671</v>
      </c>
      <c r="L35" s="1212"/>
      <c r="M35" s="1212"/>
      <c r="N35" s="1213"/>
      <c r="O35" s="1214">
        <f>IFERROR('DADOS E-MAIL '!I36,"")</f>
        <v>9.2625831807912548E-2</v>
      </c>
      <c r="P35" s="1215"/>
      <c r="Q35" s="1215"/>
      <c r="R35" s="1215"/>
      <c r="S35" s="1233"/>
      <c r="T35" s="1233"/>
      <c r="U35" s="303"/>
      <c r="V35" s="303"/>
    </row>
    <row r="36" spans="1:22" ht="18.75" x14ac:dyDescent="0.3">
      <c r="A36" s="303"/>
      <c r="B36" s="303"/>
      <c r="C36" s="701"/>
      <c r="D36" s="702" t="str">
        <f>'DADOS E-MAIL '!C37</f>
        <v>Comando do navio:</v>
      </c>
      <c r="E36" s="704"/>
      <c r="F36" s="704"/>
      <c r="G36" s="1209">
        <f>'DADOS E-MAIL '!E37</f>
        <v>69418.312999999995</v>
      </c>
      <c r="H36" s="1210"/>
      <c r="I36" s="1210"/>
      <c r="J36" s="1210"/>
      <c r="K36" s="1211">
        <f>'DADOS E-MAIL '!G37</f>
        <v>247.26299999999173</v>
      </c>
      <c r="L36" s="1212"/>
      <c r="M36" s="1212"/>
      <c r="N36" s="1213"/>
      <c r="O36" s="1214">
        <f>IFERROR('DADOS E-MAIL '!I37,"")</f>
        <v>0.35746602082806567</v>
      </c>
      <c r="P36" s="1215"/>
      <c r="Q36" s="1215"/>
      <c r="R36" s="1215"/>
      <c r="S36" s="1233"/>
      <c r="T36" s="1233"/>
      <c r="U36" s="303"/>
      <c r="V36" s="303"/>
    </row>
    <row r="37" spans="1:22" ht="18.75" x14ac:dyDescent="0.3">
      <c r="A37" s="303"/>
      <c r="B37" s="303"/>
      <c r="C37" s="701"/>
      <c r="D37" s="702" t="str">
        <f>'DADOS E-MAIL '!C38</f>
        <v>Receita Federal:</v>
      </c>
      <c r="E37" s="704"/>
      <c r="F37" s="704"/>
      <c r="G37" s="1209">
        <f>'DADOS E-MAIL '!E38</f>
        <v>69195.657999999996</v>
      </c>
      <c r="H37" s="1210"/>
      <c r="I37" s="1210"/>
      <c r="J37" s="1210"/>
      <c r="K37" s="1211">
        <f>'DADOS E-MAIL '!G38</f>
        <v>24.607999999992899</v>
      </c>
      <c r="L37" s="1212"/>
      <c r="M37" s="1212"/>
      <c r="N37" s="1213"/>
      <c r="O37" s="1214">
        <f>IFERROR('DADOS E-MAIL '!I38,"")</f>
        <v>3.557557677669039E-2</v>
      </c>
      <c r="P37" s="1215"/>
      <c r="Q37" s="1215"/>
      <c r="R37" s="1215"/>
      <c r="S37" s="1233"/>
      <c r="T37" s="1233"/>
      <c r="U37" s="303"/>
      <c r="V37" s="303"/>
    </row>
    <row r="38" spans="1:22" ht="18.75" x14ac:dyDescent="0.3">
      <c r="A38" s="303"/>
      <c r="B38" s="303"/>
      <c r="C38" s="681"/>
      <c r="D38" s="702" t="str">
        <f>'DADOS E-MAIL '!C39</f>
        <v/>
      </c>
      <c r="E38" s="704"/>
      <c r="F38" s="704"/>
      <c r="G38" s="1209" t="str">
        <f>IF(D38="","",'DADOS E-MAIL '!E39)</f>
        <v/>
      </c>
      <c r="H38" s="1210"/>
      <c r="I38" s="1210"/>
      <c r="J38" s="1210"/>
      <c r="K38" s="1211" t="str">
        <f>IF(D38="","",'DADOS E-MAIL '!G39)</f>
        <v/>
      </c>
      <c r="L38" s="1212"/>
      <c r="M38" s="1212"/>
      <c r="N38" s="1212"/>
      <c r="O38" s="1214" t="str">
        <f>IF(D38="","",'DADOS E-MAIL '!I39)</f>
        <v/>
      </c>
      <c r="P38" s="1215"/>
      <c r="Q38" s="1215"/>
      <c r="R38" s="1215"/>
      <c r="S38" s="1240"/>
      <c r="T38" s="1240"/>
      <c r="U38" s="303"/>
      <c r="V38" s="303"/>
    </row>
    <row r="39" spans="1:22" ht="18.75" x14ac:dyDescent="0.3">
      <c r="A39" s="303"/>
      <c r="B39" s="303"/>
      <c r="C39" s="681"/>
      <c r="D39" s="702" t="str">
        <f>'DADOS E-MAIL '!C40</f>
        <v/>
      </c>
      <c r="E39" s="704"/>
      <c r="F39" s="704"/>
      <c r="G39" s="1209" t="str">
        <f>IF(D39="","",'DADOS E-MAIL '!E40)</f>
        <v/>
      </c>
      <c r="H39" s="1210"/>
      <c r="I39" s="1210"/>
      <c r="J39" s="1210"/>
      <c r="K39" s="1211" t="str">
        <f>IF(D39="","",'DADOS E-MAIL '!G40)</f>
        <v/>
      </c>
      <c r="L39" s="1212"/>
      <c r="M39" s="1212"/>
      <c r="N39" s="1212"/>
      <c r="O39" s="1214" t="str">
        <f>IF(D39="","",'DADOS E-MAIL '!I40)</f>
        <v/>
      </c>
      <c r="P39" s="1215"/>
      <c r="Q39" s="1215"/>
      <c r="R39" s="1215"/>
      <c r="S39" s="699"/>
      <c r="T39" s="699"/>
      <c r="U39" s="303"/>
      <c r="V39" s="303"/>
    </row>
    <row r="40" spans="1:22" ht="18.75" x14ac:dyDescent="0.3">
      <c r="A40" s="303"/>
      <c r="B40" s="303"/>
      <c r="C40" s="681"/>
      <c r="D40" s="702" t="str">
        <f>'DADOS E-MAIL '!C41</f>
        <v/>
      </c>
      <c r="E40" s="704"/>
      <c r="F40" s="704"/>
      <c r="G40" s="1209" t="str">
        <f>IF(D40="","",'DADOS E-MAIL '!E41)</f>
        <v/>
      </c>
      <c r="H40" s="1210"/>
      <c r="I40" s="1210"/>
      <c r="J40" s="1210"/>
      <c r="K40" s="1211" t="str">
        <f>IF(D40="","",'DADOS E-MAIL '!G41)</f>
        <v/>
      </c>
      <c r="L40" s="1212"/>
      <c r="M40" s="1212"/>
      <c r="N40" s="1212"/>
      <c r="O40" s="1214" t="str">
        <f>IF(D40="","",'DADOS E-MAIL '!I41)</f>
        <v/>
      </c>
      <c r="P40" s="1215"/>
      <c r="Q40" s="1215"/>
      <c r="R40" s="1215"/>
      <c r="S40" s="699"/>
      <c r="T40" s="699"/>
      <c r="U40" s="303"/>
      <c r="V40" s="303"/>
    </row>
    <row r="41" spans="1:22" ht="18.75" x14ac:dyDescent="0.3">
      <c r="A41" s="303"/>
      <c r="B41" s="303"/>
      <c r="C41" s="681"/>
      <c r="D41" s="702" t="str">
        <f>'DADOS E-MAIL '!C42</f>
        <v/>
      </c>
      <c r="E41" s="704"/>
      <c r="F41" s="704"/>
      <c r="G41" s="1209" t="str">
        <f>IF(D41="","",'DADOS E-MAIL '!E42)</f>
        <v/>
      </c>
      <c r="H41" s="1210"/>
      <c r="I41" s="1210"/>
      <c r="J41" s="1210"/>
      <c r="K41" s="1211" t="str">
        <f>IF(D41="","",'DADOS E-MAIL '!G42)</f>
        <v/>
      </c>
      <c r="L41" s="1212"/>
      <c r="M41" s="1212"/>
      <c r="N41" s="1212"/>
      <c r="O41" s="1214" t="str">
        <f>IF(D41="","",'DADOS E-MAIL '!I42)</f>
        <v/>
      </c>
      <c r="P41" s="1215"/>
      <c r="Q41" s="1215"/>
      <c r="R41" s="1215"/>
      <c r="S41" s="699"/>
      <c r="T41" s="699"/>
      <c r="U41" s="303"/>
      <c r="V41" s="303"/>
    </row>
    <row r="42" spans="1:22" ht="18.75" x14ac:dyDescent="0.3">
      <c r="A42" s="303"/>
      <c r="B42" s="303"/>
      <c r="C42" s="681"/>
      <c r="D42" s="702"/>
      <c r="E42" s="704"/>
      <c r="F42" s="704"/>
      <c r="G42" s="1209" t="str">
        <f>IF(D42="","",'DADOS E-MAIL '!E43)</f>
        <v/>
      </c>
      <c r="H42" s="1210"/>
      <c r="I42" s="1210"/>
      <c r="J42" s="1210"/>
      <c r="K42" s="1211" t="str">
        <f>IF(D42="","",'DADOS E-MAIL '!G43)</f>
        <v/>
      </c>
      <c r="L42" s="1212"/>
      <c r="M42" s="1212"/>
      <c r="N42" s="1212"/>
      <c r="O42" s="1214" t="str">
        <f>IF(D42="","",'DADOS E-MAIL '!I43)</f>
        <v/>
      </c>
      <c r="P42" s="1215"/>
      <c r="Q42" s="1215"/>
      <c r="R42" s="1215"/>
      <c r="S42" s="1237"/>
      <c r="T42" s="1237"/>
      <c r="U42" s="303"/>
      <c r="V42" s="303"/>
    </row>
    <row r="43" spans="1:22" x14ac:dyDescent="0.25">
      <c r="A43" s="303"/>
      <c r="B43" s="303"/>
      <c r="C43" s="303"/>
      <c r="D43" s="303"/>
      <c r="E43" s="303"/>
      <c r="F43" s="303"/>
      <c r="G43" s="303"/>
      <c r="H43" s="303"/>
      <c r="I43" s="303"/>
      <c r="J43" s="303"/>
      <c r="K43" s="303"/>
      <c r="L43" s="303"/>
      <c r="M43" s="303"/>
      <c r="N43" s="303"/>
      <c r="O43" s="303"/>
      <c r="P43" s="303"/>
      <c r="Q43" s="303"/>
      <c r="R43" s="303"/>
      <c r="S43" s="303"/>
      <c r="T43" s="303"/>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1236" t="s">
        <v>630</v>
      </c>
      <c r="E45" s="1236"/>
      <c r="F45" s="1236"/>
      <c r="G45" s="1236"/>
      <c r="H45" s="1236"/>
      <c r="I45" s="1236"/>
      <c r="J45" s="1236"/>
      <c r="K45" s="1236"/>
      <c r="L45" s="1236"/>
      <c r="M45" s="1236"/>
      <c r="N45" s="1236"/>
      <c r="O45" s="1236"/>
      <c r="P45" s="1236"/>
      <c r="Q45" s="1236"/>
      <c r="R45" s="1236"/>
      <c r="S45" s="1236"/>
      <c r="T45" s="683"/>
      <c r="U45" s="303"/>
      <c r="V45" s="303"/>
    </row>
    <row r="46" spans="1:22" x14ac:dyDescent="0.25">
      <c r="A46" s="303"/>
      <c r="B46" s="303"/>
      <c r="C46" s="303"/>
      <c r="D46" s="687"/>
      <c r="E46" s="687"/>
      <c r="F46" s="687"/>
      <c r="G46" s="687"/>
      <c r="H46" s="687"/>
      <c r="I46" s="687"/>
      <c r="J46" s="687"/>
      <c r="K46" s="687"/>
      <c r="L46" s="687"/>
      <c r="M46" s="687"/>
      <c r="N46" s="687"/>
      <c r="O46" s="687"/>
      <c r="P46" s="687"/>
      <c r="Q46" s="687"/>
      <c r="R46" s="687"/>
      <c r="S46" s="687"/>
      <c r="T46" s="683"/>
      <c r="U46" s="303"/>
      <c r="V46" s="303"/>
    </row>
    <row r="47" spans="1:22" x14ac:dyDescent="0.25">
      <c r="A47" s="303"/>
      <c r="B47" s="303"/>
      <c r="C47" s="303"/>
      <c r="D47" s="687"/>
      <c r="E47" s="687"/>
      <c r="F47" s="687"/>
      <c r="G47" s="687"/>
      <c r="H47" s="687"/>
      <c r="I47" s="687"/>
      <c r="J47" s="687"/>
      <c r="K47" s="687"/>
      <c r="L47" s="687"/>
      <c r="M47" s="687"/>
      <c r="N47" s="687"/>
      <c r="O47" s="687"/>
      <c r="P47" s="687"/>
      <c r="Q47" s="687"/>
      <c r="R47" s="687"/>
      <c r="S47" s="687"/>
      <c r="T47" s="683"/>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303"/>
      <c r="D62" s="303"/>
      <c r="E62" s="303"/>
      <c r="F62" s="303"/>
      <c r="G62" s="303"/>
      <c r="H62" s="303"/>
      <c r="I62" s="303"/>
      <c r="J62" s="303"/>
      <c r="K62" s="303"/>
      <c r="L62" s="303"/>
      <c r="M62" s="303"/>
      <c r="N62" s="303"/>
      <c r="O62" s="303"/>
      <c r="P62" s="303"/>
      <c r="Q62" s="303"/>
      <c r="R62" s="303"/>
      <c r="S62" s="303"/>
      <c r="T62" s="303"/>
      <c r="U62" s="303"/>
      <c r="V62" s="303"/>
    </row>
    <row r="63" spans="1:22" x14ac:dyDescent="0.25">
      <c r="A63" s="303"/>
      <c r="B63" s="303"/>
      <c r="C63" s="303"/>
      <c r="D63" s="303"/>
      <c r="E63" s="303"/>
      <c r="F63" s="303"/>
      <c r="G63" s="303"/>
      <c r="H63" s="303"/>
      <c r="I63" s="303"/>
      <c r="J63" s="303"/>
      <c r="K63" s="303"/>
      <c r="L63" s="303"/>
      <c r="M63" s="303"/>
      <c r="N63" s="303"/>
      <c r="O63" s="303"/>
      <c r="P63" s="303"/>
      <c r="Q63" s="303"/>
      <c r="R63" s="303"/>
      <c r="S63" s="303"/>
      <c r="T63" s="303"/>
      <c r="U63" s="303"/>
      <c r="V63" s="303"/>
    </row>
    <row r="64" spans="1:22" x14ac:dyDescent="0.25">
      <c r="A64" s="303"/>
      <c r="B64" s="303"/>
      <c r="C64" s="303"/>
      <c r="D64" s="303"/>
      <c r="E64" s="303"/>
      <c r="F64" s="303"/>
      <c r="G64" s="303"/>
      <c r="H64" s="303"/>
      <c r="I64" s="303"/>
      <c r="J64" s="303"/>
      <c r="K64" s="303"/>
      <c r="L64" s="303"/>
      <c r="M64" s="303"/>
      <c r="N64" s="303"/>
      <c r="O64" s="303"/>
      <c r="P64" s="303"/>
      <c r="Q64" s="303"/>
      <c r="R64" s="303"/>
      <c r="S64" s="303"/>
      <c r="T64" s="303"/>
      <c r="U64" s="303"/>
      <c r="V64" s="303"/>
    </row>
    <row r="65" spans="1:22" x14ac:dyDescent="0.25">
      <c r="A65" s="303"/>
      <c r="B65" s="303"/>
      <c r="C65" s="1235"/>
      <c r="D65" s="1235"/>
      <c r="E65" s="1235"/>
      <c r="F65" s="1235"/>
      <c r="G65" s="1235"/>
      <c r="H65" s="1235"/>
      <c r="I65" s="1235"/>
      <c r="J65" s="1235"/>
      <c r="K65" s="683"/>
      <c r="L65" s="683"/>
      <c r="M65" s="1235"/>
      <c r="N65" s="1235"/>
      <c r="O65" s="1235"/>
      <c r="P65" s="1235"/>
      <c r="Q65" s="1235"/>
      <c r="R65" s="1235"/>
      <c r="S65" s="1235"/>
      <c r="T65" s="1235"/>
      <c r="U65" s="303"/>
      <c r="V65" s="303"/>
    </row>
    <row r="66" spans="1:22" x14ac:dyDescent="0.25">
      <c r="A66" s="303"/>
      <c r="B66" s="303"/>
      <c r="C66" s="1234"/>
      <c r="D66" s="1234"/>
      <c r="E66" s="1234"/>
      <c r="F66" s="1234"/>
      <c r="G66" s="1234"/>
      <c r="H66" s="1234"/>
      <c r="I66" s="1234"/>
      <c r="J66" s="1234"/>
      <c r="K66" s="682"/>
      <c r="L66" s="682"/>
      <c r="M66" s="1234"/>
      <c r="N66" s="1234"/>
      <c r="O66" s="1234"/>
      <c r="P66" s="1234"/>
      <c r="Q66" s="1234"/>
      <c r="R66" s="1234"/>
      <c r="S66" s="1234"/>
      <c r="T66" s="1234"/>
      <c r="U66" s="303"/>
      <c r="V66" s="303"/>
    </row>
    <row r="67" spans="1:22" x14ac:dyDescent="0.25">
      <c r="A67" s="303"/>
      <c r="B67" s="303"/>
      <c r="C67" s="1241"/>
      <c r="D67" s="1241"/>
      <c r="E67" s="1241"/>
      <c r="F67" s="1241"/>
      <c r="G67" s="1241"/>
      <c r="H67" s="1241"/>
      <c r="I67" s="1241"/>
      <c r="J67" s="1241"/>
      <c r="K67" s="303"/>
      <c r="L67" s="303"/>
      <c r="M67" s="303"/>
      <c r="N67" s="303"/>
      <c r="O67" s="303"/>
      <c r="P67" s="303"/>
      <c r="Q67" s="303"/>
      <c r="R67" s="303"/>
      <c r="S67" s="303"/>
      <c r="T67" s="303"/>
      <c r="U67" s="303"/>
      <c r="V67" s="303"/>
    </row>
    <row r="68" spans="1:22" x14ac:dyDescent="0.25">
      <c r="A68" s="303"/>
      <c r="B68" s="303"/>
      <c r="C68" s="303"/>
      <c r="D68" s="1236" t="s">
        <v>666</v>
      </c>
      <c r="E68" s="1236"/>
      <c r="F68" s="1236"/>
      <c r="G68" s="1236"/>
      <c r="H68" s="1236"/>
      <c r="I68" s="1236"/>
      <c r="J68" s="1236"/>
      <c r="K68" s="1236"/>
      <c r="L68" s="1236"/>
      <c r="M68" s="1236"/>
      <c r="N68" s="1236"/>
      <c r="O68" s="1236"/>
      <c r="P68" s="1236"/>
      <c r="Q68" s="1236"/>
      <c r="R68" s="1236"/>
      <c r="S68" s="1236"/>
      <c r="T68" s="303"/>
      <c r="U68" s="303"/>
      <c r="V68" s="303"/>
    </row>
    <row r="69" spans="1:22" x14ac:dyDescent="0.25">
      <c r="A69" s="303"/>
      <c r="B69" s="303"/>
      <c r="C69" s="303"/>
      <c r="D69" s="303"/>
      <c r="E69" s="303"/>
      <c r="F69" s="303"/>
      <c r="G69" s="303"/>
      <c r="H69" s="303"/>
      <c r="I69" s="303"/>
      <c r="J69" s="303"/>
      <c r="K69" s="303"/>
      <c r="L69" s="303"/>
      <c r="M69" s="303"/>
      <c r="N69" s="303"/>
      <c r="O69" s="303"/>
      <c r="P69" s="303"/>
      <c r="Q69" s="303"/>
      <c r="R69" s="303"/>
      <c r="S69" s="303"/>
      <c r="T69" s="303"/>
      <c r="U69" s="303"/>
      <c r="V69" s="303"/>
    </row>
    <row r="70" spans="1:22" ht="22.5" customHeight="1" x14ac:dyDescent="0.25">
      <c r="A70" s="303"/>
      <c r="B70" s="303"/>
      <c r="C70" s="303"/>
      <c r="D70" s="303"/>
      <c r="E70" s="303"/>
      <c r="F70" s="1197" t="s">
        <v>696</v>
      </c>
      <c r="G70" s="1197"/>
      <c r="H70" s="1197"/>
      <c r="I70" s="708"/>
      <c r="J70" s="708"/>
      <c r="K70" s="708"/>
      <c r="L70" s="708"/>
      <c r="M70" s="708"/>
      <c r="N70" s="708"/>
      <c r="O70" s="709" t="s">
        <v>697</v>
      </c>
      <c r="P70" s="709"/>
      <c r="Q70" s="709"/>
      <c r="R70" s="303"/>
      <c r="S70" s="303"/>
      <c r="T70" s="303"/>
      <c r="U70" s="303"/>
      <c r="V70" s="303"/>
    </row>
    <row r="71" spans="1:22" ht="18.75" x14ac:dyDescent="0.3">
      <c r="A71" s="303"/>
      <c r="B71" s="303"/>
      <c r="C71" s="303"/>
      <c r="D71" s="303"/>
      <c r="E71" s="303"/>
      <c r="F71" s="1198" t="str">
        <f>Draft!E5</f>
        <v>Paranaguá, Br - Brazil</v>
      </c>
      <c r="G71" s="1198"/>
      <c r="H71" s="1198"/>
      <c r="I71" s="707"/>
      <c r="J71" s="707"/>
      <c r="K71" s="707"/>
      <c r="L71" s="707"/>
      <c r="M71" s="707"/>
      <c r="N71" s="707"/>
      <c r="O71" s="1198" t="str">
        <f>CAPA!B38</f>
        <v>Dalian, China</v>
      </c>
      <c r="P71" s="1198"/>
      <c r="Q71" s="1198"/>
      <c r="R71" s="303"/>
      <c r="S71" s="303"/>
      <c r="T71" s="303"/>
      <c r="U71" s="303"/>
      <c r="V71" s="303"/>
    </row>
    <row r="72" spans="1:22" ht="15" customHeight="1" x14ac:dyDescent="0.25">
      <c r="A72" s="303"/>
      <c r="B72" s="303"/>
      <c r="C72" s="303"/>
      <c r="D72" s="303"/>
      <c r="E72" s="303"/>
      <c r="F72" s="303"/>
      <c r="G72" s="303"/>
      <c r="H72" s="686"/>
      <c r="I72" s="686"/>
      <c r="J72" s="686"/>
      <c r="K72" s="686"/>
      <c r="L72" s="686"/>
      <c r="M72" s="686"/>
      <c r="N72" s="686"/>
      <c r="O72" s="686"/>
      <c r="P72" s="303"/>
      <c r="Q72" s="303"/>
      <c r="R72" s="303"/>
      <c r="S72" s="303"/>
      <c r="T72" s="303"/>
      <c r="U72" s="303"/>
      <c r="V72" s="303"/>
    </row>
    <row r="73" spans="1:22" ht="15" customHeight="1" x14ac:dyDescent="0.25">
      <c r="A73" s="303"/>
      <c r="B73" s="303"/>
      <c r="C73" s="303"/>
      <c r="D73" s="303"/>
      <c r="E73" s="303"/>
      <c r="F73" s="303"/>
      <c r="G73" s="303"/>
      <c r="H73" s="1239" t="s">
        <v>663</v>
      </c>
      <c r="I73" s="1239"/>
      <c r="J73" s="1239"/>
      <c r="K73" s="1239"/>
      <c r="L73" s="1239"/>
      <c r="M73" s="1239"/>
      <c r="N73" s="1239"/>
      <c r="O73" s="1239"/>
      <c r="P73" s="303"/>
      <c r="Q73" s="303"/>
      <c r="R73" s="303"/>
      <c r="S73" s="303"/>
      <c r="T73" s="303"/>
      <c r="U73" s="303"/>
      <c r="V73" s="303"/>
    </row>
    <row r="74" spans="1:22" x14ac:dyDescent="0.25">
      <c r="A74" s="303"/>
      <c r="B74" s="303"/>
      <c r="C74" s="303"/>
      <c r="D74" s="303"/>
      <c r="E74" s="303"/>
      <c r="F74" s="303"/>
      <c r="G74" s="303"/>
      <c r="H74" s="1238">
        <f>SUM(E82:R83)</f>
        <v>69171.049999999988</v>
      </c>
      <c r="I74" s="1238"/>
      <c r="J74" s="1238"/>
      <c r="K74" s="1238"/>
      <c r="L74" s="1238"/>
      <c r="M74" s="1238"/>
      <c r="N74" s="1238"/>
      <c r="O74" s="1238"/>
      <c r="P74" s="303"/>
      <c r="Q74" s="303"/>
      <c r="R74" s="303"/>
      <c r="S74" s="303"/>
      <c r="T74" s="303"/>
      <c r="U74" s="303"/>
      <c r="V74" s="303"/>
    </row>
    <row r="75" spans="1:22" ht="15" customHeight="1" x14ac:dyDescent="0.25">
      <c r="A75" s="303"/>
      <c r="B75" s="303"/>
      <c r="C75" s="303"/>
      <c r="D75" s="303"/>
      <c r="E75" s="303"/>
      <c r="F75" s="303"/>
      <c r="G75" s="303"/>
      <c r="H75" s="1238"/>
      <c r="I75" s="1238"/>
      <c r="J75" s="1238"/>
      <c r="K75" s="1238"/>
      <c r="L75" s="1238"/>
      <c r="M75" s="1238"/>
      <c r="N75" s="1238"/>
      <c r="O75" s="1238"/>
      <c r="P75" s="303"/>
      <c r="Q75" s="303"/>
      <c r="R75" s="303"/>
      <c r="S75" s="303"/>
      <c r="T75" s="303"/>
      <c r="U75" s="303"/>
      <c r="V75" s="303"/>
    </row>
    <row r="76" spans="1:22" ht="15" customHeight="1" x14ac:dyDescent="0.25">
      <c r="A76" s="303"/>
      <c r="B76" s="303"/>
      <c r="C76" s="303"/>
      <c r="D76" s="303"/>
      <c r="E76" s="303"/>
      <c r="F76" s="303"/>
      <c r="G76" s="303"/>
      <c r="H76" s="303"/>
      <c r="I76" s="303"/>
      <c r="J76" s="303"/>
      <c r="K76" s="303"/>
      <c r="L76" s="303"/>
      <c r="M76" s="303"/>
      <c r="N76" s="303"/>
      <c r="O76" s="303"/>
      <c r="P76" s="303"/>
      <c r="Q76" s="303"/>
      <c r="R76" s="303"/>
      <c r="S76" s="303"/>
      <c r="T76" s="303"/>
      <c r="U76" s="303"/>
      <c r="V76" s="303"/>
    </row>
    <row r="77" spans="1:22" x14ac:dyDescent="0.25">
      <c r="A77" s="303"/>
      <c r="B77" s="303"/>
      <c r="C77" s="303"/>
      <c r="D77" s="303"/>
      <c r="E77" s="1205" t="str">
        <f>IF(E89=0,"-","PORÃO 7")</f>
        <v>PORÃO 7</v>
      </c>
      <c r="F77" s="1206"/>
      <c r="G77" s="1205" t="str">
        <f>IF(G82=0,"-","PORÃO 6")</f>
        <v>PORÃO 6</v>
      </c>
      <c r="H77" s="1206"/>
      <c r="I77" s="1205" t="str">
        <f>IF(I82=0,"-","PORÃO 5")</f>
        <v>PORÃO 5</v>
      </c>
      <c r="J77" s="1206"/>
      <c r="K77" s="1205" t="str">
        <f>IF(K82=0,"-","PORÃO 4")</f>
        <v>PORÃO 4</v>
      </c>
      <c r="L77" s="1206"/>
      <c r="M77" s="1205" t="str">
        <f>IF(M82=0,"-","PORÃO 3")</f>
        <v>PORÃO 3</v>
      </c>
      <c r="N77" s="1206"/>
      <c r="O77" s="1205" t="str">
        <f>IF(O82=0,"-","PORÃO 2")</f>
        <v>PORÃO 2</v>
      </c>
      <c r="P77" s="1206"/>
      <c r="Q77" s="1205" t="str">
        <f>IF(Q82=0,"-","PORÃO 1")</f>
        <v>PORÃO 1</v>
      </c>
      <c r="R77" s="1206"/>
      <c r="S77" s="303"/>
      <c r="T77" s="303"/>
      <c r="U77" s="303"/>
      <c r="V77" s="303"/>
    </row>
    <row r="78" spans="1:22" x14ac:dyDescent="0.25">
      <c r="A78" s="303"/>
      <c r="B78" s="303"/>
      <c r="C78" s="303"/>
      <c r="D78" s="303"/>
      <c r="E78" s="1207" t="str">
        <f t="shared" ref="E78" si="0">IF(E82=0,"-","PRODUTO")</f>
        <v>PRODUTO</v>
      </c>
      <c r="F78" s="1208"/>
      <c r="G78" s="1207" t="str">
        <f t="shared" ref="G78" si="1">IF(G82=0,"-","PRODUTO")</f>
        <v>PRODUTO</v>
      </c>
      <c r="H78" s="1208"/>
      <c r="I78" s="1207" t="str">
        <f t="shared" ref="I78" si="2">IF(I82=0,"-","PRODUTO")</f>
        <v>PRODUTO</v>
      </c>
      <c r="J78" s="1208"/>
      <c r="K78" s="1207" t="str">
        <f t="shared" ref="K78" si="3">IF(K82=0,"-","PRODUTO")</f>
        <v>PRODUTO</v>
      </c>
      <c r="L78" s="1208"/>
      <c r="M78" s="1207" t="str">
        <f t="shared" ref="M78" si="4">IF(M82=0,"-","PRODUTO")</f>
        <v>PRODUTO</v>
      </c>
      <c r="N78" s="1208"/>
      <c r="O78" s="1207" t="str">
        <f t="shared" ref="O78" si="5">IF(O82=0,"-","PRODUTO")</f>
        <v>PRODUTO</v>
      </c>
      <c r="P78" s="1208"/>
      <c r="Q78" s="1207" t="str">
        <f>IF(Q82=0,"-","PRODUTO")</f>
        <v>PRODUTO</v>
      </c>
      <c r="R78" s="1208"/>
      <c r="S78" s="303"/>
      <c r="T78" s="303"/>
      <c r="U78" s="303"/>
      <c r="V78" s="303"/>
    </row>
    <row r="79" spans="1:22" x14ac:dyDescent="0.25">
      <c r="A79" s="303"/>
      <c r="B79" s="303"/>
      <c r="C79" s="303"/>
      <c r="D79" s="303"/>
      <c r="E79" s="1230" t="str">
        <f>'DADOS E-MAIL '!J53</f>
        <v>Soybeans</v>
      </c>
      <c r="F79" s="1231"/>
      <c r="G79" s="1230" t="str">
        <f>'DADOS E-MAIL '!J52</f>
        <v>Soybeans</v>
      </c>
      <c r="H79" s="1231"/>
      <c r="I79" s="1230" t="str">
        <f>'DADOS E-MAIL '!J51</f>
        <v>Soybeans</v>
      </c>
      <c r="J79" s="1231"/>
      <c r="K79" s="1230" t="str">
        <f>'DADOS E-MAIL '!J50</f>
        <v>Soybeans</v>
      </c>
      <c r="L79" s="1231"/>
      <c r="M79" s="1230" t="str">
        <f>'DADOS E-MAIL '!J49</f>
        <v>Soybeans</v>
      </c>
      <c r="N79" s="1231"/>
      <c r="O79" s="1230" t="str">
        <f>'DADOS E-MAIL '!J48</f>
        <v>Soybeans</v>
      </c>
      <c r="P79" s="1231"/>
      <c r="Q79" s="1230" t="str">
        <f>'DADOS E-MAIL '!J47</f>
        <v>Soybeans</v>
      </c>
      <c r="R79" s="1231"/>
      <c r="S79" s="303"/>
      <c r="T79" s="303"/>
      <c r="U79" s="303"/>
      <c r="V79" s="303"/>
    </row>
    <row r="80" spans="1:22" x14ac:dyDescent="0.25">
      <c r="A80" s="303"/>
      <c r="B80" s="303"/>
      <c r="C80" s="303"/>
      <c r="D80" s="303"/>
      <c r="E80" s="705"/>
      <c r="F80" s="706"/>
      <c r="G80" s="705"/>
      <c r="H80" s="706"/>
      <c r="I80" s="705"/>
      <c r="J80" s="706"/>
      <c r="K80" s="705"/>
      <c r="L80" s="706"/>
      <c r="M80" s="705"/>
      <c r="N80" s="706"/>
      <c r="O80" s="705"/>
      <c r="P80" s="706"/>
      <c r="Q80" s="705"/>
      <c r="R80" s="706"/>
      <c r="S80" s="303"/>
      <c r="T80" s="303"/>
      <c r="U80" s="303"/>
      <c r="V80" s="303"/>
    </row>
    <row r="81" spans="1:22" x14ac:dyDescent="0.25">
      <c r="A81" s="303"/>
      <c r="B81" s="303"/>
      <c r="C81" s="303"/>
      <c r="D81" s="303"/>
      <c r="E81" s="1203" t="str">
        <f>IF(E82=0,"-","TOTAL")</f>
        <v>TOTAL</v>
      </c>
      <c r="F81" s="1204"/>
      <c r="G81" s="1203" t="str">
        <f>IF(G82=0,"-","TOTAL")</f>
        <v>TOTAL</v>
      </c>
      <c r="H81" s="1204"/>
      <c r="I81" s="1203" t="str">
        <f>IF(I82=0,"-","TOTAL")</f>
        <v>TOTAL</v>
      </c>
      <c r="J81" s="1204"/>
      <c r="K81" s="1203" t="str">
        <f>IF(K82=0,"-","TOTAL")</f>
        <v>TOTAL</v>
      </c>
      <c r="L81" s="1204"/>
      <c r="M81" s="1203" t="str">
        <f>IF(M82=0,"-","TOTAL")</f>
        <v>TOTAL</v>
      </c>
      <c r="N81" s="1204"/>
      <c r="O81" s="1203" t="str">
        <f>IF(O82=0,"-","TOTAL")</f>
        <v>TOTAL</v>
      </c>
      <c r="P81" s="1204"/>
      <c r="Q81" s="1203" t="str">
        <f>IF(Q82=0,"-","TOTAL")</f>
        <v>TOTAL</v>
      </c>
      <c r="R81" s="1204"/>
      <c r="S81" s="303"/>
      <c r="T81" s="303"/>
      <c r="U81" s="303"/>
      <c r="V81" s="303"/>
    </row>
    <row r="82" spans="1:22" x14ac:dyDescent="0.25">
      <c r="A82" s="303"/>
      <c r="B82" s="303"/>
      <c r="C82" s="303"/>
      <c r="D82" s="303"/>
      <c r="E82" s="1199">
        <f>'DADOS E-MAIL '!D53</f>
        <v>9789.6</v>
      </c>
      <c r="F82" s="1200"/>
      <c r="G82" s="1199">
        <f>'DADOS E-MAIL '!D52</f>
        <v>10138.42</v>
      </c>
      <c r="H82" s="1200"/>
      <c r="I82" s="1199">
        <f>'DADOS E-MAIL '!D51</f>
        <v>10151.08</v>
      </c>
      <c r="J82" s="1200"/>
      <c r="K82" s="1199">
        <f>'DADOS E-MAIL '!D50</f>
        <v>10100.58</v>
      </c>
      <c r="L82" s="1200"/>
      <c r="M82" s="1199">
        <f>'DADOS E-MAIL '!D49</f>
        <v>10141.66</v>
      </c>
      <c r="N82" s="1200"/>
      <c r="O82" s="1199">
        <f>'DADOS E-MAIL '!D48</f>
        <v>9957.2000000000007</v>
      </c>
      <c r="P82" s="1200"/>
      <c r="Q82" s="1199">
        <f>'DADOS E-MAIL '!D47</f>
        <v>8892.51</v>
      </c>
      <c r="R82" s="1200"/>
      <c r="S82" s="303"/>
      <c r="T82" s="303"/>
      <c r="U82" s="303"/>
      <c r="V82" s="303"/>
    </row>
    <row r="83" spans="1:22" ht="15.75" customHeight="1" x14ac:dyDescent="0.25">
      <c r="A83" s="303"/>
      <c r="B83" s="303"/>
      <c r="C83" s="303"/>
      <c r="D83" s="303"/>
      <c r="E83" s="1201"/>
      <c r="F83" s="1202"/>
      <c r="G83" s="1201"/>
      <c r="H83" s="1202"/>
      <c r="I83" s="1201"/>
      <c r="J83" s="1202"/>
      <c r="K83" s="1201"/>
      <c r="L83" s="1202"/>
      <c r="M83" s="1201"/>
      <c r="N83" s="1202"/>
      <c r="O83" s="1201"/>
      <c r="P83" s="1202"/>
      <c r="Q83" s="1201"/>
      <c r="R83" s="1202"/>
      <c r="S83" s="303"/>
      <c r="T83" s="303"/>
      <c r="U83" s="303"/>
      <c r="V83" s="303"/>
    </row>
    <row r="84" spans="1:22" x14ac:dyDescent="0.25">
      <c r="A84" s="303"/>
      <c r="B84" s="303"/>
      <c r="C84" s="303"/>
      <c r="D84" s="303"/>
      <c r="E84" s="1232" t="str">
        <f>'DADOS E-MAIL '!H53</f>
        <v>FULL</v>
      </c>
      <c r="F84" s="1228"/>
      <c r="G84" s="1232" t="str">
        <f>'DADOS E-MAIL '!H52</f>
        <v>FULL</v>
      </c>
      <c r="H84" s="1228"/>
      <c r="I84" s="1232" t="str">
        <f>'DADOS E-MAIL '!H51</f>
        <v>FULL</v>
      </c>
      <c r="J84" s="1228"/>
      <c r="K84" s="1232" t="str">
        <f>'DADOS E-MAIL '!H50</f>
        <v>FULL</v>
      </c>
      <c r="L84" s="1228"/>
      <c r="M84" s="1232" t="str">
        <f>'DADOS E-MAIL '!H49</f>
        <v>FULL</v>
      </c>
      <c r="N84" s="1228"/>
      <c r="O84" s="1232" t="str">
        <f>'DADOS E-MAIL '!H48</f>
        <v>FULL</v>
      </c>
      <c r="P84" s="1228"/>
      <c r="Q84" s="1232" t="str">
        <f>'DADOS E-MAIL '!H47</f>
        <v>FULL</v>
      </c>
      <c r="R84" s="1228"/>
      <c r="S84" s="303"/>
      <c r="T84" s="303"/>
      <c r="U84" s="303"/>
      <c r="V84" s="303"/>
    </row>
    <row r="85" spans="1:22" x14ac:dyDescent="0.25">
      <c r="A85" s="303"/>
      <c r="B85" s="303"/>
      <c r="C85" s="303"/>
      <c r="D85" s="303"/>
      <c r="E85" s="1227" t="str">
        <f>IF(E82=0,"-","FATOR DE ESTIVA")</f>
        <v>FATOR DE ESTIVA</v>
      </c>
      <c r="F85" s="1228"/>
      <c r="G85" s="1227" t="str">
        <f>IF(G82=0,"-","FATOR DE ESTIVA")</f>
        <v>FATOR DE ESTIVA</v>
      </c>
      <c r="H85" s="1228"/>
      <c r="I85" s="1227" t="str">
        <f>IF(I82=0,"-","FATOR DE ESTIVA")</f>
        <v>FATOR DE ESTIVA</v>
      </c>
      <c r="J85" s="1228"/>
      <c r="K85" s="1227" t="str">
        <f>IF(K82=0,"-","FATOR DE ESTIVA")</f>
        <v>FATOR DE ESTIVA</v>
      </c>
      <c r="L85" s="1228"/>
      <c r="M85" s="1227" t="str">
        <f>IF(M82=0,"-","FATOR DE ESTIVA")</f>
        <v>FATOR DE ESTIVA</v>
      </c>
      <c r="N85" s="1228"/>
      <c r="O85" s="1227" t="str">
        <f>IF(O82=0,"-","FATOR DE ESTIVA")</f>
        <v>FATOR DE ESTIVA</v>
      </c>
      <c r="P85" s="1228"/>
      <c r="Q85" s="1227" t="str">
        <f>IF(Q82=0,"-","FATOR DE ESTIVA")</f>
        <v>FATOR DE ESTIVA</v>
      </c>
      <c r="R85" s="1228"/>
      <c r="S85" s="303"/>
      <c r="T85" s="303"/>
      <c r="U85" s="303"/>
      <c r="V85" s="303"/>
    </row>
    <row r="86" spans="1:22" x14ac:dyDescent="0.25">
      <c r="A86" s="303"/>
      <c r="B86" s="303"/>
      <c r="C86" s="303"/>
      <c r="D86" s="303"/>
      <c r="E86" s="1229">
        <f>IFERROR((E89/E82),"")</f>
        <v>48.441509356868515</v>
      </c>
      <c r="F86" s="1228"/>
      <c r="G86" s="1229">
        <f>IFERROR((G89/G82),"")</f>
        <v>48.464257744303353</v>
      </c>
      <c r="H86" s="1228"/>
      <c r="I86" s="1229">
        <f>IFERROR((I89/I82),"")</f>
        <v>48.403815160554345</v>
      </c>
      <c r="J86" s="1228"/>
      <c r="K86" s="1229">
        <f>IFERROR((K89/K82),"")</f>
        <v>48.645820339030038</v>
      </c>
      <c r="L86" s="1228"/>
      <c r="M86" s="1229">
        <f>IFERROR((M89/M82),"")</f>
        <v>48.44877465819205</v>
      </c>
      <c r="N86" s="1228"/>
      <c r="O86" s="1229">
        <f>IFERROR((O89/O82),"")</f>
        <v>49.303016912385004</v>
      </c>
      <c r="P86" s="1228"/>
      <c r="Q86" s="1229">
        <f>IFERROR((Q89/Q82),"")</f>
        <v>48.401632385007154</v>
      </c>
      <c r="R86" s="1228"/>
      <c r="S86" s="303"/>
      <c r="T86" s="303"/>
      <c r="U86" s="303"/>
      <c r="V86" s="303"/>
    </row>
    <row r="87" spans="1:22" x14ac:dyDescent="0.25">
      <c r="A87" s="303"/>
      <c r="B87" s="303"/>
      <c r="C87" s="303"/>
      <c r="D87" s="303"/>
      <c r="E87" s="705"/>
      <c r="F87" s="706"/>
      <c r="G87" s="705"/>
      <c r="H87" s="706"/>
      <c r="I87" s="705"/>
      <c r="J87" s="706"/>
      <c r="K87" s="705"/>
      <c r="L87" s="706"/>
      <c r="M87" s="705"/>
      <c r="N87" s="706"/>
      <c r="O87" s="705"/>
      <c r="P87" s="706"/>
      <c r="Q87" s="705"/>
      <c r="R87" s="706"/>
      <c r="S87" s="303"/>
      <c r="T87" s="303"/>
      <c r="U87" s="303"/>
      <c r="V87" s="303"/>
    </row>
    <row r="88" spans="1:22" x14ac:dyDescent="0.25">
      <c r="A88" s="303"/>
      <c r="B88" s="303"/>
      <c r="C88" s="303"/>
      <c r="D88" s="303"/>
      <c r="E88" s="1222" t="str">
        <f>IF(E82=0,"-","CUBAGEM")</f>
        <v>CUBAGEM</v>
      </c>
      <c r="F88" s="1223"/>
      <c r="G88" s="1222" t="str">
        <f>IF(G82=0,"-","CUBAGEM")</f>
        <v>CUBAGEM</v>
      </c>
      <c r="H88" s="1223"/>
      <c r="I88" s="1222" t="str">
        <f>IF(I82=0,"-","CUBAGEM")</f>
        <v>CUBAGEM</v>
      </c>
      <c r="J88" s="1223"/>
      <c r="K88" s="1222" t="str">
        <f>IF(K82=0,"-","CUBAGEM")</f>
        <v>CUBAGEM</v>
      </c>
      <c r="L88" s="1223"/>
      <c r="M88" s="1222" t="str">
        <f>IF(M82=0,"-","CUBAGEM")</f>
        <v>CUBAGEM</v>
      </c>
      <c r="N88" s="1223"/>
      <c r="O88" s="1222" t="str">
        <f>IF(O82=0,"-","CUBAGEM")</f>
        <v>CUBAGEM</v>
      </c>
      <c r="P88" s="1223"/>
      <c r="Q88" s="1222" t="str">
        <f>IF(Q82=0,"-","CUBAGEM")</f>
        <v>CUBAGEM</v>
      </c>
      <c r="R88" s="1223"/>
      <c r="S88" s="303"/>
      <c r="T88" s="303"/>
      <c r="U88" s="303"/>
      <c r="V88" s="303"/>
    </row>
    <row r="89" spans="1:22" x14ac:dyDescent="0.25">
      <c r="A89" s="303"/>
      <c r="B89" s="303"/>
      <c r="C89" s="303"/>
      <c r="D89" s="303"/>
      <c r="E89" s="1225">
        <f>'DADOS E-MAIL '!F53</f>
        <v>474223</v>
      </c>
      <c r="F89" s="1226"/>
      <c r="G89" s="1225">
        <f>'DADOS E-MAIL '!F52</f>
        <v>491351</v>
      </c>
      <c r="H89" s="1226"/>
      <c r="I89" s="1225">
        <f>'DADOS E-MAIL '!F51</f>
        <v>491351</v>
      </c>
      <c r="J89" s="1226"/>
      <c r="K89" s="1225">
        <f>'DADOS E-MAIL '!F50</f>
        <v>491351</v>
      </c>
      <c r="L89" s="1226"/>
      <c r="M89" s="1225">
        <f>'DADOS E-MAIL '!F49</f>
        <v>491351</v>
      </c>
      <c r="N89" s="1226"/>
      <c r="O89" s="1225">
        <f>'DADOS E-MAIL '!F48</f>
        <v>490920</v>
      </c>
      <c r="P89" s="1226"/>
      <c r="Q89" s="1225">
        <f>'DADOS E-MAIL '!F47</f>
        <v>430412</v>
      </c>
      <c r="R89" s="1226"/>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15" customHeight="1"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303"/>
      <c r="E94" s="303"/>
      <c r="F94" s="303"/>
      <c r="G94" s="303"/>
      <c r="H94" s="303"/>
      <c r="I94" s="303"/>
      <c r="J94" s="303"/>
      <c r="K94" s="303"/>
      <c r="L94" s="303"/>
      <c r="M94" s="303"/>
      <c r="N94" s="303"/>
      <c r="O94" s="303"/>
      <c r="P94" s="303"/>
      <c r="Q94" s="303"/>
      <c r="R94" s="303"/>
      <c r="S94" s="303"/>
      <c r="T94" s="303"/>
      <c r="U94" s="303"/>
      <c r="V94" s="303"/>
    </row>
    <row r="95" spans="1:22" ht="23.25" x14ac:dyDescent="0.35">
      <c r="A95" s="303"/>
      <c r="B95" s="303"/>
      <c r="C95" s="303"/>
      <c r="D95" s="1224" t="s">
        <v>665</v>
      </c>
      <c r="E95" s="1224"/>
      <c r="F95" s="1224"/>
      <c r="G95" s="1224"/>
      <c r="H95" s="1224"/>
      <c r="I95" s="1224"/>
      <c r="J95" s="1224"/>
      <c r="K95" s="1224"/>
      <c r="L95" s="1224"/>
      <c r="M95" s="1224"/>
      <c r="N95" s="1224"/>
      <c r="O95" s="1224"/>
      <c r="P95" s="1224"/>
      <c r="Q95" s="1224"/>
      <c r="R95" s="1224"/>
      <c r="S95" s="1224"/>
      <c r="T95" s="303"/>
      <c r="U95" s="303"/>
      <c r="V95" s="303"/>
    </row>
    <row r="96" spans="1:22" x14ac:dyDescent="0.25">
      <c r="A96" s="303"/>
      <c r="B96" s="303"/>
      <c r="C96" s="303"/>
      <c r="D96" s="303"/>
      <c r="E96" s="303"/>
      <c r="F96" s="303"/>
      <c r="G96" s="303"/>
      <c r="H96" s="303"/>
      <c r="I96" s="303"/>
      <c r="J96" s="303"/>
      <c r="K96" s="303"/>
      <c r="L96" s="303"/>
      <c r="M96" s="303"/>
      <c r="N96" s="303"/>
      <c r="O96" s="303"/>
      <c r="P96" s="303"/>
      <c r="Q96" s="303"/>
      <c r="R96" s="303"/>
      <c r="S96" s="303"/>
      <c r="T96" s="303"/>
      <c r="U96" s="303"/>
      <c r="V96" s="303"/>
    </row>
    <row r="97" spans="1:22" x14ac:dyDescent="0.25">
      <c r="A97" s="303"/>
      <c r="B97" s="303"/>
      <c r="C97" s="303"/>
      <c r="D97" s="682"/>
      <c r="E97" s="682"/>
      <c r="F97" s="682"/>
      <c r="G97" s="685"/>
      <c r="H97" s="685"/>
      <c r="I97" s="682"/>
      <c r="J97" s="682"/>
      <c r="K97" s="303"/>
      <c r="L97" s="682"/>
      <c r="M97" s="682"/>
      <c r="N97" s="682"/>
      <c r="O97" s="682"/>
      <c r="P97" s="682"/>
      <c r="Q97" s="682"/>
      <c r="R97" s="682"/>
      <c r="S97" s="682"/>
      <c r="T97" s="303"/>
      <c r="U97" s="303"/>
      <c r="V97" s="303"/>
    </row>
    <row r="98" spans="1:22" x14ac:dyDescent="0.25">
      <c r="A98" s="303"/>
      <c r="B98" s="1220">
        <v>1</v>
      </c>
      <c r="C98" s="1221" t="s">
        <v>664</v>
      </c>
      <c r="D98" s="1221"/>
      <c r="E98" s="1221"/>
      <c r="F98" s="1221"/>
      <c r="G98" s="1221"/>
      <c r="H98" s="1221"/>
      <c r="I98" s="1221"/>
      <c r="J98" s="1221"/>
      <c r="K98" s="1221"/>
      <c r="L98" s="1221"/>
      <c r="M98" s="1221"/>
      <c r="N98" s="1221"/>
      <c r="O98" s="1221"/>
      <c r="P98" s="1221"/>
      <c r="Q98" s="1221"/>
      <c r="R98" s="1221"/>
      <c r="S98" s="1221"/>
      <c r="T98" s="1221"/>
      <c r="U98" s="303"/>
      <c r="V98" s="303"/>
    </row>
    <row r="99" spans="1:22" x14ac:dyDescent="0.25">
      <c r="A99" s="303"/>
      <c r="B99" s="1220"/>
      <c r="C99" s="1221"/>
      <c r="D99" s="1221"/>
      <c r="E99" s="1221"/>
      <c r="F99" s="1221"/>
      <c r="G99" s="1221"/>
      <c r="H99" s="1221"/>
      <c r="I99" s="1221"/>
      <c r="J99" s="1221"/>
      <c r="K99" s="1221"/>
      <c r="L99" s="1221"/>
      <c r="M99" s="1221"/>
      <c r="N99" s="1221"/>
      <c r="O99" s="1221"/>
      <c r="P99" s="1221"/>
      <c r="Q99" s="1221"/>
      <c r="R99" s="1221"/>
      <c r="S99" s="1221"/>
      <c r="T99" s="1221"/>
      <c r="U99" s="303"/>
      <c r="V99" s="303"/>
    </row>
    <row r="100" spans="1:22" x14ac:dyDescent="0.25">
      <c r="A100" s="303"/>
      <c r="B100" s="303"/>
      <c r="C100" s="303"/>
      <c r="D100" s="683"/>
      <c r="E100" s="683"/>
      <c r="F100" s="684"/>
      <c r="G100" s="684"/>
      <c r="H100" s="684"/>
      <c r="I100" s="684"/>
      <c r="J100" s="683"/>
      <c r="K100" s="683"/>
      <c r="L100" s="303"/>
      <c r="M100" s="303"/>
      <c r="N100" s="303"/>
      <c r="O100" s="303"/>
      <c r="P100" s="303"/>
      <c r="Q100" s="303"/>
      <c r="R100" s="303"/>
      <c r="S100" s="303"/>
      <c r="T100" s="303"/>
      <c r="U100" s="303"/>
      <c r="V100" s="303"/>
    </row>
    <row r="101" spans="1:22" x14ac:dyDescent="0.25">
      <c r="A101" s="303"/>
      <c r="B101" s="1220">
        <v>2</v>
      </c>
      <c r="C101" s="1221"/>
      <c r="D101" s="1221"/>
      <c r="E101" s="1221"/>
      <c r="F101" s="1221"/>
      <c r="G101" s="1221"/>
      <c r="H101" s="1221"/>
      <c r="I101" s="1221"/>
      <c r="J101" s="1221"/>
      <c r="K101" s="1221"/>
      <c r="L101" s="1221"/>
      <c r="M101" s="1221"/>
      <c r="N101" s="1221"/>
      <c r="O101" s="1221"/>
      <c r="P101" s="1221"/>
      <c r="Q101" s="1221"/>
      <c r="R101" s="1221"/>
      <c r="S101" s="1221"/>
      <c r="T101" s="1221"/>
      <c r="U101" s="303"/>
      <c r="V101" s="303"/>
    </row>
    <row r="102" spans="1:22" ht="15" customHeight="1" x14ac:dyDescent="0.25">
      <c r="A102" s="303"/>
      <c r="B102" s="1220"/>
      <c r="C102" s="1221"/>
      <c r="D102" s="1221"/>
      <c r="E102" s="1221"/>
      <c r="F102" s="1221"/>
      <c r="G102" s="1221"/>
      <c r="H102" s="1221"/>
      <c r="I102" s="1221"/>
      <c r="J102" s="1221"/>
      <c r="K102" s="1221"/>
      <c r="L102" s="1221"/>
      <c r="M102" s="1221"/>
      <c r="N102" s="1221"/>
      <c r="O102" s="1221"/>
      <c r="P102" s="1221"/>
      <c r="Q102" s="1221"/>
      <c r="R102" s="1221"/>
      <c r="S102" s="1221"/>
      <c r="T102" s="1221"/>
      <c r="U102" s="303"/>
      <c r="V102" s="303"/>
    </row>
    <row r="103" spans="1:22" ht="15" customHeight="1" x14ac:dyDescent="0.25">
      <c r="A103" s="303"/>
      <c r="B103" s="303"/>
      <c r="C103" s="303"/>
      <c r="D103" s="683"/>
      <c r="E103" s="683"/>
      <c r="F103" s="684"/>
      <c r="G103" s="684"/>
      <c r="H103" s="684"/>
      <c r="I103" s="684"/>
      <c r="J103" s="683"/>
      <c r="K103" s="683"/>
      <c r="L103" s="303"/>
      <c r="M103" s="303"/>
      <c r="N103" s="303"/>
      <c r="O103" s="303"/>
      <c r="P103" s="303"/>
      <c r="Q103" s="303"/>
      <c r="R103" s="303"/>
      <c r="S103" s="303"/>
      <c r="T103" s="303"/>
      <c r="U103" s="303"/>
      <c r="V103" s="303"/>
    </row>
    <row r="104" spans="1:22" x14ac:dyDescent="0.25">
      <c r="A104" s="303"/>
      <c r="B104" s="1220">
        <v>3</v>
      </c>
      <c r="C104" s="1221"/>
      <c r="D104" s="1221"/>
      <c r="E104" s="1221"/>
      <c r="F104" s="1221"/>
      <c r="G104" s="1221"/>
      <c r="H104" s="1221"/>
      <c r="I104" s="1221"/>
      <c r="J104" s="1221"/>
      <c r="K104" s="1221"/>
      <c r="L104" s="1221"/>
      <c r="M104" s="1221"/>
      <c r="N104" s="1221"/>
      <c r="O104" s="1221"/>
      <c r="P104" s="1221"/>
      <c r="Q104" s="1221"/>
      <c r="R104" s="1221"/>
      <c r="S104" s="1221"/>
      <c r="T104" s="1221"/>
      <c r="U104" s="303"/>
      <c r="V104" s="303"/>
    </row>
    <row r="105" spans="1:22" x14ac:dyDescent="0.25">
      <c r="A105" s="303"/>
      <c r="B105" s="1220"/>
      <c r="C105" s="1221"/>
      <c r="D105" s="1221"/>
      <c r="E105" s="1221"/>
      <c r="F105" s="1221"/>
      <c r="G105" s="1221"/>
      <c r="H105" s="1221"/>
      <c r="I105" s="1221"/>
      <c r="J105" s="1221"/>
      <c r="K105" s="1221"/>
      <c r="L105" s="1221"/>
      <c r="M105" s="1221"/>
      <c r="N105" s="1221"/>
      <c r="O105" s="1221"/>
      <c r="P105" s="1221"/>
      <c r="Q105" s="1221"/>
      <c r="R105" s="1221"/>
      <c r="S105" s="1221"/>
      <c r="T105" s="1221"/>
      <c r="U105" s="303"/>
      <c r="V105" s="303"/>
    </row>
    <row r="106" spans="1:22" x14ac:dyDescent="0.25">
      <c r="A106" s="303"/>
      <c r="B106" s="303"/>
      <c r="C106" s="303"/>
      <c r="D106" s="683"/>
      <c r="E106" s="683"/>
      <c r="F106" s="684"/>
      <c r="G106" s="684"/>
      <c r="H106" s="684"/>
      <c r="I106" s="684"/>
      <c r="J106" s="683"/>
      <c r="K106" s="683"/>
      <c r="L106" s="303"/>
      <c r="M106" s="303"/>
      <c r="N106" s="303"/>
      <c r="O106" s="303"/>
      <c r="P106" s="303"/>
      <c r="Q106" s="303"/>
      <c r="R106" s="303"/>
      <c r="S106" s="303"/>
      <c r="T106" s="303"/>
      <c r="U106" s="303"/>
      <c r="V106" s="303"/>
    </row>
    <row r="107" spans="1:22" x14ac:dyDescent="0.25">
      <c r="A107" s="303"/>
      <c r="B107" s="1220">
        <v>4</v>
      </c>
      <c r="C107" s="1221"/>
      <c r="D107" s="1221"/>
      <c r="E107" s="1221"/>
      <c r="F107" s="1221"/>
      <c r="G107" s="1221"/>
      <c r="H107" s="1221"/>
      <c r="I107" s="1221"/>
      <c r="J107" s="1221"/>
      <c r="K107" s="1221"/>
      <c r="L107" s="1221"/>
      <c r="M107" s="1221"/>
      <c r="N107" s="1221"/>
      <c r="O107" s="1221"/>
      <c r="P107" s="1221"/>
      <c r="Q107" s="1221"/>
      <c r="R107" s="1221"/>
      <c r="S107" s="1221"/>
      <c r="T107" s="1221"/>
      <c r="U107" s="303"/>
      <c r="V107" s="303"/>
    </row>
    <row r="108" spans="1:22" x14ac:dyDescent="0.25">
      <c r="A108" s="303"/>
      <c r="B108" s="1220"/>
      <c r="C108" s="1221"/>
      <c r="D108" s="1221"/>
      <c r="E108" s="1221"/>
      <c r="F108" s="1221"/>
      <c r="G108" s="1221"/>
      <c r="H108" s="1221"/>
      <c r="I108" s="1221"/>
      <c r="J108" s="1221"/>
      <c r="K108" s="1221"/>
      <c r="L108" s="1221"/>
      <c r="M108" s="1221"/>
      <c r="N108" s="1221"/>
      <c r="O108" s="1221"/>
      <c r="P108" s="1221"/>
      <c r="Q108" s="1221"/>
      <c r="R108" s="1221"/>
      <c r="S108" s="1221"/>
      <c r="T108" s="1221"/>
      <c r="U108" s="303"/>
      <c r="V108" s="303"/>
    </row>
    <row r="109" spans="1:22" x14ac:dyDescent="0.25">
      <c r="A109" s="303"/>
      <c r="B109" s="303"/>
      <c r="C109" s="303"/>
      <c r="D109" s="683"/>
      <c r="E109" s="683"/>
      <c r="F109" s="684"/>
      <c r="G109" s="684"/>
      <c r="H109" s="684"/>
      <c r="I109" s="684"/>
      <c r="J109" s="683"/>
      <c r="K109" s="683"/>
      <c r="L109" s="303"/>
      <c r="M109" s="303"/>
      <c r="N109" s="303"/>
      <c r="O109" s="303"/>
      <c r="P109" s="303"/>
      <c r="Q109" s="303"/>
      <c r="R109" s="303"/>
      <c r="S109" s="303"/>
      <c r="T109" s="303"/>
      <c r="U109" s="303"/>
      <c r="V109" s="303"/>
    </row>
    <row r="110" spans="1:22" x14ac:dyDescent="0.25">
      <c r="A110" s="303"/>
      <c r="B110" s="1220">
        <v>5</v>
      </c>
      <c r="C110" s="1221"/>
      <c r="D110" s="1221"/>
      <c r="E110" s="1221"/>
      <c r="F110" s="1221"/>
      <c r="G110" s="1221"/>
      <c r="H110" s="1221"/>
      <c r="I110" s="1221"/>
      <c r="J110" s="1221"/>
      <c r="K110" s="1221"/>
      <c r="L110" s="1221"/>
      <c r="M110" s="1221"/>
      <c r="N110" s="1221"/>
      <c r="O110" s="1221"/>
      <c r="P110" s="1221"/>
      <c r="Q110" s="1221"/>
      <c r="R110" s="1221"/>
      <c r="S110" s="1221"/>
      <c r="T110" s="1221"/>
      <c r="U110" s="303"/>
      <c r="V110" s="303"/>
    </row>
    <row r="111" spans="1:22" x14ac:dyDescent="0.25">
      <c r="A111" s="303"/>
      <c r="B111" s="1220"/>
      <c r="C111" s="1221"/>
      <c r="D111" s="1221"/>
      <c r="E111" s="1221"/>
      <c r="F111" s="1221"/>
      <c r="G111" s="1221"/>
      <c r="H111" s="1221"/>
      <c r="I111" s="1221"/>
      <c r="J111" s="1221"/>
      <c r="K111" s="1221"/>
      <c r="L111" s="1221"/>
      <c r="M111" s="1221"/>
      <c r="N111" s="1221"/>
      <c r="O111" s="1221"/>
      <c r="P111" s="1221"/>
      <c r="Q111" s="1221"/>
      <c r="R111" s="1221"/>
      <c r="S111" s="1221"/>
      <c r="T111" s="1221"/>
      <c r="U111" s="303"/>
      <c r="V111" s="303"/>
    </row>
    <row r="112" spans="1:22" x14ac:dyDescent="0.25">
      <c r="A112" s="303"/>
      <c r="B112" s="303"/>
      <c r="C112" s="303"/>
      <c r="D112" s="683"/>
      <c r="E112" s="683"/>
      <c r="F112" s="684"/>
      <c r="G112" s="684"/>
      <c r="H112" s="684"/>
      <c r="I112" s="684"/>
      <c r="J112" s="683"/>
      <c r="K112" s="683"/>
      <c r="L112" s="303"/>
      <c r="M112" s="303"/>
      <c r="N112" s="303"/>
      <c r="O112" s="303"/>
      <c r="P112" s="303"/>
      <c r="Q112" s="303"/>
      <c r="R112" s="303"/>
      <c r="S112" s="303"/>
      <c r="T112" s="303"/>
      <c r="U112" s="303"/>
      <c r="V112" s="303"/>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1">
        <v>0</v>
      </c>
      <c r="J3" t="s">
        <v>343</v>
      </c>
      <c r="K3">
        <f>'DADOS E-MAIL '!E23</f>
        <v>0</v>
      </c>
      <c r="L3" s="689">
        <f>'DADOS E-MAIL '!G23</f>
        <v>0</v>
      </c>
      <c r="M3">
        <f>'DADOS E-MAIL '!E23</f>
        <v>0</v>
      </c>
    </row>
    <row r="4" spans="2:13" x14ac:dyDescent="0.25">
      <c r="B4" t="s">
        <v>686</v>
      </c>
      <c r="C4" s="691">
        <v>0</v>
      </c>
      <c r="D4">
        <v>17.683333000000001</v>
      </c>
      <c r="J4" t="s">
        <v>344</v>
      </c>
      <c r="K4">
        <f>'DADOS E-MAIL '!E24</f>
        <v>2667.5250000000001</v>
      </c>
      <c r="L4" s="689">
        <f>'DADOS E-MAIL '!G24</f>
        <v>3.8564182559033005</v>
      </c>
      <c r="M4">
        <f>'DADOS E-MAIL '!E24</f>
        <v>2667.5250000000001</v>
      </c>
    </row>
    <row r="5" spans="2:13" x14ac:dyDescent="0.25">
      <c r="B5" t="s">
        <v>685</v>
      </c>
      <c r="C5" s="691">
        <v>0</v>
      </c>
      <c r="J5" t="s">
        <v>345</v>
      </c>
      <c r="K5">
        <f>'DADOS E-MAIL '!E25</f>
        <v>0</v>
      </c>
      <c r="L5" s="689">
        <f>'DADOS E-MAIL '!G25</f>
        <v>0</v>
      </c>
      <c r="M5">
        <f>'DADOS E-MAIL '!E25</f>
        <v>0</v>
      </c>
    </row>
    <row r="6" spans="2:13" x14ac:dyDescent="0.25">
      <c r="J6" t="s">
        <v>346</v>
      </c>
      <c r="K6">
        <f>'DADOS E-MAIL '!E26</f>
        <v>20900</v>
      </c>
      <c r="L6" s="689">
        <f>'DADOS E-MAIL '!G26</f>
        <v>30.214952642760228</v>
      </c>
      <c r="M6">
        <f>'DADOS E-MAIL '!E26</f>
        <v>20900</v>
      </c>
    </row>
    <row r="7" spans="2:13" x14ac:dyDescent="0.25">
      <c r="J7" t="s">
        <v>347</v>
      </c>
      <c r="K7">
        <f>'DADOS E-MAIL '!E27</f>
        <v>8100</v>
      </c>
      <c r="L7" s="689">
        <f>'DADOS E-MAIL '!G27</f>
        <v>11.710101263462098</v>
      </c>
      <c r="M7">
        <f>'DADOS E-MAIL '!E27</f>
        <v>8100</v>
      </c>
    </row>
    <row r="8" spans="2:13" x14ac:dyDescent="0.25">
      <c r="J8" t="s">
        <v>348</v>
      </c>
      <c r="K8">
        <f>'DADOS E-MAIL '!E28</f>
        <v>20361.05</v>
      </c>
      <c r="L8" s="689">
        <f>'DADOS E-MAIL '!G28</f>
        <v>29.435797201285794</v>
      </c>
      <c r="M8">
        <f>'DADOS E-MAIL '!E28</f>
        <v>20361.05</v>
      </c>
    </row>
    <row r="9" spans="2:13" x14ac:dyDescent="0.25">
      <c r="J9" t="s">
        <v>349</v>
      </c>
      <c r="K9">
        <f>'DADOS E-MAIL '!E29</f>
        <v>0</v>
      </c>
      <c r="L9" s="689">
        <f>'DADOS E-MAIL '!G29</f>
        <v>0</v>
      </c>
      <c r="M9">
        <f>'DADOS E-MAIL '!E29</f>
        <v>0</v>
      </c>
    </row>
    <row r="10" spans="2:13" x14ac:dyDescent="0.25">
      <c r="J10" t="s">
        <v>350</v>
      </c>
      <c r="K10">
        <f>'DADOS E-MAIL '!E30</f>
        <v>6500</v>
      </c>
      <c r="L10" s="689">
        <f>'DADOS E-MAIL '!G30</f>
        <v>9.3969948410498318</v>
      </c>
      <c r="M10">
        <f>'DADOS E-MAIL '!E30</f>
        <v>6500</v>
      </c>
    </row>
    <row r="11" spans="2:13" x14ac:dyDescent="0.25">
      <c r="J11" t="s">
        <v>351</v>
      </c>
      <c r="K11">
        <f>'DADOS E-MAIL '!E31</f>
        <v>0</v>
      </c>
      <c r="L11" s="689">
        <f>'DADOS E-MAIL '!G31</f>
        <v>0</v>
      </c>
      <c r="M11">
        <f>'DADOS E-MAIL '!E31</f>
        <v>0</v>
      </c>
    </row>
    <row r="12" spans="2:13" x14ac:dyDescent="0.25">
      <c r="J12" t="s">
        <v>352</v>
      </c>
      <c r="K12">
        <f>'DADOS E-MAIL '!E32</f>
        <v>8832.4750000000004</v>
      </c>
      <c r="L12" s="689">
        <f>'DADOS E-MAIL '!G32</f>
        <v>12.769034155184864</v>
      </c>
      <c r="M12">
        <f>'DADOS E-MAIL '!E32</f>
        <v>8832.4750000000004</v>
      </c>
    </row>
    <row r="13" spans="2:13" x14ac:dyDescent="0.25">
      <c r="J13" t="s">
        <v>353</v>
      </c>
      <c r="K13">
        <f>'DADOS E-MAIL '!E33</f>
        <v>1810</v>
      </c>
      <c r="L13" s="689">
        <f>'DADOS E-MAIL '!G33</f>
        <v>2.6167016403538761</v>
      </c>
      <c r="M13">
        <f>'DADOS E-MAIL '!E33</f>
        <v>1810</v>
      </c>
    </row>
    <row r="14" spans="2:13" x14ac:dyDescent="0.25">
      <c r="J14" s="690" t="s">
        <v>629</v>
      </c>
      <c r="K14">
        <f>'DADOS E-MAIL '!E34</f>
        <v>69171.05</v>
      </c>
      <c r="L14" s="689">
        <f>'DADOS E-MAIL '!G34</f>
        <v>100</v>
      </c>
      <c r="M14">
        <f>'DADOS E-MAIL '!E34</f>
        <v>69171.05</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Relato</vt:lpstr>
      <vt:lpstr>Bll I</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2026-03-20T18:45:10Z</cp:lastPrinted>
  <dcterms:created xsi:type="dcterms:W3CDTF">2015-06-05T18:19:34Z</dcterms:created>
  <dcterms:modified xsi:type="dcterms:W3CDTF">2026-03-20T18:45:49Z</dcterms:modified>
</cp:coreProperties>
</file>