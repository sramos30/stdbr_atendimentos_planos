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EstaPastaDeTrabalho"/>
  <mc:AlternateContent xmlns:mc="http://schemas.openxmlformats.org/markup-compatibility/2006">
    <mc:Choice Requires="x15">
      <x15ac:absPath xmlns:x15ac="http://schemas.microsoft.com/office/spreadsheetml/2010/11/ac" url="Y:\Trabalhos em andamento\28.02.26 - Georgia S\Miscellaneous\"/>
    </mc:Choice>
  </mc:AlternateContent>
  <xr:revisionPtr revIDLastSave="0" documentId="13_ncr:1_{6DA3C11F-713C-429F-AF9D-E4ADC17E956E}" xr6:coauthVersionLast="47" xr6:coauthVersionMax="47" xr10:uidLastSave="{00000000-0000-0000-0000-000000000000}"/>
  <bookViews>
    <workbookView xWindow="2265" yWindow="0" windowWidth="15375" windowHeight="7875" activeTab="9"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state="hidden" r:id="rId9"/>
    <sheet name="Relato (WPC)" sheetId="14"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Relato!$A$1:$J$309</definedName>
    <definedName name="_xlnm.Print_Area" localSheetId="9">'Relato (WPC)'!$A$1:$J$292</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18" i="6" l="1"/>
  <c r="M19" i="6"/>
  <c r="M20" i="6"/>
  <c r="M21" i="6"/>
  <c r="M22" i="6"/>
  <c r="M23" i="6"/>
  <c r="M17" i="6"/>
  <c r="H233" i="14"/>
  <c r="F53" i="11"/>
  <c r="F52" i="11"/>
  <c r="F51" i="11"/>
  <c r="F50" i="11"/>
  <c r="F49" i="11"/>
  <c r="F48" i="11"/>
  <c r="F47" i="11"/>
  <c r="L107" i="7"/>
  <c r="M107" i="7" s="1"/>
  <c r="L104" i="7"/>
  <c r="M104" i="7" s="1"/>
  <c r="L101" i="7"/>
  <c r="M102" i="7" s="1"/>
  <c r="L98" i="7"/>
  <c r="M99" i="7" s="1"/>
  <c r="L91" i="7"/>
  <c r="M91" i="7" s="1"/>
  <c r="L88" i="7"/>
  <c r="M89" i="7" s="1"/>
  <c r="L85" i="7"/>
  <c r="M85" i="7" s="1"/>
  <c r="L82" i="7"/>
  <c r="M82" i="7" s="1"/>
  <c r="L79" i="7"/>
  <c r="M79" i="7" s="1"/>
  <c r="L76" i="7"/>
  <c r="M77" i="7" s="1"/>
  <c r="L73" i="7"/>
  <c r="L70" i="7"/>
  <c r="M71" i="7" s="1"/>
  <c r="L67" i="7"/>
  <c r="M67" i="7" s="1"/>
  <c r="L64" i="7"/>
  <c r="M65" i="7" s="1"/>
  <c r="L61" i="7"/>
  <c r="M61" i="7" s="1"/>
  <c r="L58" i="7"/>
  <c r="M59" i="7" s="1"/>
  <c r="L55" i="7"/>
  <c r="M55" i="7" s="1"/>
  <c r="L43" i="7"/>
  <c r="M43" i="7" s="1"/>
  <c r="L40" i="7"/>
  <c r="M41" i="7" s="1"/>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M73" i="7"/>
  <c r="K73" i="7"/>
  <c r="K70" i="7"/>
  <c r="K67" i="7"/>
  <c r="M64"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57" i="14"/>
  <c r="A52" i="14"/>
  <c r="A3" i="14"/>
  <c r="A176" i="14"/>
  <c r="A213" i="14"/>
  <c r="A188" i="3"/>
  <c r="A3" i="3"/>
  <c r="A29" i="3" s="1"/>
  <c r="M40" i="7" l="1"/>
  <c r="N42" i="7" s="1"/>
  <c r="M101" i="7"/>
  <c r="N103" i="7" s="1"/>
  <c r="M83" i="7"/>
  <c r="M52" i="7"/>
  <c r="O54" i="7" s="1"/>
  <c r="O66" i="7"/>
  <c r="O84" i="7"/>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O81" i="7" s="1"/>
  <c r="M86" i="7"/>
  <c r="N87" i="7" s="1"/>
  <c r="M92" i="7"/>
  <c r="O93" i="7" s="1"/>
  <c r="M8" i="7"/>
  <c r="O9" i="7" s="1"/>
  <c r="O15" i="7"/>
  <c r="N15" i="7"/>
  <c r="O27" i="7"/>
  <c r="N27" i="7"/>
  <c r="O33" i="7"/>
  <c r="N33" i="7"/>
  <c r="O21" i="7"/>
  <c r="N21" i="7"/>
  <c r="O12" i="7"/>
  <c r="N12" i="7"/>
  <c r="O18" i="7"/>
  <c r="N18" i="7"/>
  <c r="O24" i="7"/>
  <c r="N24" i="7"/>
  <c r="O30" i="7"/>
  <c r="N30" i="7"/>
  <c r="N66" i="7"/>
  <c r="N84" i="7"/>
  <c r="M98" i="7"/>
  <c r="O100" i="7" s="1"/>
  <c r="M4" i="7"/>
  <c r="M5" i="7" s="1"/>
  <c r="O42" i="7"/>
  <c r="O103" i="7"/>
  <c r="M105" i="7"/>
  <c r="M108" i="7"/>
  <c r="N54" i="7" l="1"/>
  <c r="N81" i="7"/>
  <c r="N63" i="7"/>
  <c r="N72" i="7"/>
  <c r="O69" i="7"/>
  <c r="O75" i="7"/>
  <c r="N100" i="7"/>
  <c r="N90" i="7"/>
  <c r="O78" i="7"/>
  <c r="N60" i="7"/>
  <c r="N51" i="7"/>
  <c r="N48" i="7"/>
  <c r="O36" i="7"/>
  <c r="N9" i="7"/>
  <c r="N93" i="7"/>
  <c r="N57" i="7"/>
  <c r="O87" i="7"/>
  <c r="N45" i="7"/>
  <c r="O109" i="7"/>
  <c r="N109" i="7"/>
  <c r="O106" i="7"/>
  <c r="N106" i="7"/>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K42" i="24"/>
  <c r="K41" i="24"/>
  <c r="G42" i="24"/>
  <c r="G41" i="24"/>
  <c r="D41" i="24"/>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G81" i="24"/>
  <c r="G88" i="24"/>
  <c r="K78" i="24"/>
  <c r="K86"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F75" i="3" s="1"/>
  <c r="C267" i="18"/>
  <c r="D268" i="18" s="1"/>
  <c r="C181" i="18"/>
  <c r="D184" i="18" s="1"/>
  <c r="C50" i="18"/>
  <c r="D54" i="18" s="1"/>
  <c r="G278" i="3"/>
  <c r="G277" i="3"/>
  <c r="G276" i="3"/>
  <c r="G275" i="3"/>
  <c r="G274" i="3"/>
  <c r="G273" i="3"/>
  <c r="G272" i="3"/>
  <c r="G271" i="3"/>
  <c r="G270" i="3"/>
  <c r="G269" i="3"/>
  <c r="G262" i="3"/>
  <c r="G261" i="3"/>
  <c r="G260" i="3"/>
  <c r="G259" i="3"/>
  <c r="G258" i="3"/>
  <c r="G257" i="3"/>
  <c r="G256" i="3"/>
  <c r="G255" i="3"/>
  <c r="G254" i="3"/>
  <c r="G253" i="3"/>
  <c r="A32" i="14"/>
  <c r="I189" i="3"/>
  <c r="G189" i="3"/>
  <c r="D185" i="18" l="1"/>
  <c r="F64" i="3"/>
  <c r="F80" i="3"/>
  <c r="F70" i="3"/>
  <c r="D183" i="18"/>
  <c r="F65" i="3"/>
  <c r="F57" i="3"/>
  <c r="D55" i="18"/>
  <c r="D271" i="18"/>
  <c r="D50" i="18"/>
  <c r="F52" i="14" s="1"/>
  <c r="D51" i="18"/>
  <c r="F53" i="14" s="1"/>
  <c r="D181" i="18"/>
  <c r="F57" i="14" s="1"/>
  <c r="D267" i="18"/>
  <c r="D275" i="18"/>
  <c r="D52" i="18"/>
  <c r="F54" i="14" s="1"/>
  <c r="D182" i="18"/>
  <c r="F58" i="14" s="1"/>
  <c r="D53" i="18"/>
  <c r="D180" i="3"/>
  <c r="D179" i="3"/>
  <c r="D178" i="3"/>
  <c r="D177" i="3"/>
  <c r="F79" i="3" l="1"/>
  <c r="F74" i="3"/>
  <c r="F61" i="14"/>
  <c r="F69" i="3"/>
  <c r="F61" i="3"/>
  <c r="F62" i="3"/>
  <c r="F63" i="3"/>
  <c r="F56" i="3"/>
  <c r="F55" i="3"/>
  <c r="F58" i="3"/>
  <c r="F54" i="3"/>
  <c r="F53" i="3"/>
  <c r="J121" i="3"/>
  <c r="J111" i="14" s="1"/>
  <c r="J120" i="3"/>
  <c r="J110" i="14" s="1"/>
  <c r="J119" i="3"/>
  <c r="J109" i="14" s="1"/>
  <c r="J118" i="3"/>
  <c r="J108" i="14" s="1"/>
  <c r="J117" i="3"/>
  <c r="J107" i="14" s="1"/>
  <c r="J116" i="3"/>
  <c r="J106" i="14" s="1"/>
  <c r="J115" i="3"/>
  <c r="J105" i="14" s="1"/>
  <c r="AN4" i="5" l="1"/>
  <c r="D11" i="5" l="1"/>
  <c r="A80" i="3" l="1"/>
  <c r="A79" i="3"/>
  <c r="A75" i="3"/>
  <c r="A74" i="3"/>
  <c r="A70" i="3"/>
  <c r="A69" i="3"/>
  <c r="A61" i="3"/>
  <c r="A53" i="3"/>
  <c r="D245" i="14"/>
  <c r="D244" i="14"/>
  <c r="D243" i="14"/>
  <c r="D242" i="14"/>
  <c r="D241" i="14"/>
  <c r="D240" i="14"/>
  <c r="D239" i="14"/>
  <c r="D238" i="14"/>
  <c r="D237" i="14"/>
  <c r="E5" i="5" l="1"/>
  <c r="F71" i="24" s="1"/>
  <c r="A36" i="3"/>
  <c r="A35" i="14"/>
  <c r="A29" i="14" l="1"/>
  <c r="AO4" i="5"/>
  <c r="L185" i="3"/>
  <c r="A230" i="3" l="1"/>
  <c r="AN8" i="5"/>
  <c r="AN6" i="5"/>
  <c r="AN7" i="5"/>
  <c r="AN5" i="5"/>
  <c r="I184" i="3"/>
  <c r="I172" i="14" s="1"/>
  <c r="G184" i="3"/>
  <c r="G172" i="14" s="1"/>
  <c r="G177" i="14"/>
  <c r="I177" i="14"/>
  <c r="I185" i="3"/>
  <c r="I173" i="14" s="1"/>
  <c r="G186" i="3"/>
  <c r="G174" i="14" s="1"/>
  <c r="G185" i="3"/>
  <c r="G173"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69" i="14" l="1"/>
  <c r="D168" i="14"/>
  <c r="D167" i="14"/>
  <c r="AC6" i="5"/>
  <c r="J6" i="5"/>
  <c r="L145" i="3"/>
  <c r="E155" i="3"/>
  <c r="E145" i="3"/>
  <c r="E135" i="14" l="1"/>
  <c r="E145" i="14"/>
  <c r="G175" i="14"/>
  <c r="A224" i="3"/>
  <c r="I187" i="3"/>
  <c r="I175" i="14" s="1"/>
  <c r="G187" i="3"/>
  <c r="A1" i="3"/>
  <c r="B105" i="14" l="1"/>
  <c r="H237" i="3"/>
  <c r="E138" i="14" l="1"/>
  <c r="E137" i="14"/>
  <c r="E148" i="3"/>
  <c r="E147" i="3"/>
  <c r="I186" i="3" l="1"/>
  <c r="I174" i="14" s="1"/>
  <c r="G249" i="14"/>
  <c r="G233" i="14"/>
  <c r="G266" i="3"/>
  <c r="G250" i="3"/>
  <c r="C17" i="16" l="1"/>
  <c r="C34" i="16"/>
  <c r="J297" i="3" l="1"/>
  <c r="J296" i="3"/>
  <c r="J295" i="3"/>
  <c r="N34" i="16" l="1"/>
  <c r="N33" i="16"/>
  <c r="N32" i="16"/>
  <c r="N31" i="16"/>
  <c r="N30" i="16"/>
  <c r="N29" i="16"/>
  <c r="N28" i="16"/>
  <c r="N27" i="16"/>
  <c r="N17" i="16"/>
  <c r="N16" i="16"/>
  <c r="N15" i="16"/>
  <c r="N14" i="16"/>
  <c r="N13" i="16"/>
  <c r="N12" i="16"/>
  <c r="N11" i="16"/>
  <c r="N10" i="16"/>
  <c r="P6" i="16"/>
  <c r="P24" i="16"/>
  <c r="O24" i="16"/>
  <c r="P23" i="16"/>
  <c r="O23" i="16"/>
  <c r="P7" i="16"/>
  <c r="O7" i="16"/>
  <c r="O6" i="16"/>
  <c r="C33" i="16" l="1"/>
  <c r="C32" i="16"/>
  <c r="C31" i="16"/>
  <c r="C30" i="16"/>
  <c r="C29" i="16"/>
  <c r="C28" i="16"/>
  <c r="C27" i="16"/>
  <c r="L11" i="5"/>
  <c r="Q4" i="16" l="1"/>
  <c r="Q21" i="16"/>
  <c r="C16" i="16"/>
  <c r="C15" i="16"/>
  <c r="C14" i="16"/>
  <c r="C13" i="16"/>
  <c r="C12" i="16"/>
  <c r="C11" i="16"/>
  <c r="C10" i="16"/>
  <c r="E24" i="16"/>
  <c r="D24" i="16"/>
  <c r="E23" i="16"/>
  <c r="D23" i="16"/>
  <c r="F21" i="16"/>
  <c r="F4" i="16"/>
  <c r="E7" i="16"/>
  <c r="D7" i="16"/>
  <c r="E6" i="16"/>
  <c r="D6" i="16"/>
  <c r="K15" i="16" l="1"/>
  <c r="D15" i="16" s="1"/>
  <c r="K13" i="16"/>
  <c r="D13" i="16" s="1"/>
  <c r="K17" i="16"/>
  <c r="K16" i="16" s="1"/>
  <c r="D17" i="16" l="1"/>
  <c r="J51" i="5"/>
  <c r="I43" i="11"/>
  <c r="I20" i="3" l="1"/>
  <c r="E20" i="11"/>
  <c r="E19" i="11"/>
  <c r="E38" i="11"/>
  <c r="G37" i="24" s="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80" i="14"/>
  <c r="H279" i="14"/>
  <c r="H278" i="14"/>
  <c r="F280" i="14"/>
  <c r="F279" i="14"/>
  <c r="F278" i="14"/>
  <c r="E280" i="14"/>
  <c r="E279" i="14"/>
  <c r="E278" i="14"/>
  <c r="D280" i="14"/>
  <c r="D279" i="14"/>
  <c r="D278" i="14"/>
  <c r="I271" i="14"/>
  <c r="I280" i="14" s="1"/>
  <c r="I270" i="14"/>
  <c r="I279" i="14" s="1"/>
  <c r="I269" i="14"/>
  <c r="I278" i="14" s="1"/>
  <c r="H271" i="14"/>
  <c r="F271" i="14"/>
  <c r="F270" i="14"/>
  <c r="F269" i="14"/>
  <c r="E271" i="14"/>
  <c r="E270" i="14"/>
  <c r="E269" i="14"/>
  <c r="C271" i="14"/>
  <c r="C280" i="14" s="1"/>
  <c r="C270" i="14"/>
  <c r="C279" i="14" s="1"/>
  <c r="C269" i="14"/>
  <c r="C278" i="14" s="1"/>
  <c r="B271" i="14"/>
  <c r="B280" i="14" s="1"/>
  <c r="B270" i="14"/>
  <c r="B279" i="14" s="1"/>
  <c r="B269" i="14"/>
  <c r="B278" i="14" s="1"/>
  <c r="C297" i="3"/>
  <c r="C296" i="3"/>
  <c r="C295" i="3"/>
  <c r="B297" i="3"/>
  <c r="B296" i="3"/>
  <c r="B295" i="3"/>
  <c r="H252" i="14"/>
  <c r="F261" i="14"/>
  <c r="F260" i="14"/>
  <c r="F259" i="14"/>
  <c r="F258" i="14"/>
  <c r="F257" i="14"/>
  <c r="F256" i="14"/>
  <c r="F255" i="14"/>
  <c r="F254" i="14"/>
  <c r="F253" i="14"/>
  <c r="F252" i="14"/>
  <c r="E261" i="14"/>
  <c r="E260" i="14"/>
  <c r="E259" i="14"/>
  <c r="E258" i="14"/>
  <c r="E257" i="14"/>
  <c r="E256" i="14"/>
  <c r="E255" i="14"/>
  <c r="E254" i="14"/>
  <c r="E253" i="14"/>
  <c r="E252" i="14"/>
  <c r="D261" i="14"/>
  <c r="D260" i="14"/>
  <c r="D259" i="14"/>
  <c r="D258" i="14"/>
  <c r="D257" i="14"/>
  <c r="D256" i="14"/>
  <c r="D255" i="14"/>
  <c r="D254" i="14"/>
  <c r="D253" i="14"/>
  <c r="D252" i="14"/>
  <c r="I245" i="14"/>
  <c r="I244" i="14"/>
  <c r="I243" i="14"/>
  <c r="I242" i="14"/>
  <c r="I241" i="14"/>
  <c r="I240" i="14"/>
  <c r="I239" i="14"/>
  <c r="G230" i="14"/>
  <c r="I238" i="14"/>
  <c r="I237" i="14"/>
  <c r="I236" i="14"/>
  <c r="F245" i="14"/>
  <c r="F244" i="14"/>
  <c r="F243" i="14"/>
  <c r="F242" i="14"/>
  <c r="F241" i="14"/>
  <c r="F240" i="14"/>
  <c r="F239" i="14"/>
  <c r="F238" i="14"/>
  <c r="F237" i="14"/>
  <c r="F236" i="14"/>
  <c r="H298" i="3"/>
  <c r="J298" i="3"/>
  <c r="E245" i="14"/>
  <c r="E244" i="14"/>
  <c r="E243" i="14"/>
  <c r="E242" i="14"/>
  <c r="E241" i="14"/>
  <c r="E240" i="14"/>
  <c r="E239" i="14"/>
  <c r="E238" i="14"/>
  <c r="E237" i="14"/>
  <c r="C245" i="14"/>
  <c r="C244" i="14"/>
  <c r="C243" i="14"/>
  <c r="C242" i="14"/>
  <c r="C240" i="14"/>
  <c r="C239" i="14"/>
  <c r="C238" i="14"/>
  <c r="C237" i="14"/>
  <c r="B245" i="14"/>
  <c r="B244" i="14"/>
  <c r="B260" i="14" s="1"/>
  <c r="B243" i="14"/>
  <c r="B259" i="14" s="1"/>
  <c r="B242" i="14"/>
  <c r="B258" i="14" s="1"/>
  <c r="B241" i="14"/>
  <c r="B257" i="14" s="1"/>
  <c r="B240" i="14"/>
  <c r="B256" i="14" s="1"/>
  <c r="B239" i="14"/>
  <c r="B255" i="14" s="1"/>
  <c r="B238" i="14"/>
  <c r="B254" i="14" s="1"/>
  <c r="B237" i="14"/>
  <c r="B253" i="14" s="1"/>
  <c r="A245" i="14"/>
  <c r="A249" i="14"/>
  <c r="A250" i="14"/>
  <c r="A251" i="14"/>
  <c r="A244" i="14"/>
  <c r="A243" i="14"/>
  <c r="A242" i="14"/>
  <c r="A241" i="14"/>
  <c r="A240" i="14"/>
  <c r="A239" i="14"/>
  <c r="A238" i="14"/>
  <c r="A237" i="14"/>
  <c r="A236" i="14"/>
  <c r="E236" i="14"/>
  <c r="D236" i="14"/>
  <c r="C236" i="14"/>
  <c r="B236" i="14"/>
  <c r="B252" i="14" s="1"/>
  <c r="C241" i="14"/>
  <c r="G297" i="3"/>
  <c r="G296" i="3"/>
  <c r="G295" i="3"/>
  <c r="G287" i="3"/>
  <c r="B101" i="7" s="1"/>
  <c r="B104" i="7"/>
  <c r="G288" i="3"/>
  <c r="B107" i="7" s="1"/>
  <c r="G286" i="3"/>
  <c r="B98" i="7" s="1"/>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43" i="14" l="1"/>
  <c r="G244" i="14"/>
  <c r="G238" i="14"/>
  <c r="G239" i="14"/>
  <c r="G237" i="14"/>
  <c r="G253" i="14"/>
  <c r="G255" i="14"/>
  <c r="G254" i="14"/>
  <c r="G257" i="14"/>
  <c r="G261" i="14"/>
  <c r="G258" i="14"/>
  <c r="G259" i="14"/>
  <c r="G252" i="14"/>
  <c r="G260" i="14"/>
  <c r="G256" i="14"/>
  <c r="G242" i="14"/>
  <c r="G240" i="14"/>
  <c r="G241" i="14"/>
  <c r="G245" i="14"/>
  <c r="G236" i="14"/>
  <c r="G34" i="11"/>
  <c r="L14" i="25" s="1"/>
  <c r="D12" i="13"/>
  <c r="E18" i="13" s="1"/>
  <c r="D11" i="13"/>
  <c r="E17" i="13" s="1"/>
  <c r="J271" i="14"/>
  <c r="J270" i="14"/>
  <c r="G271" i="14"/>
  <c r="G270" i="14"/>
  <c r="J278" i="14"/>
  <c r="J279" i="14"/>
  <c r="H272" i="14"/>
  <c r="G280" i="14"/>
  <c r="G279" i="14"/>
  <c r="G269" i="14"/>
  <c r="J280" i="14"/>
  <c r="G278" i="14"/>
  <c r="H281" i="14"/>
  <c r="J269" i="14"/>
  <c r="E11" i="13" l="1"/>
  <c r="E12" i="13"/>
  <c r="J281" i="14"/>
  <c r="I289" i="14" s="1"/>
  <c r="J272" i="14"/>
  <c r="F289" i="14" s="1"/>
  <c r="I291" i="14"/>
  <c r="F291" i="14"/>
  <c r="I288" i="14"/>
  <c r="F288" i="14"/>
  <c r="I287" i="14"/>
  <c r="F287" i="14"/>
  <c r="I286" i="14"/>
  <c r="F286" i="14"/>
  <c r="C261" i="14"/>
  <c r="B261" i="14"/>
  <c r="A261" i="14"/>
  <c r="C260" i="14"/>
  <c r="A260" i="14"/>
  <c r="C259" i="14"/>
  <c r="A259" i="14"/>
  <c r="C258" i="14"/>
  <c r="A258" i="14"/>
  <c r="C257" i="14"/>
  <c r="A257" i="14"/>
  <c r="C256" i="14"/>
  <c r="A256" i="14"/>
  <c r="C255" i="14"/>
  <c r="C254" i="14"/>
  <c r="C253" i="14"/>
  <c r="C252" i="14"/>
  <c r="H230" i="14"/>
  <c r="H229" i="14"/>
  <c r="G229" i="14"/>
  <c r="H228" i="14"/>
  <c r="G228" i="14"/>
  <c r="H227" i="14"/>
  <c r="H166" i="14" s="1"/>
  <c r="A227" i="14"/>
  <c r="H226" i="14"/>
  <c r="I221" i="14"/>
  <c r="H162" i="14" s="1"/>
  <c r="J219" i="14"/>
  <c r="H219" i="14"/>
  <c r="J218" i="14"/>
  <c r="H218" i="14"/>
  <c r="A218" i="14"/>
  <c r="I214" i="14"/>
  <c r="G214" i="14"/>
  <c r="I208" i="14"/>
  <c r="G208" i="14"/>
  <c r="G195" i="14"/>
  <c r="I195" i="14" s="1"/>
  <c r="I191" i="14"/>
  <c r="G191" i="14"/>
  <c r="I190" i="14"/>
  <c r="G190" i="14"/>
  <c r="I186" i="14"/>
  <c r="G186" i="14"/>
  <c r="I185" i="14"/>
  <c r="G185" i="14"/>
  <c r="I181" i="14"/>
  <c r="G181" i="14"/>
  <c r="I180" i="14"/>
  <c r="G180" i="14"/>
  <c r="G176" i="14"/>
  <c r="E175" i="14"/>
  <c r="C175" i="14"/>
  <c r="A175" i="14"/>
  <c r="H169" i="14"/>
  <c r="H168" i="14"/>
  <c r="H167" i="14"/>
  <c r="E159" i="14"/>
  <c r="E158" i="14"/>
  <c r="E157" i="14"/>
  <c r="E155" i="14"/>
  <c r="E150" i="14"/>
  <c r="E149" i="14"/>
  <c r="E148" i="14"/>
  <c r="E147" i="14"/>
  <c r="E140" i="14"/>
  <c r="E139" i="14"/>
  <c r="I130" i="14"/>
  <c r="F130" i="14"/>
  <c r="E130" i="14"/>
  <c r="I129" i="14"/>
  <c r="F129" i="14"/>
  <c r="E129" i="14"/>
  <c r="I128" i="14"/>
  <c r="F128" i="14"/>
  <c r="E128" i="14"/>
  <c r="I127" i="14"/>
  <c r="F127" i="14"/>
  <c r="E127" i="14"/>
  <c r="I126" i="14"/>
  <c r="F126" i="14"/>
  <c r="E126" i="14"/>
  <c r="E122" i="14"/>
  <c r="E119" i="14"/>
  <c r="E118" i="14"/>
  <c r="E117" i="14"/>
  <c r="E121" i="14" s="1"/>
  <c r="D111" i="14"/>
  <c r="I111" i="14" s="1"/>
  <c r="B111" i="14"/>
  <c r="D110" i="14"/>
  <c r="I110" i="14" s="1"/>
  <c r="B110" i="14"/>
  <c r="D109" i="14"/>
  <c r="I109" i="14" s="1"/>
  <c r="B109" i="14"/>
  <c r="D108" i="14"/>
  <c r="I108" i="14" s="1"/>
  <c r="B108" i="14"/>
  <c r="D107" i="14"/>
  <c r="I107" i="14" s="1"/>
  <c r="B107" i="14"/>
  <c r="I106" i="14"/>
  <c r="D106" i="14"/>
  <c r="B106" i="14"/>
  <c r="D105" i="14"/>
  <c r="E99" i="14"/>
  <c r="E98" i="14"/>
  <c r="E96" i="14"/>
  <c r="E93" i="14"/>
  <c r="M92" i="14"/>
  <c r="E92" i="14"/>
  <c r="E91" i="14"/>
  <c r="E90" i="14"/>
  <c r="E89" i="14"/>
  <c r="E88" i="14"/>
  <c r="E87" i="14"/>
  <c r="E86" i="14"/>
  <c r="E85" i="14"/>
  <c r="E84" i="14"/>
  <c r="E83" i="14"/>
  <c r="E82" i="14"/>
  <c r="E81" i="14"/>
  <c r="F78" i="14"/>
  <c r="F73" i="14"/>
  <c r="A66" i="14"/>
  <c r="A62" i="14"/>
  <c r="A61" i="14"/>
  <c r="F49" i="14"/>
  <c r="F48" i="14"/>
  <c r="F47" i="14"/>
  <c r="I20" i="14"/>
  <c r="I21" i="14" s="1"/>
  <c r="G3" i="14"/>
  <c r="A34" i="14" s="1"/>
  <c r="A1" i="14"/>
  <c r="A172" i="14" s="1"/>
  <c r="E94" i="14" l="1"/>
  <c r="I22" i="14"/>
  <c r="I182" i="14"/>
  <c r="I229" i="14"/>
  <c r="J229" i="14" s="1"/>
  <c r="I226" i="14"/>
  <c r="J226" i="14" s="1"/>
  <c r="A33" i="14"/>
  <c r="A47" i="14" s="1"/>
  <c r="H165" i="14"/>
  <c r="I228" i="14"/>
  <c r="J228" i="14" s="1"/>
  <c r="I187" i="14"/>
  <c r="G192" i="14"/>
  <c r="G187" i="14"/>
  <c r="G182" i="14"/>
  <c r="I192" i="14"/>
  <c r="A177" i="14"/>
  <c r="B112" i="14"/>
  <c r="I230" i="14"/>
  <c r="J230" i="14" s="1"/>
  <c r="I227" i="14"/>
  <c r="J227" i="14" s="1"/>
  <c r="A278" i="3"/>
  <c r="B278" i="3"/>
  <c r="C278" i="3"/>
  <c r="I278" i="3"/>
  <c r="I261" i="14" l="1"/>
  <c r="E101" i="3"/>
  <c r="E100" i="3"/>
  <c r="E102" i="3"/>
  <c r="M102" i="3"/>
  <c r="E167" i="3"/>
  <c r="I22" i="3" l="1"/>
  <c r="H75" i="5"/>
  <c r="G212" i="14" s="1"/>
  <c r="E103" i="3"/>
  <c r="N82" i="4" l="1"/>
  <c r="G130" i="14" s="1"/>
  <c r="N81" i="4"/>
  <c r="G129" i="14" s="1"/>
  <c r="N80" i="4"/>
  <c r="G128" i="14" s="1"/>
  <c r="N79" i="4"/>
  <c r="G127" i="14" s="1"/>
  <c r="N78" i="4"/>
  <c r="G126" i="14" s="1"/>
  <c r="I21" i="3"/>
  <c r="C5" i="11"/>
  <c r="C2" i="11"/>
  <c r="G43" i="11"/>
  <c r="E43" i="11"/>
  <c r="E42" i="11"/>
  <c r="E41" i="11"/>
  <c r="E40" i="11"/>
  <c r="E39" i="11"/>
  <c r="B43" i="11"/>
  <c r="B42" i="11"/>
  <c r="C42" i="11" s="1"/>
  <c r="B41" i="11"/>
  <c r="C41" i="11" s="1"/>
  <c r="D40" i="24" s="1"/>
  <c r="B40" i="11"/>
  <c r="C40" i="11" s="1"/>
  <c r="D39" i="24" s="1"/>
  <c r="B39" i="11"/>
  <c r="C39" i="11" s="1"/>
  <c r="D38" i="24" s="1"/>
  <c r="O19" i="11"/>
  <c r="E132" i="3"/>
  <c r="E129" i="3"/>
  <c r="E128" i="3"/>
  <c r="E127" i="3"/>
  <c r="G40" i="24" l="1"/>
  <c r="G39" i="24"/>
  <c r="G38" i="24"/>
  <c r="F88" i="3"/>
  <c r="F83" i="3"/>
  <c r="F50" i="3"/>
  <c r="F49" i="3"/>
  <c r="F48" i="3"/>
  <c r="V11" i="5"/>
  <c r="AD11" i="5"/>
  <c r="V15" i="5"/>
  <c r="Z15" i="5"/>
  <c r="V18" i="5"/>
  <c r="Z18" i="5"/>
  <c r="AD18" i="5"/>
  <c r="AG20" i="5"/>
  <c r="F22" i="5"/>
  <c r="J25" i="5"/>
  <c r="AB25" i="5"/>
  <c r="J26" i="5"/>
  <c r="AB26" i="5"/>
  <c r="J27" i="5"/>
  <c r="AB27" i="5"/>
  <c r="G35" i="5"/>
  <c r="P35" i="5"/>
  <c r="Y35" i="5"/>
  <c r="J200"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46" i="3"/>
  <c r="E136" i="14" s="1"/>
  <c r="O41" i="5"/>
  <c r="Y50" i="5"/>
  <c r="AE50" i="5" s="1"/>
  <c r="G50" i="5"/>
  <c r="G46" i="5"/>
  <c r="O45" i="5" s="1"/>
  <c r="M50" i="5"/>
  <c r="G38" i="11"/>
  <c r="K37" i="24" s="1"/>
  <c r="AG41" i="5"/>
  <c r="H200" i="14"/>
  <c r="Q9" i="16"/>
  <c r="Q26" i="16"/>
  <c r="F26" i="16"/>
  <c r="F9" i="16"/>
  <c r="P26" i="16"/>
  <c r="P9" i="16"/>
  <c r="E9" i="16"/>
  <c r="E26" i="16"/>
  <c r="Y46" i="5"/>
  <c r="AG45" i="5" s="1"/>
  <c r="X5" i="5"/>
  <c r="E156" i="14"/>
  <c r="G40" i="11"/>
  <c r="K39" i="24" s="1"/>
  <c r="G37" i="11"/>
  <c r="K36" i="24" s="1"/>
  <c r="Y29" i="5"/>
  <c r="G39" i="11"/>
  <c r="K38" i="24" s="1"/>
  <c r="A217" i="14"/>
  <c r="A39" i="14"/>
  <c r="L39" i="14"/>
  <c r="X22" i="5"/>
  <c r="AE35" i="5"/>
  <c r="G29" i="5"/>
  <c r="L26" i="5" s="1"/>
  <c r="P26" i="5" s="1"/>
  <c r="M26" i="5" s="1"/>
  <c r="M35" i="5"/>
  <c r="AC85" i="5"/>
  <c r="AC84" i="5"/>
  <c r="AC83" i="5"/>
  <c r="L41" i="3"/>
  <c r="L40" i="14"/>
  <c r="I38" i="11" l="1"/>
  <c r="O37" i="24" s="1"/>
  <c r="I37" i="11"/>
  <c r="O36" i="24" s="1"/>
  <c r="AD27" i="5"/>
  <c r="AH27" i="5" s="1"/>
  <c r="AE27" i="5" s="1"/>
  <c r="AD26" i="5"/>
  <c r="AH26" i="5" s="1"/>
  <c r="AE26" i="5" s="1"/>
  <c r="AD25" i="5"/>
  <c r="AH25" i="5" s="1"/>
  <c r="AE25" i="5" s="1"/>
  <c r="L25" i="5"/>
  <c r="P25" i="5" s="1"/>
  <c r="M25" i="5" s="1"/>
  <c r="L27" i="5"/>
  <c r="P27" i="5" s="1"/>
  <c r="M27" i="5" s="1"/>
  <c r="E156" i="3"/>
  <c r="E146" i="14" s="1"/>
  <c r="I211" i="3"/>
  <c r="I200" i="14"/>
  <c r="G211" i="3"/>
  <c r="G200" i="14"/>
  <c r="Q25" i="16"/>
  <c r="Q8" i="16"/>
  <c r="F8" i="16"/>
  <c r="F25" i="16"/>
  <c r="I40" i="11"/>
  <c r="O39" i="24" s="1"/>
  <c r="I39" i="11"/>
  <c r="O38" i="24" s="1"/>
  <c r="A40" i="14"/>
  <c r="G188" i="14"/>
  <c r="I184" i="14" l="1"/>
  <c r="I183" i="14"/>
  <c r="I188" i="14"/>
  <c r="Y33" i="5"/>
  <c r="G183" i="14"/>
  <c r="G184" i="14"/>
  <c r="AH29" i="5"/>
  <c r="I193" i="14"/>
  <c r="G193" i="14"/>
  <c r="G194" i="14"/>
  <c r="G189" i="14"/>
  <c r="G199" i="14" l="1"/>
  <c r="Z58" i="5"/>
  <c r="I217" i="3" s="1"/>
  <c r="P3" i="7"/>
  <c r="P97" i="7" s="1"/>
  <c r="I189" i="14"/>
  <c r="I194" i="14"/>
  <c r="I199" i="14" s="1"/>
  <c r="P29" i="5"/>
  <c r="F3" i="7" s="1"/>
  <c r="O31" i="5"/>
  <c r="K31" i="5" s="1"/>
  <c r="H54" i="5" s="1"/>
  <c r="G33" i="5"/>
  <c r="AN33" i="5" s="1"/>
  <c r="AG31" i="5"/>
  <c r="AC31" i="5" s="1"/>
  <c r="AF58" i="5"/>
  <c r="I206" i="14" s="1"/>
  <c r="J199" i="14"/>
  <c r="AN36" i="5"/>
  <c r="AN35" i="5"/>
  <c r="AE33" i="5"/>
  <c r="I201" i="14" s="1"/>
  <c r="J201" i="14"/>
  <c r="C277" i="3"/>
  <c r="C276" i="3"/>
  <c r="C275" i="3"/>
  <c r="C274" i="3"/>
  <c r="C273" i="3"/>
  <c r="C272" i="3"/>
  <c r="C271" i="3"/>
  <c r="C270" i="3"/>
  <c r="C269" i="3"/>
  <c r="B270" i="3"/>
  <c r="B271" i="3"/>
  <c r="B272" i="3"/>
  <c r="B273" i="3"/>
  <c r="B274" i="3"/>
  <c r="B275" i="3"/>
  <c r="B276" i="3"/>
  <c r="B277" i="3"/>
  <c r="B269" i="3"/>
  <c r="A270" i="3"/>
  <c r="A253" i="14" s="1"/>
  <c r="A271" i="3"/>
  <c r="A254" i="14" s="1"/>
  <c r="A272" i="3"/>
  <c r="A255" i="14" s="1"/>
  <c r="A273" i="3"/>
  <c r="A274" i="3"/>
  <c r="A275" i="3"/>
  <c r="A276" i="3"/>
  <c r="A277" i="3"/>
  <c r="A269" i="3"/>
  <c r="A252" i="14" s="1"/>
  <c r="H289" i="3"/>
  <c r="J288" i="3"/>
  <c r="J287" i="3"/>
  <c r="J286" i="3"/>
  <c r="I270" i="3"/>
  <c r="I271" i="3"/>
  <c r="I272" i="3"/>
  <c r="I273" i="3"/>
  <c r="I274" i="3"/>
  <c r="I275" i="3"/>
  <c r="I276" i="3"/>
  <c r="I277" i="3"/>
  <c r="I269"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5" i="14"/>
  <c r="I259" i="14"/>
  <c r="I253" i="14"/>
  <c r="I258" i="14"/>
  <c r="I260" i="14"/>
  <c r="I254" i="14"/>
  <c r="J269" i="3"/>
  <c r="I252" i="14"/>
  <c r="J252" i="14" s="1"/>
  <c r="I257" i="14"/>
  <c r="I256" i="14"/>
  <c r="O39" i="5"/>
  <c r="O46" i="5" s="1"/>
  <c r="J47" i="5" s="1"/>
  <c r="Z54" i="5"/>
  <c r="N6" i="16"/>
  <c r="AG39" i="5"/>
  <c r="AG46" i="5" s="1"/>
  <c r="AB47" i="5" s="1"/>
  <c r="H53" i="5"/>
  <c r="C6" i="16"/>
  <c r="D10" i="16" s="1"/>
  <c r="H58" i="5"/>
  <c r="N58" i="5"/>
  <c r="G206" i="14" s="1"/>
  <c r="H199" i="14"/>
  <c r="J233" i="14"/>
  <c r="Z53" i="5"/>
  <c r="H201" i="14"/>
  <c r="AN32" i="5"/>
  <c r="M33" i="5"/>
  <c r="G201" i="14" s="1"/>
  <c r="AQ35" i="5"/>
  <c r="AQ36" i="5"/>
  <c r="J289" i="3"/>
  <c r="H69" i="5" s="1"/>
  <c r="N69" i="5" s="1"/>
  <c r="B7" i="7"/>
  <c r="B10" i="7"/>
  <c r="B13" i="7"/>
  <c r="B16" i="7"/>
  <c r="B19" i="7"/>
  <c r="B22" i="7"/>
  <c r="B25" i="7"/>
  <c r="B28" i="7"/>
  <c r="B31" i="7"/>
  <c r="B34" i="7"/>
  <c r="B37" i="7"/>
  <c r="B40" i="7"/>
  <c r="B43" i="7"/>
  <c r="B46" i="7"/>
  <c r="B49" i="7"/>
  <c r="B52" i="7"/>
  <c r="B55" i="7"/>
  <c r="B58" i="7"/>
  <c r="B61" i="7"/>
  <c r="B64" i="7"/>
  <c r="B67" i="7"/>
  <c r="B70" i="7"/>
  <c r="B73" i="7"/>
  <c r="B76" i="7"/>
  <c r="B79" i="7"/>
  <c r="B82" i="7"/>
  <c r="B85" i="7"/>
  <c r="B88" i="7"/>
  <c r="B91" i="7"/>
  <c r="B4" i="7"/>
  <c r="O10" i="16" l="1"/>
  <c r="V13" i="16"/>
  <c r="O13" i="16" s="1"/>
  <c r="V15" i="16"/>
  <c r="O15" i="16" s="1"/>
  <c r="V17" i="16"/>
  <c r="V16" i="16" s="1"/>
  <c r="H261" i="14"/>
  <c r="J261" i="14" s="1"/>
  <c r="J278" i="3"/>
  <c r="R13" i="7"/>
  <c r="R52" i="7"/>
  <c r="R34" i="7"/>
  <c r="R16" i="7"/>
  <c r="R28" i="7"/>
  <c r="R85" i="7"/>
  <c r="R40" i="7"/>
  <c r="R55" i="7"/>
  <c r="R31" i="7"/>
  <c r="R19" i="7"/>
  <c r="R10" i="7"/>
  <c r="R61" i="7"/>
  <c r="R25" i="7"/>
  <c r="R70" i="7"/>
  <c r="R7" i="7"/>
  <c r="R73" i="7"/>
  <c r="R64" i="7"/>
  <c r="R22" i="7"/>
  <c r="R79" i="7"/>
  <c r="R43" i="7"/>
  <c r="R88" i="7"/>
  <c r="R46" i="7"/>
  <c r="R82" i="7"/>
  <c r="R76" i="7"/>
  <c r="R67" i="7"/>
  <c r="R49" i="7"/>
  <c r="R58" i="7"/>
  <c r="P110" i="7"/>
  <c r="R98" i="7"/>
  <c r="R91" i="7"/>
  <c r="AG42" i="5"/>
  <c r="AB43" i="5" s="1"/>
  <c r="I215" i="3" s="1"/>
  <c r="O50" i="5"/>
  <c r="H57" i="5"/>
  <c r="H59" i="5" s="1"/>
  <c r="AG50" i="5"/>
  <c r="O42" i="5"/>
  <c r="J43" i="5" s="1"/>
  <c r="AQ33" i="5"/>
  <c r="AQ32" i="5"/>
  <c r="L217" i="14"/>
  <c r="N217" i="14" s="1"/>
  <c r="G3" i="3"/>
  <c r="O17" i="16" l="1"/>
  <c r="AB51" i="5"/>
  <c r="Z57" i="5" s="1"/>
  <c r="H260" i="14"/>
  <c r="J260" i="14" s="1"/>
  <c r="J277" i="3"/>
  <c r="H258" i="14"/>
  <c r="J258" i="14" s="1"/>
  <c r="J275" i="3"/>
  <c r="H253" i="14"/>
  <c r="J270" i="3"/>
  <c r="H254" i="14"/>
  <c r="J254" i="14" s="1"/>
  <c r="J271" i="3"/>
  <c r="H259" i="14"/>
  <c r="J259" i="14" s="1"/>
  <c r="J276" i="3"/>
  <c r="H256" i="14"/>
  <c r="J256" i="14" s="1"/>
  <c r="J273" i="3"/>
  <c r="H257" i="14"/>
  <c r="J257" i="14" s="1"/>
  <c r="J274" i="3"/>
  <c r="H255" i="14"/>
  <c r="J255" i="14" s="1"/>
  <c r="J272" i="3"/>
  <c r="H61" i="5"/>
  <c r="H63" i="5" s="1"/>
  <c r="L215" i="14"/>
  <c r="M215" i="14" s="1"/>
  <c r="M217" i="14"/>
  <c r="O217" i="14" s="1"/>
  <c r="J250" i="3"/>
  <c r="J266" i="3"/>
  <c r="I308" i="3"/>
  <c r="I305" i="3"/>
  <c r="I304" i="3"/>
  <c r="I303" i="3"/>
  <c r="F308" i="3"/>
  <c r="F305" i="3"/>
  <c r="F304" i="3"/>
  <c r="F303" i="3"/>
  <c r="A229" i="3"/>
  <c r="A228" i="3"/>
  <c r="I216" i="3" l="1"/>
  <c r="Z59" i="5"/>
  <c r="Z61" i="5" s="1"/>
  <c r="Z63" i="5"/>
  <c r="I220" i="3" s="1"/>
  <c r="I218" i="3"/>
  <c r="J253" i="14"/>
  <c r="N215" i="14"/>
  <c r="O215" i="14" s="1"/>
  <c r="P215" i="14" s="1"/>
  <c r="P217" i="14"/>
  <c r="I225" i="3"/>
  <c r="I219" i="3"/>
  <c r="J212" i="3"/>
  <c r="J211" i="3"/>
  <c r="J210" i="3"/>
  <c r="I212" i="3"/>
  <c r="I208" i="3"/>
  <c r="I206" i="3"/>
  <c r="I205" i="3"/>
  <c r="I203" i="3"/>
  <c r="I202" i="3"/>
  <c r="I201" i="3"/>
  <c r="I200" i="3"/>
  <c r="I198" i="3"/>
  <c r="I197" i="3"/>
  <c r="I196" i="3"/>
  <c r="I195" i="3"/>
  <c r="I193" i="3"/>
  <c r="I192" i="3"/>
  <c r="G225" i="3"/>
  <c r="G223" i="3"/>
  <c r="G219" i="3"/>
  <c r="H211" i="3"/>
  <c r="G207" i="3"/>
  <c r="I207" i="3" s="1"/>
  <c r="G203" i="3"/>
  <c r="G202" i="3"/>
  <c r="G198" i="3"/>
  <c r="G197" i="3"/>
  <c r="G193" i="3"/>
  <c r="G192" i="3"/>
  <c r="G188" i="3"/>
  <c r="I188" i="3"/>
  <c r="I176" i="14" s="1"/>
  <c r="E187" i="3"/>
  <c r="C187" i="3"/>
  <c r="A187" i="3"/>
  <c r="A219" i="14" l="1"/>
  <c r="L216" i="14"/>
  <c r="A224" i="14" s="1"/>
  <c r="I210" i="3"/>
  <c r="G194" i="3"/>
  <c r="I194" i="3"/>
  <c r="G199" i="3"/>
  <c r="G204" i="3"/>
  <c r="I204" i="3"/>
  <c r="I199" i="3"/>
  <c r="H180" i="3"/>
  <c r="H179" i="3"/>
  <c r="H178" i="3"/>
  <c r="H177" i="3"/>
  <c r="A41" i="3"/>
  <c r="I232" i="3"/>
  <c r="H172" i="3" s="1"/>
  <c r="H230" i="3"/>
  <c r="H229" i="3"/>
  <c r="J230" i="3"/>
  <c r="J229" i="3"/>
  <c r="J228" i="3"/>
  <c r="E91" i="3"/>
  <c r="H241" i="3" l="1"/>
  <c r="I241" i="3" s="1"/>
  <c r="J241" i="3" s="1"/>
  <c r="H240" i="3"/>
  <c r="I240" i="3" s="1"/>
  <c r="J240" i="3" s="1"/>
  <c r="H239" i="3"/>
  <c r="I239" i="3" s="1"/>
  <c r="J239" i="3" s="1"/>
  <c r="H238" i="3"/>
  <c r="H176" i="3" s="1"/>
  <c r="H175" i="3"/>
  <c r="G241" i="3"/>
  <c r="G240" i="3"/>
  <c r="G239" i="3"/>
  <c r="E169" i="3"/>
  <c r="E168" i="3"/>
  <c r="E166" i="3"/>
  <c r="E165" i="3"/>
  <c r="E160" i="3"/>
  <c r="E159" i="3"/>
  <c r="E158" i="3"/>
  <c r="E157" i="3"/>
  <c r="E150" i="3"/>
  <c r="E149" i="3"/>
  <c r="I140" i="3"/>
  <c r="I139" i="3"/>
  <c r="E104" i="3" s="1"/>
  <c r="I138" i="3"/>
  <c r="I137" i="3"/>
  <c r="I136" i="3"/>
  <c r="F140" i="3"/>
  <c r="F139" i="3"/>
  <c r="F138" i="3"/>
  <c r="F137" i="3"/>
  <c r="F136" i="3"/>
  <c r="E140" i="3"/>
  <c r="E139" i="3"/>
  <c r="E138" i="3"/>
  <c r="E137" i="3"/>
  <c r="E136" i="3"/>
  <c r="E131" i="3"/>
  <c r="B121" i="3"/>
  <c r="B120" i="3"/>
  <c r="B119" i="3"/>
  <c r="B118" i="3"/>
  <c r="B117" i="3"/>
  <c r="B116" i="3"/>
  <c r="B115" i="3"/>
  <c r="E109" i="3"/>
  <c r="E108" i="3"/>
  <c r="E106" i="3"/>
  <c r="E99" i="3"/>
  <c r="E98" i="3"/>
  <c r="E97" i="3"/>
  <c r="E96" i="3"/>
  <c r="E95" i="3"/>
  <c r="E94" i="3"/>
  <c r="E93" i="3"/>
  <c r="E92" i="3"/>
  <c r="A40" i="3"/>
  <c r="L40" i="3"/>
  <c r="A189" i="3"/>
  <c r="A2" i="6" s="1"/>
  <c r="A238"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6" i="7"/>
  <c r="C17" i="7" s="1"/>
  <c r="C10" i="7"/>
  <c r="C11" i="7" s="1"/>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F111" i="14" s="1"/>
  <c r="G27" i="6"/>
  <c r="F27" i="6"/>
  <c r="E27" i="6"/>
  <c r="F108" i="14" s="1"/>
  <c r="D27" i="6"/>
  <c r="C27" i="6"/>
  <c r="B27" i="6"/>
  <c r="F105" i="14" s="1"/>
  <c r="I26" i="6"/>
  <c r="I25" i="6"/>
  <c r="I24" i="6"/>
  <c r="I23" i="6"/>
  <c r="I22" i="6"/>
  <c r="I21" i="6"/>
  <c r="I20" i="6"/>
  <c r="I19" i="6"/>
  <c r="I18" i="6"/>
  <c r="I17" i="6"/>
  <c r="I16" i="6"/>
  <c r="D115" i="3"/>
  <c r="S89" i="5"/>
  <c r="AA87" i="5"/>
  <c r="AA86" i="5"/>
  <c r="M11" i="10"/>
  <c r="G140" i="3"/>
  <c r="G139" i="3"/>
  <c r="G138" i="3"/>
  <c r="G137" i="3"/>
  <c r="G136" i="3"/>
  <c r="I116" i="3"/>
  <c r="A34" i="3"/>
  <c r="A48" i="3" s="1"/>
  <c r="E29" i="6" l="1"/>
  <c r="H29" i="6"/>
  <c r="C29" i="6"/>
  <c r="F106" i="14"/>
  <c r="G29" i="6"/>
  <c r="F110" i="14"/>
  <c r="F116" i="3"/>
  <c r="F120" i="3"/>
  <c r="D29" i="6"/>
  <c r="F107" i="14"/>
  <c r="F117" i="3"/>
  <c r="F121" i="3"/>
  <c r="B29" i="6"/>
  <c r="F118" i="3"/>
  <c r="F29" i="6"/>
  <c r="F109" i="14"/>
  <c r="F115" i="3"/>
  <c r="F119" i="3"/>
  <c r="AC86" i="5"/>
  <c r="G41" i="11"/>
  <c r="K40" i="24" s="1"/>
  <c r="AC87" i="5"/>
  <c r="G42" i="11"/>
  <c r="Z69" i="5"/>
  <c r="AF69" i="5" s="1"/>
  <c r="I306" i="3"/>
  <c r="F306" i="3"/>
  <c r="H4" i="7"/>
  <c r="C71" i="7"/>
  <c r="E72" i="7" s="1"/>
  <c r="C108" i="7"/>
  <c r="E109" i="7" s="1"/>
  <c r="I237" i="3"/>
  <c r="J237" i="3" s="1"/>
  <c r="I238" i="3"/>
  <c r="J238" i="3" s="1"/>
  <c r="C35" i="7"/>
  <c r="E36" i="7" s="1"/>
  <c r="C53" i="7"/>
  <c r="D54" i="7" s="1"/>
  <c r="C77" i="7"/>
  <c r="E78" i="7" s="1"/>
  <c r="C41" i="7"/>
  <c r="D42" i="7" s="1"/>
  <c r="C89" i="7"/>
  <c r="E90" i="7" s="1"/>
  <c r="C65" i="7"/>
  <c r="E66" i="7" s="1"/>
  <c r="C102" i="7"/>
  <c r="E103" i="7" s="1"/>
  <c r="C59" i="7"/>
  <c r="E60" i="7" s="1"/>
  <c r="C47" i="7"/>
  <c r="E48" i="7" s="1"/>
  <c r="C83" i="7"/>
  <c r="D84" i="7" s="1"/>
  <c r="C99" i="7"/>
  <c r="E100" i="7" s="1"/>
  <c r="A35" i="3"/>
  <c r="A184" i="3"/>
  <c r="E12" i="7"/>
  <c r="D12" i="7"/>
  <c r="I27" i="6"/>
  <c r="B8" i="6" s="1"/>
  <c r="C43" i="7"/>
  <c r="C44" i="7"/>
  <c r="E18" i="7"/>
  <c r="D18" i="7"/>
  <c r="E24" i="7"/>
  <c r="D24" i="7"/>
  <c r="E30" i="7"/>
  <c r="D30" i="7"/>
  <c r="C49" i="7"/>
  <c r="C50" i="7"/>
  <c r="C85" i="7"/>
  <c r="C86" i="7"/>
  <c r="C55" i="7"/>
  <c r="C56" i="7"/>
  <c r="C91" i="7"/>
  <c r="C92" i="7"/>
  <c r="C61" i="7"/>
  <c r="C62" i="7"/>
  <c r="C104" i="7"/>
  <c r="C105" i="7"/>
  <c r="C19" i="7"/>
  <c r="C20" i="7" s="1"/>
  <c r="C25" i="7"/>
  <c r="C26" i="7" s="1"/>
  <c r="C31" i="7"/>
  <c r="C32" i="7" s="1"/>
  <c r="C67" i="7"/>
  <c r="C68" i="7"/>
  <c r="C37" i="7"/>
  <c r="C38" i="7" s="1"/>
  <c r="N39" i="7" s="1"/>
  <c r="P37" i="7" s="1"/>
  <c r="C73" i="7"/>
  <c r="C74" i="7"/>
  <c r="C13" i="7"/>
  <c r="C14" i="7" s="1"/>
  <c r="C7" i="7"/>
  <c r="C8" i="7" s="1"/>
  <c r="C79" i="7"/>
  <c r="C80" i="7"/>
  <c r="C4" i="7"/>
  <c r="C5" i="7" s="1"/>
  <c r="B122" i="3"/>
  <c r="J279" i="3" l="1"/>
  <c r="H279" i="3"/>
  <c r="R37" i="7"/>
  <c r="R94" i="7" s="1"/>
  <c r="P94" i="7"/>
  <c r="F122" i="3"/>
  <c r="F112" i="14"/>
  <c r="I41" i="11"/>
  <c r="O40" i="24" s="1"/>
  <c r="H236" i="14"/>
  <c r="I42" i="11"/>
  <c r="D109" i="7"/>
  <c r="D116" i="3"/>
  <c r="D117" i="3"/>
  <c r="I117" i="3" s="1"/>
  <c r="J253" i="3"/>
  <c r="D118" i="3"/>
  <c r="I118"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7" i="3"/>
  <c r="I309" i="3" s="1"/>
  <c r="J262" i="14"/>
  <c r="I290" i="14" s="1"/>
  <c r="I292" i="14" s="1"/>
  <c r="H262" i="14"/>
  <c r="J236" i="14"/>
  <c r="D119" i="3"/>
  <c r="I119" i="3" s="1"/>
  <c r="G196" i="3"/>
  <c r="G195" i="3"/>
  <c r="G205" i="3"/>
  <c r="G201" i="3"/>
  <c r="G200" i="3"/>
  <c r="E18" i="10"/>
  <c r="G208" i="3"/>
  <c r="AF68" i="5" l="1"/>
  <c r="Z72" i="5"/>
  <c r="Z74" i="5" s="1"/>
  <c r="I222" i="3" s="1"/>
  <c r="AF72" i="5"/>
  <c r="D121" i="3"/>
  <c r="I121" i="3" s="1"/>
  <c r="D120" i="3"/>
  <c r="I120" i="3" s="1"/>
  <c r="E20" i="10"/>
  <c r="G206" i="3"/>
  <c r="G210" i="3" s="1"/>
  <c r="I210" i="14" l="1"/>
  <c r="I221" i="3"/>
  <c r="H210" i="3"/>
  <c r="G217" i="3"/>
  <c r="H212" i="3"/>
  <c r="G212" i="3"/>
  <c r="M10" i="10"/>
  <c r="P11" i="10" s="1"/>
  <c r="M19" i="10" s="1"/>
  <c r="P19" i="10" s="1"/>
  <c r="AE39" i="5" s="1"/>
  <c r="G215" i="3"/>
  <c r="H228" i="3"/>
  <c r="I197" i="14" l="1"/>
  <c r="N23" i="16"/>
  <c r="AI45" i="5"/>
  <c r="AE37" i="5"/>
  <c r="I196"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4" i="16"/>
  <c r="V33" i="16" s="1"/>
  <c r="V32" i="16"/>
  <c r="O32" i="16" s="1"/>
  <c r="V30" i="16"/>
  <c r="O30" i="16" s="1"/>
  <c r="G197" i="14"/>
  <c r="C23" i="16"/>
  <c r="H237" i="14"/>
  <c r="AI42" i="5"/>
  <c r="AE43" i="5" s="1"/>
  <c r="I204" i="14" s="1"/>
  <c r="AI46" i="5"/>
  <c r="AE47" i="5" s="1"/>
  <c r="J217" i="14" s="1"/>
  <c r="AI50" i="5"/>
  <c r="Q39" i="5"/>
  <c r="M37" i="5"/>
  <c r="G196" i="14" s="1"/>
  <c r="Q45" i="5"/>
  <c r="H16" i="7"/>
  <c r="H240" i="14"/>
  <c r="J240" i="14" s="1"/>
  <c r="H31" i="7"/>
  <c r="H61" i="7"/>
  <c r="H58" i="7"/>
  <c r="H52" i="7"/>
  <c r="H19" i="7"/>
  <c r="H241" i="14"/>
  <c r="J241" i="14" s="1"/>
  <c r="H73" i="7"/>
  <c r="H49" i="7"/>
  <c r="H40" i="7"/>
  <c r="H79" i="7"/>
  <c r="H85" i="7"/>
  <c r="H88" i="7"/>
  <c r="H55" i="7"/>
  <c r="H46" i="7"/>
  <c r="H64" i="7"/>
  <c r="H82" i="7"/>
  <c r="H70" i="7"/>
  <c r="H22" i="7"/>
  <c r="H242" i="14"/>
  <c r="J242" i="14" s="1"/>
  <c r="H28" i="7"/>
  <c r="H244" i="14"/>
  <c r="J244" i="14" s="1"/>
  <c r="H43" i="7"/>
  <c r="H25" i="7"/>
  <c r="H243" i="14"/>
  <c r="J243" i="14" s="1"/>
  <c r="H67" i="7"/>
  <c r="H76" i="7"/>
  <c r="H34" i="7"/>
  <c r="H13" i="7"/>
  <c r="H239" i="14"/>
  <c r="J239" i="14" s="1"/>
  <c r="H37" i="7"/>
  <c r="H10" i="7"/>
  <c r="H7" i="7"/>
  <c r="H98" i="7"/>
  <c r="F110" i="7"/>
  <c r="H91" i="7"/>
  <c r="F94" i="7"/>
  <c r="G216" i="3"/>
  <c r="AE51" i="5" l="1"/>
  <c r="AF57" i="5" s="1"/>
  <c r="I205" i="14" s="1"/>
  <c r="O34" i="16"/>
  <c r="D27" i="16"/>
  <c r="K32" i="16"/>
  <c r="D32" i="16" s="1"/>
  <c r="K34" i="16"/>
  <c r="K33" i="16" s="1"/>
  <c r="K30" i="16"/>
  <c r="D30" i="16" s="1"/>
  <c r="J254" i="3"/>
  <c r="J255" i="3"/>
  <c r="H238" i="14"/>
  <c r="J238" i="14" s="1"/>
  <c r="J262" i="3"/>
  <c r="H245" i="14"/>
  <c r="J245" i="14" s="1"/>
  <c r="J237" i="14"/>
  <c r="H263" i="3"/>
  <c r="Q46" i="5"/>
  <c r="M47" i="5" s="1"/>
  <c r="H217" i="14" s="1"/>
  <c r="Q42" i="5"/>
  <c r="M43" i="5" s="1"/>
  <c r="G204" i="14" s="1"/>
  <c r="Q50" i="5"/>
  <c r="J256" i="3"/>
  <c r="J259" i="3"/>
  <c r="J258" i="3"/>
  <c r="J261" i="3"/>
  <c r="J257" i="3"/>
  <c r="J260" i="3"/>
  <c r="H94" i="7"/>
  <c r="G218" i="3"/>
  <c r="D34" i="16" l="1"/>
  <c r="M51" i="5"/>
  <c r="N57" i="5" s="1"/>
  <c r="H246" i="14"/>
  <c r="J246" i="14"/>
  <c r="F290" i="14" s="1"/>
  <c r="F292" i="14" s="1"/>
  <c r="AF59" i="5"/>
  <c r="AF61" i="5" s="1"/>
  <c r="I207" i="14" s="1"/>
  <c r="J263" i="3"/>
  <c r="G220" i="3"/>
  <c r="N59" i="5" l="1"/>
  <c r="N61" i="5" s="1"/>
  <c r="G205" i="14"/>
  <c r="AF63" i="5"/>
  <c r="I209" i="14" s="1"/>
  <c r="F307" i="3"/>
  <c r="F309" i="3" s="1"/>
  <c r="H68" i="5"/>
  <c r="N63" i="5" l="1"/>
  <c r="G209" i="14" s="1"/>
  <c r="G207" i="14"/>
  <c r="AF74" i="5"/>
  <c r="H72" i="5"/>
  <c r="G210" i="14" s="1"/>
  <c r="N68" i="5"/>
  <c r="N72" i="5"/>
  <c r="I211" i="14" l="1"/>
  <c r="N74" i="5"/>
  <c r="G211" i="14" s="1"/>
  <c r="H74" i="5"/>
  <c r="G221" i="3"/>
  <c r="A221" i="14" l="1"/>
  <c r="A215" i="14"/>
  <c r="A222" i="14" s="1"/>
  <c r="N77" i="5"/>
  <c r="G213" i="14" s="1"/>
  <c r="AF75" i="5"/>
  <c r="H77" i="5"/>
  <c r="Z75" i="5"/>
  <c r="G222" i="3"/>
  <c r="A226" i="3" l="1"/>
  <c r="A233" i="3" s="1"/>
  <c r="A232" i="3"/>
  <c r="AF77" i="5"/>
  <c r="AF79" i="5" s="1"/>
  <c r="Z77" i="5"/>
  <c r="E36" i="11" s="1"/>
  <c r="G35" i="24" s="1"/>
  <c r="G224" i="3"/>
  <c r="C10" i="13" l="1"/>
  <c r="D10" i="13" s="1"/>
  <c r="E10" i="13" s="1"/>
  <c r="AI79" i="5"/>
  <c r="I215" i="14"/>
  <c r="I222" i="14"/>
  <c r="H164" i="14" s="1"/>
  <c r="B9" i="6"/>
  <c r="B10" i="6" s="1"/>
  <c r="B11" i="6" s="1"/>
  <c r="C16" i="13"/>
  <c r="D16" i="13" s="1"/>
  <c r="E16" i="13" s="1"/>
  <c r="I226" i="3"/>
  <c r="I233" i="3"/>
  <c r="G234" i="3" s="1"/>
  <c r="Z79" i="5"/>
  <c r="G36" i="11" s="1"/>
  <c r="K35" i="24" l="1"/>
  <c r="G223" i="14"/>
  <c r="A223" i="14" s="1"/>
  <c r="AC79" i="5"/>
  <c r="H174" i="3"/>
  <c r="A234" i="3"/>
  <c r="I234" i="3"/>
  <c r="I223"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<sst xmlns="http://schemas.openxmlformats.org/spreadsheetml/2006/main" count="1663" uniqueCount="801">
  <si>
    <t>Vessel's</t>
  </si>
  <si>
    <t>Observed</t>
  </si>
  <si>
    <t>Pipe</t>
  </si>
  <si>
    <t>Corrected</t>
  </si>
  <si>
    <t>Weight</t>
  </si>
  <si>
    <t>Height (m)</t>
  </si>
  <si>
    <t>A.D.L (m)</t>
  </si>
  <si>
    <t>Sound. (m)</t>
  </si>
  <si>
    <t>Trim</t>
  </si>
  <si>
    <t>List</t>
  </si>
  <si>
    <t>Density</t>
  </si>
  <si>
    <t>Total (t)</t>
  </si>
  <si>
    <t>F.PK</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</si>
  <si>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</si>
  <si>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</si>
  <si>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</si>
  <si>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</si>
  <si>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</si>
  <si>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</si>
  <si>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</si>
  <si>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</si>
  <si>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</si>
  <si>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</si>
  <si>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</si>
  <si>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</si>
  <si>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</si>
  <si>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</si>
  <si>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</si>
  <si>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</si>
  <si>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</si>
  <si>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</si>
  <si>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</si>
  <si>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</si>
  <si>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</si>
  <si>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</si>
  <si>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</si>
  <si>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</si>
  <si>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</si>
  <si>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</si>
  <si>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</si>
  <si>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</si>
  <si>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</si>
  <si>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</si>
  <si>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BRAZILIAN CUSTOMS SURVEYOR</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</si>
  <si>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</si>
  <si>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</si>
  <si>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</si>
  <si>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</si>
  <si>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</si>
  <si>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</si>
  <si>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</si>
  <si>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</si>
  <si>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</si>
  <si>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</si>
  <si>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</si>
  <si>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</si>
  <si>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</si>
  <si>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</si>
  <si>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</si>
  <si>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</si>
  <si>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</si>
  <si>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</si>
  <si>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</si>
  <si>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</si>
  <si>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</si>
  <si>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</si>
  <si>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</si>
  <si>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</si>
  <si>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</si>
  <si>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</si>
  <si>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</si>
  <si>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</si>
  <si>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</si>
  <si>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</si>
  <si>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</si>
  <si>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</si>
  <si>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</si>
  <si>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no.6</t>
  </si>
  <si>
    <t>no.7</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</si>
  <si>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</si>
  <si>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</si>
  <si>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</si>
  <si>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</si>
  <si>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</si>
  <si>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</si>
  <si>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</si>
  <si>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</si>
  <si>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</si>
  <si>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</si>
  <si>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</si>
  <si>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</si>
  <si>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</si>
  <si>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</si>
  <si>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</si>
  <si>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</si>
  <si>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</si>
  <si>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</si>
  <si>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</si>
  <si>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</si>
  <si>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</si>
  <si>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</si>
  <si>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</si>
  <si>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</si>
  <si>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</si>
  <si>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</si>
  <si>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</si>
  <si>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</si>
  <si>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</si>
  <si>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</si>
  <si>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</si>
  <si>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</si>
  <si>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</si>
  <si>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</si>
  <si>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</si>
  <si>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</si>
  <si>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</si>
  <si>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</si>
  <si>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</si>
  <si>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</si>
  <si>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</si>
  <si>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</si>
  <si>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</si>
  <si>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</si>
  <si>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</si>
  <si>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</si>
  <si>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</si>
  <si>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</si>
  <si>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</si>
  <si>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</si>
  <si>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</si>
  <si>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</si>
  <si>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</si>
  <si>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</si>
  <si>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</si>
  <si>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</si>
  <si>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</si>
  <si>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</si>
  <si>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</si>
  <si>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</si>
  <si>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</si>
  <si>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</si>
  <si>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</si>
  <si>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</si>
  <si>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</si>
  <si>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</si>
  <si>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</si>
  <si>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</si>
  <si>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</si>
  <si>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</si>
  <si>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</si>
  <si>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</si>
  <si>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</si>
  <si>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</si>
  <si>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</si>
  <si>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</si>
  <si>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</si>
  <si>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</si>
  <si>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</si>
  <si>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</si>
  <si>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</si>
  <si>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</si>
  <si>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</si>
  <si>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</si>
  <si>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</si>
  <si>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</si>
  <si>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</si>
  <si>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</si>
  <si>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</si>
  <si>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</si>
  <si>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</si>
  <si>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</si>
  <si>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</si>
  <si>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</si>
  <si>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</si>
  <si>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</si>
  <si>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</si>
  <si>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</si>
  <si>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</si>
  <si>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</si>
  <si>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</si>
  <si>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</si>
  <si>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</si>
  <si>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</si>
  <si>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</si>
  <si>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</si>
  <si>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</si>
  <si>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</si>
  <si>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</si>
  <si>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</si>
  <si>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Messrs. Centro Sul Serviços Maritimos Ltda., </t>
  </si>
  <si>
    <t xml:space="preserve"> Messrs. Louis Dreyfus Commodities Brasil S/A, </t>
  </si>
  <si>
    <t>LOADING TERMINALS</t>
  </si>
  <si>
    <t>AG</t>
  </si>
  <si>
    <t>LD</t>
  </si>
  <si>
    <t>CG</t>
  </si>
  <si>
    <t>RO</t>
  </si>
  <si>
    <t>CB</t>
  </si>
  <si>
    <t>CO</t>
  </si>
  <si>
    <t>SV</t>
  </si>
  <si>
    <t>CS</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</si>
  <si>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</si>
  <si>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</si>
  <si>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</si>
  <si>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</si>
  <si>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</si>
  <si>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</si>
  <si>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</si>
  <si>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</si>
  <si>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</si>
  <si>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</si>
  <si>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</si>
  <si>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</si>
  <si>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</si>
  <si>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</si>
  <si>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</si>
  <si>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</si>
  <si>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</si>
  <si>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</si>
  <si>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</si>
  <si>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</si>
  <si>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</si>
  <si>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</si>
  <si>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</si>
  <si>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</si>
  <si>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</si>
  <si>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</si>
  <si>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</si>
  <si>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</si>
  <si>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</si>
  <si>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</si>
  <si>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</si>
  <si>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</si>
  <si>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</si>
  <si>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</si>
  <si>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</si>
  <si>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</si>
  <si>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</si>
  <si>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</si>
  <si>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</si>
  <si>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</si>
  <si>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</si>
  <si>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</si>
  <si>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</si>
  <si>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</si>
  <si>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</si>
  <si>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</si>
  <si>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</si>
  <si>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</si>
  <si>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</si>
  <si>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</si>
  <si>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</si>
  <si>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</si>
  <si>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</si>
  <si>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</si>
  <si>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</si>
  <si>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</si>
  <si>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</si>
  <si>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</si>
  <si>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</si>
  <si>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</si>
  <si>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</si>
  <si>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</si>
  <si>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</si>
  <si>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</si>
  <si>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</si>
  <si>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</si>
  <si>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</si>
  <si>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</si>
  <si>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</si>
  <si>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</si>
  <si>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</si>
  <si>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</si>
  <si>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</si>
  <si>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</si>
  <si>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</si>
  <si>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</si>
  <si>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</si>
  <si>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</si>
  <si>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</si>
  <si>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</si>
  <si>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</si>
  <si>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</si>
  <si>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</si>
  <si>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</si>
  <si>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</si>
  <si>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</si>
  <si>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</si>
  <si>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</si>
  <si>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</si>
  <si>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</si>
  <si>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</si>
  <si>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</si>
  <si>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</si>
  <si>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</si>
  <si>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</si>
  <si>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</si>
  <si>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</si>
  <si>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</si>
  <si>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</si>
  <si>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</si>
  <si>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</si>
  <si>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</si>
  <si>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</si>
  <si>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</si>
  <si>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</si>
  <si>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</si>
  <si>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</si>
  <si>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</si>
  <si>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</si>
  <si>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</si>
  <si>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</si>
  <si>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</si>
  <si>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</si>
  <si>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</si>
  <si>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</si>
  <si>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</si>
  <si>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</si>
  <si>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</si>
  <si>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</si>
  <si>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</si>
  <si>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</si>
  <si>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</si>
  <si>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</si>
  <si>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</si>
  <si>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</si>
  <si>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</si>
  <si>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</si>
  <si>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</si>
  <si>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</si>
  <si>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</si>
  <si>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</si>
  <si>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</si>
  <si>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</si>
  <si>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</si>
  <si>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</si>
  <si>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</si>
  <si>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</si>
  <si>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</si>
  <si>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</si>
  <si>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</si>
  <si>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</si>
  <si>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</si>
  <si>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</si>
  <si>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</si>
  <si>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</si>
  <si>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</si>
  <si>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</si>
  <si>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</si>
  <si>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</si>
  <si>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</si>
  <si>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</si>
  <si>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</si>
  <si>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</si>
  <si>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</si>
  <si>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</si>
  <si>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</si>
  <si>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</si>
  <si>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</si>
  <si>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</si>
  <si>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</si>
  <si>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</si>
  <si>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</si>
  <si>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</si>
  <si>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</si>
  <si>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</si>
  <si>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</si>
  <si>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</si>
  <si>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</si>
  <si>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</si>
  <si>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</si>
  <si>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</si>
  <si>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</si>
  <si>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</si>
  <si>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</si>
  <si>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</si>
  <si>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</si>
  <si>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</si>
  <si>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</si>
  <si>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</si>
  <si>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</si>
  <si>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</si>
  <si>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</si>
  <si>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</si>
  <si>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</si>
  <si>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</si>
  <si>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</si>
  <si>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</si>
  <si>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</si>
  <si>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</si>
  <si>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</si>
  <si>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</si>
  <si>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</si>
  <si>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</si>
  <si>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</si>
  <si>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</si>
  <si>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</si>
  <si>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</si>
  <si>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</si>
  <si>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</si>
  <si>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</si>
  <si>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</si>
  <si>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</si>
  <si>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</si>
  <si>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</si>
  <si>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</si>
  <si>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</si>
  <si>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</si>
  <si>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</si>
  <si>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</si>
  <si>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</si>
  <si>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</si>
  <si>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</si>
  <si>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</si>
  <si>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</si>
  <si>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</si>
  <si>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</si>
  <si>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</si>
  <si>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</si>
  <si>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</si>
  <si>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</si>
  <si>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</si>
  <si>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</si>
  <si>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</si>
  <si>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</si>
  <si>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</si>
  <si>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</si>
  <si>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</si>
  <si>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</si>
  <si>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</si>
  <si>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</si>
  <si>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</si>
  <si>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</si>
  <si>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</si>
  <si>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</si>
  <si>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</si>
  <si>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</si>
  <si>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</si>
  <si>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</si>
  <si>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</si>
  <si>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</si>
  <si>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</si>
  <si>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</si>
  <si>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</si>
  <si>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</si>
  <si>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</si>
  <si>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</si>
  <si>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</si>
  <si>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</si>
  <si>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</si>
  <si>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</si>
  <si>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</si>
  <si>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</si>
  <si>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</si>
  <si>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</si>
  <si>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</si>
  <si>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</si>
  <si>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</si>
  <si>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</si>
  <si>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</si>
  <si>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</si>
  <si>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</si>
  <si>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</si>
  <si>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</si>
  <si>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</si>
  <si>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</si>
  <si>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</si>
  <si>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</si>
  <si>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</si>
  <si>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</si>
  <si>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</si>
  <si>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</si>
  <si>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</si>
  <si>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</si>
  <si>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</si>
  <si>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</si>
  <si>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</si>
  <si>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</si>
  <si>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</si>
  <si>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</si>
  <si>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</si>
  <si>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</si>
  <si>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</si>
  <si>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</si>
  <si>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</si>
  <si>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</si>
  <si>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</si>
  <si>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</si>
  <si>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</si>
  <si>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</si>
  <si>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</si>
  <si>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</si>
  <si>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</si>
  <si>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</si>
  <si>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</si>
  <si>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</si>
  <si>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</si>
  <si>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</si>
  <si>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</si>
  <si>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</si>
  <si>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</si>
  <si>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</si>
  <si>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</si>
  <si>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</si>
  <si>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</si>
  <si>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</si>
  <si>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</si>
  <si>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</si>
  <si>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</si>
  <si>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</si>
  <si>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</si>
  <si>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</si>
  <si>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</si>
  <si>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</si>
  <si>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</si>
  <si>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</si>
  <si>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</si>
  <si>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</si>
  <si>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</si>
  <si>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</si>
  <si>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</si>
  <si>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</si>
  <si>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</si>
  <si>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</si>
  <si>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</si>
  <si>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</si>
  <si>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</si>
  <si>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</si>
  <si>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</si>
  <si>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</si>
  <si>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</si>
  <si>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</si>
  <si>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</si>
  <si>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</si>
  <si>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</si>
  <si>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</si>
  <si>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</si>
  <si>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</si>
  <si>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Volu. (m3)</t>
  </si>
  <si>
    <t>10) INITIAL BALLAST CONDITION:</t>
  </si>
  <si>
    <t>Date / Time :</t>
  </si>
  <si>
    <t>Trim:</t>
  </si>
  <si>
    <t>11) FINAL BALLAST CONDITION:</t>
  </si>
  <si>
    <t>12) INITIAL FRESH WATER CONDITION:</t>
  </si>
  <si>
    <t>13) FINAL FRESH WATER CONDITION:</t>
  </si>
  <si>
    <t>FWT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</si>
  <si>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</si>
  <si>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</si>
  <si>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</si>
  <si>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</si>
  <si>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</si>
  <si>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</si>
  <si>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</si>
  <si>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</si>
  <si>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</si>
  <si>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</si>
  <si>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</si>
  <si>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</si>
  <si>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</si>
  <si>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</si>
  <si>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</si>
  <si>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</si>
  <si>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</si>
  <si>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</si>
  <si>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</si>
  <si>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</si>
  <si>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</si>
  <si>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</si>
  <si>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</si>
  <si>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</si>
  <si>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</si>
  <si>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</si>
  <si>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</si>
  <si>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</si>
  <si>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</si>
  <si>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</si>
  <si>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</si>
  <si>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SIM</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</si>
  <si>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</si>
  <si>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</si>
  <si>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</si>
  <si>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</si>
  <si>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</si>
  <si>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</si>
  <si>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</si>
  <si>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</si>
  <si>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</si>
  <si>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</si>
  <si>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</si>
  <si>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</si>
  <si>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</si>
  <si>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</si>
  <si>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</si>
  <si>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</si>
  <si>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</si>
  <si>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</si>
  <si>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</si>
  <si>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</si>
  <si>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</si>
  <si>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</si>
  <si>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</si>
  <si>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</si>
  <si>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</si>
  <si>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</si>
  <si>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</si>
  <si>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</si>
  <si>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</si>
  <si>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</si>
  <si>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</si>
  <si>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</si>
  <si>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INTERMEDIATE 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</si>
  <si>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</si>
  <si>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</si>
  <si>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</si>
  <si>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</si>
  <si>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</si>
  <si>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</si>
  <si>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</si>
  <si>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</si>
  <si>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</si>
  <si>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</si>
  <si>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</si>
  <si>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</si>
  <si>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</si>
  <si>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</si>
  <si>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</si>
  <si>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</si>
  <si>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</si>
  <si>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</si>
  <si>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</si>
  <si>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</si>
  <si>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</si>
  <si>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</si>
  <si>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</si>
  <si>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</si>
  <si>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</si>
  <si>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</si>
  <si>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</si>
  <si>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</si>
  <si>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</si>
  <si>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</si>
  <si>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</si>
  <si>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</si>
  <si>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</si>
  <si>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</si>
  <si>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</si>
  <si>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</si>
  <si>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</si>
  <si>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</si>
  <si>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</si>
  <si>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</si>
  <si>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</si>
  <si>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</si>
  <si>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</si>
  <si>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</si>
  <si>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</si>
  <si>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</si>
  <si>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</si>
  <si>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</si>
  <si>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</si>
  <si>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</si>
  <si>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</si>
  <si>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</si>
  <si>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</si>
  <si>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</si>
  <si>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</si>
  <si>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</si>
  <si>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</si>
  <si>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</si>
  <si>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</si>
  <si>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</si>
  <si>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</si>
  <si>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</si>
  <si>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</si>
  <si>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</si>
  <si>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</si>
  <si>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</si>
  <si>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</si>
  <si>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</si>
  <si>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</si>
  <si>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</si>
  <si>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</si>
  <si>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</si>
  <si>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</si>
  <si>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</si>
  <si>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</si>
  <si>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</si>
  <si>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</si>
  <si>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</si>
  <si>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</si>
  <si>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</si>
  <si>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</si>
  <si>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</si>
  <si>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</si>
  <si>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</si>
  <si>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</si>
  <si>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</si>
  <si>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</si>
  <si>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</si>
  <si>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</si>
  <si>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</si>
  <si>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</si>
  <si>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</si>
  <si>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</si>
  <si>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</si>
  <si>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</si>
  <si>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</si>
  <si>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</si>
  <si>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</si>
  <si>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</si>
  <si>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</si>
  <si>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</si>
  <si>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</si>
  <si>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</si>
  <si>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</si>
  <si>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</si>
  <si>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</si>
  <si>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</si>
  <si>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Brayan Bolognesi Faust</t>
  </si>
  <si>
    <t>Mr. Eduardo da Silva marques</t>
  </si>
  <si>
    <t>Mr. Vitor Mendes belo</t>
  </si>
  <si>
    <t>Mr. Eduardo Marques</t>
  </si>
  <si>
    <t>Mr. Vitor Belo</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</si>
  <si>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</si>
  <si>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</si>
  <si>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</si>
  <si>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</si>
  <si>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</si>
  <si>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</si>
  <si>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</si>
  <si>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</si>
  <si>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</si>
  <si>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</si>
  <si>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</si>
  <si>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</si>
  <si>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Thiago Henrique Barbosa Verhagen</t>
  </si>
  <si>
    <t>PGUA/DS/</t>
  </si>
  <si>
    <t xml:space="preserve">, it was applied the waterplane area coefficient correction for the deflexion formula as per UN/ECE/Energy/19/1992.  2) According to the Master/Chief Officer usual constant would amount to </t>
  </si>
  <si>
    <t>Mr. Elimar Noberto</t>
  </si>
  <si>
    <t>Mr. Cleverson Falaviane de Mattos</t>
  </si>
  <si>
    <t>WORLD SHIPPING AGENCIAMENTOS LTDA</t>
  </si>
  <si>
    <t>Mr. João Polletti</t>
  </si>
  <si>
    <t>Mr. Rafael Nogueira</t>
  </si>
  <si>
    <t>Mr. Lucas Zwierzykowski</t>
  </si>
  <si>
    <t>Conversão M3 para pés Cúbicos</t>
  </si>
  <si>
    <t>#1</t>
  </si>
  <si>
    <t>#2</t>
  </si>
  <si>
    <t>#3</t>
  </si>
  <si>
    <t>M3</t>
  </si>
  <si>
    <t>#4</t>
  </si>
  <si>
    <t>#5</t>
  </si>
  <si>
    <t>#6</t>
  </si>
  <si>
    <t>#7</t>
  </si>
  <si>
    <t>Pés</t>
  </si>
  <si>
    <t>BTG</t>
  </si>
  <si>
    <t>BTG Pactual.;</t>
  </si>
  <si>
    <t>GEORGIA S</t>
  </si>
  <si>
    <t>Inner roads</t>
  </si>
  <si>
    <t>9.2</t>
  </si>
  <si>
    <t>Rainy</t>
  </si>
  <si>
    <t>No tide flow</t>
  </si>
  <si>
    <t>Madeira</t>
  </si>
  <si>
    <t>Portuguese</t>
  </si>
  <si>
    <t>21.10.2011</t>
  </si>
  <si>
    <t>B1 - 0210</t>
  </si>
  <si>
    <t>17.10.2011</t>
  </si>
  <si>
    <t>B1 - 0203</t>
  </si>
  <si>
    <t>LR</t>
  </si>
  <si>
    <t>03.06.2023</t>
  </si>
  <si>
    <t>CQ2432</t>
  </si>
  <si>
    <t>LR, Bulk Carrier CSR, BC-A, ESP, GRAB[20]</t>
  </si>
  <si>
    <t>Brothers Stars Maritime S.A.</t>
  </si>
  <si>
    <t>Neptune Tradebulk Inc.</t>
  </si>
  <si>
    <t>Marlowe J. Sevilla</t>
  </si>
  <si>
    <t>Aldrin J. Baclig</t>
  </si>
  <si>
    <t>Prospero C. Viadnes</t>
  </si>
  <si>
    <t>Bandar Abbas -  Iran</t>
  </si>
  <si>
    <t>B.I.K - Iran</t>
  </si>
  <si>
    <t>BTG H</t>
  </si>
  <si>
    <t>SBMP</t>
  </si>
  <si>
    <t>058/26</t>
  </si>
  <si>
    <t>Fine</t>
  </si>
  <si>
    <t>Wharf</t>
  </si>
  <si>
    <t>Flood tide, &lt; 1knot</t>
  </si>
  <si>
    <t>Palangana</t>
  </si>
  <si>
    <t>Dist (S)</t>
  </si>
  <si>
    <t>1 WBT (P)</t>
  </si>
  <si>
    <t>1 WBT (S)</t>
  </si>
  <si>
    <t>2 WBT (P)</t>
  </si>
  <si>
    <t>2 WBT (S)</t>
  </si>
  <si>
    <t>3 WBT (P)</t>
  </si>
  <si>
    <t>3 WBT (S)</t>
  </si>
  <si>
    <t>4 WBT (P)</t>
  </si>
  <si>
    <t>4 WBT (S)</t>
  </si>
  <si>
    <t>Mr. Ernesto Lara</t>
  </si>
  <si>
    <t>COTECNA SERVIÇOS</t>
  </si>
  <si>
    <t>(As Consignees surveyors)</t>
  </si>
  <si>
    <t>(On behalf of Shippers)</t>
  </si>
  <si>
    <t>SGS DO BRASIL S.A.</t>
  </si>
  <si>
    <t>Penglai Zhongbai Jinglu Shipyard</t>
  </si>
  <si>
    <t>CS Marine for Penglai Zhongbai Jinglu Shipyard</t>
  </si>
  <si>
    <t>FULL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</si>
</sst>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5"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8">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45" fillId="8" borderId="61" xfId="3" applyFont="1" applyFill="1" applyBorder="1" applyAlignment="1" applyProtection="1">
      <alignment horizontal="center"/>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48" fillId="8" borderId="63" xfId="3" applyFont="1" applyFill="1" applyBorder="1" applyAlignment="1" applyProtection="1">
      <alignment horizontal="center"/>
      <protection locked="0"/>
    </xf>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4" borderId="10" xfId="0" applyNumberFormat="1" applyFont="1" applyFill="1" applyBorder="1" applyAlignment="1" applyProtection="1">
      <alignment horizontal="center"/>
      <protection locked="0"/>
    </xf>
    <xf numFmtId="2" fontId="9" fillId="4" borderId="0" xfId="0" applyNumberFormat="1" applyFont="1" applyFill="1" applyAlignment="1" applyProtection="1">
      <alignment horizontal="center"/>
      <protection locked="0"/>
    </xf>
    <xf numFmtId="2" fontId="9" fillId="4" borderId="14" xfId="0" applyNumberFormat="1" applyFont="1" applyFill="1" applyBorder="1" applyAlignment="1" applyProtection="1">
      <alignment horizontal="center"/>
      <protection locked="0"/>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0" fontId="47" fillId="8" borderId="61" xfId="3" applyFont="1" applyFill="1" applyBorder="1" applyAlignment="1">
      <alignment horizontal="left"/>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0" fontId="67" fillId="3" borderId="0" xfId="0" applyFont="1" applyFill="1"/>
    <xf numFmtId="0" fontId="123" fillId="3" borderId="0" xfId="0" applyFont="1" applyFill="1" applyAlignment="1">
      <alignment vertical="center"/>
    </xf>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36" fillId="2" borderId="4" xfId="3" applyFont="1" applyFill="1" applyBorder="1"/>
    <xf numFmtId="0" fontId="36" fillId="2" borderId="4" xfId="3" applyFont="1" applyFill="1" applyBorder="1" applyAlignment="1">
      <alignment wrapText="1"/>
    </xf>
    <xf numFmtId="2" fontId="12" fillId="0" borderId="10" xfId="0" applyNumberFormat="1" applyFont="1" applyBorder="1" applyAlignment="1" applyProtection="1">
      <alignment horizontal="center"/>
      <protection locked="0"/>
    </xf>
    <xf numFmtId="2" fontId="12" fillId="0" borderId="0" xfId="0" applyNumberFormat="1" applyFont="1" applyAlignment="1" applyProtection="1">
      <alignment horizontal="center"/>
      <protection locked="0"/>
    </xf>
    <xf numFmtId="2" fontId="12" fillId="5" borderId="10" xfId="0" applyNumberFormat="1" applyFont="1" applyFill="1" applyBorder="1" applyAlignment="1" applyProtection="1">
      <alignment horizontal="center"/>
      <protection locked="0"/>
    </xf>
    <xf numFmtId="2" fontId="12" fillId="5" borderId="0" xfId="0" applyNumberFormat="1" applyFont="1" applyFill="1" applyAlignment="1" applyProtection="1">
      <alignment horizontal="center"/>
      <protection locked="0"/>
    </xf>
    <xf numFmtId="2" fontId="12" fillId="5" borderId="14" xfId="0" applyNumberFormat="1" applyFont="1" applyFill="1" applyBorder="1" applyAlignment="1" applyProtection="1">
      <alignment horizontal="center"/>
      <protection locked="0"/>
    </xf>
    <xf numFmtId="0" fontId="13" fillId="0" borderId="0" xfId="0" applyFont="1" applyAlignment="1" applyProtection="1">
      <alignment horizontal="center"/>
      <protection locked="0"/>
    </xf>
    <xf numFmtId="0" fontId="15" fillId="0" borderId="0" xfId="0" applyFont="1" applyAlignment="1" applyProtection="1">
      <alignment horizontal="center"/>
      <protection locked="0"/>
    </xf>
    <xf numFmtId="0" fontId="21" fillId="0" borderId="0" xfId="0" applyFont="1" applyAlignment="1" applyProtection="1">
      <alignment horizontal="center"/>
      <protection locked="0"/>
    </xf>
    <xf numFmtId="0" fontId="18"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3"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10" fillId="0" borderId="0" xfId="0" applyFont="1" applyAlignment="1" applyProtection="1">
      <alignment horizontal="left" vertical="top"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12" fillId="0" borderId="0" xfId="0" applyFont="1" applyAlignment="1" applyProtection="1">
      <alignment horizontal="center" wrapText="1"/>
      <protection locked="0"/>
    </xf>
    <xf numFmtId="167" fontId="10" fillId="0" borderId="0" xfId="0" applyNumberFormat="1" applyFont="1" applyAlignment="1" applyProtection="1">
      <alignment horizontal="center" vertical="center"/>
      <protection locked="0"/>
    </xf>
    <xf numFmtId="167" fontId="10" fillId="0" borderId="0" xfId="0" applyNumberFormat="1" applyFont="1" applyAlignment="1" applyProtection="1">
      <alignment horizontal="center"/>
      <protection locked="0"/>
    </xf>
    <xf numFmtId="168" fontId="22"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10" fillId="0" borderId="0" xfId="0" applyNumberFormat="1" applyFont="1" applyAlignment="1" applyProtection="1">
      <alignment horizontal="center"/>
      <protection locked="0"/>
    </xf>
    <xf numFmtId="0" fontId="29" fillId="3" borderId="28" xfId="0" applyFont="1" applyFill="1" applyBorder="1" applyAlignment="1">
      <alignment horizontal="left"/>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4" xfId="0" applyFont="1" applyFill="1" applyBorder="1" applyAlignment="1">
      <alignment horizontal="center"/>
    </xf>
    <xf numFmtId="0" fontId="8" fillId="3" borderId="26" xfId="0" applyFont="1" applyFill="1" applyBorder="1" applyAlignment="1">
      <alignment horizontal="center"/>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197" fontId="32" fillId="3" borderId="5"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32" xfId="0" applyFont="1" applyFill="1" applyBorder="1" applyAlignment="1">
      <alignment horizontal="center"/>
    </xf>
    <xf numFmtId="0" fontId="32" fillId="3" borderId="107" xfId="0" applyFont="1" applyFill="1" applyBorder="1" applyAlignment="1">
      <alignment horizontal="center"/>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18"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200" fontId="5" fillId="3" borderId="126"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38"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01" xfId="0" applyNumberFormat="1" applyFont="1" applyFill="1" applyBorder="1" applyAlignment="1">
      <alignment horizontal="center"/>
    </xf>
    <xf numFmtId="200" fontId="5" fillId="3" borderId="125"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192" fontId="5" fillId="3" borderId="126" xfId="0" applyNumberFormat="1" applyFont="1" applyFill="1" applyBorder="1" applyAlignment="1">
      <alignment horizontal="center"/>
    </xf>
    <xf numFmtId="0" fontId="7" fillId="0" borderId="4" xfId="0" applyFont="1" applyBorder="1" applyAlignment="1" applyProtection="1">
      <alignment horizontal="center"/>
      <protection locked="0"/>
    </xf>
    <xf numFmtId="192" fontId="5" fillId="3" borderId="13" xfId="0" applyNumberFormat="1" applyFont="1" applyFill="1" applyBorder="1" applyAlignment="1">
      <alignment horizontal="center"/>
    </xf>
    <xf numFmtId="192" fontId="5" fillId="3" borderId="3" xfId="0" applyNumberFormat="1" applyFont="1" applyFill="1" applyBorder="1" applyAlignment="1">
      <alignment horizontal="center"/>
    </xf>
    <xf numFmtId="192" fontId="5" fillId="3" borderId="127"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200" fontId="5" fillId="3" borderId="12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10" fillId="3" borderId="6" xfId="0" applyNumberFormat="1" applyFont="1" applyFill="1" applyBorder="1" applyAlignment="1">
      <alignment horizontal="center"/>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wrapText="1"/>
      <protection locked="0"/>
    </xf>
    <xf numFmtId="0" fontId="45" fillId="8" borderId="0" xfId="3" applyFont="1" applyFill="1" applyAlignment="1" applyProtection="1">
      <alignment horizontal="left" wrapText="1"/>
      <protection locked="0"/>
    </xf>
    <xf numFmtId="0" fontId="45" fillId="8" borderId="60" xfId="3" applyFont="1" applyFill="1" applyBorder="1" applyAlignment="1" applyProtection="1">
      <alignment horizontal="left"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168" fontId="0" fillId="8" borderId="74" xfId="4" applyNumberFormat="1" applyFont="1" applyFill="1" applyBorder="1" applyAlignment="1" applyProtection="1">
      <alignment horizontal="center"/>
      <protection locked="0"/>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2" borderId="0" xfId="3" applyFont="1" applyFill="1" applyAlignment="1">
      <alignment horizontal="center" wrapText="1"/>
    </xf>
    <xf numFmtId="0" fontId="36" fillId="2" borderId="14" xfId="3" applyFont="1" applyFill="1" applyBorder="1" applyAlignment="1">
      <alignment horizontal="center" wrapText="1"/>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32" fillId="3" borderId="107" xfId="0" applyFont="1" applyFill="1" applyBorder="1" applyAlignment="1">
      <alignment horizontal="center" vertical="center"/>
    </xf>
    <xf numFmtId="170" fontId="10" fillId="0" borderId="0" xfId="0" applyNumberFormat="1" applyFont="1" applyAlignment="1" applyProtection="1">
      <alignment horizontal="left"/>
      <protection locked="0"/>
    </xf>
    <xf numFmtId="0" fontId="22" fillId="0" borderId="0" xfId="0" applyFont="1" applyAlignment="1" applyProtection="1">
      <alignment horizontal="left" vertical="center" wrapText="1"/>
      <protection locked="0"/>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38" fontId="128" fillId="22" borderId="63" xfId="8" applyNumberFormat="1" applyFont="1" applyFill="1" applyBorder="1" applyAlignment="1">
      <alignment horizont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3" borderId="0" xfId="0" applyFont="1" applyFill="1" applyAlignment="1">
      <alignment horizontal="center" vertical="center"/>
    </xf>
    <xf numFmtId="0" fontId="2" fillId="24" borderId="0" xfId="0" applyFont="1" applyFill="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74">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B5C13F8E-E641-4088-8445-6300623AD276}"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fld id="{F00DDE1E-1AA6-474F-B321-11909DC153D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1-62F0-4F11-8DF3-7E39172DA8EE}"/>
                </c:ext>
              </c:extLst>
            </c:dLbl>
            <c:dLbl>
              <c:idx val="2"/>
              <c:tx>
                <c:rich>
                  <a:bodyPr/>
                  <a:lstStyle/>
                  <a:p>
                    <a:fld id="{967DC00F-B7FA-4E25-9D09-DF684EF2424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2F0-4F11-8DF3-7E39172DA8EE}"/>
                </c:ext>
              </c:extLst>
            </c:dLbl>
            <c:dLbl>
              <c:idx val="3"/>
              <c:tx>
                <c:rich>
                  <a:bodyPr/>
                  <a:lstStyle/>
                  <a:p>
                    <a:fld id="{E7B8AD87-85D5-4C50-ACC2-0F1508E065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2F0-4F11-8DF3-7E39172DA8EE}"/>
                </c:ext>
              </c:extLst>
            </c:dLbl>
            <c:dLbl>
              <c:idx val="4"/>
              <c:tx>
                <c:rich>
                  <a:bodyPr/>
                  <a:lstStyle/>
                  <a:p>
                    <a:fld id="{D693C25D-21DA-47C2-893B-AFDE4A46B0F6}"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2F0-4F11-8DF3-7E39172DA8EE}"/>
                </c:ext>
              </c:extLst>
            </c:dLbl>
            <c:dLbl>
              <c:idx val="5"/>
              <c:tx>
                <c:rich>
                  <a:bodyPr/>
                  <a:lstStyle/>
                  <a:p>
                    <a:fld id="{438996B9-6F05-4CB1-AD74-3D39EB2EBEDD}"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2F0-4F11-8DF3-7E39172DA8EE}"/>
                </c:ext>
              </c:extLst>
            </c:dLbl>
            <c:dLbl>
              <c:idx val="6"/>
              <c:tx>
                <c:rich>
                  <a:bodyPr/>
                  <a:lstStyle/>
                  <a:p>
                    <a:fld id="{F5DA1348-B924-425E-A86F-C13C1DBDCA9F}"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2F0-4F11-8DF3-7E39172DA8EE}"/>
                </c:ext>
              </c:extLst>
            </c:dLbl>
            <c:dLbl>
              <c:idx val="7"/>
              <c:tx>
                <c:rich>
                  <a:bodyPr/>
                  <a:lstStyle/>
                  <a:p>
                    <a:fld id="{9498B0EA-C1E0-4FB3-9FD7-F23F9263AAB5}"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2F0-4F11-8DF3-7E39172DA8EE}"/>
                </c:ext>
              </c:extLst>
            </c:dLbl>
            <c:dLbl>
              <c:idx val="8"/>
              <c:tx>
                <c:rich>
                  <a:bodyPr/>
                  <a:lstStyle/>
                  <a:p>
                    <a:fld id="{152DB9C0-8B4F-4E16-A39F-596B697D438A}"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2F0-4F11-8DF3-7E39172DA8EE}"/>
                </c:ext>
              </c:extLst>
            </c:dLbl>
            <c:dLbl>
              <c:idx val="9"/>
              <c:tx>
                <c:rich>
                  <a:bodyPr/>
                  <a:lstStyle/>
                  <a:p>
                    <a:fld id="{9F9F5972-7CB1-4350-81F7-624CD65A6377}" type="CELLRANGE">
                      <a:rPr lang="pt-BR"/>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5A4AF0C-62AE-4208-974D-445A7539BE04}"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fmlaLink="$C$46" lockText="1" noThreeD="1"/>
</file>

<file path=xl/ctrlProps/ctrlProp2.xml><?xml version="1.0" encoding="utf-8"?>
<formControlPr xmlns="http://schemas.microsoft.com/office/spreadsheetml/2009/9/main" objectType="CheckBox"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checked="Checked"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checked="Checked" fmlaLink="$C$67" lockText="1" noThreeD="1"/>
</file>

<file path=xl/ctrlProps/ctrlProp12.xml><?xml version="1.0" encoding="utf-8"?>
<formControlPr xmlns="http://schemas.microsoft.com/office/spreadsheetml/2009/9/main" objectType="CheckBox"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fmlaLink="$C$48" lockText="1" noThreeD="1"/>
</file>

<file path=xl/ctrlProps/ctrlProp19.xml><?xml version="1.0" encoding="utf-8"?>
<formControlPr xmlns="http://schemas.microsoft.com/office/spreadsheetml/2009/9/main" objectType="CheckBox" checked="Checked"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fmlaLink="$C$46" lockText="1" noThreeD="1"/>
</file>

<file path=xl/ctrlProps/ctrlProp24.xml><?xml version="1.0" encoding="utf-8"?>
<formControlPr xmlns="http://schemas.microsoft.com/office/spreadsheetml/2009/9/main" objectType="CheckBox"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checked="Checked"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checked="Checked" fmlaLink="$C$67" lockText="1" noThreeD="1"/>
</file>

<file path=xl/ctrlProps/ctrlProp34.xml><?xml version="1.0" encoding="utf-8"?>
<formControlPr xmlns="http://schemas.microsoft.com/office/spreadsheetml/2009/9/main" objectType="CheckBox"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fmlaLink="$C$48" lockText="1" noThreeD="1"/>
</file>

<file path=xl/ctrlProps/ctrlProp41.xml><?xml version="1.0" encoding="utf-8"?>
<formControlPr xmlns="http://schemas.microsoft.com/office/spreadsheetml/2009/9/main" objectType="CheckBox" checked="Checked"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fmlaLink="$C$46" lockText="1" noThreeD="1"/>
</file>

<file path=xl/ctrlProps/ctrlProp46.xml><?xml version="1.0" encoding="utf-8"?>
<formControlPr xmlns="http://schemas.microsoft.com/office/spreadsheetml/2009/9/main" objectType="CheckBox"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checked="Checked"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checked="Checked" fmlaLink="$C$67" lockText="1" noThreeD="1"/>
</file>

<file path=xl/ctrlProps/ctrlProp56.xml><?xml version="1.0" encoding="utf-8"?>
<formControlPr xmlns="http://schemas.microsoft.com/office/spreadsheetml/2009/9/main" objectType="CheckBox"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fmlaLink="$C$48" lockText="1" noThreeD="1"/>
</file>

<file path=xl/ctrlProps/ctrlProp63.xml><?xml version="1.0" encoding="utf-8"?>
<formControlPr xmlns="http://schemas.microsoft.com/office/spreadsheetml/2009/9/main" objectType="CheckBox" checked="Checked"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checked="Checked"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checked="Checked"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8" Type="http://schemas.openxmlformats.org/officeDocument/2006/relationships/image" Target="../media/image6.png"/><Relationship Id="rId3" Type="http://schemas.openxmlformats.org/officeDocument/2006/relationships/image" Target="../media/image4.png"/><Relationship Id="rId7" Type="http://schemas.openxmlformats.org/officeDocument/2006/relationships/image" Target="../media/image5.png"/><Relationship Id="rId2" Type="http://schemas.openxmlformats.org/officeDocument/2006/relationships/image" Target="../media/image3.png"/><Relationship Id="rId1" Type="http://schemas.openxmlformats.org/officeDocument/2006/relationships/image" Target="../media/image2.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7.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topLeftCell="A23" zoomScale="106" zoomScaleNormal="106" workbookViewId="0">
      <selection activeCell="B38" sqref="B38"/>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0" t="s">
        <v>143</v>
      </c>
      <c r="N3" s="880"/>
      <c r="O3" s="880"/>
      <c r="P3" s="880"/>
      <c r="Q3" s="880"/>
      <c r="R3" s="880"/>
      <c r="S3" s="880"/>
      <c r="T3" s="880"/>
      <c r="U3" s="880"/>
    </row>
    <row r="4" spans="1:21" ht="21" x14ac:dyDescent="0.35">
      <c r="A4" s="22" t="s">
        <v>144</v>
      </c>
      <c r="B4" s="22" t="s">
        <v>145</v>
      </c>
      <c r="C4" s="18"/>
      <c r="D4" s="18"/>
      <c r="E4" s="18"/>
      <c r="F4" s="18"/>
      <c r="G4" s="18"/>
      <c r="H4" s="18"/>
      <c r="I4" s="19"/>
      <c r="J4" s="19"/>
      <c r="K4" s="19"/>
      <c r="L4" s="19"/>
      <c r="M4" s="19"/>
      <c r="N4" s="19"/>
      <c r="O4" s="19"/>
    </row>
    <row r="5" spans="1:21" ht="18.75" x14ac:dyDescent="0.3">
      <c r="A5" s="23" t="s">
        <v>735</v>
      </c>
      <c r="B5" s="24" t="s">
        <v>779</v>
      </c>
      <c r="C5" s="18"/>
      <c r="D5" s="18"/>
      <c r="E5" s="18"/>
      <c r="F5" s="18"/>
      <c r="G5" s="18"/>
      <c r="H5" s="18"/>
      <c r="I5" s="19"/>
      <c r="J5" s="19"/>
      <c r="K5" s="19"/>
      <c r="L5" s="19"/>
      <c r="M5" s="19"/>
      <c r="N5" s="19"/>
      <c r="O5" s="19"/>
    </row>
    <row r="6" spans="1:21" ht="18.75" x14ac:dyDescent="0.3">
      <c r="A6" s="25" t="s">
        <v>146</v>
      </c>
      <c r="B6" s="26" t="s">
        <v>150</v>
      </c>
      <c r="C6" s="18"/>
      <c r="D6" s="18"/>
      <c r="E6" s="18"/>
      <c r="F6" s="18"/>
      <c r="G6" s="18"/>
      <c r="H6" s="18"/>
      <c r="I6" s="19"/>
      <c r="J6" s="19"/>
      <c r="K6" s="19"/>
      <c r="N6" s="19"/>
      <c r="O6" s="27" t="s">
        <v>147</v>
      </c>
      <c r="P6" s="28"/>
    </row>
    <row r="7" spans="1:21" ht="15.75" x14ac:dyDescent="0.25">
      <c r="A7" s="881" t="s">
        <v>148</v>
      </c>
      <c r="B7" s="864"/>
      <c r="C7" s="29"/>
      <c r="D7" s="29"/>
      <c r="E7" s="29"/>
      <c r="F7" s="29"/>
      <c r="G7" s="29"/>
      <c r="H7" s="29"/>
      <c r="I7" s="30"/>
      <c r="J7" s="30"/>
      <c r="K7" s="30"/>
      <c r="L7" s="30"/>
      <c r="M7" s="30"/>
      <c r="N7" s="30"/>
      <c r="O7" s="27" t="s">
        <v>149</v>
      </c>
      <c r="P7" s="28"/>
    </row>
    <row r="8" spans="1:21" ht="15.75" x14ac:dyDescent="0.25">
      <c r="A8" s="31" t="s">
        <v>48</v>
      </c>
      <c r="B8" s="32" t="s">
        <v>755</v>
      </c>
      <c r="C8" s="29"/>
      <c r="D8" s="29"/>
      <c r="E8" s="29"/>
      <c r="F8" s="29"/>
      <c r="G8" s="29"/>
      <c r="H8" s="29"/>
      <c r="I8" s="30"/>
      <c r="J8" s="30"/>
      <c r="K8" s="30"/>
      <c r="L8" s="30"/>
      <c r="M8" s="30"/>
      <c r="N8" s="30"/>
      <c r="O8" s="27" t="s">
        <v>150</v>
      </c>
    </row>
    <row r="9" spans="1:21" ht="15.75" x14ac:dyDescent="0.25">
      <c r="A9" s="31" t="s">
        <v>151</v>
      </c>
      <c r="B9" s="32">
        <v>2011</v>
      </c>
      <c r="C9" s="33"/>
      <c r="D9" s="33"/>
      <c r="E9" s="33"/>
      <c r="F9" s="29"/>
      <c r="G9" s="29"/>
      <c r="H9" s="29"/>
      <c r="I9" s="30"/>
      <c r="J9" s="30"/>
      <c r="K9" s="30"/>
      <c r="L9" s="30"/>
      <c r="M9" s="30"/>
      <c r="N9" s="30"/>
      <c r="O9" s="27" t="s">
        <v>152</v>
      </c>
    </row>
    <row r="10" spans="1:21" ht="15.75" x14ac:dyDescent="0.25">
      <c r="A10" s="31" t="s">
        <v>52</v>
      </c>
      <c r="B10" s="32">
        <v>9502647</v>
      </c>
      <c r="C10" s="29"/>
      <c r="D10" s="29"/>
      <c r="E10" s="29"/>
      <c r="F10" s="29"/>
      <c r="G10" s="29"/>
      <c r="H10" s="29"/>
      <c r="I10" s="30"/>
      <c r="J10" s="30"/>
      <c r="K10" s="30"/>
      <c r="L10" s="30"/>
      <c r="M10" s="30"/>
      <c r="N10" s="30"/>
      <c r="O10" s="27" t="s">
        <v>153</v>
      </c>
    </row>
    <row r="11" spans="1:21" ht="15.75" x14ac:dyDescent="0.25">
      <c r="A11" s="31" t="s">
        <v>62</v>
      </c>
      <c r="B11" s="32" t="s">
        <v>798</v>
      </c>
      <c r="C11" s="29"/>
      <c r="D11" s="29"/>
      <c r="E11" s="29"/>
      <c r="F11" s="29"/>
      <c r="G11" s="29"/>
      <c r="H11" s="29"/>
      <c r="I11" s="30"/>
      <c r="J11" s="30"/>
      <c r="K11" s="30"/>
      <c r="L11" s="30"/>
      <c r="M11" s="30"/>
      <c r="N11" s="30"/>
      <c r="O11" s="27" t="s">
        <v>154</v>
      </c>
    </row>
    <row r="12" spans="1:21" ht="15.75" x14ac:dyDescent="0.25">
      <c r="A12" s="31" t="s">
        <v>49</v>
      </c>
      <c r="B12" s="32" t="s">
        <v>768</v>
      </c>
      <c r="C12" s="29"/>
      <c r="D12" s="29"/>
      <c r="E12" s="29"/>
      <c r="F12" s="29"/>
      <c r="G12" s="29"/>
      <c r="H12" s="29"/>
      <c r="I12" s="30"/>
      <c r="J12" s="30"/>
      <c r="K12" s="30"/>
      <c r="L12" s="30"/>
      <c r="M12" s="30"/>
      <c r="N12" s="30"/>
      <c r="O12" s="27" t="s">
        <v>155</v>
      </c>
    </row>
    <row r="13" spans="1:21" ht="15.75" x14ac:dyDescent="0.25">
      <c r="A13" s="31" t="s">
        <v>50</v>
      </c>
      <c r="B13" s="32" t="s">
        <v>760</v>
      </c>
      <c r="C13" s="29"/>
      <c r="D13" s="29"/>
      <c r="E13" s="29"/>
      <c r="F13" s="29"/>
      <c r="G13" s="29"/>
      <c r="H13" s="29"/>
      <c r="I13" s="30"/>
      <c r="J13" s="30"/>
      <c r="K13" s="30"/>
      <c r="L13" s="30"/>
      <c r="M13" s="30"/>
      <c r="N13" s="30"/>
      <c r="O13" s="27" t="s">
        <v>156</v>
      </c>
    </row>
    <row r="14" spans="1:21" ht="15.75" x14ac:dyDescent="0.25">
      <c r="A14" s="31" t="s">
        <v>51</v>
      </c>
      <c r="B14" s="32" t="s">
        <v>761</v>
      </c>
      <c r="C14" s="29"/>
      <c r="D14" s="29"/>
      <c r="E14" s="29"/>
      <c r="F14" s="29"/>
      <c r="G14" s="29"/>
      <c r="H14" s="29"/>
      <c r="I14" s="30"/>
      <c r="J14" s="30"/>
      <c r="K14" s="30"/>
      <c r="L14" s="30"/>
      <c r="M14" s="30"/>
      <c r="N14" s="30"/>
      <c r="O14" s="34" t="s">
        <v>157</v>
      </c>
      <c r="P14" s="35" t="s">
        <v>573</v>
      </c>
    </row>
    <row r="15" spans="1:21" ht="15.75" x14ac:dyDescent="0.25">
      <c r="A15" s="31" t="s">
        <v>53</v>
      </c>
      <c r="B15" s="32">
        <v>225</v>
      </c>
      <c r="C15" s="29"/>
      <c r="D15" s="29"/>
      <c r="E15" s="29"/>
      <c r="F15" s="29"/>
      <c r="G15" s="29"/>
      <c r="H15" s="29"/>
      <c r="I15" s="30"/>
      <c r="J15" s="30"/>
      <c r="K15" s="30"/>
      <c r="L15" s="30"/>
      <c r="M15" s="30"/>
      <c r="N15" s="30"/>
      <c r="O15" s="19"/>
    </row>
    <row r="16" spans="1:21" ht="15.75" x14ac:dyDescent="0.25">
      <c r="A16" s="31" t="s">
        <v>54</v>
      </c>
      <c r="B16" s="32">
        <v>217</v>
      </c>
      <c r="C16" s="29"/>
      <c r="D16" s="29"/>
      <c r="E16" s="29"/>
      <c r="F16" s="36" t="s">
        <v>158</v>
      </c>
      <c r="G16" s="29"/>
      <c r="H16" s="29"/>
      <c r="I16" s="30"/>
      <c r="J16" s="36" t="s">
        <v>158</v>
      </c>
      <c r="K16" s="30"/>
      <c r="L16" s="30"/>
      <c r="M16" s="30"/>
      <c r="N16" s="30"/>
      <c r="O16" s="19"/>
    </row>
    <row r="17" spans="1:15" ht="15.75" x14ac:dyDescent="0.25">
      <c r="A17" s="31" t="s">
        <v>55</v>
      </c>
      <c r="B17" s="32">
        <v>19.600000000000001</v>
      </c>
      <c r="C17" s="29"/>
      <c r="D17" s="29"/>
      <c r="E17" s="29"/>
      <c r="F17" s="36" t="s">
        <v>159</v>
      </c>
      <c r="G17" s="29"/>
      <c r="H17" s="29"/>
      <c r="I17" s="30"/>
      <c r="J17" s="37" t="s">
        <v>160</v>
      </c>
      <c r="K17" s="30"/>
      <c r="L17" s="30"/>
      <c r="M17" s="30"/>
      <c r="N17" s="30"/>
      <c r="O17" s="19"/>
    </row>
    <row r="18" spans="1:15" ht="15.75" x14ac:dyDescent="0.25">
      <c r="A18" s="31" t="s">
        <v>56</v>
      </c>
      <c r="B18" s="32">
        <v>32.26</v>
      </c>
      <c r="C18" s="29"/>
      <c r="D18" s="29"/>
      <c r="E18" s="29"/>
      <c r="F18" s="36" t="s">
        <v>161</v>
      </c>
      <c r="G18" s="29"/>
      <c r="H18" s="29"/>
      <c r="I18" s="30"/>
      <c r="J18" s="37" t="s">
        <v>162</v>
      </c>
      <c r="K18" s="30"/>
      <c r="L18" s="30"/>
      <c r="M18" s="30"/>
      <c r="N18" s="30"/>
      <c r="O18" s="19"/>
    </row>
    <row r="19" spans="1:15" ht="15.75" x14ac:dyDescent="0.25">
      <c r="A19" s="31" t="s">
        <v>60</v>
      </c>
      <c r="B19" s="32">
        <v>13719</v>
      </c>
      <c r="C19" s="29"/>
      <c r="D19" s="29"/>
      <c r="E19" s="29"/>
      <c r="F19" s="36" t="s">
        <v>626</v>
      </c>
      <c r="G19" s="29"/>
      <c r="H19" s="29"/>
      <c r="I19" s="30"/>
      <c r="J19" s="37" t="s">
        <v>637</v>
      </c>
      <c r="K19" s="30"/>
      <c r="L19" s="30"/>
      <c r="M19" s="30"/>
      <c r="N19" s="30"/>
      <c r="O19" s="19"/>
    </row>
    <row r="20" spans="1:15" ht="15.75" x14ac:dyDescent="0.25">
      <c r="A20" s="31" t="s">
        <v>57</v>
      </c>
      <c r="B20" s="32">
        <v>41101</v>
      </c>
      <c r="C20" s="29"/>
      <c r="D20" s="29"/>
      <c r="E20" s="29"/>
      <c r="F20" s="37" t="s">
        <v>160</v>
      </c>
      <c r="G20" s="29"/>
      <c r="H20" s="29"/>
      <c r="I20" s="30"/>
      <c r="J20" s="37" t="s">
        <v>163</v>
      </c>
      <c r="K20" s="30"/>
      <c r="L20" s="30"/>
      <c r="M20" s="30"/>
      <c r="N20" s="30"/>
      <c r="O20" s="19"/>
    </row>
    <row r="21" spans="1:15" ht="15.75" x14ac:dyDescent="0.25">
      <c r="A21" s="31" t="s">
        <v>58</v>
      </c>
      <c r="B21" s="32">
        <v>25643</v>
      </c>
      <c r="C21" s="29"/>
      <c r="D21" s="29"/>
      <c r="E21" s="29"/>
      <c r="F21" s="37" t="s">
        <v>162</v>
      </c>
      <c r="G21" s="29"/>
      <c r="H21" s="29"/>
      <c r="I21" s="30"/>
      <c r="J21" s="36" t="s">
        <v>164</v>
      </c>
      <c r="K21" s="30"/>
      <c r="L21" s="30"/>
      <c r="M21" s="30"/>
      <c r="N21" s="30"/>
      <c r="O21" s="19"/>
    </row>
    <row r="22" spans="1:15" ht="15.75" hidden="1" customHeight="1" x14ac:dyDescent="0.25">
      <c r="B22" s="32"/>
      <c r="C22" s="29"/>
      <c r="D22" s="29"/>
      <c r="E22" s="29"/>
      <c r="F22" s="37" t="s">
        <v>165</v>
      </c>
      <c r="G22" s="29"/>
      <c r="H22" s="29"/>
      <c r="I22" s="30"/>
      <c r="J22" s="36" t="s">
        <v>166</v>
      </c>
      <c r="K22" s="30"/>
      <c r="L22" s="30"/>
      <c r="M22" s="30"/>
      <c r="N22" s="30"/>
      <c r="O22" s="19"/>
    </row>
    <row r="23" spans="1:15" ht="78.75" customHeight="1" x14ac:dyDescent="0.25">
      <c r="A23" s="38" t="s">
        <v>59</v>
      </c>
      <c r="B23" s="39" t="s">
        <v>769</v>
      </c>
      <c r="C23" s="29"/>
      <c r="D23" s="29"/>
      <c r="E23" s="29"/>
      <c r="F23" s="36" t="s">
        <v>164</v>
      </c>
      <c r="G23" s="29"/>
      <c r="H23" s="29"/>
      <c r="I23" s="30"/>
      <c r="J23" s="36" t="s">
        <v>167</v>
      </c>
      <c r="K23" s="30"/>
      <c r="L23" s="30"/>
      <c r="M23" s="30"/>
      <c r="N23" s="30"/>
      <c r="O23" s="19"/>
    </row>
    <row r="24" spans="1:15" ht="15.75" x14ac:dyDescent="0.25">
      <c r="A24" s="40" t="s">
        <v>63</v>
      </c>
      <c r="B24" s="41" t="s">
        <v>770</v>
      </c>
      <c r="C24" s="29"/>
      <c r="D24" s="29"/>
      <c r="E24" s="29"/>
      <c r="F24" s="36" t="s">
        <v>168</v>
      </c>
      <c r="G24" s="29"/>
      <c r="H24" s="29"/>
      <c r="I24" s="30"/>
      <c r="J24" s="36" t="s">
        <v>169</v>
      </c>
      <c r="K24" s="30"/>
      <c r="L24" s="30"/>
      <c r="M24" s="30"/>
      <c r="N24" s="30"/>
      <c r="O24" s="19"/>
    </row>
    <row r="25" spans="1:15" ht="15.75" x14ac:dyDescent="0.25">
      <c r="A25" s="882" t="s">
        <v>64</v>
      </c>
      <c r="B25" s="884" t="s">
        <v>771</v>
      </c>
      <c r="C25" s="29"/>
      <c r="D25" s="29"/>
      <c r="E25" s="29"/>
      <c r="F25" s="36" t="s">
        <v>168</v>
      </c>
      <c r="G25" s="29"/>
      <c r="H25" s="29"/>
      <c r="I25" s="30"/>
      <c r="J25" s="30" t="s">
        <v>628</v>
      </c>
      <c r="K25" s="30"/>
      <c r="L25" s="30"/>
      <c r="M25" s="30"/>
      <c r="N25" s="30"/>
      <c r="O25" s="19"/>
    </row>
    <row r="26" spans="1:15" ht="15.75" x14ac:dyDescent="0.25">
      <c r="A26" s="882"/>
      <c r="B26" s="885"/>
      <c r="C26" s="29"/>
      <c r="D26" s="29"/>
      <c r="E26" s="29"/>
      <c r="F26" s="36" t="s">
        <v>166</v>
      </c>
      <c r="G26" s="29"/>
      <c r="H26" s="29"/>
      <c r="I26" s="30"/>
      <c r="J26" s="30"/>
      <c r="K26" s="30"/>
      <c r="L26" s="30"/>
      <c r="M26" s="30"/>
      <c r="N26" s="30"/>
      <c r="O26" s="19"/>
    </row>
    <row r="27" spans="1:15" ht="15.75" x14ac:dyDescent="0.25">
      <c r="A27" s="883"/>
      <c r="B27" s="886"/>
      <c r="C27" s="29"/>
      <c r="D27" s="29"/>
      <c r="E27" s="29"/>
      <c r="F27" s="37" t="s">
        <v>170</v>
      </c>
      <c r="G27" s="29"/>
      <c r="H27" s="29"/>
      <c r="I27" s="30"/>
      <c r="J27" s="30"/>
      <c r="K27" s="30"/>
      <c r="L27" s="30"/>
      <c r="M27" s="30"/>
      <c r="N27" s="30"/>
      <c r="O27" s="19"/>
    </row>
    <row r="28" spans="1:15" ht="15.75" x14ac:dyDescent="0.25">
      <c r="A28" s="42"/>
      <c r="B28" s="42"/>
      <c r="C28" s="29"/>
      <c r="D28" s="29"/>
      <c r="E28" s="29"/>
      <c r="F28" s="36" t="s">
        <v>171</v>
      </c>
      <c r="G28" s="29"/>
      <c r="H28" s="29"/>
      <c r="I28" s="30"/>
      <c r="J28" s="30"/>
      <c r="K28" s="30"/>
      <c r="L28" s="30"/>
      <c r="M28" s="30"/>
      <c r="N28" s="30"/>
      <c r="O28" s="19"/>
    </row>
    <row r="29" spans="1:15" ht="15.75" x14ac:dyDescent="0.25">
      <c r="A29" s="864" t="s">
        <v>172</v>
      </c>
      <c r="B29" s="864"/>
      <c r="C29" s="29"/>
      <c r="D29" s="29"/>
      <c r="E29" s="29"/>
      <c r="F29" s="36" t="s">
        <v>173</v>
      </c>
      <c r="G29" s="29"/>
      <c r="H29" s="29"/>
      <c r="I29" s="30"/>
      <c r="J29" s="30"/>
      <c r="K29" s="30"/>
      <c r="L29" s="30"/>
      <c r="M29" s="30"/>
      <c r="N29" s="30"/>
      <c r="O29" s="19"/>
    </row>
    <row r="30" spans="1:15" ht="15.75" x14ac:dyDescent="0.25">
      <c r="A30" s="31" t="s">
        <v>174</v>
      </c>
      <c r="B30" s="43" t="s">
        <v>772</v>
      </c>
      <c r="C30" s="29"/>
      <c r="D30" s="29"/>
      <c r="E30" s="29"/>
      <c r="F30" s="36" t="s">
        <v>169</v>
      </c>
      <c r="G30" s="29"/>
      <c r="H30" s="29"/>
      <c r="I30" s="30"/>
      <c r="J30" s="30"/>
      <c r="K30" s="30"/>
      <c r="L30" s="30"/>
      <c r="M30" s="30"/>
      <c r="N30" s="30"/>
      <c r="O30" s="19"/>
    </row>
    <row r="31" spans="1:15" ht="15.75" x14ac:dyDescent="0.25">
      <c r="A31" s="31" t="s">
        <v>175</v>
      </c>
      <c r="B31" s="43" t="s">
        <v>773</v>
      </c>
      <c r="C31" s="29"/>
      <c r="D31" s="29"/>
      <c r="E31" s="29"/>
      <c r="F31" s="36" t="s">
        <v>176</v>
      </c>
      <c r="G31" s="29"/>
      <c r="H31" s="29"/>
      <c r="I31" s="30"/>
      <c r="J31" s="30"/>
      <c r="K31" s="30"/>
      <c r="L31" s="30"/>
      <c r="M31" s="30"/>
      <c r="N31" s="30"/>
      <c r="O31" s="19"/>
    </row>
    <row r="32" spans="1:15" ht="15.75" x14ac:dyDescent="0.25">
      <c r="A32" s="31" t="s">
        <v>177</v>
      </c>
      <c r="B32" s="581" t="s">
        <v>774</v>
      </c>
      <c r="C32" s="29"/>
      <c r="D32" s="29"/>
      <c r="E32" s="29"/>
      <c r="F32" s="36" t="s">
        <v>178</v>
      </c>
      <c r="G32" s="29"/>
      <c r="H32" s="29"/>
      <c r="I32" s="30"/>
      <c r="J32" s="30"/>
      <c r="K32" s="30"/>
      <c r="L32" s="30"/>
      <c r="M32" s="30"/>
      <c r="N32" s="30"/>
      <c r="O32" s="19"/>
    </row>
    <row r="33" spans="1:15" ht="15.75" hidden="1" customHeight="1" x14ac:dyDescent="0.25">
      <c r="A33" s="31"/>
      <c r="B33" s="43"/>
      <c r="C33" s="29"/>
      <c r="D33" s="29"/>
      <c r="E33" s="29"/>
      <c r="F33" s="36" t="s">
        <v>179</v>
      </c>
      <c r="G33" s="29"/>
      <c r="H33" s="29"/>
      <c r="I33" s="30"/>
      <c r="J33" s="30"/>
      <c r="K33" s="30"/>
      <c r="L33" s="30"/>
      <c r="M33" s="30"/>
      <c r="N33" s="30"/>
      <c r="O33" s="19"/>
    </row>
    <row r="34" spans="1:15" ht="15.75" x14ac:dyDescent="0.25">
      <c r="A34" s="44"/>
      <c r="B34" s="45"/>
      <c r="C34" s="29"/>
      <c r="D34" s="29"/>
      <c r="E34" s="29"/>
      <c r="F34" s="37" t="s">
        <v>180</v>
      </c>
      <c r="G34" s="29"/>
      <c r="H34" s="29"/>
      <c r="I34" s="30"/>
      <c r="J34" s="30"/>
      <c r="K34" s="30"/>
      <c r="L34" s="30"/>
      <c r="M34" s="30"/>
      <c r="N34" s="30"/>
      <c r="O34" s="19"/>
    </row>
    <row r="35" spans="1:15" ht="15.75" x14ac:dyDescent="0.25">
      <c r="A35" s="864" t="s">
        <v>181</v>
      </c>
      <c r="B35" s="864"/>
      <c r="C35" s="29"/>
      <c r="D35" s="29"/>
      <c r="E35" s="29"/>
      <c r="F35" s="46"/>
      <c r="G35" s="29"/>
      <c r="H35" s="29"/>
      <c r="I35" s="30"/>
      <c r="J35" s="30"/>
      <c r="K35" s="30"/>
      <c r="L35" s="30"/>
      <c r="M35" s="30"/>
      <c r="N35" s="30"/>
      <c r="O35" s="19"/>
    </row>
    <row r="36" spans="1:15" ht="15.75" x14ac:dyDescent="0.25">
      <c r="A36" s="31" t="s">
        <v>182</v>
      </c>
      <c r="B36" s="47" t="s">
        <v>147</v>
      </c>
      <c r="C36" s="29"/>
      <c r="D36" s="29"/>
      <c r="E36" s="29"/>
      <c r="F36" s="46"/>
      <c r="G36" s="29"/>
      <c r="H36" s="29"/>
      <c r="I36" s="30"/>
      <c r="J36" s="30"/>
      <c r="K36" s="30"/>
      <c r="L36" s="30"/>
      <c r="M36" s="30"/>
      <c r="N36" s="30"/>
      <c r="O36" s="19"/>
    </row>
    <row r="37" spans="1:15" ht="15.75" x14ac:dyDescent="0.25">
      <c r="A37" s="31" t="s">
        <v>101</v>
      </c>
      <c r="B37" s="47" t="s">
        <v>775</v>
      </c>
      <c r="C37" s="29"/>
      <c r="D37" s="29"/>
      <c r="E37" s="29"/>
      <c r="F37" s="29"/>
      <c r="G37" s="29"/>
      <c r="H37" s="29"/>
      <c r="I37" s="30"/>
      <c r="J37" s="30"/>
      <c r="K37" s="30"/>
      <c r="L37" s="30"/>
      <c r="M37" s="30"/>
      <c r="N37" s="30"/>
      <c r="O37" s="19"/>
    </row>
    <row r="38" spans="1:15" ht="15.75" x14ac:dyDescent="0.25">
      <c r="A38" s="31" t="s">
        <v>183</v>
      </c>
      <c r="B38" s="47" t="s">
        <v>776</v>
      </c>
      <c r="C38" s="29"/>
      <c r="D38" s="29"/>
      <c r="E38" s="29"/>
      <c r="F38" s="29"/>
      <c r="G38" s="29"/>
      <c r="H38" s="29"/>
      <c r="I38" s="30"/>
      <c r="J38" s="30"/>
      <c r="K38" s="30"/>
      <c r="L38" s="30"/>
      <c r="M38" s="30"/>
      <c r="N38" s="30"/>
      <c r="O38" s="19"/>
    </row>
    <row r="39" spans="1:15" ht="15.75" x14ac:dyDescent="0.25">
      <c r="A39" s="44"/>
      <c r="B39" s="45"/>
      <c r="C39" s="48"/>
      <c r="D39" s="48"/>
      <c r="E39" s="48"/>
      <c r="F39" s="48"/>
      <c r="G39" s="48"/>
      <c r="H39" s="48"/>
      <c r="I39" s="49"/>
      <c r="J39" s="49"/>
      <c r="K39" s="49"/>
      <c r="L39" s="49"/>
      <c r="M39" s="49"/>
      <c r="N39" s="49"/>
      <c r="O39" s="19"/>
    </row>
    <row r="40" spans="1:15" ht="15.75" x14ac:dyDescent="0.25">
      <c r="A40" s="864" t="s">
        <v>184</v>
      </c>
      <c r="B40" s="864"/>
      <c r="C40" s="29"/>
      <c r="D40" s="29"/>
      <c r="E40" s="29"/>
      <c r="F40" s="29"/>
      <c r="G40" s="29"/>
      <c r="H40" s="29"/>
      <c r="I40" s="30"/>
      <c r="J40" s="30"/>
      <c r="K40" s="30"/>
      <c r="L40" s="30"/>
      <c r="M40" s="30"/>
      <c r="N40" s="30"/>
      <c r="O40" s="19"/>
    </row>
    <row r="41" spans="1:15" ht="15.75" x14ac:dyDescent="0.25">
      <c r="A41" s="876" t="s">
        <v>162</v>
      </c>
      <c r="B41" s="876"/>
      <c r="C41" s="29"/>
      <c r="D41" s="29"/>
      <c r="E41" s="29"/>
      <c r="F41" s="29"/>
      <c r="G41" s="29"/>
      <c r="H41" s="29"/>
      <c r="I41" s="30"/>
      <c r="J41" s="30"/>
      <c r="K41" s="30"/>
      <c r="L41" s="30"/>
      <c r="M41" s="30"/>
      <c r="N41" s="30"/>
      <c r="O41" s="19"/>
    </row>
    <row r="42" spans="1:15" ht="15.75" x14ac:dyDescent="0.25">
      <c r="A42" s="864" t="s">
        <v>185</v>
      </c>
      <c r="B42" s="864"/>
      <c r="C42" s="29"/>
      <c r="D42" s="29"/>
      <c r="E42" s="29"/>
      <c r="F42" s="29"/>
      <c r="G42" s="29"/>
      <c r="H42" s="29"/>
      <c r="I42" s="30"/>
      <c r="J42" s="30"/>
      <c r="K42" s="30"/>
      <c r="L42" s="30"/>
      <c r="M42" s="30"/>
      <c r="N42" s="30"/>
      <c r="O42" s="19"/>
    </row>
    <row r="43" spans="1:15" ht="15.75" x14ac:dyDescent="0.25">
      <c r="A43" s="877" t="s">
        <v>169</v>
      </c>
      <c r="B43" s="877"/>
      <c r="C43" s="29"/>
      <c r="D43" s="29"/>
      <c r="E43" s="29"/>
      <c r="F43" s="29"/>
      <c r="G43" s="29"/>
      <c r="H43" s="29"/>
      <c r="I43" s="30"/>
      <c r="J43" s="30"/>
      <c r="K43" s="30"/>
      <c r="L43" s="30"/>
      <c r="M43" s="30"/>
      <c r="N43" s="30"/>
      <c r="O43" s="19"/>
    </row>
    <row r="44" spans="1:15" ht="15.75" x14ac:dyDescent="0.25">
      <c r="A44" s="50"/>
      <c r="B44" s="33"/>
      <c r="C44" s="29"/>
      <c r="D44" s="29"/>
      <c r="E44" s="29"/>
      <c r="F44" s="29"/>
      <c r="G44" s="29"/>
      <c r="H44" s="29"/>
      <c r="I44" s="30"/>
      <c r="J44" s="30"/>
      <c r="K44" s="30"/>
      <c r="L44" s="30"/>
      <c r="M44" s="30"/>
      <c r="N44" s="30"/>
      <c r="O44" s="19"/>
    </row>
    <row r="45" spans="1:15" ht="15.75" x14ac:dyDescent="0.25">
      <c r="A45" s="864" t="s">
        <v>186</v>
      </c>
      <c r="B45" s="864"/>
      <c r="C45" s="29"/>
      <c r="D45" s="29"/>
      <c r="E45" s="29"/>
      <c r="F45" s="29"/>
      <c r="G45" s="29"/>
      <c r="H45" s="29"/>
      <c r="I45" s="30"/>
      <c r="J45" s="30"/>
      <c r="K45" s="30"/>
      <c r="L45" s="30"/>
      <c r="M45" s="30"/>
      <c r="N45" s="30"/>
      <c r="O45" s="19"/>
    </row>
    <row r="46" spans="1:15" ht="15.75" customHeight="1" x14ac:dyDescent="0.25">
      <c r="A46" s="874" t="s">
        <v>187</v>
      </c>
      <c r="B46" s="875"/>
      <c r="C46" s="19" t="b">
        <v>0</v>
      </c>
      <c r="D46" s="19" t="b">
        <v>1</v>
      </c>
      <c r="E46" s="51" t="str">
        <f t="shared" ref="E46:E55" si="0">IF(C46=D46,_xlfn.CONCAT(A46," "),"")</f>
        <v/>
      </c>
      <c r="F46" s="29"/>
      <c r="G46" s="29"/>
      <c r="H46" s="29"/>
      <c r="I46" s="30"/>
      <c r="J46" s="30"/>
      <c r="K46" s="30"/>
      <c r="L46" s="30"/>
      <c r="M46" s="30"/>
      <c r="N46" s="30"/>
      <c r="O46" s="19"/>
    </row>
    <row r="47" spans="1:15" ht="15.75" customHeight="1" x14ac:dyDescent="0.25">
      <c r="A47" s="874" t="s">
        <v>188</v>
      </c>
      <c r="B47" s="875"/>
      <c r="C47" s="19" t="b">
        <v>0</v>
      </c>
      <c r="D47" s="19" t="b">
        <v>1</v>
      </c>
      <c r="E47" s="51" t="str">
        <f t="shared" si="0"/>
        <v/>
      </c>
      <c r="F47" s="29"/>
      <c r="G47" s="29"/>
      <c r="H47" s="29"/>
      <c r="I47" s="30"/>
      <c r="J47" s="30"/>
      <c r="K47" s="30"/>
      <c r="L47" s="30"/>
      <c r="M47" s="30"/>
      <c r="N47" s="30"/>
      <c r="O47" s="19"/>
    </row>
    <row r="48" spans="1:15" ht="15.75" customHeight="1" x14ac:dyDescent="0.25">
      <c r="A48" s="874" t="s">
        <v>189</v>
      </c>
      <c r="B48" s="875"/>
      <c r="C48" s="19" t="b">
        <v>0</v>
      </c>
      <c r="D48" s="19" t="b">
        <v>1</v>
      </c>
      <c r="E48" s="51" t="str">
        <f t="shared" si="0"/>
        <v/>
      </c>
      <c r="F48" s="29"/>
      <c r="G48" s="29"/>
      <c r="H48" s="29"/>
      <c r="I48" s="30"/>
      <c r="J48" s="30"/>
      <c r="K48" s="30"/>
      <c r="L48" s="30"/>
      <c r="M48" s="30"/>
      <c r="N48" s="30"/>
      <c r="O48" s="19"/>
    </row>
    <row r="49" spans="1:20" ht="15.75" customHeight="1" x14ac:dyDescent="0.25">
      <c r="A49" s="874" t="s">
        <v>598</v>
      </c>
      <c r="B49" s="875"/>
      <c r="C49" s="19" t="b">
        <v>1</v>
      </c>
      <c r="D49" s="19" t="b">
        <v>1</v>
      </c>
      <c r="E49" s="51" t="str">
        <f t="shared" si="0"/>
        <v xml:space="preserve"> Messrs. Cimbessul Terminal Portuario S/A, </v>
      </c>
      <c r="F49" s="29"/>
      <c r="G49" s="29"/>
      <c r="H49" s="29"/>
      <c r="I49" s="30"/>
      <c r="J49" s="30"/>
      <c r="K49" s="30"/>
      <c r="L49" s="30"/>
      <c r="M49" s="30"/>
      <c r="N49" s="30"/>
      <c r="O49" s="19"/>
    </row>
    <row r="50" spans="1:20" ht="15.75" customHeight="1" x14ac:dyDescent="0.25">
      <c r="A50" s="878" t="s">
        <v>374</v>
      </c>
      <c r="B50" s="879"/>
      <c r="C50" s="19" t="b">
        <v>0</v>
      </c>
      <c r="D50" s="19" t="b">
        <v>1</v>
      </c>
      <c r="E50" s="51" t="str">
        <f t="shared" si="0"/>
        <v/>
      </c>
      <c r="F50" s="29"/>
      <c r="G50" s="29"/>
      <c r="H50" s="29"/>
      <c r="I50" s="30"/>
      <c r="J50" s="30"/>
      <c r="K50" s="30"/>
      <c r="L50" s="30"/>
      <c r="M50" s="30"/>
      <c r="N50" s="30"/>
      <c r="O50" s="19"/>
    </row>
    <row r="51" spans="1:20" ht="15.75" customHeight="1" x14ac:dyDescent="0.25">
      <c r="A51" s="878" t="s">
        <v>375</v>
      </c>
      <c r="B51" s="879"/>
      <c r="C51" s="19" t="b">
        <v>1</v>
      </c>
      <c r="D51" s="19" t="b">
        <v>1</v>
      </c>
      <c r="E51" s="51"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78" t="s">
        <v>376</v>
      </c>
      <c r="B52" s="879"/>
      <c r="C52" s="19" t="b">
        <v>1</v>
      </c>
      <c r="D52" s="19" t="b">
        <v>1</v>
      </c>
      <c r="E52" s="51" t="str">
        <f t="shared" si="0"/>
        <v xml:space="preserve">Messrs. Interalli Administração e Participações S.A., </v>
      </c>
      <c r="F52" s="29"/>
      <c r="G52" s="29"/>
      <c r="H52" s="29"/>
      <c r="I52" s="30"/>
      <c r="J52" s="30"/>
      <c r="K52" s="30"/>
      <c r="L52" s="30"/>
      <c r="M52" s="30"/>
      <c r="N52" s="30"/>
      <c r="O52" s="19"/>
    </row>
    <row r="53" spans="1:20" ht="15.75" customHeight="1" x14ac:dyDescent="0.25">
      <c r="A53" s="878" t="s">
        <v>190</v>
      </c>
      <c r="B53" s="879"/>
      <c r="C53" s="19" t="b">
        <v>0</v>
      </c>
      <c r="D53" s="19" t="b">
        <v>1</v>
      </c>
      <c r="E53" s="51" t="str">
        <f t="shared" si="0"/>
        <v/>
      </c>
      <c r="F53" s="19"/>
      <c r="G53" s="19"/>
      <c r="H53" s="19"/>
      <c r="I53" s="19"/>
      <c r="J53" s="19"/>
      <c r="K53" s="19"/>
      <c r="L53" s="433" t="s">
        <v>571</v>
      </c>
      <c r="M53" s="434"/>
      <c r="N53" s="434"/>
      <c r="O53" s="434"/>
      <c r="P53" s="434"/>
      <c r="Q53" s="434"/>
      <c r="R53" s="434"/>
      <c r="S53" s="434"/>
      <c r="T53" s="432"/>
    </row>
    <row r="54" spans="1:20" ht="15.75" customHeight="1" x14ac:dyDescent="0.25">
      <c r="A54" s="874" t="s">
        <v>599</v>
      </c>
      <c r="B54" s="875"/>
      <c r="C54" s="19" t="b">
        <v>1</v>
      </c>
      <c r="D54" s="19" t="b">
        <v>1</v>
      </c>
      <c r="E54" s="51"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67" t="s">
        <v>754</v>
      </c>
      <c r="B55" s="868"/>
      <c r="C55" s="19" t="b">
        <v>0</v>
      </c>
      <c r="D55" s="19" t="b">
        <v>1</v>
      </c>
      <c r="E55" s="51" t="str">
        <f t="shared" si="0"/>
        <v/>
      </c>
      <c r="F55" s="19"/>
      <c r="G55" s="19"/>
      <c r="H55" s="19"/>
      <c r="I55" s="19"/>
      <c r="J55" s="19"/>
      <c r="K55" s="19"/>
      <c r="L55" s="433" t="s">
        <v>571</v>
      </c>
      <c r="M55" s="434"/>
      <c r="N55" s="434"/>
      <c r="O55" s="434"/>
      <c r="P55" s="434"/>
      <c r="Q55" s="434"/>
      <c r="R55" s="434"/>
      <c r="S55" s="434"/>
      <c r="T55" s="432"/>
    </row>
    <row r="56" spans="1:20" x14ac:dyDescent="0.2">
      <c r="A56" s="19"/>
      <c r="B56" s="19"/>
      <c r="C56" s="19"/>
      <c r="D56" s="19"/>
      <c r="E56" s="19"/>
      <c r="F56" s="19"/>
      <c r="G56" s="19"/>
      <c r="H56" s="19"/>
      <c r="I56" s="19"/>
      <c r="J56" s="19"/>
      <c r="K56" s="19"/>
      <c r="L56" s="19"/>
      <c r="M56" s="19"/>
      <c r="N56" s="19"/>
      <c r="O56" s="19"/>
    </row>
    <row r="57" spans="1:20" ht="15.75" x14ac:dyDescent="0.25">
      <c r="A57" s="864" t="s">
        <v>191</v>
      </c>
      <c r="B57" s="864"/>
      <c r="C57" s="19"/>
      <c r="D57" s="19"/>
      <c r="E57" s="19"/>
      <c r="F57" s="19"/>
      <c r="G57" s="19"/>
      <c r="H57" s="19"/>
      <c r="I57" s="19"/>
      <c r="J57" s="19"/>
      <c r="K57" s="19"/>
      <c r="L57" s="19"/>
      <c r="M57" s="19"/>
      <c r="N57" s="19"/>
      <c r="O57" s="19"/>
    </row>
    <row r="58" spans="1:20" ht="15.75" customHeight="1" x14ac:dyDescent="0.2">
      <c r="A58" s="411" t="s">
        <v>192</v>
      </c>
      <c r="B58" s="411" t="s">
        <v>193</v>
      </c>
      <c r="C58" s="19" t="b">
        <v>0</v>
      </c>
      <c r="D58" s="19" t="b">
        <v>1</v>
      </c>
      <c r="E58" s="51" t="str">
        <f t="shared" ref="E58:E64" si="1">IF(C58=D58,_xlfn.CONCAT(A58,", "),"")</f>
        <v/>
      </c>
      <c r="F58" s="19"/>
      <c r="G58" s="19"/>
      <c r="H58" s="19"/>
      <c r="I58" s="19"/>
      <c r="J58" s="19"/>
      <c r="K58" s="19"/>
      <c r="L58" s="19"/>
      <c r="M58" s="19"/>
      <c r="N58" s="19"/>
      <c r="O58" s="19"/>
    </row>
    <row r="59" spans="1:20" ht="15.75" customHeight="1" x14ac:dyDescent="0.2">
      <c r="A59" s="411" t="s">
        <v>194</v>
      </c>
      <c r="B59" s="411" t="s">
        <v>195</v>
      </c>
      <c r="C59" s="19" t="b">
        <v>0</v>
      </c>
      <c r="D59" s="19" t="b">
        <v>1</v>
      </c>
      <c r="E59" s="51" t="str">
        <f t="shared" si="1"/>
        <v/>
      </c>
      <c r="F59" s="19"/>
      <c r="G59" s="19"/>
      <c r="H59" s="19"/>
      <c r="I59" s="19"/>
      <c r="J59" s="19"/>
      <c r="K59" s="19"/>
      <c r="L59" s="19"/>
      <c r="M59" s="19"/>
      <c r="N59" s="19"/>
      <c r="O59" s="19"/>
    </row>
    <row r="60" spans="1:20" ht="15.75" customHeight="1" x14ac:dyDescent="0.2">
      <c r="A60" s="411" t="s">
        <v>196</v>
      </c>
      <c r="B60" s="411" t="s">
        <v>777</v>
      </c>
      <c r="C60" s="19" t="b">
        <v>1</v>
      </c>
      <c r="D60" s="19" t="b">
        <v>1</v>
      </c>
      <c r="E60" s="51" t="str">
        <f t="shared" si="1"/>
        <v xml:space="preserve">CB, </v>
      </c>
      <c r="F60" s="19"/>
      <c r="G60" s="19"/>
      <c r="H60" s="19"/>
      <c r="I60" s="19"/>
      <c r="J60" s="19"/>
      <c r="K60" s="19"/>
      <c r="L60" s="19"/>
      <c r="M60" s="19"/>
      <c r="N60" s="19"/>
      <c r="O60" s="19"/>
    </row>
    <row r="61" spans="1:20" ht="15.75" customHeight="1" x14ac:dyDescent="0.2">
      <c r="A61" s="411" t="s">
        <v>197</v>
      </c>
      <c r="B61" s="411" t="s">
        <v>198</v>
      </c>
      <c r="C61" s="19" t="b">
        <v>0</v>
      </c>
      <c r="D61" s="19" t="b">
        <v>1</v>
      </c>
      <c r="E61" s="51" t="str">
        <f t="shared" si="1"/>
        <v/>
      </c>
      <c r="F61" s="19"/>
      <c r="G61" s="19"/>
      <c r="H61" s="19"/>
      <c r="I61" s="19"/>
      <c r="J61" s="19"/>
      <c r="K61" s="19"/>
      <c r="L61" s="19"/>
      <c r="M61" s="19"/>
      <c r="N61" s="19"/>
      <c r="O61" s="19"/>
    </row>
    <row r="62" spans="1:20" ht="15.75" customHeight="1" x14ac:dyDescent="0.25">
      <c r="A62" s="411" t="s">
        <v>199</v>
      </c>
      <c r="B62" s="411" t="s">
        <v>753</v>
      </c>
      <c r="C62" s="19" t="b">
        <v>0</v>
      </c>
      <c r="D62" s="19" t="b">
        <v>1</v>
      </c>
      <c r="E62" s="51" t="str">
        <f t="shared" si="1"/>
        <v/>
      </c>
      <c r="F62" s="19"/>
      <c r="G62" s="19"/>
      <c r="H62" s="19"/>
      <c r="I62" s="19"/>
      <c r="J62" s="19"/>
      <c r="K62" s="19"/>
      <c r="L62" s="433" t="s">
        <v>572</v>
      </c>
      <c r="M62" s="435"/>
      <c r="N62" s="435"/>
      <c r="O62" s="435"/>
      <c r="P62" s="432"/>
      <c r="Q62" s="432"/>
      <c r="R62" s="432"/>
      <c r="S62" s="432"/>
      <c r="T62" s="432"/>
    </row>
    <row r="63" spans="1:20" ht="15.75" customHeight="1" x14ac:dyDescent="0.25">
      <c r="A63" s="411" t="s">
        <v>200</v>
      </c>
      <c r="B63" s="411" t="s">
        <v>201</v>
      </c>
      <c r="C63" s="19" t="b">
        <v>1</v>
      </c>
      <c r="D63" s="19" t="b">
        <v>1</v>
      </c>
      <c r="E63" s="51" t="str">
        <f t="shared" si="1"/>
        <v xml:space="preserve">CT, </v>
      </c>
      <c r="F63" s="19"/>
      <c r="G63" s="19"/>
      <c r="H63" s="19"/>
      <c r="I63" s="19"/>
      <c r="J63" s="19"/>
      <c r="K63" s="19"/>
      <c r="L63" s="433" t="s">
        <v>572</v>
      </c>
      <c r="M63" s="435"/>
      <c r="N63" s="435"/>
      <c r="O63" s="435"/>
      <c r="P63" s="432"/>
      <c r="Q63" s="432"/>
      <c r="R63" s="432"/>
      <c r="S63" s="432"/>
      <c r="T63" s="432"/>
    </row>
    <row r="64" spans="1:20" ht="15.75" customHeight="1" x14ac:dyDescent="0.25">
      <c r="A64" s="411" t="s">
        <v>202</v>
      </c>
      <c r="B64" s="411" t="s">
        <v>203</v>
      </c>
      <c r="C64" s="19" t="b">
        <v>1</v>
      </c>
      <c r="D64" s="19" t="b">
        <v>1</v>
      </c>
      <c r="E64" s="51" t="str">
        <f t="shared" si="1"/>
        <v xml:space="preserve">IT, </v>
      </c>
      <c r="F64" s="19"/>
      <c r="G64" s="19"/>
      <c r="H64" s="19"/>
      <c r="I64" s="19"/>
      <c r="J64" s="19"/>
      <c r="K64" s="19"/>
      <c r="L64" s="433" t="s">
        <v>572</v>
      </c>
      <c r="M64" s="435"/>
      <c r="N64" s="435"/>
      <c r="O64" s="435"/>
      <c r="P64" s="432"/>
      <c r="Q64" s="432"/>
      <c r="R64" s="432"/>
      <c r="S64" s="432"/>
      <c r="T64" s="432"/>
    </row>
    <row r="65" spans="1:54" x14ac:dyDescent="0.2">
      <c r="A65" s="19"/>
      <c r="B65" s="19"/>
      <c r="C65" s="19" t="b">
        <v>0</v>
      </c>
      <c r="D65" s="19" t="b">
        <v>1</v>
      </c>
      <c r="E65" s="51" t="str">
        <f t="shared" ref="E65:E71" si="2">IF(C65=D65,_xlfn.CONCAT(B58,", "),"")</f>
        <v/>
      </c>
      <c r="F65" s="19"/>
      <c r="G65" s="19"/>
      <c r="H65" s="19"/>
      <c r="I65" s="19"/>
      <c r="J65" s="19"/>
      <c r="K65" s="19"/>
      <c r="L65" s="19"/>
      <c r="M65" s="19"/>
      <c r="N65" s="19"/>
      <c r="O65" s="19"/>
    </row>
    <row r="66" spans="1:54" ht="15.75" x14ac:dyDescent="0.25">
      <c r="A66" s="864" t="s">
        <v>204</v>
      </c>
      <c r="B66" s="864"/>
      <c r="C66" s="19" t="b">
        <v>1</v>
      </c>
      <c r="D66" s="19" t="b">
        <v>1</v>
      </c>
      <c r="E66" s="51" t="str">
        <f t="shared" si="2"/>
        <v xml:space="preserve">RO, </v>
      </c>
      <c r="F66" s="19"/>
      <c r="G66" s="19"/>
      <c r="H66" s="19"/>
      <c r="I66" s="19"/>
      <c r="J66" s="19"/>
      <c r="K66" s="19"/>
      <c r="L66" s="19"/>
      <c r="M66" s="19"/>
      <c r="N66" s="19"/>
      <c r="O66" s="19"/>
    </row>
    <row r="67" spans="1:54" ht="15" x14ac:dyDescent="0.25">
      <c r="A67" s="52" t="s">
        <v>205</v>
      </c>
      <c r="B67" s="53" t="s">
        <v>799</v>
      </c>
      <c r="C67" s="19" t="b">
        <v>1</v>
      </c>
      <c r="D67" s="19" t="b">
        <v>1</v>
      </c>
      <c r="E67" s="51" t="str">
        <f t="shared" si="2"/>
        <v xml:space="preserve">BTG H, </v>
      </c>
      <c r="F67" s="19"/>
      <c r="G67" s="19"/>
      <c r="H67" s="19"/>
      <c r="I67" s="19"/>
      <c r="J67" s="19"/>
      <c r="K67" s="19"/>
      <c r="L67" s="19"/>
      <c r="M67" s="19"/>
      <c r="N67" s="19"/>
      <c r="O67" s="19"/>
    </row>
    <row r="68" spans="1:54" ht="15" x14ac:dyDescent="0.25">
      <c r="A68" s="52" t="s">
        <v>206</v>
      </c>
      <c r="B68" s="53" t="s">
        <v>764</v>
      </c>
      <c r="C68" s="19" t="b">
        <v>0</v>
      </c>
      <c r="D68" s="19" t="b">
        <v>1</v>
      </c>
      <c r="E68" s="51" t="str">
        <f t="shared" si="2"/>
        <v/>
      </c>
      <c r="F68" s="19"/>
      <c r="G68" s="19"/>
      <c r="H68" s="19"/>
      <c r="I68" s="19"/>
      <c r="J68" s="19"/>
      <c r="K68" s="19"/>
      <c r="L68" s="19"/>
      <c r="M68" s="19"/>
      <c r="N68" s="19"/>
      <c r="O68" s="19"/>
    </row>
    <row r="69" spans="1:54" ht="15" x14ac:dyDescent="0.25">
      <c r="A69" s="52" t="s">
        <v>207</v>
      </c>
      <c r="B69" s="54" t="s">
        <v>765</v>
      </c>
      <c r="C69" s="19" t="b">
        <v>0</v>
      </c>
      <c r="D69" s="19" t="b">
        <v>1</v>
      </c>
      <c r="E69" s="51" t="str">
        <f t="shared" si="2"/>
        <v/>
      </c>
      <c r="F69" s="19"/>
      <c r="G69" s="19"/>
      <c r="H69" s="19"/>
      <c r="I69" s="19"/>
      <c r="J69" s="19"/>
      <c r="K69" s="19"/>
      <c r="L69" s="19"/>
      <c r="M69" s="19"/>
      <c r="N69" s="19"/>
      <c r="O69" s="19"/>
    </row>
    <row r="70" spans="1:54" ht="15" x14ac:dyDescent="0.25">
      <c r="A70" s="52" t="s">
        <v>208</v>
      </c>
      <c r="B70" s="54" t="s">
        <v>766</v>
      </c>
      <c r="C70" s="19" t="b">
        <v>0</v>
      </c>
      <c r="D70" s="19" t="b">
        <v>1</v>
      </c>
      <c r="E70" s="51" t="str">
        <f t="shared" si="2"/>
        <v/>
      </c>
      <c r="F70" s="19"/>
      <c r="G70" s="19"/>
      <c r="H70" s="19"/>
      <c r="I70" s="19"/>
      <c r="J70" s="19"/>
      <c r="K70" s="19"/>
      <c r="L70" s="19"/>
      <c r="M70" s="19"/>
      <c r="N70" s="19"/>
      <c r="O70" s="19"/>
    </row>
    <row r="71" spans="1:54" ht="15" x14ac:dyDescent="0.25">
      <c r="A71" s="52" t="s">
        <v>206</v>
      </c>
      <c r="B71" s="53" t="s">
        <v>767</v>
      </c>
      <c r="C71" s="19" t="b">
        <v>0</v>
      </c>
      <c r="D71" s="19" t="b">
        <v>1</v>
      </c>
      <c r="E71" s="51" t="str">
        <f t="shared" si="2"/>
        <v/>
      </c>
      <c r="F71" s="19"/>
      <c r="G71" s="19"/>
      <c r="H71" s="19"/>
      <c r="I71" s="19"/>
      <c r="J71" s="19"/>
      <c r="K71" s="19"/>
      <c r="L71" s="19"/>
      <c r="M71" s="19"/>
      <c r="N71" s="19"/>
      <c r="O71" s="19"/>
    </row>
    <row r="72" spans="1:54" ht="15.75" x14ac:dyDescent="0.25">
      <c r="A72" s="864" t="s">
        <v>209</v>
      </c>
      <c r="B72" s="864"/>
      <c r="C72" s="19"/>
      <c r="D72" s="19"/>
      <c r="E72" s="19"/>
      <c r="F72" s="19"/>
      <c r="G72" s="19"/>
      <c r="H72" s="19"/>
      <c r="I72" s="19"/>
      <c r="J72" s="19"/>
      <c r="K72" s="19"/>
      <c r="L72" s="19"/>
      <c r="M72" s="19"/>
      <c r="N72" s="19"/>
      <c r="O72" s="19"/>
    </row>
    <row r="73" spans="1:54" ht="15" x14ac:dyDescent="0.25">
      <c r="A73" s="52" t="s">
        <v>206</v>
      </c>
      <c r="B73" s="53" t="s">
        <v>762</v>
      </c>
      <c r="C73" s="19"/>
      <c r="D73" s="19"/>
      <c r="E73" s="19"/>
      <c r="F73" s="19"/>
      <c r="G73" s="19"/>
      <c r="H73" s="19"/>
      <c r="I73" s="19"/>
      <c r="J73" s="19"/>
      <c r="K73" s="19"/>
      <c r="L73" s="19"/>
      <c r="M73" s="19"/>
      <c r="N73" s="19"/>
      <c r="O73" s="19"/>
    </row>
    <row r="74" spans="1:54" ht="15" x14ac:dyDescent="0.25">
      <c r="A74" s="52" t="s">
        <v>207</v>
      </c>
      <c r="B74" s="54" t="s">
        <v>763</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69" t="s">
        <v>210</v>
      </c>
      <c r="B76" s="869"/>
      <c r="C76" s="869"/>
      <c r="D76" s="869"/>
      <c r="E76" s="869"/>
      <c r="F76" s="869"/>
      <c r="G76" s="869"/>
      <c r="H76" s="869"/>
      <c r="I76" s="869"/>
      <c r="J76" s="869"/>
      <c r="K76" s="869"/>
      <c r="L76" s="869"/>
      <c r="M76" s="869"/>
      <c r="N76" s="869"/>
      <c r="O76" s="869"/>
      <c r="P76" s="55"/>
      <c r="Q76" s="55"/>
      <c r="R76" s="55"/>
      <c r="S76" s="55"/>
      <c r="T76" s="55"/>
      <c r="U76" s="55"/>
      <c r="V76" s="55"/>
      <c r="W76" s="55"/>
      <c r="X76" s="55"/>
      <c r="Y76" s="55"/>
      <c r="Z76" s="55"/>
      <c r="AA76" s="55"/>
      <c r="AB76" s="55"/>
      <c r="AC76" s="55"/>
      <c r="AD76" s="55"/>
      <c r="AE76" s="55"/>
      <c r="AF76" s="55"/>
      <c r="AG76" s="55"/>
      <c r="AH76" s="55"/>
      <c r="AI76" s="55"/>
      <c r="AJ76" s="55"/>
      <c r="AK76" s="55"/>
      <c r="AL76" s="55"/>
      <c r="AM76" s="55"/>
      <c r="AN76" s="55"/>
      <c r="AO76" s="55"/>
      <c r="AP76" s="55"/>
      <c r="AQ76" s="55"/>
      <c r="AR76" s="55"/>
      <c r="AS76" s="55"/>
      <c r="AT76" s="55"/>
      <c r="AU76" s="55"/>
      <c r="AV76" s="55"/>
      <c r="AW76" s="55"/>
      <c r="AX76" s="55"/>
      <c r="AY76" s="55"/>
      <c r="AZ76" s="55"/>
      <c r="BA76" s="55"/>
      <c r="BB76" s="55"/>
    </row>
    <row r="77" spans="1:54" ht="15.75" x14ac:dyDescent="0.25">
      <c r="A77" s="870"/>
      <c r="B77" s="871"/>
      <c r="C77" s="56"/>
      <c r="D77" s="56"/>
      <c r="E77" s="56"/>
      <c r="F77" s="56"/>
      <c r="G77" s="56"/>
      <c r="H77" s="56"/>
      <c r="I77" s="56"/>
      <c r="J77" s="56"/>
      <c r="K77" s="56"/>
      <c r="L77" s="57" t="s">
        <v>82</v>
      </c>
      <c r="M77" s="58" t="s">
        <v>83</v>
      </c>
      <c r="N77" s="57" t="s">
        <v>84</v>
      </c>
      <c r="O77" s="57" t="s">
        <v>85</v>
      </c>
      <c r="Q77" s="59"/>
      <c r="R77" s="59"/>
      <c r="S77" s="59"/>
      <c r="T77" s="59"/>
      <c r="U77" s="59"/>
      <c r="V77" s="59"/>
      <c r="W77" s="60"/>
      <c r="X77" s="60"/>
      <c r="Y77" s="60"/>
      <c r="AA77" s="61"/>
      <c r="AB77" s="61"/>
      <c r="AC77" s="61"/>
      <c r="AD77" s="61"/>
      <c r="AE77" s="61"/>
      <c r="AF77" s="61"/>
      <c r="AG77" s="59"/>
      <c r="AH77" s="59"/>
      <c r="AJ77" s="59"/>
      <c r="AK77" s="59"/>
      <c r="AL77" s="59"/>
      <c r="AM77" s="59"/>
      <c r="AN77" s="59"/>
      <c r="AO77" s="59"/>
      <c r="AP77" s="59"/>
      <c r="AQ77" s="59"/>
      <c r="AR77" s="55"/>
      <c r="AS77" s="55"/>
      <c r="AU77" s="59"/>
      <c r="AV77" s="59"/>
      <c r="AW77" s="59"/>
      <c r="AX77" s="59"/>
      <c r="AY77" s="59"/>
      <c r="AZ77" s="59"/>
      <c r="BA77" s="59"/>
      <c r="BB77" s="55"/>
    </row>
    <row r="78" spans="1:54" ht="15.75" x14ac:dyDescent="0.25">
      <c r="A78" s="872" t="s">
        <v>86</v>
      </c>
      <c r="B78" s="873"/>
      <c r="C78" s="56"/>
      <c r="D78" s="56"/>
      <c r="E78" s="56"/>
      <c r="F78" s="56"/>
      <c r="G78" s="56"/>
      <c r="H78" s="56"/>
      <c r="I78" s="56"/>
      <c r="J78" s="56"/>
      <c r="K78" s="56"/>
      <c r="L78" s="62">
        <v>4.8010000000000002</v>
      </c>
      <c r="M78" s="62">
        <v>14.837999999999999</v>
      </c>
      <c r="N78" s="63">
        <f>$O$78+Draft!$H$75</f>
        <v>90773.6</v>
      </c>
      <c r="O78" s="63">
        <v>77054.600000000006</v>
      </c>
      <c r="Q78" s="64"/>
      <c r="R78" s="64"/>
      <c r="S78" s="64"/>
      <c r="T78" s="64"/>
      <c r="U78" s="64"/>
      <c r="V78" s="64"/>
      <c r="W78" s="65"/>
      <c r="X78" s="65"/>
      <c r="Y78" s="65"/>
      <c r="AA78" s="64"/>
      <c r="AB78" s="64"/>
      <c r="AC78" s="64"/>
      <c r="AD78" s="64"/>
      <c r="AE78" s="64"/>
      <c r="AF78" s="66"/>
      <c r="AG78" s="67"/>
      <c r="AH78" s="67"/>
      <c r="AJ78" s="67"/>
      <c r="AK78" s="67"/>
      <c r="AL78" s="67"/>
      <c r="AM78" s="67"/>
      <c r="AN78" s="67"/>
      <c r="AO78" s="67"/>
      <c r="AP78" s="67"/>
      <c r="AQ78" s="68"/>
      <c r="AR78" s="68"/>
      <c r="AS78" s="68"/>
      <c r="AU78" s="67"/>
      <c r="AV78" s="67"/>
      <c r="AW78" s="67"/>
      <c r="AX78" s="67"/>
      <c r="AY78" s="67"/>
      <c r="AZ78" s="67"/>
      <c r="BA78" s="67"/>
      <c r="BB78" s="69"/>
    </row>
    <row r="79" spans="1:54" ht="15.75" x14ac:dyDescent="0.25">
      <c r="A79" s="872" t="s">
        <v>87</v>
      </c>
      <c r="B79" s="873"/>
      <c r="C79" s="56"/>
      <c r="D79" s="56"/>
      <c r="E79" s="56"/>
      <c r="F79" s="56"/>
      <c r="G79" s="56"/>
      <c r="H79" s="56"/>
      <c r="I79" s="56"/>
      <c r="J79" s="56"/>
      <c r="K79" s="56"/>
      <c r="L79" s="62">
        <v>5.0970000000000004</v>
      </c>
      <c r="M79" s="62">
        <v>14.542</v>
      </c>
      <c r="N79" s="63">
        <f>$O$79+Draft!$H$75</f>
        <v>88792.3</v>
      </c>
      <c r="O79" s="63">
        <v>75073.3</v>
      </c>
      <c r="Q79" s="64"/>
      <c r="R79" s="64"/>
      <c r="S79" s="64"/>
      <c r="T79" s="64"/>
      <c r="U79" s="64"/>
      <c r="V79" s="64"/>
      <c r="W79" s="65"/>
      <c r="X79" s="65"/>
      <c r="Y79" s="65"/>
      <c r="AA79" s="64"/>
      <c r="AB79" s="64"/>
      <c r="AC79" s="64"/>
      <c r="AD79" s="64"/>
      <c r="AE79" s="64"/>
      <c r="AF79" s="66"/>
      <c r="AG79" s="67"/>
      <c r="AH79" s="67"/>
      <c r="AJ79" s="67"/>
      <c r="AK79" s="67"/>
      <c r="AL79" s="67"/>
      <c r="AM79" s="67"/>
      <c r="AN79" s="67"/>
      <c r="AO79" s="67"/>
      <c r="AP79" s="67"/>
      <c r="AQ79" s="68"/>
      <c r="AR79" s="68"/>
      <c r="AS79" s="68"/>
      <c r="AU79" s="67"/>
      <c r="AV79" s="67"/>
      <c r="AW79" s="67"/>
      <c r="AX79" s="67"/>
      <c r="AY79" s="67"/>
      <c r="AZ79" s="67"/>
      <c r="BA79" s="67"/>
      <c r="BB79" s="69"/>
    </row>
    <row r="80" spans="1:54" ht="15.75" x14ac:dyDescent="0.25">
      <c r="A80" s="872" t="s">
        <v>88</v>
      </c>
      <c r="B80" s="873"/>
      <c r="C80" s="56"/>
      <c r="D80" s="56"/>
      <c r="E80" s="56"/>
      <c r="F80" s="56"/>
      <c r="G80" s="56"/>
      <c r="H80" s="56"/>
      <c r="I80" s="56"/>
      <c r="J80" s="56"/>
      <c r="K80" s="56"/>
      <c r="L80" s="62">
        <v>5.1239999999999997</v>
      </c>
      <c r="M80" s="62">
        <v>14.515000000000001</v>
      </c>
      <c r="N80" s="63">
        <f>$O$80+Draft!$H$75</f>
        <v>90827</v>
      </c>
      <c r="O80" s="63">
        <v>77108</v>
      </c>
      <c r="Q80" s="64"/>
      <c r="R80" s="64"/>
      <c r="S80" s="64"/>
      <c r="T80" s="64"/>
      <c r="U80" s="64"/>
      <c r="V80" s="64"/>
      <c r="W80" s="65"/>
      <c r="X80" s="65"/>
      <c r="Y80" s="65"/>
      <c r="AA80" s="64"/>
      <c r="AB80" s="64"/>
      <c r="AC80" s="64"/>
      <c r="AD80" s="64"/>
      <c r="AE80" s="64"/>
      <c r="AF80" s="66"/>
      <c r="AG80" s="67"/>
      <c r="AH80" s="67"/>
      <c r="AJ80" s="67"/>
      <c r="AK80" s="67"/>
      <c r="AL80" s="67"/>
      <c r="AM80" s="67"/>
      <c r="AN80" s="67"/>
      <c r="AO80" s="67"/>
      <c r="AP80" s="67"/>
      <c r="AQ80" s="68"/>
      <c r="AR80" s="68"/>
      <c r="AS80" s="68"/>
      <c r="AU80" s="67"/>
      <c r="AV80" s="67"/>
      <c r="AW80" s="67"/>
      <c r="AX80" s="67"/>
      <c r="AY80" s="67"/>
      <c r="AZ80" s="67"/>
      <c r="BA80" s="67"/>
      <c r="BB80" s="69"/>
    </row>
    <row r="81" spans="1:54" ht="15.75" x14ac:dyDescent="0.25">
      <c r="A81" s="872" t="s">
        <v>89</v>
      </c>
      <c r="B81" s="873"/>
      <c r="C81" s="56"/>
      <c r="D81" s="56"/>
      <c r="E81" s="56"/>
      <c r="F81" s="56"/>
      <c r="G81" s="56"/>
      <c r="H81" s="56"/>
      <c r="I81" s="56"/>
      <c r="J81" s="56"/>
      <c r="K81" s="56"/>
      <c r="L81" s="62">
        <v>5.42</v>
      </c>
      <c r="M81" s="62">
        <v>14.218999999999999</v>
      </c>
      <c r="N81" s="63">
        <f>$O$81+Draft!$H$75</f>
        <v>88800</v>
      </c>
      <c r="O81" s="63">
        <v>75081</v>
      </c>
      <c r="Q81" s="64"/>
      <c r="R81" s="64"/>
      <c r="S81" s="64"/>
      <c r="T81" s="64"/>
      <c r="U81" s="64"/>
      <c r="V81" s="64"/>
      <c r="W81" s="65"/>
      <c r="X81" s="65"/>
      <c r="Y81" s="65"/>
      <c r="AA81" s="64"/>
      <c r="AB81" s="64"/>
      <c r="AC81" s="64"/>
      <c r="AD81" s="64"/>
      <c r="AE81" s="64"/>
      <c r="AF81" s="66"/>
      <c r="AG81" s="67"/>
      <c r="AH81" s="67"/>
      <c r="AJ81" s="67"/>
      <c r="AK81" s="67"/>
      <c r="AL81" s="67"/>
      <c r="AM81" s="67"/>
      <c r="AN81" s="67"/>
      <c r="AO81" s="67"/>
      <c r="AP81" s="67"/>
      <c r="AQ81" s="68"/>
      <c r="AR81" s="68"/>
      <c r="AS81" s="68"/>
      <c r="AU81" s="67"/>
      <c r="AV81" s="67"/>
      <c r="AW81" s="67"/>
      <c r="AX81" s="67"/>
      <c r="AY81" s="67"/>
      <c r="AZ81" s="67"/>
      <c r="BA81" s="67"/>
      <c r="BB81" s="69"/>
    </row>
    <row r="82" spans="1:54" ht="15.75" x14ac:dyDescent="0.25">
      <c r="A82" s="872" t="s">
        <v>90</v>
      </c>
      <c r="B82" s="873"/>
      <c r="C82" s="70"/>
      <c r="D82" s="70"/>
      <c r="E82" s="70"/>
      <c r="F82" s="70"/>
      <c r="G82" s="70"/>
      <c r="H82" s="70"/>
      <c r="I82" s="70"/>
      <c r="J82" s="70"/>
      <c r="K82" s="70"/>
      <c r="L82" s="62">
        <v>5.7160000000000002</v>
      </c>
      <c r="M82" s="62">
        <v>13.923</v>
      </c>
      <c r="N82" s="63">
        <f>$O$82+Draft!$H$75</f>
        <v>86776</v>
      </c>
      <c r="O82" s="63">
        <v>73057</v>
      </c>
      <c r="Q82" s="64"/>
      <c r="R82" s="64"/>
      <c r="S82" s="64"/>
      <c r="T82" s="64"/>
      <c r="U82" s="64"/>
      <c r="V82" s="64"/>
      <c r="W82" s="65"/>
      <c r="X82" s="65"/>
      <c r="Y82" s="65"/>
      <c r="AA82" s="64"/>
      <c r="AB82" s="64"/>
      <c r="AC82" s="64"/>
      <c r="AD82" s="64"/>
      <c r="AE82" s="64"/>
      <c r="AF82" s="66"/>
      <c r="AG82" s="67"/>
      <c r="AH82" s="67"/>
      <c r="AJ82" s="67"/>
      <c r="AK82" s="67"/>
      <c r="AL82" s="67"/>
      <c r="AM82" s="67"/>
      <c r="AN82" s="67"/>
      <c r="AO82" s="67"/>
      <c r="AP82" s="67"/>
      <c r="AQ82" s="68"/>
      <c r="AR82" s="68"/>
      <c r="AS82" s="68"/>
      <c r="AU82" s="67"/>
      <c r="AV82" s="67"/>
      <c r="AW82" s="67"/>
      <c r="AX82" s="67"/>
      <c r="AY82" s="67"/>
      <c r="AZ82" s="67"/>
      <c r="BA82" s="67"/>
      <c r="BB82" s="69"/>
    </row>
    <row r="83" spans="1:54" x14ac:dyDescent="0.2">
      <c r="A83" s="19"/>
      <c r="B83" s="19"/>
      <c r="C83" s="19"/>
      <c r="D83" s="19"/>
      <c r="E83" s="19"/>
      <c r="F83" s="19"/>
      <c r="G83" s="19"/>
      <c r="H83" s="19"/>
      <c r="I83" s="19"/>
      <c r="J83" s="19"/>
      <c r="K83" s="19"/>
      <c r="L83" s="19"/>
      <c r="M83" s="19"/>
      <c r="N83" s="19"/>
      <c r="O83" s="19"/>
    </row>
    <row r="84" spans="1:54" ht="15.75" x14ac:dyDescent="0.25">
      <c r="A84" s="864" t="s">
        <v>211</v>
      </c>
      <c r="B84" s="864"/>
      <c r="C84" s="19"/>
      <c r="D84" s="37" t="s">
        <v>683</v>
      </c>
      <c r="E84" s="19"/>
      <c r="F84" s="37"/>
      <c r="G84" s="19"/>
      <c r="H84" s="37"/>
      <c r="I84" s="19"/>
      <c r="J84" s="19"/>
      <c r="K84" s="19"/>
      <c r="L84" s="19"/>
      <c r="M84" s="19"/>
      <c r="N84" s="19"/>
      <c r="O84" s="19"/>
    </row>
    <row r="85" spans="1:54" ht="15" x14ac:dyDescent="0.25">
      <c r="A85" s="863" t="s">
        <v>216</v>
      </c>
      <c r="B85" s="863"/>
      <c r="C85" s="19"/>
      <c r="D85" s="37" t="s">
        <v>212</v>
      </c>
      <c r="E85" s="19"/>
      <c r="F85" s="37"/>
      <c r="G85" s="19"/>
      <c r="H85" s="19"/>
      <c r="I85" s="19"/>
      <c r="J85" s="19"/>
      <c r="K85" s="19"/>
      <c r="L85" s="19"/>
      <c r="M85" s="19"/>
      <c r="N85" s="19"/>
      <c r="O85" s="19"/>
    </row>
    <row r="86" spans="1:54" ht="15" x14ac:dyDescent="0.25">
      <c r="A86" s="19"/>
      <c r="B86" s="19"/>
      <c r="C86" s="19"/>
      <c r="D86" s="37" t="s">
        <v>213</v>
      </c>
      <c r="E86" s="19"/>
      <c r="F86" s="19"/>
      <c r="G86" s="19"/>
      <c r="H86" s="19"/>
      <c r="I86" s="19"/>
      <c r="J86" s="19"/>
      <c r="K86" s="19"/>
      <c r="L86" s="19"/>
      <c r="M86" s="19"/>
      <c r="N86" s="19"/>
      <c r="O86" s="19"/>
    </row>
    <row r="87" spans="1:54" ht="15.75" x14ac:dyDescent="0.25">
      <c r="A87" s="864" t="s">
        <v>214</v>
      </c>
      <c r="B87" s="864"/>
      <c r="C87" s="19"/>
      <c r="D87" s="37" t="s">
        <v>684</v>
      </c>
      <c r="E87" s="19"/>
      <c r="F87" s="19"/>
      <c r="G87" s="19"/>
      <c r="H87" s="19"/>
      <c r="I87" s="19"/>
      <c r="J87" s="19"/>
      <c r="K87" s="19"/>
      <c r="L87" s="19"/>
      <c r="M87" s="19"/>
      <c r="N87" s="19"/>
      <c r="O87" s="19"/>
    </row>
    <row r="88" spans="1:54" ht="15" x14ac:dyDescent="0.25">
      <c r="A88" s="865" t="s">
        <v>243</v>
      </c>
      <c r="B88" s="865"/>
      <c r="C88" s="19"/>
      <c r="D88" s="37" t="s">
        <v>685</v>
      </c>
      <c r="E88" s="19"/>
      <c r="F88" s="19"/>
      <c r="G88" s="19"/>
      <c r="H88" s="19"/>
      <c r="I88" s="19"/>
      <c r="J88" s="19"/>
      <c r="K88" s="19"/>
      <c r="L88" s="19"/>
      <c r="M88" s="19"/>
      <c r="N88" s="19"/>
      <c r="O88" s="19"/>
    </row>
    <row r="89" spans="1:54" ht="15" x14ac:dyDescent="0.25">
      <c r="A89" s="866" t="s">
        <v>442</v>
      </c>
      <c r="B89" s="866"/>
      <c r="C89" s="19"/>
      <c r="D89" s="37" t="s">
        <v>686</v>
      </c>
      <c r="E89" s="19"/>
      <c r="F89" s="19"/>
      <c r="G89" s="19"/>
      <c r="H89" s="19"/>
      <c r="I89" s="19"/>
      <c r="J89" s="19"/>
      <c r="K89" s="19"/>
      <c r="L89" s="19"/>
      <c r="M89" s="19"/>
      <c r="N89" s="19"/>
      <c r="O89" s="19"/>
    </row>
    <row r="90" spans="1:54" ht="15.75" x14ac:dyDescent="0.25">
      <c r="A90" s="864" t="s">
        <v>218</v>
      </c>
      <c r="B90" s="864"/>
      <c r="C90" s="19"/>
      <c r="D90" s="37" t="s">
        <v>216</v>
      </c>
      <c r="E90" s="19"/>
      <c r="F90" s="19"/>
      <c r="G90" s="19"/>
      <c r="H90" s="19"/>
      <c r="I90" s="19"/>
      <c r="J90" s="19"/>
      <c r="K90" s="19"/>
      <c r="L90" s="19"/>
      <c r="M90" s="19"/>
      <c r="N90" s="19"/>
      <c r="O90" s="19"/>
    </row>
    <row r="91" spans="1:54" ht="15" x14ac:dyDescent="0.25">
      <c r="A91" s="865"/>
      <c r="B91" s="865"/>
      <c r="C91" s="19"/>
      <c r="D91" s="36" t="s">
        <v>219</v>
      </c>
      <c r="E91" s="19"/>
      <c r="F91" s="19"/>
      <c r="G91" s="19"/>
      <c r="H91" s="19"/>
      <c r="I91" s="19"/>
      <c r="J91" s="19"/>
      <c r="K91" s="19"/>
      <c r="L91" s="19"/>
      <c r="M91" s="19"/>
      <c r="N91" s="19"/>
      <c r="O91" s="19"/>
    </row>
    <row r="92" spans="1:54" ht="15" x14ac:dyDescent="0.25">
      <c r="A92" s="866" t="s">
        <v>795</v>
      </c>
      <c r="B92" s="866"/>
      <c r="C92" s="19"/>
      <c r="D92" s="37" t="s">
        <v>604</v>
      </c>
      <c r="E92" s="19"/>
      <c r="F92" s="19"/>
      <c r="G92" s="19"/>
      <c r="H92" s="19"/>
      <c r="I92" s="19"/>
      <c r="J92" s="19"/>
      <c r="K92" s="19"/>
      <c r="L92" s="19"/>
      <c r="M92" s="19"/>
      <c r="N92" s="19"/>
      <c r="O92" s="19"/>
    </row>
    <row r="93" spans="1:54" ht="15.75" x14ac:dyDescent="0.25">
      <c r="A93" s="864" t="s">
        <v>221</v>
      </c>
      <c r="B93" s="864"/>
      <c r="C93" s="19"/>
      <c r="D93" s="37" t="s">
        <v>687</v>
      </c>
      <c r="E93" s="19"/>
      <c r="F93" s="19"/>
      <c r="G93" s="19"/>
      <c r="H93" s="19"/>
      <c r="I93" s="19"/>
      <c r="J93" s="19"/>
      <c r="K93" s="19"/>
      <c r="L93" s="19"/>
      <c r="M93" s="19"/>
      <c r="N93" s="19"/>
      <c r="O93" s="19"/>
    </row>
    <row r="94" spans="1:54" ht="15" x14ac:dyDescent="0.25">
      <c r="A94" s="865" t="s">
        <v>241</v>
      </c>
      <c r="B94" s="865"/>
      <c r="C94" s="19"/>
      <c r="D94" s="36" t="s">
        <v>688</v>
      </c>
      <c r="E94" s="19"/>
      <c r="F94" s="19"/>
      <c r="G94" s="19"/>
      <c r="H94" s="19"/>
      <c r="I94" s="19"/>
      <c r="J94" s="19"/>
      <c r="K94" s="19"/>
      <c r="L94" s="19"/>
      <c r="M94" s="19"/>
      <c r="N94" s="19"/>
      <c r="O94" s="19"/>
    </row>
    <row r="95" spans="1:54" ht="15" x14ac:dyDescent="0.25">
      <c r="A95" s="866" t="s">
        <v>796</v>
      </c>
      <c r="B95" s="866"/>
      <c r="C95" s="19"/>
      <c r="D95" s="36" t="s">
        <v>222</v>
      </c>
      <c r="E95" s="19"/>
      <c r="F95" s="19"/>
      <c r="G95" s="19"/>
      <c r="H95" s="19"/>
      <c r="I95" s="19"/>
      <c r="J95" s="19"/>
      <c r="K95" s="19"/>
      <c r="L95" s="19"/>
      <c r="M95" s="19"/>
      <c r="N95" s="19"/>
      <c r="O95" s="19"/>
    </row>
    <row r="96" spans="1:54" ht="15.75" x14ac:dyDescent="0.25">
      <c r="A96" s="864" t="s">
        <v>225</v>
      </c>
      <c r="B96" s="864"/>
      <c r="C96" s="19"/>
      <c r="D96" s="37" t="s">
        <v>223</v>
      </c>
      <c r="E96" s="19"/>
      <c r="F96" s="19"/>
      <c r="G96" s="19"/>
      <c r="H96" s="19"/>
      <c r="I96" s="19"/>
      <c r="J96" s="19"/>
      <c r="K96" s="19"/>
      <c r="L96" s="19"/>
      <c r="M96" s="19"/>
      <c r="N96" s="19"/>
      <c r="O96" s="19"/>
    </row>
    <row r="97" spans="1:15" ht="15.75" x14ac:dyDescent="0.25">
      <c r="A97" s="862" t="s">
        <v>734</v>
      </c>
      <c r="B97" s="862"/>
      <c r="C97" s="19"/>
      <c r="D97" s="37" t="s">
        <v>224</v>
      </c>
      <c r="E97" s="19"/>
      <c r="F97" s="19"/>
      <c r="G97" s="19"/>
      <c r="H97" s="19"/>
      <c r="I97" s="19"/>
      <c r="J97" s="19"/>
      <c r="K97" s="19"/>
      <c r="L97" s="19"/>
      <c r="M97" s="19"/>
      <c r="N97" s="19"/>
      <c r="O97" s="19"/>
    </row>
    <row r="98" spans="1:15" ht="15" x14ac:dyDescent="0.25">
      <c r="D98" s="37" t="s">
        <v>446</v>
      </c>
    </row>
    <row r="99" spans="1:15" ht="15" x14ac:dyDescent="0.25">
      <c r="D99" s="37" t="s">
        <v>578</v>
      </c>
    </row>
    <row r="100" spans="1:15" ht="15" x14ac:dyDescent="0.25">
      <c r="D100" s="71" t="s">
        <v>226</v>
      </c>
    </row>
    <row r="101" spans="1:15" ht="15" x14ac:dyDescent="0.25">
      <c r="D101" s="71" t="s">
        <v>227</v>
      </c>
    </row>
    <row r="102" spans="1:15" ht="15" x14ac:dyDescent="0.25">
      <c r="D102" s="37" t="s">
        <v>228</v>
      </c>
    </row>
    <row r="103" spans="1:15" ht="15" x14ac:dyDescent="0.25">
      <c r="D103" s="37" t="s">
        <v>229</v>
      </c>
    </row>
    <row r="104" spans="1:15" ht="15" x14ac:dyDescent="0.25">
      <c r="D104" s="37" t="s">
        <v>689</v>
      </c>
    </row>
    <row r="105" spans="1:15" ht="15" x14ac:dyDescent="0.25">
      <c r="D105" s="37"/>
    </row>
    <row r="106" spans="1:15" ht="15" x14ac:dyDescent="0.25">
      <c r="D106" s="37"/>
    </row>
    <row r="107" spans="1:15" ht="15" x14ac:dyDescent="0.25">
      <c r="D107" s="37"/>
    </row>
    <row r="108" spans="1:15" ht="15" x14ac:dyDescent="0.25">
      <c r="D108" s="37"/>
    </row>
    <row r="110" spans="1:15" ht="14.25" x14ac:dyDescent="0.2">
      <c r="D110" s="72" t="s">
        <v>230</v>
      </c>
    </row>
    <row r="111" spans="1:15" ht="14.25" x14ac:dyDescent="0.2">
      <c r="D111" s="73" t="s">
        <v>231</v>
      </c>
    </row>
    <row r="112" spans="1:15" ht="14.25" x14ac:dyDescent="0.2">
      <c r="D112" s="73" t="s">
        <v>232</v>
      </c>
    </row>
    <row r="113" spans="4:4" ht="14.25" x14ac:dyDescent="0.2">
      <c r="D113" s="72" t="s">
        <v>580</v>
      </c>
    </row>
    <row r="114" spans="4:4" ht="14.25" x14ac:dyDescent="0.2">
      <c r="D114" s="72" t="s">
        <v>233</v>
      </c>
    </row>
    <row r="115" spans="4:4" ht="14.25" x14ac:dyDescent="0.2">
      <c r="D115" s="74" t="s">
        <v>234</v>
      </c>
    </row>
    <row r="116" spans="4:4" ht="14.25" x14ac:dyDescent="0.2">
      <c r="D116" s="73" t="s">
        <v>235</v>
      </c>
    </row>
    <row r="117" spans="4:4" ht="14.25" x14ac:dyDescent="0.2">
      <c r="D117" s="73" t="s">
        <v>236</v>
      </c>
    </row>
    <row r="118" spans="4:4" ht="14.25" x14ac:dyDescent="0.2">
      <c r="D118" s="73" t="s">
        <v>237</v>
      </c>
    </row>
    <row r="119" spans="4:4" ht="14.25" x14ac:dyDescent="0.2">
      <c r="D119" s="72" t="s">
        <v>238</v>
      </c>
    </row>
    <row r="120" spans="4:4" ht="14.25" x14ac:dyDescent="0.2">
      <c r="D120" s="72" t="s">
        <v>239</v>
      </c>
    </row>
    <row r="121" spans="4:4" ht="14.25" x14ac:dyDescent="0.2">
      <c r="D121" s="73" t="s">
        <v>240</v>
      </c>
    </row>
    <row r="122" spans="4:4" ht="14.25" x14ac:dyDescent="0.2">
      <c r="D122" s="72" t="s">
        <v>241</v>
      </c>
    </row>
    <row r="123" spans="4:4" ht="14.25" x14ac:dyDescent="0.2">
      <c r="D123" s="73" t="s">
        <v>242</v>
      </c>
    </row>
    <row r="124" spans="4:4" ht="14.25" x14ac:dyDescent="0.2">
      <c r="D124" s="73" t="s">
        <v>243</v>
      </c>
    </row>
    <row r="125" spans="4:4" ht="14.25" x14ac:dyDescent="0.2">
      <c r="D125" s="73" t="s">
        <v>244</v>
      </c>
    </row>
    <row r="126" spans="4:4" ht="14.25" x14ac:dyDescent="0.2">
      <c r="D126" s="73" t="s">
        <v>245</v>
      </c>
    </row>
    <row r="127" spans="4:4" x14ac:dyDescent="0.2">
      <c r="D127" s="20" t="s">
        <v>642</v>
      </c>
    </row>
    <row r="128" spans="4:4" x14ac:dyDescent="0.2">
      <c r="D128" s="20" t="s">
        <v>644</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80:O82 A85 A88:B89 A97 B73:B74 A91:B92 A94:B95 N78:O79">
    <cfRule type="cellIs" dxfId="53" priority="2" operator="between">
      <formula>0</formula>
      <formula>0</formula>
    </cfRule>
  </conditionalFormatting>
  <conditionalFormatting sqref="L78:M79">
    <cfRule type="cellIs" dxfId="52"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A59" zoomScaleNormal="100" workbookViewId="0">
      <selection activeCell="AF83" sqref="AF83"/>
    </sheetView>
  </sheetViews>
  <sheetFormatPr defaultColWidth="3.7109375" defaultRowHeight="12.75" x14ac:dyDescent="0.2"/>
  <cols>
    <col min="1" max="34" width="5.7109375" style="75" customWidth="1"/>
    <col min="35" max="35" width="7.7109375" style="75" bestFit="1" customWidth="1"/>
    <col min="36" max="37" width="5.7109375" style="75" customWidth="1"/>
    <col min="38" max="38" width="5.5703125" style="75" customWidth="1"/>
    <col min="39" max="39" width="13.28515625" style="75" customWidth="1"/>
    <col min="40" max="40" width="8.5703125" style="75" customWidth="1"/>
    <col min="41" max="41" width="11.28515625" style="76" customWidth="1"/>
    <col min="42" max="42" width="3" style="76" customWidth="1"/>
    <col min="43" max="43" width="13.42578125" style="76" customWidth="1"/>
    <col min="44" max="47" width="3.7109375" style="76" customWidth="1"/>
    <col min="48" max="48" width="5.7109375" style="75" customWidth="1"/>
    <col min="49" max="51" width="3.7109375" style="75" customWidth="1"/>
    <col min="52" max="52" width="5.7109375" style="75" customWidth="1"/>
    <col min="53" max="66" width="3.7109375" style="75" customWidth="1"/>
    <col min="67" max="16384" width="3.7109375" style="75"/>
  </cols>
  <sheetData>
    <row r="1" spans="1:44" ht="78" customHeight="1" thickBot="1" x14ac:dyDescent="0.25"/>
    <row r="2" spans="1:44" ht="39.75" customHeight="1" thickBot="1" x14ac:dyDescent="0.25">
      <c r="A2" s="1114" t="s">
        <v>246</v>
      </c>
      <c r="B2" s="1115"/>
      <c r="C2" s="1115"/>
      <c r="D2" s="1115"/>
      <c r="E2" s="1115"/>
      <c r="F2" s="1115"/>
      <c r="G2" s="1115"/>
      <c r="H2" s="1115"/>
      <c r="I2" s="1115"/>
      <c r="J2" s="1115"/>
      <c r="K2" s="1115"/>
      <c r="L2" s="1115"/>
      <c r="M2" s="1115"/>
      <c r="N2" s="1115"/>
      <c r="O2" s="1115"/>
      <c r="P2" s="1115"/>
      <c r="Q2" s="1115"/>
      <c r="R2" s="1115"/>
      <c r="S2" s="656"/>
      <c r="T2" s="1115" t="s">
        <v>247</v>
      </c>
      <c r="U2" s="1115"/>
      <c r="V2" s="1115"/>
      <c r="W2" s="1115"/>
      <c r="X2" s="1115"/>
      <c r="Y2" s="1115"/>
      <c r="Z2" s="1115"/>
      <c r="AA2" s="1115"/>
      <c r="AB2" s="1115"/>
      <c r="AC2" s="1115"/>
      <c r="AD2" s="1115"/>
      <c r="AE2" s="1115"/>
      <c r="AF2" s="1115"/>
      <c r="AG2" s="1115"/>
      <c r="AH2" s="1115"/>
      <c r="AI2" s="1115"/>
      <c r="AJ2" s="1115"/>
      <c r="AK2" s="1116"/>
      <c r="AP2" s="633"/>
      <c r="AQ2" s="633"/>
      <c r="AR2" s="633"/>
    </row>
    <row r="3" spans="1:44" ht="12" customHeight="1" x14ac:dyDescent="0.2">
      <c r="A3" s="653"/>
      <c r="B3" s="654"/>
      <c r="C3" s="654"/>
      <c r="D3" s="654"/>
      <c r="E3" s="654"/>
      <c r="F3" s="654"/>
      <c r="G3" s="654"/>
      <c r="H3" s="654"/>
      <c r="I3" s="654"/>
      <c r="J3" s="654"/>
      <c r="K3" s="654"/>
      <c r="L3" s="654"/>
      <c r="M3" s="654"/>
      <c r="N3" s="654"/>
      <c r="O3" s="654"/>
      <c r="P3" s="654"/>
      <c r="Q3" s="654"/>
      <c r="R3" s="654"/>
      <c r="S3" s="647"/>
      <c r="T3" s="654"/>
      <c r="U3" s="654"/>
      <c r="V3" s="654"/>
      <c r="W3" s="654"/>
      <c r="X3" s="654"/>
      <c r="Y3" s="654"/>
      <c r="Z3" s="654"/>
      <c r="AA3" s="654"/>
      <c r="AB3" s="654"/>
      <c r="AC3" s="654"/>
      <c r="AD3" s="654"/>
      <c r="AE3" s="654"/>
      <c r="AF3" s="654"/>
      <c r="AG3" s="654"/>
      <c r="AH3" s="654"/>
      <c r="AI3" s="654"/>
      <c r="AJ3" s="654"/>
      <c r="AK3" s="655"/>
      <c r="AO3" s="76" t="s">
        <v>563</v>
      </c>
      <c r="AP3" s="633"/>
      <c r="AQ3" s="633" t="s">
        <v>563</v>
      </c>
      <c r="AR3" s="633" t="s">
        <v>564</v>
      </c>
    </row>
    <row r="4" spans="1:44" ht="15" customHeight="1" x14ac:dyDescent="0.25">
      <c r="A4" s="1117" t="s">
        <v>206</v>
      </c>
      <c r="B4" s="1118"/>
      <c r="C4" s="1118"/>
      <c r="D4" s="1118"/>
      <c r="E4" s="1119">
        <v>46074</v>
      </c>
      <c r="F4" s="1119"/>
      <c r="G4" s="1119"/>
      <c r="H4" s="1119"/>
      <c r="I4" s="1119"/>
      <c r="J4" s="1119"/>
      <c r="K4" s="1119"/>
      <c r="L4" s="1118" t="s">
        <v>248</v>
      </c>
      <c r="M4" s="1118"/>
      <c r="N4" s="1118"/>
      <c r="O4" s="1120">
        <v>0.44791666666666669</v>
      </c>
      <c r="P4" s="1120"/>
      <c r="Q4" s="1120"/>
      <c r="R4" s="1120"/>
      <c r="S4" s="645"/>
      <c r="T4" s="1118" t="s">
        <v>206</v>
      </c>
      <c r="U4" s="1118"/>
      <c r="V4" s="1118"/>
      <c r="W4" s="1118"/>
      <c r="X4" s="1119">
        <v>46081</v>
      </c>
      <c r="Y4" s="1119"/>
      <c r="Z4" s="1119"/>
      <c r="AA4" s="1119"/>
      <c r="AB4" s="1119"/>
      <c r="AC4" s="1119"/>
      <c r="AD4" s="1119"/>
      <c r="AE4" s="1118" t="s">
        <v>248</v>
      </c>
      <c r="AF4" s="1118"/>
      <c r="AG4" s="1118"/>
      <c r="AH4" s="1121">
        <v>0.5</v>
      </c>
      <c r="AI4" s="1121"/>
      <c r="AJ4" s="1121"/>
      <c r="AK4" s="1122"/>
      <c r="AN4" s="75" t="str">
        <f>IF(E6="Wharf","wharf","inner roads")</f>
        <v>inner roads</v>
      </c>
      <c r="AO4" s="75" t="str">
        <f>IF(X6="Wharf","wharf","inner roads")</f>
        <v>wharf</v>
      </c>
      <c r="AP4" s="633"/>
      <c r="AQ4" s="633" t="s">
        <v>605</v>
      </c>
      <c r="AR4" s="633" t="s">
        <v>565</v>
      </c>
    </row>
    <row r="5" spans="1:44" ht="15" customHeight="1" x14ac:dyDescent="0.25">
      <c r="A5" s="1131" t="s">
        <v>249</v>
      </c>
      <c r="B5" s="1123"/>
      <c r="C5" s="1123"/>
      <c r="D5" s="1123"/>
      <c r="E5" s="1132" t="str">
        <f>IFERROR(_xlfn.IFS(CAPA!A5=Draft!AQ3,Draft!AR3,CAPA!A5=AQ4,AR4),"Paranaguá, Br - Brazil")</f>
        <v>Paranaguá, Br - Brazil</v>
      </c>
      <c r="F5" s="1132"/>
      <c r="G5" s="1132"/>
      <c r="H5" s="1132"/>
      <c r="I5" s="1132"/>
      <c r="J5" s="1132"/>
      <c r="K5" s="1132"/>
      <c r="L5" s="1123" t="s">
        <v>250</v>
      </c>
      <c r="M5" s="1123"/>
      <c r="N5" s="1123"/>
      <c r="O5" s="1124">
        <v>0.46527777777777779</v>
      </c>
      <c r="P5" s="1124"/>
      <c r="Q5" s="1124"/>
      <c r="R5" s="1124"/>
      <c r="S5" s="645"/>
      <c r="T5" s="1123" t="s">
        <v>249</v>
      </c>
      <c r="U5" s="1123"/>
      <c r="V5" s="1123"/>
      <c r="W5" s="1123"/>
      <c r="X5" s="1132" t="str">
        <f>$E$5</f>
        <v>Paranaguá, Br - Brazil</v>
      </c>
      <c r="Y5" s="1132"/>
      <c r="Z5" s="1132"/>
      <c r="AA5" s="1132"/>
      <c r="AB5" s="1132"/>
      <c r="AC5" s="1132"/>
      <c r="AD5" s="1132"/>
      <c r="AE5" s="1123" t="s">
        <v>250</v>
      </c>
      <c r="AF5" s="1123"/>
      <c r="AG5" s="1123"/>
      <c r="AH5" s="1124">
        <v>0.50694444444444442</v>
      </c>
      <c r="AI5" s="1124"/>
      <c r="AJ5" s="1124"/>
      <c r="AK5" s="1125"/>
      <c r="AN5" s="75" t="str">
        <f>IF(AN4="wharf","berthed alongside wharf ","anchored at inner roads area ")</f>
        <v xml:space="preserve">anchored at inner roads area </v>
      </c>
      <c r="AO5" s="75"/>
      <c r="AP5" s="75"/>
      <c r="AQ5" s="75"/>
    </row>
    <row r="6" spans="1:44" ht="15" customHeight="1" x14ac:dyDescent="0.25">
      <c r="A6" s="1126" t="s">
        <v>251</v>
      </c>
      <c r="B6" s="1127"/>
      <c r="C6" s="1127"/>
      <c r="D6" s="1127"/>
      <c r="E6" s="1128" t="s">
        <v>756</v>
      </c>
      <c r="F6" s="1128"/>
      <c r="G6" s="1129"/>
      <c r="H6" s="1134" t="s">
        <v>757</v>
      </c>
      <c r="I6" s="1135"/>
      <c r="J6" s="1134" t="str">
        <f>IF(E6="Wharf","berthed","anchored")</f>
        <v>anchored</v>
      </c>
      <c r="K6" s="1135"/>
      <c r="L6" s="1126" t="s">
        <v>252</v>
      </c>
      <c r="M6" s="1127"/>
      <c r="N6" s="1127"/>
      <c r="O6" s="1130">
        <v>0.58333333333333337</v>
      </c>
      <c r="P6" s="1130"/>
      <c r="Q6" s="1130"/>
      <c r="R6" s="1130"/>
      <c r="S6" s="645"/>
      <c r="T6" s="1127" t="s">
        <v>251</v>
      </c>
      <c r="U6" s="1127"/>
      <c r="V6" s="1127"/>
      <c r="W6" s="1127"/>
      <c r="X6" s="1128" t="s">
        <v>781</v>
      </c>
      <c r="Y6" s="1128"/>
      <c r="Z6" s="1129"/>
      <c r="AA6" s="1134">
        <v>214</v>
      </c>
      <c r="AB6" s="1135"/>
      <c r="AC6" s="1134" t="str">
        <f>IF(X6="Wharf","berthed","anchored")</f>
        <v>berthed</v>
      </c>
      <c r="AD6" s="1135"/>
      <c r="AE6" s="1126" t="s">
        <v>252</v>
      </c>
      <c r="AF6" s="1127"/>
      <c r="AG6" s="1127"/>
      <c r="AH6" s="1130">
        <v>0.58333333333333337</v>
      </c>
      <c r="AI6" s="1130"/>
      <c r="AJ6" s="1130"/>
      <c r="AK6" s="1133"/>
      <c r="AN6" s="75" t="str">
        <f>IF(AO4="wharf","berthed alongside wharf ","anchored at inner roads area ")</f>
        <v xml:space="preserve">berthed alongside wharf </v>
      </c>
    </row>
    <row r="7" spans="1:44" ht="15" customHeight="1" x14ac:dyDescent="0.25">
      <c r="A7" s="1103" t="s">
        <v>253</v>
      </c>
      <c r="B7" s="1104"/>
      <c r="C7" s="1104"/>
      <c r="D7" s="1105"/>
      <c r="E7" s="1106" t="s">
        <v>758</v>
      </c>
      <c r="F7" s="1107"/>
      <c r="G7" s="1108"/>
      <c r="H7" s="1109"/>
      <c r="I7" s="1110"/>
      <c r="J7" s="1110"/>
      <c r="K7" s="1110"/>
      <c r="L7" s="1104" t="s">
        <v>254</v>
      </c>
      <c r="M7" s="1104"/>
      <c r="N7" s="1104"/>
      <c r="O7" s="1090">
        <v>0.3</v>
      </c>
      <c r="P7" s="1090"/>
      <c r="Q7" s="1090"/>
      <c r="R7" s="1090"/>
      <c r="S7" s="646"/>
      <c r="T7" s="1104" t="s">
        <v>253</v>
      </c>
      <c r="U7" s="1104"/>
      <c r="V7" s="1104"/>
      <c r="W7" s="1105"/>
      <c r="X7" s="1106" t="s">
        <v>780</v>
      </c>
      <c r="Y7" s="1107"/>
      <c r="Z7" s="1108"/>
      <c r="AA7" s="471"/>
      <c r="AB7" s="471"/>
      <c r="AC7" s="471"/>
      <c r="AD7" s="471"/>
      <c r="AE7" s="1104" t="s">
        <v>254</v>
      </c>
      <c r="AF7" s="1104"/>
      <c r="AG7" s="1104"/>
      <c r="AH7" s="1090">
        <v>0.15</v>
      </c>
      <c r="AI7" s="1090"/>
      <c r="AJ7" s="1090"/>
      <c r="AK7" s="1097"/>
      <c r="AN7" s="75" t="str">
        <f>IF(AN4="wharf","Atracado - berço ","Fundeado - área ")</f>
        <v xml:space="preserve">Fundeado - área </v>
      </c>
    </row>
    <row r="8" spans="1:44" ht="15" customHeight="1" x14ac:dyDescent="0.25">
      <c r="A8" s="1098" t="s">
        <v>255</v>
      </c>
      <c r="B8" s="1091"/>
      <c r="C8" s="1091"/>
      <c r="D8" s="1091"/>
      <c r="E8" s="1099" t="s">
        <v>759</v>
      </c>
      <c r="F8" s="1099"/>
      <c r="G8" s="1099"/>
      <c r="H8" s="472"/>
      <c r="I8" s="472"/>
      <c r="J8" s="472"/>
      <c r="K8" s="472"/>
      <c r="L8" s="1091" t="s">
        <v>256</v>
      </c>
      <c r="M8" s="1091"/>
      <c r="N8" s="1091"/>
      <c r="O8" s="890">
        <v>2</v>
      </c>
      <c r="P8" s="890"/>
      <c r="Q8" s="890"/>
      <c r="R8" s="890"/>
      <c r="S8" s="646"/>
      <c r="T8" s="1091" t="s">
        <v>255</v>
      </c>
      <c r="U8" s="1091"/>
      <c r="V8" s="1091"/>
      <c r="W8" s="1091"/>
      <c r="X8" s="1099" t="s">
        <v>782</v>
      </c>
      <c r="Y8" s="1099"/>
      <c r="Z8" s="1099"/>
      <c r="AA8" s="471"/>
      <c r="AB8" s="471"/>
      <c r="AC8" s="471"/>
      <c r="AD8" s="471"/>
      <c r="AE8" s="1091" t="s">
        <v>256</v>
      </c>
      <c r="AF8" s="1091"/>
      <c r="AG8" s="1091"/>
      <c r="AH8" s="890">
        <v>2</v>
      </c>
      <c r="AI8" s="890"/>
      <c r="AJ8" s="890"/>
      <c r="AK8" s="1100"/>
      <c r="AM8" s="76">
        <v>0</v>
      </c>
      <c r="AN8" s="75" t="str">
        <f>IF(AO4="wharf","Atracado - berço ","Fundeado - área ")</f>
        <v xml:space="preserve">Atracado - berço </v>
      </c>
    </row>
    <row r="9" spans="1:44" ht="15" customHeight="1" x14ac:dyDescent="0.25">
      <c r="A9" s="1098" t="s">
        <v>257</v>
      </c>
      <c r="B9" s="1091"/>
      <c r="C9" s="1091"/>
      <c r="D9" s="1111"/>
      <c r="E9" s="1112" t="s">
        <v>783</v>
      </c>
      <c r="F9" s="1099"/>
      <c r="G9" s="1113"/>
      <c r="H9" s="472"/>
      <c r="I9" s="472"/>
      <c r="J9" s="472"/>
      <c r="K9" s="472"/>
      <c r="L9" s="436"/>
      <c r="M9" s="436"/>
      <c r="N9" s="436"/>
      <c r="O9" s="436"/>
      <c r="P9" s="473"/>
      <c r="Q9" s="473"/>
      <c r="R9" s="473"/>
      <c r="S9" s="646"/>
      <c r="T9" s="1091" t="s">
        <v>257</v>
      </c>
      <c r="U9" s="1091"/>
      <c r="V9" s="1091"/>
      <c r="W9" s="1111"/>
      <c r="X9" s="1112" t="s">
        <v>783</v>
      </c>
      <c r="Y9" s="1099"/>
      <c r="Z9" s="1113"/>
      <c r="AA9" s="471"/>
      <c r="AB9" s="471"/>
      <c r="AC9" s="471"/>
      <c r="AD9" s="471"/>
      <c r="AE9" s="474"/>
      <c r="AF9" s="474"/>
      <c r="AG9" s="474"/>
      <c r="AH9" s="474"/>
      <c r="AI9" s="473"/>
      <c r="AJ9" s="473"/>
      <c r="AK9" s="475"/>
    </row>
    <row r="10" spans="1:44" ht="15" customHeight="1" thickBot="1" x14ac:dyDescent="0.25">
      <c r="A10" s="77"/>
      <c r="B10" s="78"/>
      <c r="C10" s="78"/>
      <c r="D10" s="78"/>
      <c r="E10" s="78"/>
      <c r="F10" s="78"/>
      <c r="G10" s="78"/>
      <c r="H10" s="78"/>
      <c r="I10" s="78"/>
      <c r="J10" s="78"/>
      <c r="K10" s="78"/>
      <c r="L10" s="78"/>
      <c r="M10" s="78"/>
      <c r="N10" s="78"/>
      <c r="O10" s="78"/>
      <c r="P10" s="78"/>
      <c r="Q10" s="78"/>
      <c r="R10" s="78"/>
      <c r="S10" s="647"/>
      <c r="T10" s="78"/>
      <c r="U10" s="78"/>
      <c r="V10" s="78"/>
      <c r="W10" s="78"/>
      <c r="X10" s="78"/>
      <c r="Y10" s="78"/>
      <c r="Z10" s="78"/>
      <c r="AA10" s="78"/>
      <c r="AB10" s="78"/>
      <c r="AC10" s="78"/>
      <c r="AD10" s="78"/>
      <c r="AE10" s="78"/>
      <c r="AF10" s="78"/>
      <c r="AG10" s="78"/>
      <c r="AH10" s="78"/>
      <c r="AI10" s="78"/>
      <c r="AJ10" s="78"/>
      <c r="AK10" s="79"/>
    </row>
    <row r="11" spans="1:44" ht="15" customHeight="1" thickTop="1" thickBot="1" x14ac:dyDescent="0.25">
      <c r="A11" s="77"/>
      <c r="B11" s="78"/>
      <c r="C11" s="476" t="s">
        <v>258</v>
      </c>
      <c r="D11" s="1087">
        <f>CAPA!$B$16</f>
        <v>217</v>
      </c>
      <c r="E11" s="1088"/>
      <c r="F11" s="1089"/>
      <c r="G11" s="78"/>
      <c r="H11" s="78"/>
      <c r="I11" s="1092" t="s">
        <v>259</v>
      </c>
      <c r="J11" s="1092"/>
      <c r="K11" s="1093"/>
      <c r="L11" s="1087">
        <f>CAPA!$B$18</f>
        <v>32.26</v>
      </c>
      <c r="M11" s="1088"/>
      <c r="N11" s="1089"/>
      <c r="O11" s="78"/>
      <c r="P11" s="78"/>
      <c r="Q11" s="78"/>
      <c r="R11" s="78"/>
      <c r="S11" s="647"/>
      <c r="T11" s="78"/>
      <c r="U11" s="477" t="s">
        <v>258</v>
      </c>
      <c r="V11" s="1094">
        <f>D11</f>
        <v>217</v>
      </c>
      <c r="W11" s="1095"/>
      <c r="X11" s="1096"/>
      <c r="Y11" s="478"/>
      <c r="Z11" s="478"/>
      <c r="AA11" s="1101" t="s">
        <v>259</v>
      </c>
      <c r="AB11" s="1101"/>
      <c r="AC11" s="1102"/>
      <c r="AD11" s="1094">
        <f>L11</f>
        <v>32.26</v>
      </c>
      <c r="AE11" s="1095"/>
      <c r="AF11" s="1096"/>
      <c r="AG11" s="478"/>
      <c r="AH11" s="478"/>
      <c r="AI11" s="479"/>
      <c r="AJ11" s="479"/>
      <c r="AK11" s="79"/>
    </row>
    <row r="12" spans="1:44" ht="15" customHeight="1" thickTop="1" x14ac:dyDescent="0.2">
      <c r="A12" s="77"/>
      <c r="B12" s="78"/>
      <c r="C12" s="78"/>
      <c r="D12" s="78"/>
      <c r="E12" s="78"/>
      <c r="F12" s="78" t="s">
        <v>260</v>
      </c>
      <c r="G12" s="78"/>
      <c r="H12" s="78"/>
      <c r="I12" s="78"/>
      <c r="J12" s="78"/>
      <c r="K12" s="78"/>
      <c r="L12" s="78"/>
      <c r="M12" s="78"/>
      <c r="N12" s="78"/>
      <c r="O12" s="78"/>
      <c r="P12" s="78"/>
      <c r="Q12" s="78"/>
      <c r="R12" s="78"/>
      <c r="S12" s="647"/>
      <c r="T12" s="78"/>
      <c r="U12" s="479"/>
      <c r="V12" s="479"/>
      <c r="W12" s="479"/>
      <c r="X12" s="479"/>
      <c r="Y12" s="479"/>
      <c r="Z12" s="479"/>
      <c r="AA12" s="479"/>
      <c r="AB12" s="479"/>
      <c r="AC12" s="479"/>
      <c r="AD12" s="479"/>
      <c r="AE12" s="479"/>
      <c r="AF12" s="479"/>
      <c r="AG12" s="479"/>
      <c r="AH12" s="479"/>
      <c r="AI12" s="479"/>
      <c r="AJ12" s="479"/>
      <c r="AK12" s="79"/>
    </row>
    <row r="13" spans="1:44" ht="15" customHeight="1" x14ac:dyDescent="0.25">
      <c r="A13" s="77"/>
      <c r="B13" s="78"/>
      <c r="C13" s="1086" t="s">
        <v>261</v>
      </c>
      <c r="D13" s="1086"/>
      <c r="E13" s="1086"/>
      <c r="F13" s="1086"/>
      <c r="G13" s="1086"/>
      <c r="H13" s="1086"/>
      <c r="I13" s="1086"/>
      <c r="J13" s="1086"/>
      <c r="K13" s="1086"/>
      <c r="L13" s="1086"/>
      <c r="M13" s="1086"/>
      <c r="N13" s="1086"/>
      <c r="O13" s="1086"/>
      <c r="P13" s="1086"/>
      <c r="Q13" s="1086"/>
      <c r="R13" s="78"/>
      <c r="S13" s="647"/>
      <c r="T13" s="78"/>
      <c r="U13" s="1086" t="s">
        <v>261</v>
      </c>
      <c r="V13" s="1086"/>
      <c r="W13" s="1086"/>
      <c r="X13" s="1086"/>
      <c r="Y13" s="1086"/>
      <c r="Z13" s="1086"/>
      <c r="AA13" s="1086"/>
      <c r="AB13" s="1086"/>
      <c r="AC13" s="1086"/>
      <c r="AD13" s="1086"/>
      <c r="AE13" s="1086"/>
      <c r="AF13" s="1086"/>
      <c r="AG13" s="1086"/>
      <c r="AH13" s="1086"/>
      <c r="AI13" s="1086"/>
      <c r="AJ13" s="479"/>
      <c r="AK13" s="79"/>
    </row>
    <row r="14" spans="1:44" ht="15" customHeight="1" thickBot="1" x14ac:dyDescent="0.25">
      <c r="A14" s="77"/>
      <c r="B14" s="78"/>
      <c r="C14" s="78"/>
      <c r="D14" s="78"/>
      <c r="E14" s="78"/>
      <c r="F14" s="78"/>
      <c r="G14" s="78"/>
      <c r="H14" s="78"/>
      <c r="I14" s="78"/>
      <c r="J14" s="78"/>
      <c r="K14" s="78"/>
      <c r="L14" s="78"/>
      <c r="M14" s="78"/>
      <c r="N14" s="78"/>
      <c r="O14" s="78"/>
      <c r="P14" s="78"/>
      <c r="Q14" s="78"/>
      <c r="R14" s="78"/>
      <c r="S14" s="647"/>
      <c r="T14" s="78"/>
      <c r="U14" s="479"/>
      <c r="V14" s="479"/>
      <c r="W14" s="479"/>
      <c r="X14" s="479"/>
      <c r="Y14" s="479"/>
      <c r="Z14" s="479"/>
      <c r="AA14" s="479"/>
      <c r="AB14" s="479"/>
      <c r="AC14" s="479"/>
      <c r="AD14" s="479"/>
      <c r="AE14" s="479"/>
      <c r="AF14" s="479"/>
      <c r="AG14" s="479"/>
      <c r="AH14" s="479"/>
      <c r="AI14" s="479"/>
      <c r="AJ14" s="479"/>
      <c r="AK14" s="79"/>
    </row>
    <row r="15" spans="1:44" ht="15" customHeight="1" thickTop="1" thickBot="1" x14ac:dyDescent="0.25">
      <c r="A15" s="77"/>
      <c r="B15" s="78"/>
      <c r="C15" s="476" t="s">
        <v>262</v>
      </c>
      <c r="D15" s="1087">
        <v>3.13</v>
      </c>
      <c r="E15" s="1088"/>
      <c r="F15" s="1089"/>
      <c r="G15" s="476" t="s">
        <v>263</v>
      </c>
      <c r="H15" s="1087">
        <v>1.25</v>
      </c>
      <c r="I15" s="1088"/>
      <c r="J15" s="1089"/>
      <c r="K15" s="476" t="s">
        <v>264</v>
      </c>
      <c r="L15" s="1087">
        <v>7.5</v>
      </c>
      <c r="M15" s="1088"/>
      <c r="N15" s="1089"/>
      <c r="O15" s="78"/>
      <c r="P15" s="78"/>
      <c r="Q15" s="78"/>
      <c r="R15" s="78"/>
      <c r="S15" s="647"/>
      <c r="T15" s="78"/>
      <c r="U15" s="476" t="s">
        <v>262</v>
      </c>
      <c r="V15" s="1087">
        <f>D15</f>
        <v>3.13</v>
      </c>
      <c r="W15" s="1088"/>
      <c r="X15" s="1089"/>
      <c r="Y15" s="476" t="s">
        <v>263</v>
      </c>
      <c r="Z15" s="1087">
        <f>H15</f>
        <v>1.25</v>
      </c>
      <c r="AA15" s="1088"/>
      <c r="AB15" s="1089"/>
      <c r="AC15" s="476" t="s">
        <v>264</v>
      </c>
      <c r="AD15" s="1087">
        <v>7.5</v>
      </c>
      <c r="AE15" s="1088"/>
      <c r="AF15" s="1089"/>
      <c r="AG15" s="479"/>
      <c r="AH15" s="479"/>
      <c r="AI15" s="479"/>
      <c r="AJ15" s="479"/>
      <c r="AK15" s="79"/>
    </row>
    <row r="16" spans="1:44" ht="15" customHeight="1" thickTop="1" x14ac:dyDescent="0.2">
      <c r="A16" s="77"/>
      <c r="B16" s="78"/>
      <c r="C16" s="78"/>
      <c r="D16" s="78"/>
      <c r="E16" s="78"/>
      <c r="F16" s="78"/>
      <c r="G16" s="78"/>
      <c r="H16" s="78"/>
      <c r="I16" s="78"/>
      <c r="J16" s="78"/>
      <c r="K16" s="78"/>
      <c r="L16" s="78"/>
      <c r="M16" s="78"/>
      <c r="N16" s="78"/>
      <c r="O16" s="78"/>
      <c r="P16" s="78"/>
      <c r="Q16" s="78"/>
      <c r="R16" s="78"/>
      <c r="S16" s="647"/>
      <c r="T16" s="78"/>
      <c r="U16" s="479"/>
      <c r="V16" s="479"/>
      <c r="W16" s="479"/>
      <c r="X16" s="479"/>
      <c r="Y16" s="479"/>
      <c r="Z16" s="479"/>
      <c r="AA16" s="479"/>
      <c r="AB16" s="479"/>
      <c r="AC16" s="479"/>
      <c r="AD16" s="479"/>
      <c r="AE16" s="479"/>
      <c r="AF16" s="479"/>
      <c r="AG16" s="479"/>
      <c r="AH16" s="479"/>
      <c r="AI16" s="479"/>
      <c r="AJ16" s="479"/>
      <c r="AK16" s="79"/>
    </row>
    <row r="17" spans="1:43" ht="15" customHeight="1" thickBot="1" x14ac:dyDescent="0.25">
      <c r="A17" s="77"/>
      <c r="B17" s="78"/>
      <c r="C17" s="1079" t="s">
        <v>265</v>
      </c>
      <c r="D17" s="1079"/>
      <c r="E17" s="1079"/>
      <c r="F17" s="1079"/>
      <c r="G17" s="1079"/>
      <c r="H17" s="1079"/>
      <c r="I17" s="1079"/>
      <c r="J17" s="1079"/>
      <c r="K17" s="1079"/>
      <c r="L17" s="1079"/>
      <c r="M17" s="1079"/>
      <c r="N17" s="1079"/>
      <c r="O17" s="1079"/>
      <c r="P17" s="1079"/>
      <c r="Q17" s="1079"/>
      <c r="R17" s="78"/>
      <c r="S17" s="647"/>
      <c r="T17" s="78"/>
      <c r="U17" s="1079" t="s">
        <v>265</v>
      </c>
      <c r="V17" s="1079"/>
      <c r="W17" s="1079"/>
      <c r="X17" s="1079"/>
      <c r="Y17" s="1079"/>
      <c r="Z17" s="1079"/>
      <c r="AA17" s="1079"/>
      <c r="AB17" s="1079"/>
      <c r="AC17" s="1079"/>
      <c r="AD17" s="1079"/>
      <c r="AE17" s="1079"/>
      <c r="AF17" s="1079"/>
      <c r="AG17" s="1079"/>
      <c r="AH17" s="1079"/>
      <c r="AI17" s="1079"/>
      <c r="AJ17" s="479"/>
      <c r="AK17" s="79"/>
    </row>
    <row r="18" spans="1:43" ht="15" customHeight="1" thickTop="1" thickBot="1" x14ac:dyDescent="0.25">
      <c r="A18" s="77"/>
      <c r="B18" s="78"/>
      <c r="C18" s="476" t="s">
        <v>262</v>
      </c>
      <c r="D18" s="1080">
        <v>1.9E-2</v>
      </c>
      <c r="E18" s="1081"/>
      <c r="F18" s="1082"/>
      <c r="G18" s="476" t="s">
        <v>263</v>
      </c>
      <c r="H18" s="1080">
        <v>1.9E-2</v>
      </c>
      <c r="I18" s="1081"/>
      <c r="J18" s="1082"/>
      <c r="K18" s="476" t="s">
        <v>264</v>
      </c>
      <c r="L18" s="1080">
        <v>1.9E-2</v>
      </c>
      <c r="M18" s="1081"/>
      <c r="N18" s="1082"/>
      <c r="O18" s="78"/>
      <c r="P18" s="78"/>
      <c r="Q18" s="78"/>
      <c r="R18" s="78"/>
      <c r="S18" s="647"/>
      <c r="T18" s="78"/>
      <c r="U18" s="476" t="s">
        <v>262</v>
      </c>
      <c r="V18" s="1083">
        <f>D18</f>
        <v>1.9E-2</v>
      </c>
      <c r="W18" s="1084"/>
      <c r="X18" s="1085"/>
      <c r="Y18" s="476" t="s">
        <v>263</v>
      </c>
      <c r="Z18" s="1083">
        <f>H18</f>
        <v>1.9E-2</v>
      </c>
      <c r="AA18" s="1084"/>
      <c r="AB18" s="1085"/>
      <c r="AC18" s="476" t="s">
        <v>264</v>
      </c>
      <c r="AD18" s="1083">
        <f>L18</f>
        <v>1.9E-2</v>
      </c>
      <c r="AE18" s="1084"/>
      <c r="AF18" s="1085"/>
      <c r="AG18" s="479"/>
      <c r="AH18" s="479"/>
      <c r="AI18" s="479"/>
      <c r="AJ18" s="479"/>
      <c r="AK18" s="79"/>
    </row>
    <row r="19" spans="1:43" ht="15" customHeight="1" thickTop="1" thickBot="1" x14ac:dyDescent="0.25">
      <c r="A19" s="77"/>
      <c r="B19" s="78"/>
      <c r="C19" s="78"/>
      <c r="D19" s="480"/>
      <c r="E19" s="480"/>
      <c r="F19" s="480"/>
      <c r="G19" s="78"/>
      <c r="H19" s="78"/>
      <c r="I19" s="78"/>
      <c r="J19" s="78"/>
      <c r="K19" s="78"/>
      <c r="L19" s="78"/>
      <c r="M19" s="78"/>
      <c r="N19" s="78"/>
      <c r="O19" s="78"/>
      <c r="P19" s="78"/>
      <c r="Q19" s="78"/>
      <c r="R19" s="78"/>
      <c r="S19" s="647"/>
      <c r="T19" s="78"/>
      <c r="U19" s="479"/>
      <c r="V19" s="481"/>
      <c r="W19" s="481"/>
      <c r="X19" s="481"/>
      <c r="Y19" s="479"/>
      <c r="Z19" s="479"/>
      <c r="AA19" s="479"/>
      <c r="AB19" s="479"/>
      <c r="AC19" s="479"/>
      <c r="AD19" s="479"/>
      <c r="AE19" s="479"/>
      <c r="AF19" s="479"/>
      <c r="AG19" s="479"/>
      <c r="AH19" s="479"/>
      <c r="AI19" s="479"/>
      <c r="AJ19" s="479"/>
      <c r="AK19" s="79"/>
    </row>
    <row r="20" spans="1:43" ht="15" customHeight="1" thickTop="1" thickBot="1" x14ac:dyDescent="0.3">
      <c r="A20" s="80"/>
      <c r="B20" s="482"/>
      <c r="C20" s="1069" t="s">
        <v>266</v>
      </c>
      <c r="D20" s="1069"/>
      <c r="E20" s="1069"/>
      <c r="F20" s="1069"/>
      <c r="G20" s="1069"/>
      <c r="H20" s="1069"/>
      <c r="I20" s="1069"/>
      <c r="J20" s="1069"/>
      <c r="K20" s="1069"/>
      <c r="L20" s="1069"/>
      <c r="M20" s="1069"/>
      <c r="N20" s="1070"/>
      <c r="O20" s="1071"/>
      <c r="P20" s="1072"/>
      <c r="Q20" s="1073"/>
      <c r="R20" s="482"/>
      <c r="S20" s="645"/>
      <c r="T20" s="482"/>
      <c r="U20" s="1074" t="s">
        <v>266</v>
      </c>
      <c r="V20" s="1074"/>
      <c r="W20" s="1074"/>
      <c r="X20" s="1074"/>
      <c r="Y20" s="1074"/>
      <c r="Z20" s="1074"/>
      <c r="AA20" s="1074"/>
      <c r="AB20" s="1074"/>
      <c r="AC20" s="1074"/>
      <c r="AD20" s="1074"/>
      <c r="AE20" s="1074"/>
      <c r="AF20" s="1075"/>
      <c r="AG20" s="1071">
        <f>O20</f>
        <v>0</v>
      </c>
      <c r="AH20" s="1072"/>
      <c r="AI20" s="1073"/>
      <c r="AJ20" s="483"/>
      <c r="AK20" s="81"/>
    </row>
    <row r="21" spans="1:43" ht="15" customHeight="1" thickTop="1" thickBot="1" x14ac:dyDescent="0.3">
      <c r="A21" s="80"/>
      <c r="B21" s="482"/>
      <c r="C21" s="482"/>
      <c r="D21" s="482"/>
      <c r="E21" s="482"/>
      <c r="F21" s="482"/>
      <c r="G21" s="482"/>
      <c r="H21" s="482"/>
      <c r="I21" s="482"/>
      <c r="J21" s="482"/>
      <c r="K21" s="482"/>
      <c r="L21" s="482"/>
      <c r="M21" s="482"/>
      <c r="N21" s="482"/>
      <c r="O21" s="482"/>
      <c r="P21" s="482"/>
      <c r="Q21" s="482"/>
      <c r="R21" s="482"/>
      <c r="S21" s="645"/>
      <c r="T21" s="482"/>
      <c r="U21" s="483"/>
      <c r="V21" s="483"/>
      <c r="W21" s="483"/>
      <c r="X21" s="483"/>
      <c r="Y21" s="483"/>
      <c r="Z21" s="483"/>
      <c r="AA21" s="483"/>
      <c r="AB21" s="483"/>
      <c r="AC21" s="483"/>
      <c r="AD21" s="483"/>
      <c r="AE21" s="483"/>
      <c r="AF21" s="483"/>
      <c r="AG21" s="483"/>
      <c r="AH21" s="483"/>
      <c r="AI21" s="483"/>
      <c r="AJ21" s="483"/>
      <c r="AK21" s="81"/>
    </row>
    <row r="22" spans="1:43" ht="15" customHeight="1" thickTop="1" thickBot="1" x14ac:dyDescent="0.3">
      <c r="A22" s="80"/>
      <c r="B22" s="482"/>
      <c r="C22" s="484" t="s">
        <v>267</v>
      </c>
      <c r="D22" s="484"/>
      <c r="E22" s="482"/>
      <c r="F22" s="1076">
        <f>D11-D15-L15</f>
        <v>206.37</v>
      </c>
      <c r="G22" s="1077"/>
      <c r="H22" s="1078"/>
      <c r="I22" s="482"/>
      <c r="J22" s="484"/>
      <c r="K22" s="482"/>
      <c r="L22" s="482"/>
      <c r="M22" s="482"/>
      <c r="N22" s="482"/>
      <c r="O22" s="482"/>
      <c r="P22" s="482"/>
      <c r="Q22" s="482"/>
      <c r="R22" s="482"/>
      <c r="S22" s="645"/>
      <c r="T22" s="482"/>
      <c r="U22" s="484" t="s">
        <v>268</v>
      </c>
      <c r="V22" s="484"/>
      <c r="W22" s="482"/>
      <c r="X22" s="1076">
        <f>V11-V15-AD15</f>
        <v>206.37</v>
      </c>
      <c r="Y22" s="1077"/>
      <c r="Z22" s="1078"/>
      <c r="AA22" s="483"/>
      <c r="AB22" s="485"/>
      <c r="AC22" s="483"/>
      <c r="AD22" s="483"/>
      <c r="AE22" s="483"/>
      <c r="AF22" s="483"/>
      <c r="AG22" s="483"/>
      <c r="AH22" s="483"/>
      <c r="AI22" s="483"/>
      <c r="AJ22" s="483"/>
      <c r="AK22" s="81"/>
    </row>
    <row r="23" spans="1:43" ht="15" customHeight="1" thickTop="1" x14ac:dyDescent="0.25">
      <c r="A23" s="80"/>
      <c r="B23" s="482"/>
      <c r="C23" s="482"/>
      <c r="D23" s="482"/>
      <c r="E23" s="482"/>
      <c r="F23" s="482"/>
      <c r="G23" s="482"/>
      <c r="H23" s="482"/>
      <c r="I23" s="482"/>
      <c r="J23" s="482"/>
      <c r="K23" s="482"/>
      <c r="L23" s="482"/>
      <c r="M23" s="482"/>
      <c r="N23" s="482"/>
      <c r="O23" s="482"/>
      <c r="P23" s="482"/>
      <c r="Q23" s="482"/>
      <c r="R23" s="482"/>
      <c r="S23" s="645"/>
      <c r="T23" s="482"/>
      <c r="U23" s="483"/>
      <c r="V23" s="483"/>
      <c r="W23" s="483"/>
      <c r="X23" s="483"/>
      <c r="Y23" s="483"/>
      <c r="Z23" s="483"/>
      <c r="AA23" s="483"/>
      <c r="AB23" s="486"/>
      <c r="AC23" s="486"/>
      <c r="AD23" s="486"/>
      <c r="AE23" s="486"/>
      <c r="AF23" s="486"/>
      <c r="AG23" s="486"/>
      <c r="AH23" s="486"/>
      <c r="AI23" s="486"/>
      <c r="AJ23" s="483"/>
      <c r="AK23" s="81"/>
    </row>
    <row r="24" spans="1:43" ht="15" customHeight="1" thickBot="1" x14ac:dyDescent="0.3">
      <c r="A24" s="80"/>
      <c r="B24" s="482"/>
      <c r="C24" s="1064" t="s">
        <v>269</v>
      </c>
      <c r="D24" s="1064"/>
      <c r="E24" s="1068"/>
      <c r="F24" s="1068"/>
      <c r="G24" s="1064" t="s">
        <v>270</v>
      </c>
      <c r="H24" s="1064"/>
      <c r="I24" s="487"/>
      <c r="J24" s="1066" t="s">
        <v>271</v>
      </c>
      <c r="K24" s="1066"/>
      <c r="L24" s="487"/>
      <c r="M24" s="1066" t="s">
        <v>272</v>
      </c>
      <c r="N24" s="1066"/>
      <c r="O24" s="487"/>
      <c r="P24" s="1066" t="s">
        <v>273</v>
      </c>
      <c r="Q24" s="1066"/>
      <c r="R24" s="482"/>
      <c r="S24" s="645"/>
      <c r="T24" s="482"/>
      <c r="U24" s="1064" t="s">
        <v>269</v>
      </c>
      <c r="V24" s="1064"/>
      <c r="W24" s="1065"/>
      <c r="X24" s="1065"/>
      <c r="Y24" s="1064" t="s">
        <v>270</v>
      </c>
      <c r="Z24" s="1064"/>
      <c r="AA24" s="483"/>
      <c r="AB24" s="1066" t="s">
        <v>271</v>
      </c>
      <c r="AC24" s="1066"/>
      <c r="AD24" s="486"/>
      <c r="AE24" s="1066" t="s">
        <v>272</v>
      </c>
      <c r="AF24" s="1066"/>
      <c r="AG24" s="486"/>
      <c r="AH24" s="1066" t="s">
        <v>273</v>
      </c>
      <c r="AI24" s="1066"/>
      <c r="AJ24" s="483"/>
      <c r="AK24" s="81"/>
    </row>
    <row r="25" spans="1:43" ht="15" customHeight="1" thickTop="1" thickBot="1" x14ac:dyDescent="0.3">
      <c r="A25" s="80"/>
      <c r="B25" s="482"/>
      <c r="C25" s="1058">
        <v>5.05</v>
      </c>
      <c r="D25" s="1059"/>
      <c r="E25" s="1068"/>
      <c r="F25" s="1068"/>
      <c r="G25" s="1058">
        <v>5.09</v>
      </c>
      <c r="H25" s="1059"/>
      <c r="I25" s="487"/>
      <c r="J25" s="1049">
        <f>(C25+G25)/2</f>
        <v>5.07</v>
      </c>
      <c r="K25" s="1050"/>
      <c r="L25" s="486">
        <f>G29*D15/F22</f>
        <v>3.8372340941028239E-2</v>
      </c>
      <c r="M25" s="1060">
        <f>P25-J25</f>
        <v>-5.740000000000034E-2</v>
      </c>
      <c r="N25" s="1061"/>
      <c r="O25" s="487"/>
      <c r="P25" s="1062">
        <f>ROUND((J25-L25),4)-D18</f>
        <v>5.0125999999999999</v>
      </c>
      <c r="Q25" s="1050"/>
      <c r="R25" s="482"/>
      <c r="S25" s="645"/>
      <c r="T25" s="482"/>
      <c r="U25" s="1058">
        <v>12.32</v>
      </c>
      <c r="V25" s="1059"/>
      <c r="W25" s="1065"/>
      <c r="X25" s="1065"/>
      <c r="Y25" s="1058">
        <v>12.28</v>
      </c>
      <c r="Z25" s="1059"/>
      <c r="AA25" s="483"/>
      <c r="AB25" s="1049">
        <f>(U25+Y25)/2</f>
        <v>12.3</v>
      </c>
      <c r="AC25" s="1050"/>
      <c r="AD25" s="486">
        <f>Y29*V15/X22</f>
        <v>8.3418132480495759E-4</v>
      </c>
      <c r="AE25" s="1060">
        <f>AH25-AB25</f>
        <v>-1.980000000000004E-2</v>
      </c>
      <c r="AF25" s="1061"/>
      <c r="AG25" s="486"/>
      <c r="AH25" s="1063">
        <f>ROUND((AB25-AD25),4)-V18</f>
        <v>12.280200000000001</v>
      </c>
      <c r="AI25" s="1050"/>
      <c r="AJ25" s="483"/>
      <c r="AK25" s="81"/>
    </row>
    <row r="26" spans="1:43" ht="15" customHeight="1" thickTop="1" thickBot="1" x14ac:dyDescent="0.3">
      <c r="A26" s="80"/>
      <c r="B26" s="482"/>
      <c r="C26" s="1058">
        <v>6.26</v>
      </c>
      <c r="D26" s="1059"/>
      <c r="E26" s="1068"/>
      <c r="F26" s="1068"/>
      <c r="G26" s="1058">
        <v>6.3</v>
      </c>
      <c r="H26" s="1059"/>
      <c r="I26" s="487"/>
      <c r="J26" s="1049">
        <f>(C26+G26)/2</f>
        <v>6.2799999999999994</v>
      </c>
      <c r="K26" s="1050"/>
      <c r="L26" s="486">
        <f>G29*H15/F22</f>
        <v>1.5324417308717348E-2</v>
      </c>
      <c r="M26" s="1060">
        <f t="shared" ref="M26:M27" si="0">P26-J26</f>
        <v>-3.4299999999999109E-2</v>
      </c>
      <c r="N26" s="1061"/>
      <c r="O26" s="487"/>
      <c r="P26" s="1049">
        <f>ROUND((J26-L26),4)-H18</f>
        <v>6.2457000000000003</v>
      </c>
      <c r="Q26" s="1050"/>
      <c r="R26" s="482"/>
      <c r="S26" s="645"/>
      <c r="T26" s="482"/>
      <c r="U26" s="1067">
        <v>12.47</v>
      </c>
      <c r="V26" s="1059"/>
      <c r="W26" s="1065"/>
      <c r="X26" s="1065"/>
      <c r="Y26" s="1058">
        <v>12.24</v>
      </c>
      <c r="Z26" s="1059"/>
      <c r="AA26" s="483"/>
      <c r="AB26" s="1049">
        <f>(U26+Y26)/2</f>
        <v>12.355</v>
      </c>
      <c r="AC26" s="1050"/>
      <c r="AD26" s="486">
        <f>Y29*Z15/X22</f>
        <v>3.3313950671124505E-4</v>
      </c>
      <c r="AE26" s="1060">
        <f t="shared" ref="AE26:AE27" si="1">AH26-AB26</f>
        <v>-1.9300000000001205E-2</v>
      </c>
      <c r="AF26" s="1061"/>
      <c r="AG26" s="486"/>
      <c r="AH26" s="1063">
        <f>ROUND((AB26-AD26),4)-Z18</f>
        <v>12.335699999999999</v>
      </c>
      <c r="AI26" s="1050"/>
      <c r="AJ26" s="483"/>
      <c r="AK26" s="81"/>
    </row>
    <row r="27" spans="1:43" ht="15" customHeight="1" thickTop="1" thickBot="1" x14ac:dyDescent="0.3">
      <c r="A27" s="80"/>
      <c r="B27" s="482"/>
      <c r="C27" s="1058">
        <v>7.6</v>
      </c>
      <c r="D27" s="1059"/>
      <c r="E27" s="1068"/>
      <c r="F27" s="1068"/>
      <c r="G27" s="1058">
        <v>7.6</v>
      </c>
      <c r="H27" s="1059"/>
      <c r="I27" s="487"/>
      <c r="J27" s="1049">
        <f>(C27+G27)/2</f>
        <v>7.6</v>
      </c>
      <c r="K27" s="1050"/>
      <c r="L27" s="486">
        <f>G29*L15/F22</f>
        <v>9.1946503852304087E-2</v>
      </c>
      <c r="M27" s="1060">
        <f t="shared" si="0"/>
        <v>7.2900000000000631E-2</v>
      </c>
      <c r="N27" s="1061"/>
      <c r="O27" s="487"/>
      <c r="P27" s="1062">
        <f>ROUND((J27+L27),4)-L18</f>
        <v>7.6729000000000003</v>
      </c>
      <c r="Q27" s="1050"/>
      <c r="R27" s="482"/>
      <c r="S27" s="645"/>
      <c r="T27" s="482"/>
      <c r="U27" s="1058">
        <v>12.43</v>
      </c>
      <c r="V27" s="1059"/>
      <c r="W27" s="1065"/>
      <c r="X27" s="1065"/>
      <c r="Y27" s="1058">
        <v>12.28</v>
      </c>
      <c r="Z27" s="1059"/>
      <c r="AA27" s="483"/>
      <c r="AB27" s="1049">
        <f>(U27+Y27)/2</f>
        <v>12.355</v>
      </c>
      <c r="AC27" s="1050"/>
      <c r="AD27" s="486">
        <f>Y29*AD15/X22</f>
        <v>1.9988370402674702E-3</v>
      </c>
      <c r="AE27" s="1060">
        <f t="shared" si="1"/>
        <v>-1.7000000000001236E-2</v>
      </c>
      <c r="AF27" s="1061"/>
      <c r="AG27" s="486"/>
      <c r="AH27" s="1063">
        <f>ROUND((AB27+AD27),4)-AD18</f>
        <v>12.337999999999999</v>
      </c>
      <c r="AI27" s="1050"/>
      <c r="AJ27" s="483"/>
      <c r="AK27" s="81"/>
    </row>
    <row r="28" spans="1:43" ht="15" customHeight="1" thickTop="1" thickBot="1" x14ac:dyDescent="0.3">
      <c r="A28" s="80"/>
      <c r="B28" s="482"/>
      <c r="C28" s="488"/>
      <c r="D28" s="488"/>
      <c r="E28" s="1068"/>
      <c r="F28" s="1068"/>
      <c r="G28" s="488"/>
      <c r="H28" s="488"/>
      <c r="I28" s="487"/>
      <c r="J28" s="489"/>
      <c r="K28" s="489"/>
      <c r="L28" s="487"/>
      <c r="M28" s="489"/>
      <c r="N28" s="489"/>
      <c r="O28" s="487"/>
      <c r="P28" s="489"/>
      <c r="Q28" s="489"/>
      <c r="R28" s="482"/>
      <c r="S28" s="645"/>
      <c r="T28" s="482"/>
      <c r="U28" s="490"/>
      <c r="V28" s="490"/>
      <c r="W28" s="1065"/>
      <c r="X28" s="1065"/>
      <c r="Y28" s="490"/>
      <c r="Z28" s="490"/>
      <c r="AA28" s="483"/>
      <c r="AB28" s="491"/>
      <c r="AC28" s="491"/>
      <c r="AD28" s="486"/>
      <c r="AE28" s="491"/>
      <c r="AF28" s="491"/>
      <c r="AG28" s="486"/>
      <c r="AH28" s="491"/>
      <c r="AI28" s="491"/>
      <c r="AJ28" s="483"/>
      <c r="AK28" s="81"/>
    </row>
    <row r="29" spans="1:43" ht="15" customHeight="1" thickTop="1" thickBot="1" x14ac:dyDescent="0.3">
      <c r="A29" s="80"/>
      <c r="B29" s="487"/>
      <c r="C29" s="1041" t="s">
        <v>274</v>
      </c>
      <c r="D29" s="1041"/>
      <c r="E29" s="1041"/>
      <c r="F29" s="1057"/>
      <c r="G29" s="1049">
        <f>($J$27-$J$25)</f>
        <v>2.5299999999999994</v>
      </c>
      <c r="H29" s="1050"/>
      <c r="I29" s="487"/>
      <c r="J29" s="487"/>
      <c r="K29" s="487"/>
      <c r="L29" s="487"/>
      <c r="M29" s="492" t="s">
        <v>275</v>
      </c>
      <c r="N29" s="487"/>
      <c r="O29" s="487"/>
      <c r="P29" s="1049">
        <f>($P$27-$P$25)</f>
        <v>2.6603000000000003</v>
      </c>
      <c r="Q29" s="1050"/>
      <c r="R29" s="487"/>
      <c r="S29" s="645"/>
      <c r="T29" s="482"/>
      <c r="U29" s="1041" t="s">
        <v>274</v>
      </c>
      <c r="V29" s="1041"/>
      <c r="W29" s="1041"/>
      <c r="X29" s="1057"/>
      <c r="Y29" s="1049">
        <f>(AB27-AB25)</f>
        <v>5.4999999999999716E-2</v>
      </c>
      <c r="Z29" s="1050"/>
      <c r="AA29" s="486"/>
      <c r="AB29" s="486"/>
      <c r="AC29" s="486"/>
      <c r="AD29" s="486"/>
      <c r="AE29" s="492" t="s">
        <v>275</v>
      </c>
      <c r="AF29" s="486"/>
      <c r="AG29" s="486"/>
      <c r="AH29" s="1049">
        <f>(AH27-AH25)</f>
        <v>5.7799999999998519E-2</v>
      </c>
      <c r="AI29" s="1050"/>
      <c r="AJ29" s="486"/>
      <c r="AK29" s="81"/>
    </row>
    <row r="30" spans="1:43" ht="15" customHeight="1" thickTop="1" thickBot="1" x14ac:dyDescent="0.3">
      <c r="A30" s="80"/>
      <c r="B30" s="487"/>
      <c r="C30" s="487"/>
      <c r="D30" s="487"/>
      <c r="E30" s="487"/>
      <c r="F30" s="487"/>
      <c r="G30" s="487"/>
      <c r="H30" s="487"/>
      <c r="I30" s="487"/>
      <c r="J30" s="487"/>
      <c r="K30" s="487"/>
      <c r="L30" s="487"/>
      <c r="M30" s="487"/>
      <c r="N30" s="487"/>
      <c r="O30" s="487"/>
      <c r="P30" s="487"/>
      <c r="Q30" s="487"/>
      <c r="R30" s="487"/>
      <c r="S30" s="645"/>
      <c r="T30" s="482"/>
      <c r="U30" s="486"/>
      <c r="V30" s="486"/>
      <c r="W30" s="486"/>
      <c r="X30" s="486"/>
      <c r="Y30" s="486"/>
      <c r="Z30" s="486"/>
      <c r="AA30" s="486"/>
      <c r="AB30" s="486"/>
      <c r="AC30" s="486"/>
      <c r="AD30" s="486"/>
      <c r="AE30" s="486"/>
      <c r="AF30" s="486"/>
      <c r="AG30" s="486"/>
      <c r="AH30" s="486"/>
      <c r="AI30" s="486"/>
      <c r="AJ30" s="486"/>
      <c r="AK30" s="81"/>
    </row>
    <row r="31" spans="1:43" ht="15" customHeight="1" thickTop="1" thickBot="1" x14ac:dyDescent="0.3">
      <c r="A31" s="80"/>
      <c r="B31" s="487"/>
      <c r="C31" s="1051" t="s">
        <v>276</v>
      </c>
      <c r="D31" s="1051"/>
      <c r="E31" s="1051"/>
      <c r="F31" s="1051"/>
      <c r="G31" s="1051"/>
      <c r="H31" s="1051"/>
      <c r="I31" s="1051"/>
      <c r="J31" s="1052"/>
      <c r="K31" s="1053">
        <f>$O$31</f>
        <v>6.2699625000000001</v>
      </c>
      <c r="L31" s="1054"/>
      <c r="M31" s="1055" t="s">
        <v>277</v>
      </c>
      <c r="N31" s="1056"/>
      <c r="O31" s="1048">
        <f>(((P25+P27)/2+P26)/2+P26)/2-O20</f>
        <v>6.2699625000000001</v>
      </c>
      <c r="P31" s="1048"/>
      <c r="Q31" s="1048"/>
      <c r="R31" s="487"/>
      <c r="S31" s="645"/>
      <c r="T31" s="482"/>
      <c r="U31" s="1051" t="s">
        <v>276</v>
      </c>
      <c r="V31" s="1051"/>
      <c r="W31" s="1051"/>
      <c r="X31" s="1051"/>
      <c r="Y31" s="1051"/>
      <c r="Z31" s="1051"/>
      <c r="AA31" s="1051"/>
      <c r="AB31" s="1052"/>
      <c r="AC31" s="1053">
        <f>AG31</f>
        <v>12.329049999999999</v>
      </c>
      <c r="AD31" s="1054"/>
      <c r="AE31" s="1046" t="s">
        <v>277</v>
      </c>
      <c r="AF31" s="1047"/>
      <c r="AG31" s="1048">
        <f>(((AH25+AH27)/2+AH26)/2+AH26)/2-AG20</f>
        <v>12.329049999999999</v>
      </c>
      <c r="AH31" s="1048"/>
      <c r="AI31" s="1048"/>
      <c r="AJ31" s="486"/>
      <c r="AK31" s="81"/>
    </row>
    <row r="32" spans="1:43" ht="15" customHeight="1" thickTop="1" thickBot="1" x14ac:dyDescent="0.3">
      <c r="A32" s="80"/>
      <c r="B32" s="487"/>
      <c r="C32" s="487"/>
      <c r="D32" s="487"/>
      <c r="E32" s="487"/>
      <c r="F32" s="487"/>
      <c r="G32" s="487"/>
      <c r="H32" s="487"/>
      <c r="I32" s="487"/>
      <c r="J32" s="487"/>
      <c r="K32" s="487"/>
      <c r="L32" s="487"/>
      <c r="M32" s="487"/>
      <c r="N32" s="487"/>
      <c r="O32" s="487"/>
      <c r="P32" s="487"/>
      <c r="Q32" s="487"/>
      <c r="R32" s="487"/>
      <c r="S32" s="645"/>
      <c r="T32" s="482"/>
      <c r="U32" s="486"/>
      <c r="V32" s="486"/>
      <c r="W32" s="486"/>
      <c r="X32" s="486"/>
      <c r="Y32" s="486"/>
      <c r="Z32" s="486"/>
      <c r="AA32" s="486"/>
      <c r="AB32" s="486"/>
      <c r="AC32" s="486"/>
      <c r="AD32" s="486"/>
      <c r="AE32" s="486"/>
      <c r="AF32" s="486"/>
      <c r="AG32" s="486"/>
      <c r="AH32" s="486"/>
      <c r="AI32" s="486"/>
      <c r="AJ32" s="486"/>
      <c r="AK32" s="81"/>
      <c r="AN32" s="75" t="str">
        <f>IFERROR(IF(G33&gt;8,"HOGGING",""),"")</f>
        <v>HOGGING</v>
      </c>
      <c r="AQ32" s="76" t="str">
        <f>IFERROR(IF(AN32=M33,"hogging",""),"")</f>
        <v>hogging</v>
      </c>
    </row>
    <row r="33" spans="1:52" ht="15" customHeight="1" thickTop="1" thickBot="1" x14ac:dyDescent="0.3">
      <c r="A33" s="80"/>
      <c r="B33" s="487"/>
      <c r="C33" s="1041" t="s">
        <v>278</v>
      </c>
      <c r="D33" s="1041"/>
      <c r="E33" s="1041"/>
      <c r="F33" s="487"/>
      <c r="G33" s="1049">
        <f>ABS(AVERAGE(P25,P27)-P26)*100</f>
        <v>9.7050000000000303</v>
      </c>
      <c r="H33" s="1050"/>
      <c r="I33" s="487"/>
      <c r="J33" s="487" t="s">
        <v>279</v>
      </c>
      <c r="K33" s="492"/>
      <c r="L33" s="487"/>
      <c r="M33" s="1049" t="str">
        <f>IF(G33=0,"",IF(AVERAGE(P25,P27)&gt;P26,"HOGGING","SAGGING"))</f>
        <v>HOGGING</v>
      </c>
      <c r="N33" s="1050"/>
      <c r="O33" s="487"/>
      <c r="P33" s="487"/>
      <c r="Q33" s="487"/>
      <c r="R33" s="487"/>
      <c r="S33" s="645"/>
      <c r="T33" s="482"/>
      <c r="U33" s="1041" t="s">
        <v>280</v>
      </c>
      <c r="V33" s="1041"/>
      <c r="W33" s="1041"/>
      <c r="X33" s="486"/>
      <c r="Y33" s="1049">
        <f>ABS(AVERAGE(AH25,AH27)-AH26)*100</f>
        <v>2.6599999999998403</v>
      </c>
      <c r="Z33" s="1050"/>
      <c r="AA33" s="486"/>
      <c r="AB33" s="487" t="s">
        <v>279</v>
      </c>
      <c r="AC33" s="493"/>
      <c r="AD33" s="486"/>
      <c r="AE33" s="1049" t="str">
        <f>IF(Y33=0,"",IF(AVERAGE(AH25,AH27)&gt;AH26,"HOGGING","SAGGING"))</f>
        <v>SAGGING</v>
      </c>
      <c r="AF33" s="1050"/>
      <c r="AG33" s="486"/>
      <c r="AH33" s="486"/>
      <c r="AI33" s="486"/>
      <c r="AJ33" s="486"/>
      <c r="AK33" s="81"/>
      <c r="AN33" s="75" t="str">
        <f>IFERROR(IF(G33&gt;5,"SAGGING",""),"")</f>
        <v>SAGGING</v>
      </c>
      <c r="AQ33" s="76" t="str">
        <f>IFERROR(IF(AN33=M33,"sagging",""),"")</f>
        <v/>
      </c>
    </row>
    <row r="34" spans="1:52" ht="15" customHeight="1" thickTop="1" thickBot="1" x14ac:dyDescent="0.3">
      <c r="A34" s="80"/>
      <c r="B34" s="487"/>
      <c r="C34" s="494"/>
      <c r="D34" s="494"/>
      <c r="E34" s="494"/>
      <c r="F34" s="487"/>
      <c r="G34" s="437"/>
      <c r="H34" s="437"/>
      <c r="I34" s="487"/>
      <c r="J34" s="487"/>
      <c r="K34" s="492"/>
      <c r="L34" s="487"/>
      <c r="M34" s="437"/>
      <c r="N34" s="437"/>
      <c r="O34" s="487"/>
      <c r="P34" s="487"/>
      <c r="Q34" s="487"/>
      <c r="R34" s="487"/>
      <c r="S34" s="645"/>
      <c r="T34" s="482"/>
      <c r="U34" s="495"/>
      <c r="V34" s="495"/>
      <c r="W34" s="495"/>
      <c r="X34" s="486"/>
      <c r="Y34" s="438"/>
      <c r="Z34" s="438"/>
      <c r="AA34" s="486"/>
      <c r="AB34" s="486"/>
      <c r="AC34" s="493"/>
      <c r="AD34" s="486"/>
      <c r="AE34" s="438"/>
      <c r="AF34" s="438"/>
      <c r="AG34" s="486"/>
      <c r="AH34" s="486"/>
      <c r="AI34" s="486"/>
      <c r="AJ34" s="486"/>
      <c r="AK34" s="81"/>
    </row>
    <row r="35" spans="1:52" ht="15" customHeight="1" thickTop="1" thickBot="1" x14ac:dyDescent="0.3">
      <c r="A35" s="80"/>
      <c r="B35" s="487"/>
      <c r="C35" s="1041" t="s">
        <v>281</v>
      </c>
      <c r="D35" s="1041"/>
      <c r="E35" s="1041"/>
      <c r="F35" s="487"/>
      <c r="G35" s="1042">
        <f>ROUND(IF(C18="FORE",ABS(C26-G26)*100,ABS(C26-G26)*12),2)</f>
        <v>4</v>
      </c>
      <c r="H35" s="1043"/>
      <c r="I35" s="487"/>
      <c r="J35" s="487"/>
      <c r="K35" s="487" t="s">
        <v>282</v>
      </c>
      <c r="L35" s="487"/>
      <c r="M35" s="1044">
        <f>IF(G35=0,"",IF(C18="FORE",ABS(DEGREES(ATAN((C26-G26)/L11))),ABS(DEGREES(ATAN((C26*0.3048-G26*0.3048)/L11)))))</f>
        <v>7.104246763873058E-2</v>
      </c>
      <c r="N35" s="1045"/>
      <c r="O35" s="82" t="s">
        <v>127</v>
      </c>
      <c r="P35" s="83" t="str">
        <f>IF(C26=G26,"N",IF(C26&gt;G26,"P","S"))</f>
        <v>S</v>
      </c>
      <c r="Q35" s="487"/>
      <c r="R35" s="487"/>
      <c r="S35" s="645"/>
      <c r="T35" s="482"/>
      <c r="U35" s="1041" t="s">
        <v>281</v>
      </c>
      <c r="V35" s="1041"/>
      <c r="W35" s="1041"/>
      <c r="X35" s="486"/>
      <c r="Y35" s="1042">
        <f>ROUND(IF(U18="FORE",ABS(U26-Y26)*100,ABS(U26-Y26)*12),2)</f>
        <v>23</v>
      </c>
      <c r="Z35" s="1043"/>
      <c r="AA35" s="486"/>
      <c r="AB35" s="486"/>
      <c r="AC35" s="487" t="s">
        <v>282</v>
      </c>
      <c r="AD35" s="486"/>
      <c r="AE35" s="1044">
        <f>IF(Y35=0,"",IF(U18="FORE",ABS(DEGREES(ATAN((U26-Y26)/AD11))),ABS(DEGREES(ATAN((U26*0.3048-Y26*0.3048)/AD11)))))</f>
        <v>0.40848747710976246</v>
      </c>
      <c r="AF35" s="1045"/>
      <c r="AG35" s="82" t="s">
        <v>127</v>
      </c>
      <c r="AH35" s="83" t="str">
        <f>IF(U26=Y26,"N",IF(U26&gt;Y26,"P","S"))</f>
        <v>P</v>
      </c>
      <c r="AI35" s="486"/>
      <c r="AJ35" s="486"/>
      <c r="AK35" s="81"/>
      <c r="AN35" s="75" t="str">
        <f>IFERROR(IF(Y33&gt;8,"HOGGING",""),"")</f>
        <v/>
      </c>
      <c r="AQ35" s="76" t="str">
        <f>IFERROR(IF(AN35=AE33,"hogging",""),"")</f>
        <v/>
      </c>
    </row>
    <row r="36" spans="1:52" ht="15" customHeight="1" thickTop="1" thickBot="1" x14ac:dyDescent="0.3">
      <c r="A36" s="80"/>
      <c r="B36" s="487"/>
      <c r="C36" s="487"/>
      <c r="D36" s="487"/>
      <c r="E36" s="496"/>
      <c r="F36" s="487"/>
      <c r="G36" s="487"/>
      <c r="H36" s="487"/>
      <c r="I36" s="487"/>
      <c r="J36" s="487"/>
      <c r="K36" s="487"/>
      <c r="L36" s="487"/>
      <c r="M36" s="487"/>
      <c r="N36" s="487"/>
      <c r="O36" s="487"/>
      <c r="P36" s="487"/>
      <c r="Q36" s="487"/>
      <c r="R36" s="487"/>
      <c r="S36" s="645"/>
      <c r="T36" s="482"/>
      <c r="U36" s="486"/>
      <c r="V36" s="486"/>
      <c r="W36" s="486"/>
      <c r="X36" s="486"/>
      <c r="Y36" s="486"/>
      <c r="Z36" s="486"/>
      <c r="AA36" s="486"/>
      <c r="AB36" s="486"/>
      <c r="AC36" s="486"/>
      <c r="AD36" s="486"/>
      <c r="AE36" s="486"/>
      <c r="AF36" s="486"/>
      <c r="AG36" s="486"/>
      <c r="AH36" s="486"/>
      <c r="AI36" s="486"/>
      <c r="AJ36" s="486"/>
      <c r="AK36" s="81"/>
      <c r="AN36" s="75" t="str">
        <f>IFERROR(IF(Y33&gt;5,"SAGGING",""),"")</f>
        <v/>
      </c>
      <c r="AQ36" s="76" t="str">
        <f>IFERROR(IF(AN36=AE33,"sagging",""),"")</f>
        <v/>
      </c>
    </row>
    <row r="37" spans="1:52" ht="15" customHeight="1" thickTop="1" thickBot="1" x14ac:dyDescent="0.3">
      <c r="A37" s="80"/>
      <c r="B37" s="487"/>
      <c r="C37" s="492" t="s">
        <v>283</v>
      </c>
      <c r="D37" s="487"/>
      <c r="E37" s="487"/>
      <c r="F37" s="487"/>
      <c r="G37" s="487"/>
      <c r="H37" s="487"/>
      <c r="I37" s="487"/>
      <c r="J37" s="487"/>
      <c r="K37" s="487"/>
      <c r="L37" s="487"/>
      <c r="M37" s="1035">
        <f>M39-K31</f>
        <v>1.0062139312766227E-2</v>
      </c>
      <c r="N37" s="1036"/>
      <c r="O37" s="497"/>
      <c r="P37" s="497"/>
      <c r="Q37" s="487"/>
      <c r="R37" s="487"/>
      <c r="S37" s="645"/>
      <c r="T37" s="482"/>
      <c r="U37" s="492" t="s">
        <v>283</v>
      </c>
      <c r="V37" s="486"/>
      <c r="W37" s="486"/>
      <c r="X37" s="486"/>
      <c r="Y37" s="486"/>
      <c r="Z37" s="486"/>
      <c r="AA37" s="486"/>
      <c r="AB37" s="486"/>
      <c r="AC37" s="486"/>
      <c r="AD37" s="486"/>
      <c r="AE37" s="1035">
        <f>AE39-AC31</f>
        <v>-3.7315810106388625E-3</v>
      </c>
      <c r="AF37" s="1036"/>
      <c r="AG37" s="486"/>
      <c r="AH37" s="486"/>
      <c r="AI37" s="486"/>
      <c r="AJ37" s="486"/>
      <c r="AK37" s="81"/>
    </row>
    <row r="38" spans="1:52" ht="15" customHeight="1" thickTop="1" thickBot="1" x14ac:dyDescent="0.3">
      <c r="A38" s="80"/>
      <c r="B38" s="487"/>
      <c r="C38" s="487"/>
      <c r="D38" s="487"/>
      <c r="E38" s="487"/>
      <c r="F38" s="487"/>
      <c r="G38" s="487"/>
      <c r="H38" s="487"/>
      <c r="I38" s="487"/>
      <c r="J38" s="487"/>
      <c r="K38" s="487"/>
      <c r="L38" s="487"/>
      <c r="M38" s="487"/>
      <c r="N38" s="487"/>
      <c r="O38" s="498"/>
      <c r="P38" s="498"/>
      <c r="Q38" s="498"/>
      <c r="R38" s="498"/>
      <c r="S38" s="645"/>
      <c r="T38" s="482"/>
      <c r="U38" s="486"/>
      <c r="V38" s="486"/>
      <c r="W38" s="486"/>
      <c r="X38" s="486"/>
      <c r="Y38" s="486"/>
      <c r="Z38" s="486"/>
      <c r="AA38" s="486"/>
      <c r="AB38" s="486"/>
      <c r="AC38" s="486"/>
      <c r="AD38" s="486"/>
      <c r="AE38" s="486"/>
      <c r="AF38" s="486"/>
      <c r="AG38" s="486"/>
      <c r="AH38" s="486"/>
      <c r="AI38" s="486"/>
      <c r="AJ38" s="486"/>
      <c r="AK38" s="81"/>
    </row>
    <row r="39" spans="1:52" ht="15" customHeight="1" thickTop="1" thickBot="1" x14ac:dyDescent="0.3">
      <c r="A39" s="80"/>
      <c r="B39" s="487"/>
      <c r="C39" s="496" t="s">
        <v>606</v>
      </c>
      <c r="D39" s="496"/>
      <c r="E39" s="496"/>
      <c r="F39" s="487"/>
      <c r="G39" s="496"/>
      <c r="H39" s="496"/>
      <c r="I39" s="496"/>
      <c r="J39" s="496"/>
      <c r="K39" s="487"/>
      <c r="L39" s="487"/>
      <c r="M39" s="1037">
        <f>'wpc '!$H$19</f>
        <v>6.2800246393127663</v>
      </c>
      <c r="N39" s="1038"/>
      <c r="O39" s="1034">
        <f>K31-H41</f>
        <v>1.9962500000000105E-2</v>
      </c>
      <c r="P39" s="1002"/>
      <c r="Q39" s="1001">
        <f>M39-H41</f>
        <v>3.0024639312766332E-2</v>
      </c>
      <c r="R39" s="1001"/>
      <c r="S39" s="645"/>
      <c r="T39" s="482"/>
      <c r="U39" s="496" t="s">
        <v>606</v>
      </c>
      <c r="V39" s="499"/>
      <c r="W39" s="499"/>
      <c r="X39" s="499"/>
      <c r="Y39" s="499"/>
      <c r="Z39" s="499"/>
      <c r="AA39" s="499"/>
      <c r="AB39" s="499"/>
      <c r="AC39" s="486"/>
      <c r="AD39" s="486"/>
      <c r="AE39" s="1039">
        <f>'wpc '!$P$19</f>
        <v>12.32531841898936</v>
      </c>
      <c r="AF39" s="1040"/>
      <c r="AG39" s="1034">
        <f>AC31-Z41</f>
        <v>2.9049999999998022E-2</v>
      </c>
      <c r="AH39" s="1002"/>
      <c r="AI39" s="1001">
        <f>AE39-Z41</f>
        <v>2.5318418989359159E-2</v>
      </c>
      <c r="AJ39" s="1001"/>
      <c r="AK39" s="81"/>
    </row>
    <row r="40" spans="1:52" ht="15" customHeight="1" thickTop="1" thickBot="1" x14ac:dyDescent="0.3">
      <c r="A40" s="80"/>
      <c r="B40" s="482"/>
      <c r="C40" s="482"/>
      <c r="D40" s="482"/>
      <c r="E40" s="482"/>
      <c r="F40" s="482"/>
      <c r="G40" s="482"/>
      <c r="H40" s="482"/>
      <c r="I40" s="482"/>
      <c r="J40" s="482"/>
      <c r="K40" s="482"/>
      <c r="L40" s="482"/>
      <c r="M40" s="498"/>
      <c r="N40" s="498"/>
      <c r="O40" s="486"/>
      <c r="P40" s="486"/>
      <c r="Q40" s="486"/>
      <c r="R40" s="486"/>
      <c r="S40" s="648"/>
      <c r="T40" s="500"/>
      <c r="U40" s="483"/>
      <c r="V40" s="483"/>
      <c r="W40" s="483"/>
      <c r="X40" s="483"/>
      <c r="Y40" s="483"/>
      <c r="Z40" s="483"/>
      <c r="AA40" s="483"/>
      <c r="AB40" s="483"/>
      <c r="AC40" s="483"/>
      <c r="AD40" s="483"/>
      <c r="AE40" s="486"/>
      <c r="AF40" s="486"/>
      <c r="AG40" s="486"/>
      <c r="AH40" s="486"/>
      <c r="AI40" s="486"/>
      <c r="AJ40" s="486"/>
      <c r="AK40" s="81"/>
      <c r="AL40" s="84"/>
      <c r="AM40" s="84"/>
      <c r="AV40" s="85"/>
    </row>
    <row r="41" spans="1:52" ht="15" customHeight="1" thickTop="1" thickBot="1" x14ac:dyDescent="0.3">
      <c r="A41" s="80"/>
      <c r="B41" s="482"/>
      <c r="C41" s="501" t="s">
        <v>284</v>
      </c>
      <c r="D41" s="482"/>
      <c r="E41" s="482"/>
      <c r="F41" s="482"/>
      <c r="G41" s="502"/>
      <c r="H41" s="1032">
        <v>6.25</v>
      </c>
      <c r="I41" s="1033"/>
      <c r="J41" s="1021">
        <v>36502.9</v>
      </c>
      <c r="K41" s="1022"/>
      <c r="L41" s="1023"/>
      <c r="M41" s="1009">
        <f>ROUND((J42-J41),2)</f>
        <v>311.3</v>
      </c>
      <c r="N41" s="1010"/>
      <c r="O41" s="1011">
        <f>ROUND((M41/G42),1)</f>
        <v>6226</v>
      </c>
      <c r="P41" s="1011"/>
      <c r="Q41" s="486"/>
      <c r="R41" s="486"/>
      <c r="S41" s="648"/>
      <c r="T41" s="500"/>
      <c r="U41" s="503" t="s">
        <v>284</v>
      </c>
      <c r="V41" s="483"/>
      <c r="W41" s="483"/>
      <c r="X41" s="483"/>
      <c r="Y41" s="504"/>
      <c r="Z41" s="1032">
        <v>12.3</v>
      </c>
      <c r="AA41" s="1033"/>
      <c r="AB41" s="1021">
        <v>75752.3</v>
      </c>
      <c r="AC41" s="1022"/>
      <c r="AD41" s="1023"/>
      <c r="AE41" s="1009">
        <f>ROUND((AB42-AB41),2)</f>
        <v>337.8</v>
      </c>
      <c r="AF41" s="1010"/>
      <c r="AG41" s="1011">
        <f>ROUND((AE41/Y42),1)</f>
        <v>6756</v>
      </c>
      <c r="AH41" s="1011"/>
      <c r="AI41" s="486"/>
      <c r="AJ41" s="486"/>
      <c r="AK41" s="86"/>
      <c r="AL41" s="84"/>
      <c r="AM41" s="84"/>
      <c r="AN41" s="85"/>
      <c r="AO41" s="617"/>
      <c r="AP41" s="617"/>
      <c r="AQ41" s="617"/>
      <c r="AR41" s="618"/>
      <c r="AS41" s="618"/>
      <c r="AT41" s="618"/>
      <c r="AV41" s="85"/>
      <c r="AZ41" s="87"/>
    </row>
    <row r="42" spans="1:52" ht="15" customHeight="1" thickTop="1" thickBot="1" x14ac:dyDescent="0.3">
      <c r="A42" s="80"/>
      <c r="B42" s="482"/>
      <c r="C42" s="501"/>
      <c r="D42" s="482"/>
      <c r="E42" s="482"/>
      <c r="F42" s="482"/>
      <c r="G42" s="505">
        <f>ROUND((H42-H41),3)</f>
        <v>0.05</v>
      </c>
      <c r="H42" s="1032">
        <v>6.3</v>
      </c>
      <c r="I42" s="1033"/>
      <c r="J42" s="1021">
        <v>36814.199999999997</v>
      </c>
      <c r="K42" s="1022"/>
      <c r="L42" s="1023"/>
      <c r="M42" s="1024" t="s">
        <v>285</v>
      </c>
      <c r="N42" s="1025"/>
      <c r="O42" s="1018">
        <f>ROUND((O41*O39),2)</f>
        <v>124.29</v>
      </c>
      <c r="P42" s="1018"/>
      <c r="Q42" s="1026">
        <f>ROUND((O41*Q39),2)</f>
        <v>186.93</v>
      </c>
      <c r="R42" s="1026"/>
      <c r="S42" s="648"/>
      <c r="T42" s="500"/>
      <c r="U42" s="506"/>
      <c r="V42" s="483"/>
      <c r="W42" s="483"/>
      <c r="X42" s="483"/>
      <c r="Y42" s="505">
        <f>ROUND((Z42-Z41),3)</f>
        <v>0.05</v>
      </c>
      <c r="Z42" s="1032">
        <v>12.35</v>
      </c>
      <c r="AA42" s="1033"/>
      <c r="AB42" s="1021">
        <v>76090.100000000006</v>
      </c>
      <c r="AC42" s="1022"/>
      <c r="AD42" s="1023"/>
      <c r="AE42" s="1024" t="s">
        <v>285</v>
      </c>
      <c r="AF42" s="1025"/>
      <c r="AG42" s="1018">
        <f>ROUND((AG41*AG39),2)</f>
        <v>196.26</v>
      </c>
      <c r="AH42" s="1018"/>
      <c r="AI42" s="1026">
        <f>ROUND((AG41*AI39),2)</f>
        <v>171.05</v>
      </c>
      <c r="AJ42" s="1026"/>
      <c r="AK42" s="86"/>
      <c r="AL42" s="84"/>
      <c r="AM42" s="84"/>
      <c r="AN42" s="85"/>
      <c r="AO42" s="617"/>
      <c r="AP42" s="617"/>
      <c r="AQ42" s="617"/>
      <c r="AR42" s="618"/>
      <c r="AS42" s="618"/>
      <c r="AT42" s="618"/>
    </row>
    <row r="43" spans="1:52" ht="15" customHeight="1" thickTop="1" thickBot="1" x14ac:dyDescent="0.3">
      <c r="A43" s="80"/>
      <c r="B43" s="482"/>
      <c r="C43" s="501" t="s">
        <v>286</v>
      </c>
      <c r="D43" s="482"/>
      <c r="E43" s="482"/>
      <c r="F43" s="482"/>
      <c r="G43" s="483"/>
      <c r="H43" s="482"/>
      <c r="I43" s="482"/>
      <c r="J43" s="1027">
        <f>$J$41+$O$42</f>
        <v>36627.19</v>
      </c>
      <c r="K43" s="1028"/>
      <c r="L43" s="1029"/>
      <c r="M43" s="1030">
        <f>$J$41+$Q$42</f>
        <v>36689.83</v>
      </c>
      <c r="N43" s="1014"/>
      <c r="O43" s="1015"/>
      <c r="P43" s="498"/>
      <c r="Q43" s="498"/>
      <c r="R43" s="498"/>
      <c r="S43" s="648"/>
      <c r="T43" s="500"/>
      <c r="U43" s="503" t="s">
        <v>286</v>
      </c>
      <c r="V43" s="483"/>
      <c r="W43" s="483"/>
      <c r="X43" s="483"/>
      <c r="Y43" s="483"/>
      <c r="Z43" s="483">
        <v>35905.1</v>
      </c>
      <c r="AA43" s="483"/>
      <c r="AB43" s="987">
        <f>AB41+AG42</f>
        <v>75948.56</v>
      </c>
      <c r="AC43" s="934"/>
      <c r="AD43" s="1031"/>
      <c r="AE43" s="1013">
        <f>AB41+AI42</f>
        <v>75923.350000000006</v>
      </c>
      <c r="AF43" s="1014"/>
      <c r="AG43" s="1015"/>
      <c r="AH43" s="486"/>
      <c r="AI43" s="486"/>
      <c r="AJ43" s="486"/>
      <c r="AK43" s="86"/>
      <c r="AL43" s="84"/>
      <c r="AM43" s="84" t="s">
        <v>260</v>
      </c>
      <c r="AN43" s="85"/>
      <c r="AO43" s="617"/>
      <c r="AP43" s="617"/>
      <c r="AQ43" s="617"/>
      <c r="AR43" s="618"/>
      <c r="AS43" s="618"/>
      <c r="AT43" s="618"/>
    </row>
    <row r="44" spans="1:52" ht="15" customHeight="1" thickTop="1" thickBot="1" x14ac:dyDescent="0.3">
      <c r="A44" s="80"/>
      <c r="B44" s="482"/>
      <c r="C44" s="507"/>
      <c r="D44" s="482"/>
      <c r="E44" s="482"/>
      <c r="F44" s="482"/>
      <c r="G44" s="483"/>
      <c r="H44" s="482"/>
      <c r="I44" s="482"/>
      <c r="J44" s="482"/>
      <c r="K44" s="482"/>
      <c r="L44" s="482"/>
      <c r="M44" s="498"/>
      <c r="N44" s="498"/>
      <c r="O44" s="498"/>
      <c r="P44" s="498"/>
      <c r="Q44" s="498"/>
      <c r="R44" s="498"/>
      <c r="S44" s="648"/>
      <c r="T44" s="500"/>
      <c r="U44" s="508"/>
      <c r="V44" s="483"/>
      <c r="W44" s="483"/>
      <c r="X44" s="483"/>
      <c r="Y44" s="483"/>
      <c r="Z44" s="483"/>
      <c r="AA44" s="483"/>
      <c r="AB44" s="483"/>
      <c r="AC44" s="483"/>
      <c r="AD44" s="483"/>
      <c r="AE44" s="486"/>
      <c r="AF44" s="486"/>
      <c r="AG44" s="486"/>
      <c r="AH44" s="486"/>
      <c r="AI44" s="486"/>
      <c r="AJ44" s="486"/>
      <c r="AK44" s="86"/>
      <c r="AL44" s="84"/>
    </row>
    <row r="45" spans="1:52" ht="15" customHeight="1" thickTop="1" thickBot="1" x14ac:dyDescent="0.3">
      <c r="A45" s="80"/>
      <c r="B45" s="482"/>
      <c r="C45" s="501" t="s">
        <v>135</v>
      </c>
      <c r="D45" s="482"/>
      <c r="E45" s="482"/>
      <c r="F45" s="482"/>
      <c r="G45" s="483"/>
      <c r="H45" s="992">
        <f>H41</f>
        <v>6.25</v>
      </c>
      <c r="I45" s="993"/>
      <c r="J45" s="994">
        <v>62.231000000000002</v>
      </c>
      <c r="K45" s="937"/>
      <c r="L45" s="1016"/>
      <c r="M45" s="1017">
        <f>ROUND((J46-J45),2)</f>
        <v>0.04</v>
      </c>
      <c r="N45" s="1018"/>
      <c r="O45" s="1018">
        <f>ROUND((M45/G46),1)</f>
        <v>0.8</v>
      </c>
      <c r="P45" s="1018"/>
      <c r="Q45" s="1001">
        <f>M39-H45</f>
        <v>3.0024639312766332E-2</v>
      </c>
      <c r="R45" s="1001"/>
      <c r="S45" s="648"/>
      <c r="T45" s="500"/>
      <c r="U45" s="503" t="s">
        <v>135</v>
      </c>
      <c r="V45" s="483"/>
      <c r="W45" s="483"/>
      <c r="X45" s="483"/>
      <c r="Y45" s="483"/>
      <c r="Z45" s="1019">
        <f>Z41</f>
        <v>12.3</v>
      </c>
      <c r="AA45" s="1020"/>
      <c r="AB45" s="994">
        <v>67.483999999999995</v>
      </c>
      <c r="AC45" s="937"/>
      <c r="AD45" s="1016"/>
      <c r="AE45" s="1017">
        <f>ROUND((AB46-AB45),2)</f>
        <v>0.03</v>
      </c>
      <c r="AF45" s="1018"/>
      <c r="AG45" s="1018">
        <f>ROUND((AE45/Y46),1)</f>
        <v>0.6</v>
      </c>
      <c r="AH45" s="1018"/>
      <c r="AI45" s="1001">
        <f>AE39-Z45</f>
        <v>2.5318418989359159E-2</v>
      </c>
      <c r="AJ45" s="1001"/>
      <c r="AK45" s="86"/>
      <c r="AL45" s="84"/>
    </row>
    <row r="46" spans="1:52" ht="16.5" thickTop="1" thickBot="1" x14ac:dyDescent="0.3">
      <c r="A46" s="80"/>
      <c r="B46" s="482"/>
      <c r="C46" s="501"/>
      <c r="D46" s="482"/>
      <c r="E46" s="482"/>
      <c r="F46" s="482"/>
      <c r="G46" s="505">
        <f>ROUND((H46-H45),3)</f>
        <v>0.05</v>
      </c>
      <c r="H46" s="992">
        <f>H42</f>
        <v>6.3</v>
      </c>
      <c r="I46" s="993"/>
      <c r="J46" s="994">
        <v>62.273000000000003</v>
      </c>
      <c r="K46" s="937"/>
      <c r="L46" s="1016"/>
      <c r="M46" s="509"/>
      <c r="N46" s="509"/>
      <c r="O46" s="1001">
        <f>ROUND((O45*O39),3)</f>
        <v>1.6E-2</v>
      </c>
      <c r="P46" s="1001"/>
      <c r="Q46" s="1001">
        <f>ROUND((O45*Q39),3)</f>
        <v>2.4E-2</v>
      </c>
      <c r="R46" s="1001"/>
      <c r="S46" s="648"/>
      <c r="T46" s="500"/>
      <c r="U46" s="506"/>
      <c r="V46" s="483"/>
      <c r="W46" s="483"/>
      <c r="X46" s="483"/>
      <c r="Y46" s="505">
        <f>ROUND((Z46-Z45),3)</f>
        <v>0.05</v>
      </c>
      <c r="Z46" s="992">
        <f>Z42</f>
        <v>12.35</v>
      </c>
      <c r="AA46" s="993"/>
      <c r="AB46" s="994">
        <v>67.513999999999996</v>
      </c>
      <c r="AC46" s="937"/>
      <c r="AD46" s="1016"/>
      <c r="AE46" s="509"/>
      <c r="AF46" s="509"/>
      <c r="AG46" s="1001">
        <f>ROUND((AG45*AG39),3)</f>
        <v>1.7000000000000001E-2</v>
      </c>
      <c r="AH46" s="1001"/>
      <c r="AI46" s="1001">
        <f>ROUND((AG45*AI39),3)</f>
        <v>1.4999999999999999E-2</v>
      </c>
      <c r="AJ46" s="1001"/>
      <c r="AK46" s="86"/>
      <c r="AL46" s="84"/>
    </row>
    <row r="47" spans="1:52" ht="16.5" thickTop="1" thickBot="1" x14ac:dyDescent="0.3">
      <c r="A47" s="80"/>
      <c r="B47" s="482"/>
      <c r="C47" s="501" t="s">
        <v>287</v>
      </c>
      <c r="D47" s="482"/>
      <c r="E47" s="482"/>
      <c r="F47" s="482"/>
      <c r="G47" s="483"/>
      <c r="H47" s="482"/>
      <c r="I47" s="482"/>
      <c r="J47" s="985">
        <f>$J$45+$O$46</f>
        <v>62.247</v>
      </c>
      <c r="K47" s="925"/>
      <c r="L47" s="1012"/>
      <c r="M47" s="1013">
        <f>$J$45+$Q$46</f>
        <v>62.255000000000003</v>
      </c>
      <c r="N47" s="1014"/>
      <c r="O47" s="1015"/>
      <c r="P47" s="510"/>
      <c r="Q47" s="510"/>
      <c r="R47" s="510"/>
      <c r="S47" s="648"/>
      <c r="T47" s="500"/>
      <c r="U47" s="503" t="s">
        <v>287</v>
      </c>
      <c r="V47" s="483"/>
      <c r="W47" s="483"/>
      <c r="X47" s="483"/>
      <c r="Y47" s="483"/>
      <c r="Z47" s="483"/>
      <c r="AA47" s="483"/>
      <c r="AB47" s="985">
        <f>AB45+AG46</f>
        <v>67.500999999999991</v>
      </c>
      <c r="AC47" s="925"/>
      <c r="AD47" s="1012"/>
      <c r="AE47" s="1013">
        <f>AB45+AI46</f>
        <v>67.498999999999995</v>
      </c>
      <c r="AF47" s="1014"/>
      <c r="AG47" s="1015"/>
      <c r="AH47" s="509"/>
      <c r="AI47" s="509"/>
      <c r="AJ47" s="509"/>
      <c r="AK47" s="86"/>
      <c r="AL47" s="84"/>
    </row>
    <row r="48" spans="1:52" ht="16.5" thickTop="1" thickBot="1" x14ac:dyDescent="0.3">
      <c r="A48" s="80"/>
      <c r="B48" s="482"/>
      <c r="C48" s="507"/>
      <c r="D48" s="482"/>
      <c r="E48" s="482"/>
      <c r="F48" s="482"/>
      <c r="G48" s="483"/>
      <c r="H48" s="482"/>
      <c r="I48" s="482"/>
      <c r="J48" s="482"/>
      <c r="K48" s="482"/>
      <c r="L48" s="482"/>
      <c r="M48" s="498"/>
      <c r="N48" s="498"/>
      <c r="O48" s="498"/>
      <c r="P48" s="498"/>
      <c r="Q48" s="498"/>
      <c r="R48" s="498"/>
      <c r="S48" s="648"/>
      <c r="T48" s="500"/>
      <c r="U48" s="508"/>
      <c r="V48" s="483"/>
      <c r="W48" s="483"/>
      <c r="X48" s="483"/>
      <c r="Y48" s="483"/>
      <c r="Z48" s="483"/>
      <c r="AA48" s="483"/>
      <c r="AB48" s="483"/>
      <c r="AC48" s="483"/>
      <c r="AD48" s="483"/>
      <c r="AE48" s="486"/>
      <c r="AF48" s="486"/>
      <c r="AG48" s="486"/>
      <c r="AH48" s="486"/>
      <c r="AI48" s="486"/>
      <c r="AJ48" s="486"/>
      <c r="AK48" s="86"/>
      <c r="AL48" s="84"/>
    </row>
    <row r="49" spans="1:47" ht="16.5" thickTop="1" thickBot="1" x14ac:dyDescent="0.3">
      <c r="A49" s="80"/>
      <c r="B49" s="482"/>
      <c r="C49" s="501" t="s">
        <v>288</v>
      </c>
      <c r="D49" s="482"/>
      <c r="E49" s="482"/>
      <c r="F49" s="482"/>
      <c r="G49" s="483"/>
      <c r="H49" s="992">
        <f>H41</f>
        <v>6.25</v>
      </c>
      <c r="I49" s="993"/>
      <c r="J49" s="996">
        <v>115.03100000000001</v>
      </c>
      <c r="K49" s="997"/>
      <c r="L49" s="998"/>
      <c r="M49" s="1009">
        <f>J50-J49</f>
        <v>-6.1000000000007049E-2</v>
      </c>
      <c r="N49" s="1010"/>
      <c r="O49" s="1011"/>
      <c r="P49" s="1011"/>
      <c r="Q49" s="1002"/>
      <c r="R49" s="1002"/>
      <c r="S49" s="648"/>
      <c r="T49" s="500"/>
      <c r="U49" s="503" t="s">
        <v>288</v>
      </c>
      <c r="V49" s="483"/>
      <c r="W49" s="483"/>
      <c r="X49" s="483"/>
      <c r="Y49" s="483"/>
      <c r="Z49" s="992">
        <f>Z41</f>
        <v>12.3</v>
      </c>
      <c r="AA49" s="993"/>
      <c r="AB49" s="996">
        <v>106.81100000000001</v>
      </c>
      <c r="AC49" s="997"/>
      <c r="AD49" s="998"/>
      <c r="AE49" s="1009">
        <f>AB50-AB49</f>
        <v>-2.6000000000010459E-2</v>
      </c>
      <c r="AF49" s="1010"/>
      <c r="AG49" s="1011"/>
      <c r="AH49" s="1011"/>
      <c r="AI49" s="1002"/>
      <c r="AJ49" s="1002"/>
      <c r="AK49" s="86"/>
      <c r="AL49" s="84"/>
    </row>
    <row r="50" spans="1:47" ht="16.5" thickTop="1" thickBot="1" x14ac:dyDescent="0.3">
      <c r="A50" s="80"/>
      <c r="B50" s="482"/>
      <c r="C50" s="501"/>
      <c r="D50" s="482"/>
      <c r="E50" s="482"/>
      <c r="F50" s="482"/>
      <c r="G50" s="505">
        <f>ROUND((H50-H49),3)</f>
        <v>0.05</v>
      </c>
      <c r="H50" s="992">
        <f>H42</f>
        <v>6.3</v>
      </c>
      <c r="I50" s="993"/>
      <c r="J50" s="996">
        <v>114.97</v>
      </c>
      <c r="K50" s="997"/>
      <c r="L50" s="998"/>
      <c r="M50" s="999">
        <f>M49/G50</f>
        <v>-1.220000000000141</v>
      </c>
      <c r="N50" s="1000"/>
      <c r="O50" s="1001">
        <f>M50*O39</f>
        <v>-2.4354250000002943E-2</v>
      </c>
      <c r="P50" s="1001"/>
      <c r="Q50" s="1002">
        <f>M50*Q39</f>
        <v>-3.6630059961579156E-2</v>
      </c>
      <c r="R50" s="1002"/>
      <c r="S50" s="648"/>
      <c r="T50" s="500"/>
      <c r="U50" s="506"/>
      <c r="V50" s="483"/>
      <c r="W50" s="483"/>
      <c r="X50" s="483"/>
      <c r="Y50" s="505">
        <f>ROUND((Z50-Z49),3)</f>
        <v>0.05</v>
      </c>
      <c r="Z50" s="992">
        <f>Z42</f>
        <v>12.35</v>
      </c>
      <c r="AA50" s="993"/>
      <c r="AB50" s="996">
        <v>106.785</v>
      </c>
      <c r="AC50" s="997"/>
      <c r="AD50" s="998"/>
      <c r="AE50" s="999">
        <f>AE49/Y50</f>
        <v>-0.52000000000020918</v>
      </c>
      <c r="AF50" s="1000"/>
      <c r="AG50" s="1001">
        <f>AE50*AG39</f>
        <v>-1.5106000000005048E-2</v>
      </c>
      <c r="AH50" s="1001"/>
      <c r="AI50" s="1002">
        <f>AE50*AI39</f>
        <v>-1.3165577874472058E-2</v>
      </c>
      <c r="AJ50" s="1002"/>
      <c r="AK50" s="86"/>
      <c r="AL50" s="84"/>
    </row>
    <row r="51" spans="1:47" ht="16.5" thickTop="1" thickBot="1" x14ac:dyDescent="0.3">
      <c r="A51" s="80"/>
      <c r="B51" s="482"/>
      <c r="C51" s="501" t="s">
        <v>289</v>
      </c>
      <c r="D51" s="482"/>
      <c r="E51" s="482"/>
      <c r="F51" s="482"/>
      <c r="G51" s="511"/>
      <c r="H51" s="482"/>
      <c r="I51" s="482"/>
      <c r="J51" s="1003">
        <f>Planilha1!$K$16</f>
        <v>-6.5066000000000059</v>
      </c>
      <c r="K51" s="1004"/>
      <c r="L51" s="1005"/>
      <c r="M51" s="1006">
        <f>Planilha1!$K$33</f>
        <v>-6.4943999999999988</v>
      </c>
      <c r="N51" s="1007"/>
      <c r="O51" s="1008"/>
      <c r="P51" s="498"/>
      <c r="Q51" s="498"/>
      <c r="R51" s="498"/>
      <c r="S51" s="648"/>
      <c r="T51" s="500"/>
      <c r="U51" s="503" t="s">
        <v>289</v>
      </c>
      <c r="V51" s="483"/>
      <c r="W51" s="483"/>
      <c r="X51" s="483"/>
      <c r="Y51" s="483"/>
      <c r="Z51" s="483"/>
      <c r="AA51" s="483"/>
      <c r="AB51" s="1003">
        <f>Planilha1!$V$16</f>
        <v>1.7040999999999968</v>
      </c>
      <c r="AC51" s="1004"/>
      <c r="AD51" s="1005"/>
      <c r="AE51" s="1006">
        <f>Planilha1!$V$33</f>
        <v>1.7022000000000048</v>
      </c>
      <c r="AF51" s="1007"/>
      <c r="AG51" s="1008"/>
      <c r="AH51" s="486"/>
      <c r="AI51" s="486"/>
      <c r="AJ51" s="486"/>
      <c r="AK51" s="86"/>
      <c r="AL51" s="84"/>
    </row>
    <row r="52" spans="1:47" ht="16.5" thickTop="1" thickBot="1" x14ac:dyDescent="0.3">
      <c r="A52" s="80"/>
      <c r="B52" s="482"/>
      <c r="C52" s="507"/>
      <c r="D52" s="482"/>
      <c r="E52" s="482"/>
      <c r="F52" s="482"/>
      <c r="G52" s="482"/>
      <c r="H52" s="482"/>
      <c r="I52" s="482"/>
      <c r="J52" s="488"/>
      <c r="K52" s="482"/>
      <c r="L52" s="482"/>
      <c r="M52" s="498"/>
      <c r="N52" s="498"/>
      <c r="O52" s="498"/>
      <c r="P52" s="498"/>
      <c r="Q52" s="498"/>
      <c r="R52" s="498"/>
      <c r="S52" s="648"/>
      <c r="T52" s="500"/>
      <c r="U52" s="508"/>
      <c r="V52" s="483"/>
      <c r="W52" s="483"/>
      <c r="X52" s="483"/>
      <c r="Y52" s="483"/>
      <c r="Z52" s="483"/>
      <c r="AA52" s="483"/>
      <c r="AB52" s="490"/>
      <c r="AC52" s="483"/>
      <c r="AD52" s="483"/>
      <c r="AE52" s="486"/>
      <c r="AF52" s="486"/>
      <c r="AG52" s="486"/>
      <c r="AH52" s="486"/>
      <c r="AI52" s="486"/>
      <c r="AJ52" s="486"/>
      <c r="AK52" s="86"/>
      <c r="AL52" s="84"/>
    </row>
    <row r="53" spans="1:47" ht="16.5" thickTop="1" thickBot="1" x14ac:dyDescent="0.3">
      <c r="A53" s="80"/>
      <c r="B53" s="482"/>
      <c r="C53" s="501" t="s">
        <v>290</v>
      </c>
      <c r="D53" s="482"/>
      <c r="E53" s="482"/>
      <c r="F53" s="482"/>
      <c r="G53" s="482"/>
      <c r="H53" s="992">
        <f>K31+0.5</f>
        <v>6.7699625000000001</v>
      </c>
      <c r="I53" s="993"/>
      <c r="J53" s="994">
        <v>919.02</v>
      </c>
      <c r="K53" s="937"/>
      <c r="L53" s="995"/>
      <c r="M53" s="88"/>
      <c r="N53" s="512"/>
      <c r="O53" s="498"/>
      <c r="P53" s="498"/>
      <c r="Q53" s="498"/>
      <c r="R53" s="498"/>
      <c r="S53" s="648"/>
      <c r="T53" s="500"/>
      <c r="U53" s="503" t="s">
        <v>290</v>
      </c>
      <c r="V53" s="483"/>
      <c r="W53" s="483"/>
      <c r="X53" s="483"/>
      <c r="Y53" s="483"/>
      <c r="Z53" s="992">
        <f>AC31+0.5</f>
        <v>12.829049999999999</v>
      </c>
      <c r="AA53" s="993"/>
      <c r="AB53" s="994">
        <v>1136.123</v>
      </c>
      <c r="AC53" s="937"/>
      <c r="AD53" s="995"/>
      <c r="AE53" s="89"/>
      <c r="AF53" s="505"/>
      <c r="AG53" s="486"/>
      <c r="AH53" s="486"/>
      <c r="AI53" s="486"/>
      <c r="AJ53" s="486"/>
      <c r="AK53" s="86"/>
      <c r="AL53" s="84"/>
    </row>
    <row r="54" spans="1:47" ht="16.5" thickTop="1" thickBot="1" x14ac:dyDescent="0.3">
      <c r="A54" s="80"/>
      <c r="B54" s="482"/>
      <c r="C54" s="501" t="s">
        <v>291</v>
      </c>
      <c r="D54" s="482"/>
      <c r="E54" s="482"/>
      <c r="F54" s="482"/>
      <c r="G54" s="482"/>
      <c r="H54" s="992">
        <f>K31-0.5</f>
        <v>5.7699625000000001</v>
      </c>
      <c r="I54" s="993"/>
      <c r="J54" s="994">
        <v>893.37599999999998</v>
      </c>
      <c r="K54" s="937"/>
      <c r="L54" s="995"/>
      <c r="M54" s="88"/>
      <c r="N54" s="512"/>
      <c r="O54" s="498"/>
      <c r="P54" s="498"/>
      <c r="Q54" s="498"/>
      <c r="R54" s="498"/>
      <c r="S54" s="648"/>
      <c r="T54" s="500"/>
      <c r="U54" s="503" t="s">
        <v>291</v>
      </c>
      <c r="V54" s="483"/>
      <c r="W54" s="483"/>
      <c r="X54" s="483"/>
      <c r="Y54" s="483"/>
      <c r="Z54" s="992">
        <f>AC31-0.5</f>
        <v>11.829049999999999</v>
      </c>
      <c r="AA54" s="993"/>
      <c r="AB54" s="994">
        <v>1105.374</v>
      </c>
      <c r="AC54" s="937"/>
      <c r="AD54" s="995"/>
      <c r="AE54" s="89"/>
      <c r="AF54" s="505"/>
      <c r="AG54" s="486"/>
      <c r="AH54" s="486"/>
      <c r="AI54" s="486"/>
      <c r="AJ54" s="486"/>
      <c r="AK54" s="86"/>
      <c r="AL54" s="84"/>
    </row>
    <row r="55" spans="1:47" ht="16.5" thickTop="1" thickBot="1" x14ac:dyDescent="0.3">
      <c r="A55" s="80"/>
      <c r="B55" s="482"/>
      <c r="C55" s="501" t="s">
        <v>292</v>
      </c>
      <c r="D55" s="482"/>
      <c r="E55" s="482"/>
      <c r="F55" s="482"/>
      <c r="G55" s="482"/>
      <c r="H55" s="482"/>
      <c r="I55" s="482"/>
      <c r="J55" s="985">
        <f>J53-J54</f>
        <v>25.644000000000005</v>
      </c>
      <c r="K55" s="925"/>
      <c r="L55" s="986"/>
      <c r="M55" s="88"/>
      <c r="N55" s="512"/>
      <c r="O55" s="498"/>
      <c r="P55" s="498"/>
      <c r="Q55" s="498"/>
      <c r="R55" s="498"/>
      <c r="S55" s="648"/>
      <c r="T55" s="500"/>
      <c r="U55" s="503" t="s">
        <v>292</v>
      </c>
      <c r="V55" s="483"/>
      <c r="W55" s="483"/>
      <c r="X55" s="483"/>
      <c r="Y55" s="483"/>
      <c r="Z55" s="483"/>
      <c r="AA55" s="483"/>
      <c r="AB55" s="987">
        <f>AB53-AB54</f>
        <v>30.749000000000024</v>
      </c>
      <c r="AC55" s="934"/>
      <c r="AD55" s="988"/>
      <c r="AE55" s="89"/>
      <c r="AF55" s="505"/>
      <c r="AG55" s="486"/>
      <c r="AH55" s="486"/>
      <c r="AI55" s="486"/>
      <c r="AJ55" s="486"/>
      <c r="AK55" s="81"/>
    </row>
    <row r="56" spans="1:47" ht="17.25" thickTop="1" thickBot="1" x14ac:dyDescent="0.3">
      <c r="A56" s="80"/>
      <c r="B56" s="482"/>
      <c r="C56" s="507"/>
      <c r="D56" s="482"/>
      <c r="E56" s="482"/>
      <c r="F56" s="482"/>
      <c r="G56" s="482"/>
      <c r="H56" s="482"/>
      <c r="I56" s="482"/>
      <c r="J56" s="482"/>
      <c r="K56" s="482"/>
      <c r="L56" s="482"/>
      <c r="M56" s="498"/>
      <c r="N56" s="989" t="s">
        <v>285</v>
      </c>
      <c r="O56" s="990"/>
      <c r="P56" s="990"/>
      <c r="Q56" s="991"/>
      <c r="R56" s="498"/>
      <c r="S56" s="648"/>
      <c r="T56" s="500"/>
      <c r="U56" s="508"/>
      <c r="V56" s="483"/>
      <c r="W56" s="483"/>
      <c r="X56" s="483"/>
      <c r="Y56" s="483"/>
      <c r="Z56" s="483"/>
      <c r="AA56" s="483"/>
      <c r="AB56" s="483"/>
      <c r="AC56" s="483"/>
      <c r="AD56" s="483"/>
      <c r="AE56" s="486"/>
      <c r="AF56" s="989" t="s">
        <v>285</v>
      </c>
      <c r="AG56" s="990"/>
      <c r="AH56" s="990"/>
      <c r="AI56" s="991"/>
      <c r="AJ56" s="486"/>
      <c r="AK56" s="81"/>
    </row>
    <row r="57" spans="1:47" ht="16.5" customHeight="1" thickTop="1" thickBot="1" x14ac:dyDescent="0.3">
      <c r="A57" s="80"/>
      <c r="B57" s="482"/>
      <c r="C57" s="501" t="s">
        <v>293</v>
      </c>
      <c r="D57" s="482"/>
      <c r="E57" s="482"/>
      <c r="F57" s="482"/>
      <c r="G57" s="482"/>
      <c r="H57" s="970">
        <f>(P29*J47)*(J51*100)/D11</f>
        <v>-496.52762360878387</v>
      </c>
      <c r="I57" s="971"/>
      <c r="J57" s="971"/>
      <c r="K57" s="971"/>
      <c r="L57" s="972"/>
      <c r="M57" s="512"/>
      <c r="N57" s="979">
        <f>(P29*M47)*(M51*100)/D11</f>
        <v>-495.66031897769579</v>
      </c>
      <c r="O57" s="980"/>
      <c r="P57" s="980"/>
      <c r="Q57" s="981"/>
      <c r="R57" s="498"/>
      <c r="S57" s="648"/>
      <c r="T57" s="500"/>
      <c r="U57" s="503" t="s">
        <v>293</v>
      </c>
      <c r="V57" s="483"/>
      <c r="W57" s="483"/>
      <c r="X57" s="483"/>
      <c r="Y57" s="483"/>
      <c r="Z57" s="970">
        <f>(AH29*AB47)*(AB51*100)/V11</f>
        <v>3.0638915423870126</v>
      </c>
      <c r="AA57" s="971"/>
      <c r="AB57" s="971"/>
      <c r="AC57" s="971"/>
      <c r="AD57" s="972"/>
      <c r="AE57" s="505"/>
      <c r="AF57" s="979">
        <f>(AH29*AE47)*(AE51*100)/V11</f>
        <v>3.0603847524607595</v>
      </c>
      <c r="AG57" s="980"/>
      <c r="AH57" s="980"/>
      <c r="AI57" s="981"/>
      <c r="AJ57" s="486"/>
      <c r="AK57" s="81"/>
    </row>
    <row r="58" spans="1:47" ht="16.5" customHeight="1" thickTop="1" thickBot="1" x14ac:dyDescent="0.3">
      <c r="A58" s="80"/>
      <c r="B58" s="482"/>
      <c r="C58" s="501" t="s">
        <v>294</v>
      </c>
      <c r="D58" s="482"/>
      <c r="E58" s="482"/>
      <c r="F58" s="482"/>
      <c r="G58" s="482"/>
      <c r="H58" s="957">
        <f>(P29*P29)*(50*J55)/D11</f>
        <v>41.817423164046104</v>
      </c>
      <c r="I58" s="958"/>
      <c r="J58" s="958"/>
      <c r="K58" s="958"/>
      <c r="L58" s="959"/>
      <c r="M58" s="512"/>
      <c r="N58" s="979">
        <f>(P29*P29)*(50*J55)/D11</f>
        <v>41.817423164046104</v>
      </c>
      <c r="O58" s="980"/>
      <c r="P58" s="980"/>
      <c r="Q58" s="981"/>
      <c r="R58" s="498"/>
      <c r="S58" s="648"/>
      <c r="T58" s="500"/>
      <c r="U58" s="503" t="s">
        <v>294</v>
      </c>
      <c r="V58" s="483"/>
      <c r="W58" s="483"/>
      <c r="X58" s="483"/>
      <c r="Y58" s="483"/>
      <c r="Z58" s="957">
        <f>(AH29*AH29)*(50*AB55)/V11</f>
        <v>2.3669928377878992E-2</v>
      </c>
      <c r="AA58" s="958"/>
      <c r="AB58" s="958"/>
      <c r="AC58" s="958"/>
      <c r="AD58" s="959"/>
      <c r="AE58" s="505"/>
      <c r="AF58" s="979">
        <f>(AH29*AH29)*(50*AB55)/V11</f>
        <v>2.3669928377878992E-2</v>
      </c>
      <c r="AG58" s="980"/>
      <c r="AH58" s="980"/>
      <c r="AI58" s="981"/>
      <c r="AJ58" s="486"/>
      <c r="AK58" s="81"/>
    </row>
    <row r="59" spans="1:47" ht="16.5" customHeight="1" thickTop="1" thickBot="1" x14ac:dyDescent="0.3">
      <c r="A59" s="80"/>
      <c r="B59" s="482"/>
      <c r="C59" s="501" t="s">
        <v>295</v>
      </c>
      <c r="D59" s="482"/>
      <c r="E59" s="482"/>
      <c r="F59" s="482"/>
      <c r="G59" s="482"/>
      <c r="H59" s="964">
        <f>H57+H58</f>
        <v>-454.71020044473778</v>
      </c>
      <c r="I59" s="965"/>
      <c r="J59" s="965"/>
      <c r="K59" s="965"/>
      <c r="L59" s="966"/>
      <c r="M59" s="512"/>
      <c r="N59" s="982">
        <f>N57+N58</f>
        <v>-453.8428958136497</v>
      </c>
      <c r="O59" s="983"/>
      <c r="P59" s="983"/>
      <c r="Q59" s="984"/>
      <c r="R59" s="498"/>
      <c r="S59" s="648"/>
      <c r="T59" s="500"/>
      <c r="U59" s="503" t="s">
        <v>295</v>
      </c>
      <c r="V59" s="483"/>
      <c r="W59" s="483"/>
      <c r="X59" s="483"/>
      <c r="Y59" s="483"/>
      <c r="Z59" s="964">
        <f>Z57+Z58</f>
        <v>3.0875614707648915</v>
      </c>
      <c r="AA59" s="965"/>
      <c r="AB59" s="965"/>
      <c r="AC59" s="965"/>
      <c r="AD59" s="966"/>
      <c r="AE59" s="505"/>
      <c r="AF59" s="982">
        <f>AF57+AF58</f>
        <v>3.0840546808386384</v>
      </c>
      <c r="AG59" s="983"/>
      <c r="AH59" s="983"/>
      <c r="AI59" s="984"/>
      <c r="AJ59" s="486"/>
      <c r="AK59" s="81"/>
    </row>
    <row r="60" spans="1:47" ht="15.75" thickBot="1" x14ac:dyDescent="0.3">
      <c r="A60" s="80"/>
      <c r="B60" s="482"/>
      <c r="C60" s="507"/>
      <c r="D60" s="482"/>
      <c r="E60" s="482"/>
      <c r="F60" s="482"/>
      <c r="G60" s="482"/>
      <c r="H60" s="487"/>
      <c r="I60" s="487"/>
      <c r="J60" s="489"/>
      <c r="K60" s="487"/>
      <c r="L60" s="487"/>
      <c r="M60" s="498"/>
      <c r="N60" s="651"/>
      <c r="O60" s="651"/>
      <c r="P60" s="651"/>
      <c r="Q60" s="651"/>
      <c r="R60" s="498"/>
      <c r="S60" s="648"/>
      <c r="T60" s="500"/>
      <c r="U60" s="508"/>
      <c r="V60" s="483"/>
      <c r="W60" s="483"/>
      <c r="X60" s="483"/>
      <c r="Y60" s="483"/>
      <c r="Z60" s="483"/>
      <c r="AA60" s="483"/>
      <c r="AB60" s="490"/>
      <c r="AC60" s="483"/>
      <c r="AD60" s="483"/>
      <c r="AE60" s="486"/>
      <c r="AF60" s="651"/>
      <c r="AG60" s="651"/>
      <c r="AH60" s="651"/>
      <c r="AI60" s="651"/>
      <c r="AJ60" s="486"/>
      <c r="AK60" s="81"/>
    </row>
    <row r="61" spans="1:47" ht="15.75" thickBot="1" x14ac:dyDescent="0.3">
      <c r="A61" s="80"/>
      <c r="B61" s="482"/>
      <c r="C61" s="501" t="s">
        <v>296</v>
      </c>
      <c r="D61" s="482"/>
      <c r="E61" s="482"/>
      <c r="F61" s="482"/>
      <c r="G61" s="482"/>
      <c r="H61" s="970">
        <f>J43+H59</f>
        <v>36172.479799555265</v>
      </c>
      <c r="I61" s="971"/>
      <c r="J61" s="971"/>
      <c r="K61" s="971"/>
      <c r="L61" s="972"/>
      <c r="M61" s="498"/>
      <c r="N61" s="945">
        <f>M43+N59</f>
        <v>36235.987104186352</v>
      </c>
      <c r="O61" s="946"/>
      <c r="P61" s="946"/>
      <c r="Q61" s="947"/>
      <c r="R61" s="498"/>
      <c r="S61" s="648"/>
      <c r="T61" s="500"/>
      <c r="U61" s="503" t="s">
        <v>296</v>
      </c>
      <c r="V61" s="483"/>
      <c r="W61" s="483"/>
      <c r="X61" s="483"/>
      <c r="Y61" s="483"/>
      <c r="Z61" s="970">
        <f>AB43+Z59</f>
        <v>75951.64756147076</v>
      </c>
      <c r="AA61" s="971"/>
      <c r="AB61" s="971"/>
      <c r="AC61" s="971"/>
      <c r="AD61" s="972"/>
      <c r="AE61" s="486"/>
      <c r="AF61" s="945">
        <f>AE43+AF59</f>
        <v>75926.434054680838</v>
      </c>
      <c r="AG61" s="946"/>
      <c r="AH61" s="946"/>
      <c r="AI61" s="947"/>
      <c r="AJ61" s="486"/>
      <c r="AK61" s="81"/>
    </row>
    <row r="62" spans="1:47" ht="16.5" thickTop="1" thickBot="1" x14ac:dyDescent="0.3">
      <c r="A62" s="80"/>
      <c r="B62" s="482"/>
      <c r="C62" s="513" t="s">
        <v>297</v>
      </c>
      <c r="D62" s="482"/>
      <c r="E62" s="482"/>
      <c r="F62" s="482"/>
      <c r="G62" s="482"/>
      <c r="H62" s="973">
        <v>1.0149999999999999</v>
      </c>
      <c r="I62" s="974"/>
      <c r="J62" s="974"/>
      <c r="K62" s="974"/>
      <c r="L62" s="975"/>
      <c r="M62" s="498"/>
      <c r="N62" s="976">
        <f>H62</f>
        <v>1.0149999999999999</v>
      </c>
      <c r="O62" s="977"/>
      <c r="P62" s="977"/>
      <c r="Q62" s="978"/>
      <c r="R62" s="498"/>
      <c r="S62" s="648"/>
      <c r="T62" s="500"/>
      <c r="U62" s="503" t="s">
        <v>297</v>
      </c>
      <c r="V62" s="483"/>
      <c r="W62" s="483"/>
      <c r="X62" s="483"/>
      <c r="Y62" s="483"/>
      <c r="Z62" s="973">
        <v>1.0145</v>
      </c>
      <c r="AA62" s="974"/>
      <c r="AB62" s="974"/>
      <c r="AC62" s="974"/>
      <c r="AD62" s="975"/>
      <c r="AE62" s="486"/>
      <c r="AF62" s="976">
        <f>Z62</f>
        <v>1.0145</v>
      </c>
      <c r="AG62" s="977"/>
      <c r="AH62" s="977"/>
      <c r="AI62" s="978"/>
      <c r="AJ62" s="486"/>
      <c r="AK62" s="81"/>
    </row>
    <row r="63" spans="1:47" ht="16.5" thickTop="1" thickBot="1" x14ac:dyDescent="0.3">
      <c r="A63" s="80"/>
      <c r="B63" s="482"/>
      <c r="C63" s="501" t="s">
        <v>298</v>
      </c>
      <c r="D63" s="482"/>
      <c r="E63" s="482"/>
      <c r="F63" s="482"/>
      <c r="G63" s="482"/>
      <c r="H63" s="964">
        <f>(H61*H62)/1.025</f>
        <v>35819.577557608391</v>
      </c>
      <c r="I63" s="965"/>
      <c r="J63" s="965"/>
      <c r="K63" s="965"/>
      <c r="L63" s="966"/>
      <c r="M63" s="498"/>
      <c r="N63" s="930">
        <f>(N61*N62)/1.025</f>
        <v>35882.465278779651</v>
      </c>
      <c r="O63" s="931"/>
      <c r="P63" s="931"/>
      <c r="Q63" s="932"/>
      <c r="R63" s="498"/>
      <c r="S63" s="648"/>
      <c r="T63" s="500"/>
      <c r="U63" s="503" t="s">
        <v>298</v>
      </c>
      <c r="V63" s="483"/>
      <c r="W63" s="483"/>
      <c r="X63" s="483"/>
      <c r="Y63" s="483"/>
      <c r="Z63" s="964">
        <f>(Z61*Z62)/1.025</f>
        <v>75173.606293767894</v>
      </c>
      <c r="AA63" s="965"/>
      <c r="AB63" s="965"/>
      <c r="AC63" s="965"/>
      <c r="AD63" s="966"/>
      <c r="AE63" s="486"/>
      <c r="AF63" s="930">
        <f>(AF61*AF62)/1.025</f>
        <v>75148.65107168167</v>
      </c>
      <c r="AG63" s="931"/>
      <c r="AH63" s="931"/>
      <c r="AI63" s="932"/>
      <c r="AJ63" s="486"/>
      <c r="AK63" s="81"/>
    </row>
    <row r="64" spans="1:47" s="643" customFormat="1" ht="15.75" thickBot="1" x14ac:dyDescent="0.3">
      <c r="A64" s="634"/>
      <c r="B64" s="634"/>
      <c r="C64" s="636"/>
      <c r="D64" s="634"/>
      <c r="E64" s="634"/>
      <c r="F64" s="634"/>
      <c r="G64" s="634"/>
      <c r="H64" s="641"/>
      <c r="I64" s="641"/>
      <c r="J64" s="641"/>
      <c r="K64" s="641"/>
      <c r="L64" s="641"/>
      <c r="M64" s="635"/>
      <c r="N64" s="642"/>
      <c r="O64" s="642"/>
      <c r="P64" s="642"/>
      <c r="Q64" s="642"/>
      <c r="R64" s="635"/>
      <c r="S64" s="648"/>
      <c r="T64" s="637"/>
      <c r="U64" s="638"/>
      <c r="V64" s="639"/>
      <c r="W64" s="639"/>
      <c r="X64" s="639"/>
      <c r="Y64" s="639"/>
      <c r="Z64" s="641"/>
      <c r="AA64" s="641"/>
      <c r="AB64" s="641"/>
      <c r="AC64" s="641"/>
      <c r="AD64" s="641"/>
      <c r="AE64" s="640"/>
      <c r="AF64" s="642"/>
      <c r="AG64" s="642"/>
      <c r="AH64" s="642"/>
      <c r="AI64" s="642"/>
      <c r="AJ64" s="640"/>
      <c r="AK64" s="634"/>
      <c r="AO64" s="644"/>
      <c r="AP64" s="644"/>
      <c r="AQ64" s="644"/>
      <c r="AR64" s="644"/>
      <c r="AS64" s="644"/>
      <c r="AT64" s="644"/>
      <c r="AU64" s="644"/>
    </row>
    <row r="65" spans="1:47" ht="15.75" thickBot="1" x14ac:dyDescent="0.3">
      <c r="A65" s="80"/>
      <c r="B65" s="482"/>
      <c r="C65" s="501" t="s">
        <v>299</v>
      </c>
      <c r="D65" s="482"/>
      <c r="E65" s="482"/>
      <c r="F65" s="482"/>
      <c r="G65" s="482"/>
      <c r="H65" s="967">
        <v>853.93600000000004</v>
      </c>
      <c r="I65" s="968"/>
      <c r="J65" s="968"/>
      <c r="K65" s="968"/>
      <c r="L65" s="969"/>
      <c r="M65" s="498"/>
      <c r="N65" s="945">
        <f>H65</f>
        <v>853.93600000000004</v>
      </c>
      <c r="O65" s="946"/>
      <c r="P65" s="946"/>
      <c r="Q65" s="947"/>
      <c r="R65" s="498"/>
      <c r="S65" s="648"/>
      <c r="T65" s="500"/>
      <c r="U65" s="503" t="s">
        <v>299</v>
      </c>
      <c r="V65" s="483"/>
      <c r="W65" s="963" t="str">
        <f>IF(Z65&gt;H65,"PEDIR BDN","")</f>
        <v/>
      </c>
      <c r="X65" s="963"/>
      <c r="Y65" s="963"/>
      <c r="Z65" s="967">
        <v>833.81100000000004</v>
      </c>
      <c r="AA65" s="968"/>
      <c r="AB65" s="968"/>
      <c r="AC65" s="968"/>
      <c r="AD65" s="969"/>
      <c r="AE65" s="486"/>
      <c r="AF65" s="945">
        <f>Z65</f>
        <v>833.81100000000004</v>
      </c>
      <c r="AG65" s="946"/>
      <c r="AH65" s="946"/>
      <c r="AI65" s="947"/>
      <c r="AJ65" s="486"/>
      <c r="AK65" s="81"/>
    </row>
    <row r="66" spans="1:47" ht="16.5" thickTop="1" thickBot="1" x14ac:dyDescent="0.3">
      <c r="A66" s="80"/>
      <c r="B66" s="482"/>
      <c r="C66" s="501" t="s">
        <v>300</v>
      </c>
      <c r="D66" s="482"/>
      <c r="E66" s="482"/>
      <c r="F66" s="482"/>
      <c r="G66" s="482"/>
      <c r="H66" s="960">
        <v>239.85</v>
      </c>
      <c r="I66" s="961"/>
      <c r="J66" s="961"/>
      <c r="K66" s="961"/>
      <c r="L66" s="962"/>
      <c r="M66" s="498"/>
      <c r="N66" s="903">
        <f t="shared" ref="N66:N71" si="2">H66</f>
        <v>239.85</v>
      </c>
      <c r="O66" s="904"/>
      <c r="P66" s="904"/>
      <c r="Q66" s="905"/>
      <c r="R66" s="498"/>
      <c r="S66" s="648"/>
      <c r="T66" s="500"/>
      <c r="U66" s="503" t="s">
        <v>300</v>
      </c>
      <c r="V66" s="483"/>
      <c r="W66" s="963" t="str">
        <f>IF(Z66&gt;H66,"PEDIR BDN","")</f>
        <v/>
      </c>
      <c r="X66" s="963"/>
      <c r="Y66" s="963"/>
      <c r="Z66" s="960">
        <v>239.35</v>
      </c>
      <c r="AA66" s="961"/>
      <c r="AB66" s="961"/>
      <c r="AC66" s="961"/>
      <c r="AD66" s="962"/>
      <c r="AE66" s="486"/>
      <c r="AF66" s="903">
        <f t="shared" ref="AF66:AF71" si="3">Z66</f>
        <v>239.35</v>
      </c>
      <c r="AG66" s="904"/>
      <c r="AH66" s="904"/>
      <c r="AI66" s="905"/>
      <c r="AJ66" s="486"/>
      <c r="AK66" s="81"/>
    </row>
    <row r="67" spans="1:47" ht="16.5" thickTop="1" thickBot="1" x14ac:dyDescent="0.3">
      <c r="A67" s="80"/>
      <c r="B67" s="482"/>
      <c r="C67" s="501" t="s">
        <v>301</v>
      </c>
      <c r="D67" s="482"/>
      <c r="E67" s="482"/>
      <c r="F67" s="482"/>
      <c r="G67" s="482"/>
      <c r="H67" s="960">
        <v>39</v>
      </c>
      <c r="I67" s="961"/>
      <c r="J67" s="961"/>
      <c r="K67" s="961"/>
      <c r="L67" s="962"/>
      <c r="M67" s="498"/>
      <c r="N67" s="903">
        <f t="shared" si="2"/>
        <v>39</v>
      </c>
      <c r="O67" s="904"/>
      <c r="P67" s="904"/>
      <c r="Q67" s="905"/>
      <c r="R67" s="498"/>
      <c r="S67" s="648"/>
      <c r="T67" s="500"/>
      <c r="U67" s="503" t="s">
        <v>301</v>
      </c>
      <c r="V67" s="483"/>
      <c r="W67" s="483"/>
      <c r="X67" s="483"/>
      <c r="Y67" s="483"/>
      <c r="Z67" s="960">
        <v>37</v>
      </c>
      <c r="AA67" s="961"/>
      <c r="AB67" s="961"/>
      <c r="AC67" s="961"/>
      <c r="AD67" s="962"/>
      <c r="AE67" s="486"/>
      <c r="AF67" s="903">
        <f t="shared" si="3"/>
        <v>37</v>
      </c>
      <c r="AG67" s="904"/>
      <c r="AH67" s="904"/>
      <c r="AI67" s="905"/>
      <c r="AJ67" s="486"/>
      <c r="AK67" s="81"/>
    </row>
    <row r="68" spans="1:47" ht="16.5" thickTop="1" thickBot="1" x14ac:dyDescent="0.3">
      <c r="A68" s="80"/>
      <c r="B68" s="482"/>
      <c r="C68" s="501" t="s">
        <v>302</v>
      </c>
      <c r="D68" s="482"/>
      <c r="E68" s="482"/>
      <c r="F68" s="482"/>
      <c r="G68" s="482"/>
      <c r="H68" s="957">
        <f>Relato!$J$263</f>
        <v>20266.2</v>
      </c>
      <c r="I68" s="958"/>
      <c r="J68" s="958"/>
      <c r="K68" s="958"/>
      <c r="L68" s="959"/>
      <c r="M68" s="498"/>
      <c r="N68" s="903">
        <f t="shared" si="2"/>
        <v>20266.2</v>
      </c>
      <c r="O68" s="904"/>
      <c r="P68" s="904"/>
      <c r="Q68" s="905"/>
      <c r="R68" s="498"/>
      <c r="S68" s="648"/>
      <c r="T68" s="500"/>
      <c r="U68" s="503" t="s">
        <v>302</v>
      </c>
      <c r="V68" s="483"/>
      <c r="W68" s="483"/>
      <c r="X68" s="483"/>
      <c r="Y68" s="483"/>
      <c r="Z68" s="957">
        <f>Relato!$J$279</f>
        <v>387.7</v>
      </c>
      <c r="AA68" s="958"/>
      <c r="AB68" s="958"/>
      <c r="AC68" s="958"/>
      <c r="AD68" s="959"/>
      <c r="AE68" s="486"/>
      <c r="AF68" s="903">
        <f t="shared" si="3"/>
        <v>387.7</v>
      </c>
      <c r="AG68" s="904"/>
      <c r="AH68" s="904"/>
      <c r="AI68" s="905"/>
      <c r="AJ68" s="486"/>
      <c r="AK68" s="81"/>
    </row>
    <row r="69" spans="1:47" ht="16.5" thickTop="1" thickBot="1" x14ac:dyDescent="0.3">
      <c r="A69" s="80"/>
      <c r="B69" s="482"/>
      <c r="C69" s="501" t="s">
        <v>303</v>
      </c>
      <c r="D69" s="482"/>
      <c r="E69" s="482"/>
      <c r="F69" s="482"/>
      <c r="G69" s="482"/>
      <c r="H69" s="957">
        <f>Relato!$J$289</f>
        <v>159</v>
      </c>
      <c r="I69" s="958"/>
      <c r="J69" s="958"/>
      <c r="K69" s="958"/>
      <c r="L69" s="959"/>
      <c r="M69" s="498"/>
      <c r="N69" s="903">
        <f t="shared" si="2"/>
        <v>159</v>
      </c>
      <c r="O69" s="904"/>
      <c r="P69" s="904"/>
      <c r="Q69" s="905"/>
      <c r="R69" s="498"/>
      <c r="S69" s="648"/>
      <c r="T69" s="500"/>
      <c r="U69" s="503" t="s">
        <v>303</v>
      </c>
      <c r="V69" s="483"/>
      <c r="W69" s="483"/>
      <c r="X69" s="483"/>
      <c r="Y69" s="483"/>
      <c r="Z69" s="957">
        <f>Relato!$J$298</f>
        <v>130.5</v>
      </c>
      <c r="AA69" s="958"/>
      <c r="AB69" s="958"/>
      <c r="AC69" s="958"/>
      <c r="AD69" s="959"/>
      <c r="AE69" s="486"/>
      <c r="AF69" s="903">
        <f t="shared" si="3"/>
        <v>130.5</v>
      </c>
      <c r="AG69" s="904"/>
      <c r="AH69" s="904"/>
      <c r="AI69" s="905"/>
      <c r="AJ69" s="486"/>
      <c r="AK69" s="81"/>
    </row>
    <row r="70" spans="1:47" ht="14.25" hidden="1" customHeight="1" thickTop="1" thickBot="1" x14ac:dyDescent="0.3">
      <c r="A70" s="80"/>
      <c r="B70" s="482"/>
      <c r="C70" s="501" t="s">
        <v>304</v>
      </c>
      <c r="D70" s="482"/>
      <c r="E70" s="482"/>
      <c r="F70" s="482"/>
      <c r="G70" s="482"/>
      <c r="H70" s="951">
        <v>0</v>
      </c>
      <c r="I70" s="952"/>
      <c r="J70" s="952"/>
      <c r="K70" s="952"/>
      <c r="L70" s="953"/>
      <c r="M70" s="498"/>
      <c r="N70" s="903">
        <f>H70</f>
        <v>0</v>
      </c>
      <c r="O70" s="904"/>
      <c r="P70" s="904"/>
      <c r="Q70" s="905"/>
      <c r="R70" s="498"/>
      <c r="S70" s="648"/>
      <c r="T70" s="500"/>
      <c r="U70" s="503" t="s">
        <v>305</v>
      </c>
      <c r="V70" s="483"/>
      <c r="W70" s="483"/>
      <c r="X70" s="483"/>
      <c r="Y70" s="483"/>
      <c r="Z70" s="951">
        <v>0</v>
      </c>
      <c r="AA70" s="952"/>
      <c r="AB70" s="952"/>
      <c r="AC70" s="952"/>
      <c r="AD70" s="953"/>
      <c r="AE70" s="486"/>
      <c r="AF70" s="903">
        <f>Z70</f>
        <v>0</v>
      </c>
      <c r="AG70" s="904"/>
      <c r="AH70" s="904"/>
      <c r="AI70" s="905"/>
      <c r="AJ70" s="486"/>
      <c r="AK70" s="81"/>
    </row>
    <row r="71" spans="1:47" ht="16.5" thickTop="1" thickBot="1" x14ac:dyDescent="0.3">
      <c r="A71" s="80"/>
      <c r="B71" s="482"/>
      <c r="C71" s="501" t="s">
        <v>306</v>
      </c>
      <c r="D71" s="482"/>
      <c r="E71" s="482"/>
      <c r="F71" s="482"/>
      <c r="G71" s="482"/>
      <c r="H71" s="954">
        <v>0</v>
      </c>
      <c r="I71" s="955"/>
      <c r="J71" s="955"/>
      <c r="K71" s="955"/>
      <c r="L71" s="956"/>
      <c r="M71" s="498"/>
      <c r="N71" s="903">
        <f t="shared" si="2"/>
        <v>0</v>
      </c>
      <c r="O71" s="904"/>
      <c r="P71" s="904"/>
      <c r="Q71" s="905"/>
      <c r="R71" s="498"/>
      <c r="S71" s="648"/>
      <c r="T71" s="500"/>
      <c r="U71" s="503" t="s">
        <v>306</v>
      </c>
      <c r="V71" s="483"/>
      <c r="W71" s="483"/>
      <c r="X71" s="483"/>
      <c r="Y71" s="483"/>
      <c r="Z71" s="954">
        <v>28.5</v>
      </c>
      <c r="AA71" s="955"/>
      <c r="AB71" s="955"/>
      <c r="AC71" s="955"/>
      <c r="AD71" s="956"/>
      <c r="AE71" s="486"/>
      <c r="AF71" s="903">
        <f t="shared" si="3"/>
        <v>28.5</v>
      </c>
      <c r="AG71" s="904"/>
      <c r="AH71" s="904"/>
      <c r="AI71" s="905"/>
      <c r="AJ71" s="486"/>
      <c r="AK71" s="81"/>
    </row>
    <row r="72" spans="1:47" ht="16.5" customHeight="1" thickTop="1" thickBot="1" x14ac:dyDescent="0.3">
      <c r="A72" s="80"/>
      <c r="B72" s="482"/>
      <c r="C72" s="501" t="s">
        <v>307</v>
      </c>
      <c r="D72" s="482"/>
      <c r="E72" s="482"/>
      <c r="F72" s="482"/>
      <c r="G72" s="482"/>
      <c r="H72" s="939">
        <f>SUM(H65:L69,H71)</f>
        <v>21557.986000000001</v>
      </c>
      <c r="I72" s="940"/>
      <c r="J72" s="940"/>
      <c r="K72" s="940"/>
      <c r="L72" s="941"/>
      <c r="M72" s="498"/>
      <c r="N72" s="930">
        <f>SUM(H65:L71)</f>
        <v>21557.986000000001</v>
      </c>
      <c r="O72" s="931"/>
      <c r="P72" s="931"/>
      <c r="Q72" s="932"/>
      <c r="R72" s="498"/>
      <c r="S72" s="648"/>
      <c r="T72" s="500"/>
      <c r="U72" s="503" t="s">
        <v>307</v>
      </c>
      <c r="V72" s="483"/>
      <c r="W72" s="483"/>
      <c r="X72" s="483"/>
      <c r="Y72" s="483"/>
      <c r="Z72" s="939">
        <f>SUM(Z65:AD71)</f>
        <v>1656.8610000000001</v>
      </c>
      <c r="AA72" s="940"/>
      <c r="AB72" s="940"/>
      <c r="AC72" s="940"/>
      <c r="AD72" s="941"/>
      <c r="AE72" s="486"/>
      <c r="AF72" s="930">
        <f>SUM(Z65:AD71)</f>
        <v>1656.8610000000001</v>
      </c>
      <c r="AG72" s="931"/>
      <c r="AH72" s="931"/>
      <c r="AI72" s="932"/>
      <c r="AJ72" s="486"/>
      <c r="AK72" s="81"/>
    </row>
    <row r="73" spans="1:47" s="643" customFormat="1" ht="16.5" customHeight="1" thickBot="1" x14ac:dyDescent="0.3">
      <c r="A73" s="634"/>
      <c r="B73" s="634"/>
      <c r="C73" s="636"/>
      <c r="D73" s="634"/>
      <c r="E73" s="634"/>
      <c r="F73" s="634"/>
      <c r="G73" s="634"/>
      <c r="H73" s="641"/>
      <c r="I73" s="641"/>
      <c r="J73" s="641"/>
      <c r="K73" s="641"/>
      <c r="L73" s="641"/>
      <c r="M73" s="635"/>
      <c r="N73" s="642"/>
      <c r="O73" s="642"/>
      <c r="P73" s="642"/>
      <c r="Q73" s="642"/>
      <c r="R73" s="635"/>
      <c r="S73" s="648"/>
      <c r="T73" s="637"/>
      <c r="U73" s="638"/>
      <c r="V73" s="639"/>
      <c r="W73" s="639"/>
      <c r="X73" s="639"/>
      <c r="Y73" s="639"/>
      <c r="Z73" s="641"/>
      <c r="AA73" s="641"/>
      <c r="AB73" s="641"/>
      <c r="AC73" s="641"/>
      <c r="AD73" s="641"/>
      <c r="AE73" s="640"/>
      <c r="AF73" s="642"/>
      <c r="AG73" s="642"/>
      <c r="AH73" s="642"/>
      <c r="AI73" s="642"/>
      <c r="AJ73" s="640"/>
      <c r="AK73" s="634"/>
      <c r="AO73" s="644"/>
      <c r="AP73" s="644"/>
      <c r="AQ73" s="644"/>
      <c r="AR73" s="644"/>
      <c r="AS73" s="644"/>
      <c r="AT73" s="644"/>
      <c r="AU73" s="644"/>
    </row>
    <row r="74" spans="1:47" ht="16.5" customHeight="1" thickBot="1" x14ac:dyDescent="0.3">
      <c r="A74" s="80"/>
      <c r="B74" s="482"/>
      <c r="C74" s="501" t="s">
        <v>308</v>
      </c>
      <c r="D74" s="482"/>
      <c r="E74" s="482"/>
      <c r="F74" s="482"/>
      <c r="G74" s="482"/>
      <c r="H74" s="942">
        <f>H63-H72</f>
        <v>14261.59155760839</v>
      </c>
      <c r="I74" s="943"/>
      <c r="J74" s="943"/>
      <c r="K74" s="943"/>
      <c r="L74" s="944"/>
      <c r="M74" s="498"/>
      <c r="N74" s="945">
        <f>N63-N72</f>
        <v>14324.47927877965</v>
      </c>
      <c r="O74" s="946"/>
      <c r="P74" s="946"/>
      <c r="Q74" s="947"/>
      <c r="R74" s="498"/>
      <c r="S74" s="648"/>
      <c r="T74" s="500"/>
      <c r="U74" s="503" t="s">
        <v>308</v>
      </c>
      <c r="V74" s="483"/>
      <c r="W74" s="483"/>
      <c r="X74" s="483"/>
      <c r="Y74" s="483"/>
      <c r="Z74" s="948">
        <f>Z63-Z72</f>
        <v>73516.74529376789</v>
      </c>
      <c r="AA74" s="949"/>
      <c r="AB74" s="949"/>
      <c r="AC74" s="949"/>
      <c r="AD74" s="950"/>
      <c r="AE74" s="486"/>
      <c r="AF74" s="945">
        <f>AF63-AF72</f>
        <v>73491.790071681666</v>
      </c>
      <c r="AG74" s="946"/>
      <c r="AH74" s="946"/>
      <c r="AI74" s="947"/>
      <c r="AJ74" s="486"/>
      <c r="AK74" s="81"/>
    </row>
    <row r="75" spans="1:47" ht="16.5" customHeight="1" thickTop="1" thickBot="1" x14ac:dyDescent="0.3">
      <c r="A75" s="80"/>
      <c r="B75" s="482"/>
      <c r="C75" s="501" t="s">
        <v>309</v>
      </c>
      <c r="D75" s="482"/>
      <c r="E75" s="482"/>
      <c r="F75" s="482"/>
      <c r="G75" s="482"/>
      <c r="H75" s="900">
        <f>CAPA!$B$19</f>
        <v>13719</v>
      </c>
      <c r="I75" s="901"/>
      <c r="J75" s="901"/>
      <c r="K75" s="901"/>
      <c r="L75" s="902"/>
      <c r="M75" s="498"/>
      <c r="N75" s="903">
        <f>H75</f>
        <v>13719</v>
      </c>
      <c r="O75" s="904"/>
      <c r="P75" s="904"/>
      <c r="Q75" s="905"/>
      <c r="R75" s="498"/>
      <c r="S75" s="648"/>
      <c r="T75" s="500"/>
      <c r="U75" s="503" t="s">
        <v>310</v>
      </c>
      <c r="V75" s="483"/>
      <c r="W75" s="483"/>
      <c r="X75" s="483"/>
      <c r="Y75" s="483"/>
      <c r="Z75" s="924">
        <f>H74</f>
        <v>14261.59155760839</v>
      </c>
      <c r="AA75" s="925"/>
      <c r="AB75" s="925"/>
      <c r="AC75" s="925"/>
      <c r="AD75" s="926"/>
      <c r="AE75" s="486"/>
      <c r="AF75" s="903">
        <f>N74</f>
        <v>14324.47927877965</v>
      </c>
      <c r="AG75" s="904"/>
      <c r="AH75" s="904"/>
      <c r="AI75" s="905"/>
      <c r="AJ75" s="486"/>
      <c r="AK75" s="81"/>
    </row>
    <row r="76" spans="1:47" ht="16.5" customHeight="1" thickTop="1" thickBot="1" x14ac:dyDescent="0.3">
      <c r="A76" s="80"/>
      <c r="B76" s="482"/>
      <c r="C76" s="501" t="s">
        <v>304</v>
      </c>
      <c r="D76" s="482"/>
      <c r="E76" s="482"/>
      <c r="F76" s="482"/>
      <c r="G76" s="482"/>
      <c r="H76" s="900">
        <v>28.6</v>
      </c>
      <c r="I76" s="901"/>
      <c r="J76" s="901"/>
      <c r="K76" s="901"/>
      <c r="L76" s="902"/>
      <c r="M76" s="498"/>
      <c r="N76" s="903">
        <f>H76</f>
        <v>28.6</v>
      </c>
      <c r="O76" s="904"/>
      <c r="P76" s="904"/>
      <c r="Q76" s="905"/>
      <c r="R76" s="498"/>
      <c r="S76" s="648"/>
      <c r="T76" s="500"/>
      <c r="U76" s="503" t="s">
        <v>305</v>
      </c>
      <c r="V76" s="483"/>
      <c r="W76" s="483"/>
      <c r="X76" s="483"/>
      <c r="Y76" s="483"/>
      <c r="Z76" s="936">
        <v>0</v>
      </c>
      <c r="AA76" s="937"/>
      <c r="AB76" s="937"/>
      <c r="AC76" s="937"/>
      <c r="AD76" s="938"/>
      <c r="AE76" s="486"/>
      <c r="AF76" s="903">
        <f>Z76</f>
        <v>0</v>
      </c>
      <c r="AG76" s="904"/>
      <c r="AH76" s="904"/>
      <c r="AI76" s="905"/>
      <c r="AJ76" s="486"/>
      <c r="AK76" s="81"/>
    </row>
    <row r="77" spans="1:47" ht="16.5" customHeight="1" thickTop="1" thickBot="1" x14ac:dyDescent="0.3">
      <c r="A77" s="80"/>
      <c r="B77" s="482"/>
      <c r="C77" s="501" t="s">
        <v>311</v>
      </c>
      <c r="D77" s="482"/>
      <c r="E77" s="482"/>
      <c r="F77" s="482"/>
      <c r="G77" s="482"/>
      <c r="H77" s="921">
        <f>H74-(H75-H76)</f>
        <v>571.19155760839021</v>
      </c>
      <c r="I77" s="922"/>
      <c r="J77" s="922"/>
      <c r="K77" s="922"/>
      <c r="L77" s="923"/>
      <c r="M77" s="498"/>
      <c r="N77" s="903">
        <f>N74-(N75-N76)</f>
        <v>634.07927877965085</v>
      </c>
      <c r="O77" s="904"/>
      <c r="P77" s="904"/>
      <c r="Q77" s="905"/>
      <c r="R77" s="498"/>
      <c r="S77" s="648"/>
      <c r="T77" s="500"/>
      <c r="U77" s="503" t="s">
        <v>312</v>
      </c>
      <c r="V77" s="483"/>
      <c r="W77" s="483"/>
      <c r="X77" s="483"/>
      <c r="Y77" s="483"/>
      <c r="Z77" s="924">
        <f>Z74-Z75-H76+Z76</f>
        <v>59226.553736159498</v>
      </c>
      <c r="AA77" s="925"/>
      <c r="AB77" s="925"/>
      <c r="AC77" s="925"/>
      <c r="AD77" s="926"/>
      <c r="AE77" s="486"/>
      <c r="AF77" s="903">
        <f>AF74-AF75-N76+AF76</f>
        <v>59138.71079290202</v>
      </c>
      <c r="AG77" s="904"/>
      <c r="AH77" s="904"/>
      <c r="AI77" s="905"/>
      <c r="AJ77" s="486"/>
      <c r="AK77" s="81"/>
    </row>
    <row r="78" spans="1:47" ht="16.5" thickTop="1" thickBot="1" x14ac:dyDescent="0.3">
      <c r="A78" s="80"/>
      <c r="B78" s="482"/>
      <c r="C78" s="501" t="s">
        <v>313</v>
      </c>
      <c r="D78" s="482"/>
      <c r="E78" s="482"/>
      <c r="F78" s="482"/>
      <c r="G78" s="482"/>
      <c r="H78" s="927">
        <v>500</v>
      </c>
      <c r="I78" s="928"/>
      <c r="J78" s="928"/>
      <c r="K78" s="928"/>
      <c r="L78" s="929"/>
      <c r="M78" s="498"/>
      <c r="N78" s="930">
        <f>H78</f>
        <v>500</v>
      </c>
      <c r="O78" s="931"/>
      <c r="P78" s="931"/>
      <c r="Q78" s="932"/>
      <c r="R78" s="498"/>
      <c r="S78" s="648"/>
      <c r="T78" s="500"/>
      <c r="U78" s="503" t="s">
        <v>314</v>
      </c>
      <c r="V78" s="483"/>
      <c r="W78" s="483"/>
      <c r="X78" s="483"/>
      <c r="Y78" s="483"/>
      <c r="Z78" s="933">
        <v>58913.228999999999</v>
      </c>
      <c r="AA78" s="934"/>
      <c r="AB78" s="934"/>
      <c r="AC78" s="934"/>
      <c r="AD78" s="935"/>
      <c r="AE78" s="486"/>
      <c r="AF78" s="903">
        <f>Z78</f>
        <v>58913.228999999999</v>
      </c>
      <c r="AG78" s="904"/>
      <c r="AH78" s="904"/>
      <c r="AI78" s="905"/>
      <c r="AJ78" s="486"/>
      <c r="AK78" s="81"/>
    </row>
    <row r="79" spans="1:47" ht="16.5" thickTop="1" thickBot="1" x14ac:dyDescent="0.3">
      <c r="A79" s="80"/>
      <c r="B79" s="482"/>
      <c r="C79" s="482"/>
      <c r="D79" s="482"/>
      <c r="E79" s="482"/>
      <c r="F79" s="482"/>
      <c r="G79" s="482"/>
      <c r="H79" s="482"/>
      <c r="I79" s="482"/>
      <c r="J79" s="482"/>
      <c r="K79" s="482"/>
      <c r="L79" s="482"/>
      <c r="M79" s="498"/>
      <c r="N79" s="498"/>
      <c r="O79" s="498"/>
      <c r="P79" s="498"/>
      <c r="Q79" s="498"/>
      <c r="R79" s="498"/>
      <c r="S79" s="648"/>
      <c r="T79" s="500"/>
      <c r="U79" s="503" t="s">
        <v>315</v>
      </c>
      <c r="V79" s="483"/>
      <c r="W79" s="483"/>
      <c r="X79" s="483"/>
      <c r="Y79" s="483"/>
      <c r="Z79" s="896">
        <f>Z77-Z78</f>
        <v>313.32473615949857</v>
      </c>
      <c r="AA79" s="897"/>
      <c r="AB79" s="897"/>
      <c r="AC79" s="898">
        <f>Z79/Z78*100</f>
        <v>0.53184105077570709</v>
      </c>
      <c r="AD79" s="899"/>
      <c r="AE79" s="486"/>
      <c r="AF79" s="914">
        <f>AF77-AF78</f>
        <v>225.48179290202097</v>
      </c>
      <c r="AG79" s="915"/>
      <c r="AH79" s="915"/>
      <c r="AI79" s="652">
        <f>AF79/AF78*100</f>
        <v>0.38273541737462902</v>
      </c>
      <c r="AJ79" s="486"/>
      <c r="AK79" s="81"/>
    </row>
    <row r="80" spans="1:47" x14ac:dyDescent="0.2">
      <c r="A80" s="77"/>
      <c r="B80" s="78"/>
      <c r="C80" s="78"/>
      <c r="D80" s="78"/>
      <c r="E80" s="78"/>
      <c r="F80" s="78"/>
      <c r="G80" s="78"/>
      <c r="H80" s="78"/>
      <c r="I80" s="78"/>
      <c r="J80" s="78"/>
      <c r="K80" s="78"/>
      <c r="L80" s="78"/>
      <c r="M80" s="514"/>
      <c r="N80" s="514"/>
      <c r="O80" s="514"/>
      <c r="P80" s="514"/>
      <c r="Q80" s="514"/>
      <c r="R80" s="514"/>
      <c r="S80" s="649"/>
      <c r="T80" s="515"/>
      <c r="U80" s="516"/>
      <c r="V80" s="479"/>
      <c r="W80" s="479"/>
      <c r="X80" s="479"/>
      <c r="Y80" s="479"/>
      <c r="Z80" s="517"/>
      <c r="AA80" s="517"/>
      <c r="AB80" s="517"/>
      <c r="AC80" s="518"/>
      <c r="AD80" s="518"/>
      <c r="AE80" s="478"/>
      <c r="AF80" s="519"/>
      <c r="AG80" s="519"/>
      <c r="AH80" s="519"/>
      <c r="AI80" s="520"/>
      <c r="AJ80" s="478"/>
      <c r="AK80" s="79"/>
    </row>
    <row r="81" spans="1:39" ht="13.5" thickBot="1" x14ac:dyDescent="0.25">
      <c r="A81" s="77"/>
      <c r="B81" s="78"/>
      <c r="C81" s="78"/>
      <c r="D81" s="78"/>
      <c r="E81" s="78"/>
      <c r="F81" s="78"/>
      <c r="G81" s="78"/>
      <c r="H81" s="78"/>
      <c r="I81" s="78"/>
      <c r="J81" s="78"/>
      <c r="K81" s="78"/>
      <c r="L81" s="78"/>
      <c r="M81" s="515"/>
      <c r="N81" s="515"/>
      <c r="O81" s="515"/>
      <c r="P81" s="515"/>
      <c r="Q81" s="515"/>
      <c r="R81" s="515"/>
      <c r="S81" s="649"/>
      <c r="T81" s="515"/>
      <c r="U81" s="516"/>
      <c r="V81" s="479"/>
      <c r="W81" s="479"/>
      <c r="X81" s="479"/>
      <c r="Y81" s="479"/>
      <c r="AA81" s="889" t="s">
        <v>316</v>
      </c>
      <c r="AB81" s="889"/>
      <c r="AC81" s="889" t="s">
        <v>136</v>
      </c>
      <c r="AD81" s="889"/>
      <c r="AE81" s="478"/>
      <c r="AF81" s="519"/>
      <c r="AG81" s="519"/>
      <c r="AH81" s="519"/>
      <c r="AI81" s="520"/>
      <c r="AJ81" s="478"/>
      <c r="AK81" s="79"/>
      <c r="AM81" s="90" t="s">
        <v>317</v>
      </c>
    </row>
    <row r="82" spans="1:39" ht="14.25" customHeight="1" x14ac:dyDescent="0.2">
      <c r="A82" s="77"/>
      <c r="B82" s="78"/>
      <c r="C82" s="78"/>
      <c r="D82" s="78"/>
      <c r="E82" s="78"/>
      <c r="F82" s="78"/>
      <c r="G82" s="78"/>
      <c r="H82" s="916" t="s">
        <v>318</v>
      </c>
      <c r="I82" s="916"/>
      <c r="J82" s="916"/>
      <c r="K82" s="916"/>
      <c r="L82" s="916"/>
      <c r="M82" s="916"/>
      <c r="N82" s="916"/>
      <c r="O82" s="916"/>
      <c r="P82" s="916"/>
      <c r="Q82" s="916"/>
      <c r="R82" s="515"/>
      <c r="S82" s="649"/>
      <c r="T82" s="515"/>
      <c r="U82" s="917" t="s">
        <v>138</v>
      </c>
      <c r="V82" s="918"/>
      <c r="W82" s="918"/>
      <c r="X82" s="891">
        <v>59159.82</v>
      </c>
      <c r="Y82" s="891"/>
      <c r="Z82" s="891"/>
      <c r="AA82" s="891">
        <f>X82-Z78</f>
        <v>246.59100000000035</v>
      </c>
      <c r="AB82" s="891"/>
      <c r="AC82" s="919">
        <f>AA82/Z78*100</f>
        <v>0.41856643097936519</v>
      </c>
      <c r="AD82" s="920"/>
      <c r="AE82" s="479"/>
      <c r="AF82" s="517"/>
      <c r="AG82" s="517"/>
      <c r="AH82" s="517"/>
      <c r="AI82" s="518"/>
      <c r="AJ82" s="479"/>
      <c r="AK82" s="79"/>
      <c r="AM82" s="90" t="s">
        <v>319</v>
      </c>
    </row>
    <row r="83" spans="1:39" ht="14.25" customHeight="1" x14ac:dyDescent="0.2">
      <c r="A83" s="77"/>
      <c r="B83" s="78"/>
      <c r="C83" s="78"/>
      <c r="D83" s="78"/>
      <c r="E83" s="78"/>
      <c r="F83" s="78"/>
      <c r="G83" s="78"/>
      <c r="H83" s="916"/>
      <c r="I83" s="916"/>
      <c r="J83" s="916"/>
      <c r="K83" s="916"/>
      <c r="L83" s="916"/>
      <c r="M83" s="916"/>
      <c r="N83" s="916"/>
      <c r="O83" s="916"/>
      <c r="P83" s="916"/>
      <c r="Q83" s="916"/>
      <c r="R83" s="515"/>
      <c r="S83" s="649"/>
      <c r="T83" s="515"/>
      <c r="U83" s="894" t="s">
        <v>139</v>
      </c>
      <c r="V83" s="895"/>
      <c r="W83" s="895"/>
      <c r="X83" s="892">
        <v>59196.66</v>
      </c>
      <c r="Y83" s="892"/>
      <c r="Z83" s="892"/>
      <c r="AA83" s="892">
        <f>X83-Z78</f>
        <v>283.43100000000413</v>
      </c>
      <c r="AB83" s="892"/>
      <c r="AC83" s="887">
        <f>AA83/Z78*100</f>
        <v>0.48109907538764196</v>
      </c>
      <c r="AD83" s="888"/>
      <c r="AE83" s="479"/>
      <c r="AF83" s="517"/>
      <c r="AG83" s="517"/>
      <c r="AH83" s="517"/>
      <c r="AI83" s="518"/>
      <c r="AJ83" s="479"/>
      <c r="AK83" s="79"/>
      <c r="AM83" s="90" t="s">
        <v>320</v>
      </c>
    </row>
    <row r="84" spans="1:39" ht="16.5" customHeight="1" x14ac:dyDescent="0.2">
      <c r="A84" s="77"/>
      <c r="B84" s="78"/>
      <c r="C84" s="78"/>
      <c r="D84" s="78"/>
      <c r="E84" s="78"/>
      <c r="F84" s="78"/>
      <c r="G84" s="78"/>
      <c r="H84" s="893" t="s">
        <v>321</v>
      </c>
      <c r="I84" s="893"/>
      <c r="J84" s="893"/>
      <c r="K84" s="893"/>
      <c r="L84" s="893"/>
      <c r="M84" s="893"/>
      <c r="N84" s="893"/>
      <c r="O84" s="893"/>
      <c r="P84" s="893"/>
      <c r="Q84" s="893"/>
      <c r="R84" s="515"/>
      <c r="S84" s="649"/>
      <c r="T84" s="515"/>
      <c r="U84" s="894" t="s">
        <v>63</v>
      </c>
      <c r="V84" s="895"/>
      <c r="W84" s="895"/>
      <c r="X84" s="892">
        <v>59161.493999999999</v>
      </c>
      <c r="Y84" s="892"/>
      <c r="Z84" s="892"/>
      <c r="AA84" s="892">
        <f>X84-Z78</f>
        <v>248.26499999999942</v>
      </c>
      <c r="AB84" s="892"/>
      <c r="AC84" s="887">
        <f>AA84/Z78*100</f>
        <v>0.42140789804612377</v>
      </c>
      <c r="AD84" s="888"/>
      <c r="AE84" s="479"/>
      <c r="AF84" s="517"/>
      <c r="AG84" s="517"/>
      <c r="AH84" s="517"/>
      <c r="AI84" s="518"/>
      <c r="AJ84" s="479"/>
      <c r="AK84" s="79"/>
      <c r="AM84" s="90" t="s">
        <v>322</v>
      </c>
    </row>
    <row r="85" spans="1:39" ht="14.25" customHeight="1" x14ac:dyDescent="0.2">
      <c r="A85" s="77"/>
      <c r="B85" s="78"/>
      <c r="C85" s="78"/>
      <c r="D85" s="78"/>
      <c r="E85" s="78"/>
      <c r="F85" s="78"/>
      <c r="G85" s="78"/>
      <c r="H85" s="893"/>
      <c r="I85" s="893"/>
      <c r="J85" s="893"/>
      <c r="K85" s="893"/>
      <c r="L85" s="893"/>
      <c r="M85" s="893"/>
      <c r="N85" s="893"/>
      <c r="O85" s="893"/>
      <c r="P85" s="893"/>
      <c r="Q85" s="893"/>
      <c r="R85" s="515"/>
      <c r="S85" s="649"/>
      <c r="T85" s="515"/>
      <c r="U85" s="894" t="s">
        <v>322</v>
      </c>
      <c r="V85" s="895"/>
      <c r="W85" s="895"/>
      <c r="X85" s="892">
        <v>59165.608</v>
      </c>
      <c r="Y85" s="892"/>
      <c r="Z85" s="892"/>
      <c r="AA85" s="892">
        <f>X85-Z78</f>
        <v>252.37900000000081</v>
      </c>
      <c r="AB85" s="892"/>
      <c r="AC85" s="887">
        <f>AA85/Z78*100</f>
        <v>0.42839104948737539</v>
      </c>
      <c r="AD85" s="888"/>
      <c r="AE85" s="479"/>
      <c r="AF85" s="517"/>
      <c r="AG85" s="517"/>
      <c r="AH85" s="517"/>
      <c r="AI85" s="518"/>
      <c r="AJ85" s="479"/>
      <c r="AK85" s="79"/>
      <c r="AM85" s="90" t="s">
        <v>323</v>
      </c>
    </row>
    <row r="86" spans="1:39" ht="16.5" customHeight="1" x14ac:dyDescent="0.2">
      <c r="A86" s="77"/>
      <c r="B86" s="78"/>
      <c r="C86" s="78"/>
      <c r="D86" s="78"/>
      <c r="E86" s="78"/>
      <c r="F86" s="78"/>
      <c r="G86" s="78"/>
      <c r="H86" s="521"/>
      <c r="I86" s="78"/>
      <c r="J86" s="78"/>
      <c r="K86" s="78"/>
      <c r="L86" s="78"/>
      <c r="M86" s="515"/>
      <c r="N86" s="515"/>
      <c r="O86" s="515"/>
      <c r="P86" s="515"/>
      <c r="Q86" s="515"/>
      <c r="R86" s="515"/>
      <c r="S86" s="649"/>
      <c r="T86" s="515"/>
      <c r="U86" s="894" t="s">
        <v>317</v>
      </c>
      <c r="V86" s="895"/>
      <c r="W86" s="895"/>
      <c r="X86" s="892">
        <v>59150.286999999997</v>
      </c>
      <c r="Y86" s="892"/>
      <c r="Z86" s="892"/>
      <c r="AA86" s="892">
        <f>X86-Z78</f>
        <v>237.05799999999726</v>
      </c>
      <c r="AB86" s="892"/>
      <c r="AC86" s="887">
        <f>AA86/Z78*100</f>
        <v>0.40238500592116122</v>
      </c>
      <c r="AD86" s="888"/>
      <c r="AE86" s="479"/>
      <c r="AF86" s="479"/>
      <c r="AG86" s="479"/>
      <c r="AH86" s="479"/>
      <c r="AI86" s="479"/>
      <c r="AJ86" s="479"/>
      <c r="AK86" s="79"/>
      <c r="AM86" s="90" t="s">
        <v>324</v>
      </c>
    </row>
    <row r="87" spans="1:39" ht="16.5" customHeight="1" thickBot="1" x14ac:dyDescent="0.25">
      <c r="A87" s="91"/>
      <c r="B87" s="92"/>
      <c r="C87" s="92"/>
      <c r="D87" s="92"/>
      <c r="E87" s="92"/>
      <c r="F87" s="92"/>
      <c r="G87" s="92"/>
      <c r="H87" s="522"/>
      <c r="I87" s="92"/>
      <c r="J87" s="92"/>
      <c r="K87" s="92"/>
      <c r="L87" s="92"/>
      <c r="M87" s="523"/>
      <c r="N87" s="523"/>
      <c r="O87" s="523"/>
      <c r="P87" s="523"/>
      <c r="Q87" s="523"/>
      <c r="R87" s="523"/>
      <c r="S87" s="650"/>
      <c r="T87" s="523"/>
      <c r="U87" s="894"/>
      <c r="V87" s="895"/>
      <c r="W87" s="895"/>
      <c r="X87" s="892"/>
      <c r="Y87" s="892"/>
      <c r="Z87" s="892"/>
      <c r="AA87" s="892">
        <f>X87-Z78</f>
        <v>-58913.228999999999</v>
      </c>
      <c r="AB87" s="892"/>
      <c r="AC87" s="887">
        <f>AA87/Z78*100</f>
        <v>-100</v>
      </c>
      <c r="AD87" s="888"/>
      <c r="AE87" s="524"/>
      <c r="AF87" s="524"/>
      <c r="AG87" s="524"/>
      <c r="AH87" s="524"/>
      <c r="AI87" s="524"/>
      <c r="AJ87" s="524"/>
      <c r="AK87" s="94"/>
      <c r="AM87" s="90" t="s">
        <v>325</v>
      </c>
    </row>
    <row r="88" spans="1:39" ht="12" hidden="1" customHeight="1" x14ac:dyDescent="0.2">
      <c r="A88" s="91"/>
      <c r="B88" s="92"/>
      <c r="C88" s="92"/>
      <c r="D88" s="92"/>
      <c r="E88" s="92"/>
      <c r="F88" s="92"/>
      <c r="G88" s="92"/>
      <c r="H88" s="92"/>
      <c r="I88" s="92"/>
      <c r="J88" s="92"/>
      <c r="K88" s="92"/>
      <c r="L88" s="92"/>
      <c r="M88" s="92"/>
      <c r="N88" s="92"/>
      <c r="O88" s="92"/>
      <c r="P88" s="92"/>
      <c r="Q88" s="92"/>
      <c r="R88" s="92"/>
      <c r="S88" s="93"/>
      <c r="T88" s="92"/>
      <c r="U88" s="92"/>
      <c r="V88" s="92"/>
      <c r="W88" s="92"/>
      <c r="X88" s="92"/>
      <c r="Y88" s="92"/>
      <c r="Z88" s="92"/>
      <c r="AA88" s="92"/>
      <c r="AB88" s="92"/>
      <c r="AC88" s="92"/>
      <c r="AD88" s="92"/>
      <c r="AE88" s="92"/>
      <c r="AF88" s="92"/>
      <c r="AG88" s="92"/>
      <c r="AH88" s="92"/>
      <c r="AI88" s="92"/>
      <c r="AJ88" s="92"/>
      <c r="AK88" s="94"/>
      <c r="AM88" s="90"/>
    </row>
    <row r="89" spans="1:39" ht="15.75" customHeight="1" thickBot="1" x14ac:dyDescent="0.25">
      <c r="A89" s="908" t="s">
        <v>326</v>
      </c>
      <c r="B89" s="909"/>
      <c r="C89" s="909"/>
      <c r="D89" s="909"/>
      <c r="E89" s="909"/>
      <c r="F89" s="910">
        <v>10.5</v>
      </c>
      <c r="G89" s="911"/>
      <c r="H89" s="906" t="s">
        <v>327</v>
      </c>
      <c r="I89" s="906"/>
      <c r="J89" s="906"/>
      <c r="K89" s="910">
        <v>5</v>
      </c>
      <c r="L89" s="911"/>
      <c r="M89" s="912" t="s">
        <v>328</v>
      </c>
      <c r="N89" s="913"/>
      <c r="O89" s="910">
        <v>78</v>
      </c>
      <c r="P89" s="911"/>
      <c r="Q89" s="906" t="s">
        <v>329</v>
      </c>
      <c r="R89" s="906"/>
      <c r="S89" s="907">
        <f>-ROUND(IF(K89=0,0,(O89*O89*K89*27.5*0.0216)/1000+F89),1)</f>
        <v>-28.6</v>
      </c>
      <c r="T89" s="907"/>
      <c r="U89" s="907"/>
      <c r="V89" s="907"/>
      <c r="W89" s="78"/>
      <c r="X89" s="78"/>
      <c r="Y89" s="78"/>
      <c r="Z89" s="78"/>
      <c r="AA89" s="78"/>
      <c r="AB89" s="78"/>
      <c r="AC89" s="78"/>
      <c r="AD89" s="78"/>
      <c r="AE89" s="78"/>
      <c r="AF89" s="78"/>
      <c r="AG89" s="78"/>
      <c r="AH89" s="78"/>
      <c r="AI89" s="78"/>
      <c r="AJ89" s="78"/>
      <c r="AK89" s="78"/>
      <c r="AM89" s="75" t="s">
        <v>63</v>
      </c>
    </row>
    <row r="90" spans="1:39" x14ac:dyDescent="0.2">
      <c r="A90" s="78"/>
      <c r="B90" s="78"/>
      <c r="C90" s="78"/>
      <c r="D90" s="78"/>
      <c r="E90" s="78"/>
      <c r="F90" s="78"/>
      <c r="G90" s="78"/>
      <c r="H90" s="78"/>
      <c r="I90" s="78"/>
      <c r="J90" s="78"/>
      <c r="K90" s="78"/>
      <c r="L90" s="78"/>
      <c r="M90" s="78"/>
      <c r="N90" s="78"/>
      <c r="O90" s="78"/>
      <c r="P90" s="78"/>
      <c r="Q90" s="78"/>
      <c r="R90" s="78"/>
      <c r="S90" s="78"/>
      <c r="T90" s="78"/>
      <c r="U90" s="78"/>
      <c r="V90" s="78"/>
      <c r="W90" s="78"/>
      <c r="X90" s="78"/>
      <c r="Y90" s="78"/>
      <c r="Z90" s="78"/>
      <c r="AA90" s="78"/>
      <c r="AB90" s="78"/>
      <c r="AC90" s="78"/>
      <c r="AD90" s="78"/>
      <c r="AE90" s="78"/>
      <c r="AF90" s="78"/>
      <c r="AG90" s="78"/>
      <c r="AH90" s="78"/>
      <c r="AI90" s="78"/>
      <c r="AJ90" s="78"/>
      <c r="AK90" s="78"/>
      <c r="AM90" s="75" t="s">
        <v>607</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51" priority="19" operator="equal">
      <formula>0</formula>
    </cfRule>
  </conditionalFormatting>
  <conditionalFormatting sqref="F89:G89">
    <cfRule type="cellIs" dxfId="50" priority="18" operator="equal">
      <formula>0</formula>
    </cfRule>
  </conditionalFormatting>
  <conditionalFormatting sqref="O89:P89">
    <cfRule type="cellIs" dxfId="49" priority="16" operator="equal">
      <formula>0</formula>
    </cfRule>
  </conditionalFormatting>
  <conditionalFormatting sqref="K89:L89">
    <cfRule type="cellIs" dxfId="48" priority="17" operator="equal">
      <formula>0</formula>
    </cfRule>
  </conditionalFormatting>
  <conditionalFormatting sqref="H71 H76:L76 Z76 Z71">
    <cfRule type="cellIs" dxfId="47"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6" priority="14" operator="equal">
      <formula>0</formula>
    </cfRule>
  </conditionalFormatting>
  <conditionalFormatting sqref="H65:L67">
    <cfRule type="cellIs" dxfId="45" priority="13" operator="equal">
      <formula>0</formula>
    </cfRule>
  </conditionalFormatting>
  <conditionalFormatting sqref="Z65:AD67">
    <cfRule type="cellIs" dxfId="44" priority="12" operator="equal">
      <formula>0</formula>
    </cfRule>
  </conditionalFormatting>
  <conditionalFormatting sqref="H75:L75">
    <cfRule type="cellIs" dxfId="43" priority="11" operator="equal">
      <formula>0</formula>
    </cfRule>
  </conditionalFormatting>
  <conditionalFormatting sqref="H78">
    <cfRule type="cellIs" dxfId="42" priority="10" operator="equal">
      <formula>0</formula>
    </cfRule>
  </conditionalFormatting>
  <conditionalFormatting sqref="Z78">
    <cfRule type="cellIs" dxfId="41" priority="9" operator="equal">
      <formula>0</formula>
    </cfRule>
  </conditionalFormatting>
  <conditionalFormatting sqref="X82:X83">
    <cfRule type="cellIs" dxfId="40" priority="8" operator="equal">
      <formula>0</formula>
    </cfRule>
  </conditionalFormatting>
  <conditionalFormatting sqref="O7:R8">
    <cfRule type="cellIs" dxfId="39" priority="7" operator="equal">
      <formula>0</formula>
    </cfRule>
  </conditionalFormatting>
  <conditionalFormatting sqref="X6:Z6">
    <cfRule type="cellIs" dxfId="38" priority="5" operator="equal">
      <formula>0</formula>
    </cfRule>
  </conditionalFormatting>
  <conditionalFormatting sqref="J6">
    <cfRule type="cellIs" dxfId="37" priority="4" operator="equal">
      <formula>0</formula>
    </cfRule>
  </conditionalFormatting>
  <conditionalFormatting sqref="AA6">
    <cfRule type="cellIs" dxfId="36" priority="3" operator="equal">
      <formula>0</formula>
    </cfRule>
  </conditionalFormatting>
  <conditionalFormatting sqref="AC6">
    <cfRule type="cellIs" dxfId="35"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84"/>
      <c r="C4" s="584"/>
      <c r="D4" s="584"/>
      <c r="E4" s="293" t="s">
        <v>582</v>
      </c>
      <c r="F4" s="585">
        <f>Draft!$D$11/2</f>
        <v>108.5</v>
      </c>
      <c r="G4" s="5"/>
      <c r="H4" s="586"/>
      <c r="I4" s="586"/>
      <c r="J4" s="586"/>
      <c r="K4" s="586"/>
      <c r="M4" s="584"/>
      <c r="N4" s="584"/>
      <c r="O4" s="584"/>
      <c r="P4" s="293" t="s">
        <v>582</v>
      </c>
      <c r="Q4" s="585">
        <f>Draft!$D$11/2</f>
        <v>108.5</v>
      </c>
      <c r="R4" s="5"/>
      <c r="S4" s="586"/>
      <c r="T4" s="586"/>
      <c r="U4" s="586"/>
      <c r="V4" s="586"/>
    </row>
    <row r="5" spans="2:22" ht="15.75" x14ac:dyDescent="0.25">
      <c r="B5" s="587"/>
      <c r="C5" s="587"/>
      <c r="D5" s="587"/>
      <c r="E5" s="586"/>
      <c r="F5" s="586"/>
      <c r="G5" s="586"/>
      <c r="H5" s="586"/>
      <c r="I5" s="586"/>
      <c r="J5" s="586"/>
      <c r="K5" s="586"/>
      <c r="M5" s="587"/>
      <c r="N5" s="587"/>
      <c r="O5" s="587"/>
      <c r="P5" s="586"/>
      <c r="Q5" s="586"/>
      <c r="R5" s="586"/>
      <c r="S5" s="586"/>
      <c r="T5" s="586"/>
      <c r="U5" s="586"/>
      <c r="V5" s="586"/>
    </row>
    <row r="6" spans="2:22" ht="15.75" x14ac:dyDescent="0.25">
      <c r="B6" s="440"/>
      <c r="C6" s="588">
        <f>Draft!$K$31</f>
        <v>6.2699625000000001</v>
      </c>
      <c r="D6" s="587" t="str">
        <f>IF(C7="m","",INT(C6))</f>
        <v/>
      </c>
      <c r="E6" s="589" t="str">
        <f>IF(C7="m","",(C6-INT(C6))*12)</f>
        <v/>
      </c>
      <c r="F6" s="587"/>
      <c r="G6" s="586"/>
      <c r="H6" s="586"/>
      <c r="I6" s="586"/>
      <c r="J6" s="586"/>
      <c r="K6" s="586"/>
      <c r="M6" s="440"/>
      <c r="N6" s="588">
        <f>Draft!$AC$31</f>
        <v>12.329049999999999</v>
      </c>
      <c r="O6" s="587" t="str">
        <f>IF(N7="m","",INT(N6))</f>
        <v/>
      </c>
      <c r="P6" s="589" t="str">
        <f>IF(N7="m","",(N6-INT(N6))*12)</f>
        <v/>
      </c>
      <c r="Q6" s="587"/>
      <c r="R6" s="586"/>
      <c r="S6" s="586"/>
      <c r="T6" s="586"/>
      <c r="U6" s="586"/>
      <c r="V6" s="586"/>
    </row>
    <row r="7" spans="2:22" ht="15.75" x14ac:dyDescent="0.25">
      <c r="B7" s="440"/>
      <c r="C7" s="587" t="s">
        <v>595</v>
      </c>
      <c r="D7" s="587" t="str">
        <f>IF(C7="m","","feet")</f>
        <v/>
      </c>
      <c r="E7" s="587" t="str">
        <f>IF(C7="m","","in")</f>
        <v/>
      </c>
      <c r="F7" s="587"/>
      <c r="G7" s="586"/>
      <c r="H7" s="586"/>
      <c r="I7" s="586"/>
      <c r="J7" s="586"/>
      <c r="K7" s="586"/>
      <c r="M7" s="440"/>
      <c r="N7" s="587" t="s">
        <v>595</v>
      </c>
      <c r="O7" s="587" t="str">
        <f>IF(N7="m","","feet")</f>
        <v/>
      </c>
      <c r="P7" s="587" t="str">
        <f>IF(N7="m","","in")</f>
        <v/>
      </c>
      <c r="Q7" s="587"/>
      <c r="R7" s="586"/>
      <c r="S7" s="586"/>
      <c r="T7" s="586"/>
      <c r="U7" s="586"/>
      <c r="V7" s="586"/>
    </row>
    <row r="8" spans="2:22" ht="19.5" thickBot="1" x14ac:dyDescent="0.3">
      <c r="B8" s="590"/>
      <c r="C8" s="587"/>
      <c r="D8" s="587"/>
      <c r="E8" s="591" t="s">
        <v>9</v>
      </c>
      <c r="F8" s="592">
        <f>Draft!$M$35</f>
        <v>7.104246763873058E-2</v>
      </c>
      <c r="G8" s="593" t="s">
        <v>583</v>
      </c>
      <c r="H8" s="586"/>
      <c r="I8" s="586"/>
      <c r="J8" s="586"/>
      <c r="K8" s="586"/>
      <c r="M8" s="590"/>
      <c r="N8" s="587"/>
      <c r="O8" s="587"/>
      <c r="P8" s="591" t="s">
        <v>9</v>
      </c>
      <c r="Q8" s="592">
        <f>Draft!$M$35</f>
        <v>7.104246763873058E-2</v>
      </c>
      <c r="R8" s="593" t="s">
        <v>583</v>
      </c>
      <c r="S8" s="586"/>
      <c r="T8" s="586"/>
      <c r="U8" s="586"/>
      <c r="V8" s="586"/>
    </row>
    <row r="9" spans="2:22" ht="17.25" thickTop="1" thickBot="1" x14ac:dyDescent="0.3">
      <c r="B9" s="594" t="s">
        <v>584</v>
      </c>
      <c r="C9" s="594" t="s">
        <v>367</v>
      </c>
      <c r="D9" s="587"/>
      <c r="E9" s="591" t="str">
        <f>Draft!$P$35</f>
        <v>S</v>
      </c>
      <c r="F9" s="595">
        <f>Draft!$G$35</f>
        <v>4</v>
      </c>
      <c r="G9" s="586" t="s">
        <v>596</v>
      </c>
      <c r="H9" s="586"/>
      <c r="I9" s="586"/>
      <c r="J9" s="586"/>
      <c r="K9" s="586"/>
      <c r="M9" s="594" t="s">
        <v>584</v>
      </c>
      <c r="N9" s="594" t="s">
        <v>367</v>
      </c>
      <c r="O9" s="587"/>
      <c r="P9" s="591" t="str">
        <f>Draft!$P$35</f>
        <v>S</v>
      </c>
      <c r="Q9" s="595">
        <f>Draft!$G$35</f>
        <v>4</v>
      </c>
      <c r="R9" s="586" t="s">
        <v>596</v>
      </c>
      <c r="S9" s="586"/>
      <c r="T9" s="586"/>
      <c r="U9" s="586"/>
      <c r="V9" s="586"/>
    </row>
    <row r="10" spans="2:22" ht="16.5" thickTop="1" x14ac:dyDescent="0.25">
      <c r="B10" s="590" t="s">
        <v>585</v>
      </c>
      <c r="C10" s="596">
        <f>Draft!$H$41</f>
        <v>6.25</v>
      </c>
      <c r="D10" s="597">
        <f>INT(C6*100)</f>
        <v>626</v>
      </c>
      <c r="E10" s="591"/>
      <c r="F10" s="586"/>
      <c r="G10" s="586"/>
      <c r="H10" s="586"/>
      <c r="I10" s="586"/>
      <c r="J10" s="586"/>
      <c r="K10" s="586"/>
      <c r="M10" s="590" t="s">
        <v>585</v>
      </c>
      <c r="N10" s="596">
        <f>Draft!$Z$41</f>
        <v>12.3</v>
      </c>
      <c r="O10" s="597">
        <f>INT(N6*100)</f>
        <v>1232</v>
      </c>
      <c r="P10" s="591"/>
      <c r="Q10" s="586"/>
      <c r="R10" s="586"/>
      <c r="S10" s="586"/>
      <c r="T10" s="586"/>
      <c r="U10" s="586"/>
      <c r="V10" s="586"/>
    </row>
    <row r="11" spans="2:22" ht="15.75" x14ac:dyDescent="0.25">
      <c r="B11" s="590" t="s">
        <v>586</v>
      </c>
      <c r="C11" s="596">
        <f>Draft!$H$42</f>
        <v>6.3</v>
      </c>
      <c r="D11" s="587"/>
      <c r="E11" s="591"/>
      <c r="F11" s="587"/>
      <c r="G11" s="586"/>
      <c r="H11" s="586"/>
      <c r="I11" s="586"/>
      <c r="J11" s="586"/>
      <c r="K11" s="586"/>
      <c r="M11" s="590" t="s">
        <v>586</v>
      </c>
      <c r="N11" s="596">
        <f>Draft!$Z$42</f>
        <v>12.35</v>
      </c>
      <c r="O11" s="587"/>
      <c r="P11" s="591"/>
      <c r="Q11" s="587"/>
      <c r="R11" s="586"/>
      <c r="S11" s="586"/>
      <c r="T11" s="586"/>
      <c r="U11" s="586"/>
      <c r="V11" s="586"/>
    </row>
    <row r="12" spans="2:22" ht="15.75" x14ac:dyDescent="0.25">
      <c r="B12" s="598" t="s">
        <v>587</v>
      </c>
      <c r="C12" s="599">
        <f>Draft!$J$41</f>
        <v>36502.9</v>
      </c>
      <c r="D12" s="600"/>
      <c r="E12" s="601" t="s">
        <v>588</v>
      </c>
      <c r="F12" s="5"/>
      <c r="G12" s="5"/>
      <c r="H12" s="586"/>
      <c r="I12" s="586"/>
      <c r="J12" s="586" t="s">
        <v>589</v>
      </c>
      <c r="K12" s="586"/>
      <c r="M12" s="598" t="s">
        <v>587</v>
      </c>
      <c r="N12" s="599">
        <f>Draft!$AB$41</f>
        <v>75752.3</v>
      </c>
      <c r="O12" s="600"/>
      <c r="P12" s="601" t="s">
        <v>588</v>
      </c>
      <c r="Q12" s="5"/>
      <c r="R12" s="5"/>
      <c r="S12" s="586"/>
      <c r="T12" s="586"/>
      <c r="U12" s="586" t="s">
        <v>589</v>
      </c>
      <c r="V12" s="586"/>
    </row>
    <row r="13" spans="2:22" ht="15.75" x14ac:dyDescent="0.25">
      <c r="B13" s="602" t="s">
        <v>590</v>
      </c>
      <c r="C13" s="603">
        <f>Draft!$J$42</f>
        <v>36814.199999999997</v>
      </c>
      <c r="D13" s="604">
        <f>IF(E13=0,K13,E13)</f>
        <v>36627.199999999997</v>
      </c>
      <c r="E13" s="605">
        <v>0</v>
      </c>
      <c r="F13" s="5"/>
      <c r="G13" s="5"/>
      <c r="H13" s="586"/>
      <c r="I13" s="586"/>
      <c r="J13" s="586"/>
      <c r="K13" s="606">
        <f>ROUND((IF(E13=0,IF(C11=0,0,IF(C10=0,C13,IF(C7="m",(C6-C10)*(C13-C12)/(C11-C10)+C12,(E6-C10)*(C13-C12)/(C11-C10)+C12))),E13)),1)</f>
        <v>36627.199999999997</v>
      </c>
      <c r="M13" s="602" t="s">
        <v>590</v>
      </c>
      <c r="N13" s="603">
        <f>Draft!$AB$42</f>
        <v>76090.100000000006</v>
      </c>
      <c r="O13" s="604">
        <f>IF(P13=0,V13,P13)</f>
        <v>75948.600000000006</v>
      </c>
      <c r="P13" s="605">
        <v>0</v>
      </c>
      <c r="Q13" s="5"/>
      <c r="R13" s="5"/>
      <c r="S13" s="586"/>
      <c r="T13" s="586"/>
      <c r="U13" s="586"/>
      <c r="V13" s="606">
        <f>ROUND((IF(P13=0,IF(N11=0,0,IF(N10=0,N13,IF(N7="m",(N6-N10)*(N13-N12)/(N11-N10)+N12,(P6-N10)*(N13-N12)/(N11-N10)+N12))),P13)),1)</f>
        <v>75948.600000000006</v>
      </c>
    </row>
    <row r="14" spans="2:22" ht="15.75" x14ac:dyDescent="0.25">
      <c r="B14" s="598" t="s">
        <v>591</v>
      </c>
      <c r="C14" s="607">
        <f>Draft!$J$45</f>
        <v>62.231000000000002</v>
      </c>
      <c r="D14" s="608"/>
      <c r="E14" s="293"/>
      <c r="F14" s="5"/>
      <c r="G14" s="5"/>
      <c r="H14" s="586"/>
      <c r="I14" s="586"/>
      <c r="J14" s="586" t="s">
        <v>135</v>
      </c>
      <c r="K14" s="586"/>
      <c r="M14" s="598" t="s">
        <v>591</v>
      </c>
      <c r="N14" s="607">
        <f>Draft!$AB$45</f>
        <v>67.483999999999995</v>
      </c>
      <c r="O14" s="608"/>
      <c r="P14" s="293"/>
      <c r="Q14" s="5"/>
      <c r="R14" s="5"/>
      <c r="S14" s="586"/>
      <c r="T14" s="586"/>
      <c r="U14" s="586" t="s">
        <v>135</v>
      </c>
      <c r="V14" s="586"/>
    </row>
    <row r="15" spans="2:22" ht="15.75" x14ac:dyDescent="0.25">
      <c r="B15" s="590" t="s">
        <v>592</v>
      </c>
      <c r="C15" s="607">
        <f>Draft!$J$46</f>
        <v>62.273000000000003</v>
      </c>
      <c r="D15" s="609">
        <f>IF(E15=0,K15,E15)</f>
        <v>62.247799999999998</v>
      </c>
      <c r="E15" s="610">
        <v>0</v>
      </c>
      <c r="F15" s="5"/>
      <c r="G15" s="5"/>
      <c r="H15" s="586"/>
      <c r="I15" s="586"/>
      <c r="J15" s="586"/>
      <c r="K15" s="611">
        <f>ROUND((IF(E15=0,IF(C11=0,0,IF(C10=0,C15,IF(C7="m",(C6-C10)*(C15-C14)/(C11-C10)+C14,(E6-C10)*(C15-C14)/(C11-C10)+C14))),E15)),4)</f>
        <v>62.247799999999998</v>
      </c>
      <c r="M15" s="590" t="s">
        <v>592</v>
      </c>
      <c r="N15" s="607">
        <f>Draft!$AB$46</f>
        <v>67.513999999999996</v>
      </c>
      <c r="O15" s="609">
        <f>IF(P15=0,V15,P15)</f>
        <v>67.501400000000004</v>
      </c>
      <c r="P15" s="610">
        <v>0</v>
      </c>
      <c r="Q15" s="5"/>
      <c r="R15" s="5"/>
      <c r="S15" s="586"/>
      <c r="T15" s="586"/>
      <c r="U15" s="586"/>
      <c r="V15" s="611">
        <f>ROUND((IF(P15=0,IF(N11=0,0,IF(N10=0,N15,IF(N7="m",(N6-N10)*(N15-N14)/(N11-N10)+N14,(P6-N10)*(N15-N14)/(N11-N10)+N14))),P15)),4)</f>
        <v>67.501400000000004</v>
      </c>
    </row>
    <row r="16" spans="2:22" ht="15.75" x14ac:dyDescent="0.25">
      <c r="B16" s="612" t="s">
        <v>593</v>
      </c>
      <c r="C16" s="613">
        <f>Draft!$J$49</f>
        <v>115.03100000000001</v>
      </c>
      <c r="D16" s="614"/>
      <c r="E16" s="293"/>
      <c r="F16" s="5"/>
      <c r="G16" s="5"/>
      <c r="H16" s="586"/>
      <c r="I16" s="586"/>
      <c r="J16" s="586" t="s">
        <v>288</v>
      </c>
      <c r="K16" s="611">
        <f>IF(F4*0.75&gt;K17,K17,F4-K17)</f>
        <v>-6.5066000000000059</v>
      </c>
      <c r="M16" s="612" t="s">
        <v>593</v>
      </c>
      <c r="N16" s="613">
        <f>Draft!$AB$49</f>
        <v>106.81100000000001</v>
      </c>
      <c r="O16" s="614"/>
      <c r="P16" s="293"/>
      <c r="Q16" s="5"/>
      <c r="R16" s="5"/>
      <c r="S16" s="586"/>
      <c r="T16" s="586"/>
      <c r="U16" s="586" t="s">
        <v>288</v>
      </c>
      <c r="V16" s="611">
        <f>IF(Q4*0.75&gt;V17,V17,Q4-V17)</f>
        <v>1.7040999999999968</v>
      </c>
    </row>
    <row r="17" spans="2:22" ht="15.75" x14ac:dyDescent="0.25">
      <c r="B17" s="615" t="s">
        <v>594</v>
      </c>
      <c r="C17" s="616">
        <f>Draft!$J$50</f>
        <v>114.97</v>
      </c>
      <c r="D17" s="609">
        <f>IF(E17=0,K16,E17)</f>
        <v>-6.5066000000000059</v>
      </c>
      <c r="E17" s="610">
        <v>0</v>
      </c>
      <c r="F17" s="5"/>
      <c r="G17" s="5"/>
      <c r="H17" s="586"/>
      <c r="I17" s="586"/>
      <c r="J17" s="586"/>
      <c r="K17" s="586">
        <f>ROUND((IF(E17=0,IF(C11=0,0,IF(C10=0,C17,IF(C7="m",(C6-C10)*(C17-C16)/(C11-C10)+C16,(E6-C10)*(C17-C16)/(C11-C10)+C16))),E17)),4)</f>
        <v>115.00660000000001</v>
      </c>
      <c r="M17" s="615" t="s">
        <v>594</v>
      </c>
      <c r="N17" s="616">
        <f>Draft!$AB$50</f>
        <v>106.785</v>
      </c>
      <c r="O17" s="609">
        <f>IF(P17=0,V16,P17)</f>
        <v>1.7040999999999968</v>
      </c>
      <c r="P17" s="610">
        <v>0</v>
      </c>
      <c r="Q17" s="5"/>
      <c r="R17" s="5"/>
      <c r="S17" s="586"/>
      <c r="T17" s="586"/>
      <c r="U17" s="586"/>
      <c r="V17" s="586">
        <f>ROUND((IF(P17=0,IF(N11=0,0,IF(N10=0,N17,IF(N7="m",(N6-N10)*(N17-N16)/(N11-N10)+N16,(P6-N10)*(N17-N16)/(N11-N10)+N16))),P17)),4)</f>
        <v>106.7959</v>
      </c>
    </row>
    <row r="21" spans="2:22" ht="15.75" x14ac:dyDescent="0.25">
      <c r="B21" s="584"/>
      <c r="C21" s="584"/>
      <c r="D21" s="584"/>
      <c r="E21" s="293" t="s">
        <v>582</v>
      </c>
      <c r="F21" s="585">
        <f>Draft!$D$11/2</f>
        <v>108.5</v>
      </c>
      <c r="G21" s="5"/>
      <c r="H21" s="586"/>
      <c r="I21" s="586"/>
      <c r="J21" s="586"/>
      <c r="K21" s="586"/>
      <c r="M21" s="584"/>
      <c r="N21" s="584"/>
      <c r="O21" s="584"/>
      <c r="P21" s="293" t="s">
        <v>582</v>
      </c>
      <c r="Q21" s="585">
        <f>Draft!$D$11/2</f>
        <v>108.5</v>
      </c>
      <c r="R21" s="5"/>
      <c r="S21" s="586"/>
      <c r="T21" s="586"/>
      <c r="U21" s="586"/>
      <c r="V21" s="586"/>
    </row>
    <row r="22" spans="2:22" ht="15.75" x14ac:dyDescent="0.25">
      <c r="B22" s="587"/>
      <c r="C22" s="587"/>
      <c r="D22" s="587"/>
      <c r="E22" s="586"/>
      <c r="F22" s="586"/>
      <c r="G22" s="586"/>
      <c r="H22" s="586"/>
      <c r="I22" s="586"/>
      <c r="J22" s="586"/>
      <c r="K22" s="586"/>
      <c r="M22" s="587"/>
      <c r="N22" s="587"/>
      <c r="O22" s="587"/>
      <c r="P22" s="586"/>
      <c r="Q22" s="586"/>
      <c r="R22" s="586"/>
      <c r="S22" s="586"/>
      <c r="T22" s="586"/>
      <c r="U22" s="586"/>
      <c r="V22" s="586"/>
    </row>
    <row r="23" spans="2:22" ht="15.75" x14ac:dyDescent="0.25">
      <c r="B23" s="440"/>
      <c r="C23" s="588">
        <f>Draft!$M$39</f>
        <v>6.2800246393127663</v>
      </c>
      <c r="D23" s="587" t="str">
        <f>IF(C24="m","",INT(C23))</f>
        <v/>
      </c>
      <c r="E23" s="589" t="str">
        <f>IF(C24="m","",(C23-INT(C23))*12)</f>
        <v/>
      </c>
      <c r="F23" s="587"/>
      <c r="G23" s="586"/>
      <c r="H23" s="586"/>
      <c r="I23" s="586"/>
      <c r="J23" s="586"/>
      <c r="K23" s="586"/>
      <c r="M23" s="440"/>
      <c r="N23" s="588">
        <f>Draft!$AE$39</f>
        <v>12.32531841898936</v>
      </c>
      <c r="O23" s="587" t="str">
        <f>IF(N24="m","",INT(N23))</f>
        <v/>
      </c>
      <c r="P23" s="589" t="str">
        <f>IF(N24="m","",(N23-INT(N23))*12)</f>
        <v/>
      </c>
      <c r="Q23" s="587"/>
      <c r="R23" s="586"/>
      <c r="S23" s="586"/>
      <c r="T23" s="586"/>
      <c r="U23" s="586"/>
      <c r="V23" s="586"/>
    </row>
    <row r="24" spans="2:22" ht="15.75" x14ac:dyDescent="0.25">
      <c r="B24" s="440"/>
      <c r="C24" s="587" t="s">
        <v>595</v>
      </c>
      <c r="D24" s="587" t="str">
        <f>IF(C24="m","","feet")</f>
        <v/>
      </c>
      <c r="E24" s="587" t="str">
        <f>IF(C24="m","","in")</f>
        <v/>
      </c>
      <c r="F24" s="587"/>
      <c r="G24" s="586"/>
      <c r="H24" s="586"/>
      <c r="I24" s="586"/>
      <c r="J24" s="586"/>
      <c r="K24" s="586"/>
      <c r="M24" s="440"/>
      <c r="N24" s="587" t="s">
        <v>595</v>
      </c>
      <c r="O24" s="587" t="str">
        <f>IF(N24="m","","feet")</f>
        <v/>
      </c>
      <c r="P24" s="587" t="str">
        <f>IF(N24="m","","in")</f>
        <v/>
      </c>
      <c r="Q24" s="587"/>
      <c r="R24" s="586"/>
      <c r="S24" s="586"/>
      <c r="T24" s="586"/>
      <c r="U24" s="586"/>
      <c r="V24" s="586"/>
    </row>
    <row r="25" spans="2:22" ht="19.5" thickBot="1" x14ac:dyDescent="0.3">
      <c r="B25" s="590"/>
      <c r="C25" s="587"/>
      <c r="D25" s="587"/>
      <c r="E25" s="591" t="s">
        <v>9</v>
      </c>
      <c r="F25" s="592">
        <f>Draft!$M$35</f>
        <v>7.104246763873058E-2</v>
      </c>
      <c r="G25" s="593" t="s">
        <v>583</v>
      </c>
      <c r="H25" s="586"/>
      <c r="I25" s="586"/>
      <c r="J25" s="586"/>
      <c r="K25" s="586"/>
      <c r="M25" s="590"/>
      <c r="N25" s="587"/>
      <c r="O25" s="587"/>
      <c r="P25" s="591" t="s">
        <v>9</v>
      </c>
      <c r="Q25" s="592">
        <f>Draft!$M$35</f>
        <v>7.104246763873058E-2</v>
      </c>
      <c r="R25" s="593" t="s">
        <v>583</v>
      </c>
      <c r="S25" s="586"/>
      <c r="T25" s="586"/>
      <c r="U25" s="586"/>
      <c r="V25" s="586"/>
    </row>
    <row r="26" spans="2:22" ht="17.25" thickTop="1" thickBot="1" x14ac:dyDescent="0.3">
      <c r="B26" s="594" t="s">
        <v>584</v>
      </c>
      <c r="C26" s="594" t="s">
        <v>367</v>
      </c>
      <c r="D26" s="587"/>
      <c r="E26" s="591" t="str">
        <f>Draft!$P35</f>
        <v>S</v>
      </c>
      <c r="F26" s="595">
        <f>Draft!$G$35</f>
        <v>4</v>
      </c>
      <c r="G26" s="586" t="s">
        <v>596</v>
      </c>
      <c r="H26" s="586"/>
      <c r="I26" s="586"/>
      <c r="J26" s="586"/>
      <c r="K26" s="586"/>
      <c r="M26" s="594" t="s">
        <v>584</v>
      </c>
      <c r="N26" s="594" t="s">
        <v>367</v>
      </c>
      <c r="O26" s="587"/>
      <c r="P26" s="591" t="str">
        <f>Draft!$P35</f>
        <v>S</v>
      </c>
      <c r="Q26" s="595">
        <f>Draft!$G$35</f>
        <v>4</v>
      </c>
      <c r="R26" s="586" t="s">
        <v>596</v>
      </c>
      <c r="S26" s="586"/>
      <c r="T26" s="586"/>
      <c r="U26" s="586"/>
      <c r="V26" s="586"/>
    </row>
    <row r="27" spans="2:22" ht="16.5" thickTop="1" x14ac:dyDescent="0.25">
      <c r="B27" s="590" t="s">
        <v>585</v>
      </c>
      <c r="C27" s="596">
        <f>Draft!$H$41</f>
        <v>6.25</v>
      </c>
      <c r="D27" s="597">
        <f>INT(C23*100)</f>
        <v>628</v>
      </c>
      <c r="E27" s="591"/>
      <c r="F27" s="586"/>
      <c r="G27" s="586"/>
      <c r="H27" s="586"/>
      <c r="I27" s="586"/>
      <c r="J27" s="586"/>
      <c r="K27" s="586"/>
      <c r="M27" s="590" t="s">
        <v>585</v>
      </c>
      <c r="N27" s="596">
        <f>Draft!$Z$41</f>
        <v>12.3</v>
      </c>
      <c r="O27" s="597">
        <f>INT(N23*100)</f>
        <v>1232</v>
      </c>
      <c r="P27" s="591"/>
      <c r="Q27" s="586"/>
      <c r="R27" s="586"/>
      <c r="S27" s="586"/>
      <c r="T27" s="586"/>
      <c r="U27" s="586"/>
      <c r="V27" s="586"/>
    </row>
    <row r="28" spans="2:22" ht="15.75" x14ac:dyDescent="0.25">
      <c r="B28" s="590" t="s">
        <v>586</v>
      </c>
      <c r="C28" s="596">
        <f>Draft!$H$42</f>
        <v>6.3</v>
      </c>
      <c r="D28" s="587"/>
      <c r="E28" s="591"/>
      <c r="F28" s="587"/>
      <c r="G28" s="586"/>
      <c r="H28" s="586"/>
      <c r="I28" s="586"/>
      <c r="J28" s="586"/>
      <c r="K28" s="586"/>
      <c r="M28" s="590" t="s">
        <v>586</v>
      </c>
      <c r="N28" s="596">
        <f>Draft!$Z$42</f>
        <v>12.35</v>
      </c>
      <c r="O28" s="587"/>
      <c r="P28" s="591"/>
      <c r="Q28" s="587"/>
      <c r="R28" s="586"/>
      <c r="S28" s="586"/>
      <c r="T28" s="586"/>
      <c r="U28" s="586"/>
      <c r="V28" s="586"/>
    </row>
    <row r="29" spans="2:22" ht="15.75" x14ac:dyDescent="0.25">
      <c r="B29" s="598" t="s">
        <v>587</v>
      </c>
      <c r="C29" s="599">
        <f>Draft!$J$41</f>
        <v>36502.9</v>
      </c>
      <c r="D29" s="600"/>
      <c r="E29" s="601" t="s">
        <v>588</v>
      </c>
      <c r="F29" s="5"/>
      <c r="G29" s="5"/>
      <c r="H29" s="586"/>
      <c r="I29" s="586"/>
      <c r="J29" s="586" t="s">
        <v>589</v>
      </c>
      <c r="K29" s="586"/>
      <c r="M29" s="598" t="s">
        <v>587</v>
      </c>
      <c r="N29" s="599">
        <f>Draft!$AB$41</f>
        <v>75752.3</v>
      </c>
      <c r="O29" s="600"/>
      <c r="P29" s="601" t="s">
        <v>588</v>
      </c>
      <c r="Q29" s="5"/>
      <c r="R29" s="5"/>
      <c r="S29" s="586"/>
      <c r="T29" s="586"/>
      <c r="U29" s="586" t="s">
        <v>589</v>
      </c>
      <c r="V29" s="586"/>
    </row>
    <row r="30" spans="2:22" ht="15.75" x14ac:dyDescent="0.25">
      <c r="B30" s="602" t="s">
        <v>590</v>
      </c>
      <c r="C30" s="603">
        <f>Draft!$J$42</f>
        <v>36814.199999999997</v>
      </c>
      <c r="D30" s="604">
        <f>IF(E30=0,K30,E30)</f>
        <v>36689.800000000003</v>
      </c>
      <c r="E30" s="605">
        <v>0</v>
      </c>
      <c r="F30" s="5"/>
      <c r="G30" s="5"/>
      <c r="H30" s="586"/>
      <c r="I30" s="586"/>
      <c r="J30" s="586"/>
      <c r="K30" s="606">
        <f>ROUND((IF(E30=0,IF(C28=0,0,IF(C27=0,C30,IF(C24="m",(C23-C27)*(C30-C29)/(C28-C27)+C29,(E23-C27)*(C30-C29)/(C28-C27)+C29))),E30)),1)</f>
        <v>36689.800000000003</v>
      </c>
      <c r="M30" s="602" t="s">
        <v>590</v>
      </c>
      <c r="N30" s="603">
        <f>Draft!$AB$42</f>
        <v>76090.100000000006</v>
      </c>
      <c r="O30" s="604">
        <f>IF(P30=0,V30,P30)</f>
        <v>75923.399999999994</v>
      </c>
      <c r="P30" s="605">
        <v>0</v>
      </c>
      <c r="Q30" s="5"/>
      <c r="R30" s="5"/>
      <c r="S30" s="586"/>
      <c r="T30" s="586"/>
      <c r="U30" s="586"/>
      <c r="V30" s="606">
        <f>ROUND((IF(P30=0,IF(N28=0,0,IF(N27=0,N30,IF(N24="m",(N23-N27)*(N30-N29)/(N28-N27)+N29,(P23-N27)*(N30-N29)/(N28-N27)+N29))),P30)),1)</f>
        <v>75923.399999999994</v>
      </c>
    </row>
    <row r="31" spans="2:22" ht="15.75" x14ac:dyDescent="0.25">
      <c r="B31" s="598" t="s">
        <v>591</v>
      </c>
      <c r="C31" s="607">
        <f>Draft!$J$45</f>
        <v>62.231000000000002</v>
      </c>
      <c r="D31" s="608"/>
      <c r="E31" s="293"/>
      <c r="F31" s="5"/>
      <c r="G31" s="5"/>
      <c r="H31" s="586"/>
      <c r="I31" s="586"/>
      <c r="J31" s="586" t="s">
        <v>135</v>
      </c>
      <c r="K31" s="586"/>
      <c r="M31" s="598" t="s">
        <v>591</v>
      </c>
      <c r="N31" s="607">
        <f>Draft!$AB$45</f>
        <v>67.483999999999995</v>
      </c>
      <c r="O31" s="608"/>
      <c r="P31" s="293"/>
      <c r="Q31" s="5"/>
      <c r="R31" s="5"/>
      <c r="S31" s="586"/>
      <c r="T31" s="586"/>
      <c r="U31" s="586" t="s">
        <v>135</v>
      </c>
      <c r="V31" s="586"/>
    </row>
    <row r="32" spans="2:22" ht="15.75" x14ac:dyDescent="0.25">
      <c r="B32" s="590" t="s">
        <v>592</v>
      </c>
      <c r="C32" s="607">
        <f>Draft!$J$46</f>
        <v>62.273000000000003</v>
      </c>
      <c r="D32" s="609">
        <f>IF(E32=0,K32,E32)</f>
        <v>62.2562</v>
      </c>
      <c r="E32" s="610">
        <v>0</v>
      </c>
      <c r="F32" s="5"/>
      <c r="G32" s="5"/>
      <c r="H32" s="586"/>
      <c r="I32" s="586"/>
      <c r="J32" s="586"/>
      <c r="K32" s="611">
        <f>ROUND((IF(E32=0,IF(C28=0,0,IF(C27=0,C32,IF(C24="m",(C23-C27)*(C32-C31)/(C28-C27)+C31,(E23-C27)*(C32-C31)/(C28-C27)+C31))),E32)),4)</f>
        <v>62.2562</v>
      </c>
      <c r="M32" s="590" t="s">
        <v>592</v>
      </c>
      <c r="N32" s="607">
        <f>Draft!$AB$46</f>
        <v>67.513999999999996</v>
      </c>
      <c r="O32" s="609">
        <f>IF(P32=0,V32,P32)</f>
        <v>67.499200000000002</v>
      </c>
      <c r="P32" s="610">
        <v>0</v>
      </c>
      <c r="Q32" s="5"/>
      <c r="R32" s="5"/>
      <c r="S32" s="586"/>
      <c r="T32" s="586"/>
      <c r="U32" s="586"/>
      <c r="V32" s="611">
        <f>ROUND((IF(P32=0,IF(N28=0,0,IF(N27=0,N32,IF(N24="m",(N23-N27)*(N32-N31)/(N28-N27)+N31,(P23-N27)*(N32-N31)/(N28-N27)+N31))),P32)),4)</f>
        <v>67.499200000000002</v>
      </c>
    </row>
    <row r="33" spans="2:22" ht="15.75" x14ac:dyDescent="0.25">
      <c r="B33" s="612" t="s">
        <v>593</v>
      </c>
      <c r="C33" s="613">
        <f>Draft!$J$49</f>
        <v>115.03100000000001</v>
      </c>
      <c r="D33" s="614"/>
      <c r="E33" s="293"/>
      <c r="F33" s="5"/>
      <c r="G33" s="5"/>
      <c r="H33" s="586"/>
      <c r="I33" s="586"/>
      <c r="J33" s="586" t="s">
        <v>288</v>
      </c>
      <c r="K33" s="611">
        <f>IF(F21*0.75&gt;K34,K34,F21-K34)</f>
        <v>-6.4943999999999988</v>
      </c>
      <c r="M33" s="612" t="s">
        <v>593</v>
      </c>
      <c r="N33" s="613">
        <f>Draft!$AB$49</f>
        <v>106.81100000000001</v>
      </c>
      <c r="O33" s="614"/>
      <c r="P33" s="293"/>
      <c r="Q33" s="5"/>
      <c r="R33" s="5"/>
      <c r="S33" s="586"/>
      <c r="T33" s="586"/>
      <c r="U33" s="586" t="s">
        <v>288</v>
      </c>
      <c r="V33" s="611">
        <f>IF(Q21*0.75&gt;V34,V34,Q21-V34)</f>
        <v>1.7022000000000048</v>
      </c>
    </row>
    <row r="34" spans="2:22" ht="15.75" x14ac:dyDescent="0.25">
      <c r="B34" s="615" t="s">
        <v>594</v>
      </c>
      <c r="C34" s="616">
        <f>Draft!$J$50</f>
        <v>114.97</v>
      </c>
      <c r="D34" s="609">
        <f>IF(E34=0,K33,E34)</f>
        <v>-6.4943999999999988</v>
      </c>
      <c r="E34" s="610">
        <v>0</v>
      </c>
      <c r="F34" s="5"/>
      <c r="G34" s="5"/>
      <c r="H34" s="586"/>
      <c r="I34" s="586"/>
      <c r="J34" s="586"/>
      <c r="K34" s="586">
        <f>ROUND((IF(E34=0,IF(C28=0,0,IF(C27=0,C34,IF(C24="m",(C23-C27)*(C34-C33)/(C28-C27)+C33,(E23-C27)*(C34-C33)/(C28-C27)+C33))),E34)),4)</f>
        <v>114.9944</v>
      </c>
      <c r="M34" s="615" t="s">
        <v>594</v>
      </c>
      <c r="N34" s="616">
        <f>Draft!$AB$50</f>
        <v>106.785</v>
      </c>
      <c r="O34" s="609">
        <f>IF(P34=0,V33,P34)</f>
        <v>1.7022000000000048</v>
      </c>
      <c r="P34" s="610">
        <v>0</v>
      </c>
      <c r="Q34" s="5"/>
      <c r="R34" s="5"/>
      <c r="S34" s="586"/>
      <c r="T34" s="586"/>
      <c r="U34" s="586"/>
      <c r="V34" s="586">
        <f>ROUND((IF(P34=0,IF(N28=0,0,IF(N27=0,N34,IF(N24="m",(N23-N27)*(N34-N33)/(N28-N27)+N33,(P23-N27)*(N34-N33)/(N28-N27)+N33))),P34)),4)</f>
        <v>106.7978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C30" sqref="C30:H30"/>
    </sheetView>
  </sheetViews>
  <sheetFormatPr defaultColWidth="9.140625" defaultRowHeight="12.75" x14ac:dyDescent="0.2"/>
  <cols>
    <col min="1" max="1" width="20" style="95" bestFit="1" customWidth="1"/>
    <col min="2" max="9" width="13.7109375" style="95" customWidth="1"/>
    <col min="10" max="16384" width="9.140625" style="95"/>
  </cols>
  <sheetData>
    <row r="2" spans="1:14" x14ac:dyDescent="0.2">
      <c r="A2" s="95" t="str">
        <f>Relato!A189</f>
        <v>PGUA/DS/058/26</v>
      </c>
    </row>
    <row r="4" spans="1:14" ht="15.75" x14ac:dyDescent="0.25">
      <c r="A4" s="629" t="s">
        <v>330</v>
      </c>
      <c r="B4" s="1138" t="str">
        <f>CAPA!$B$8</f>
        <v>GEORGIA S</v>
      </c>
      <c r="C4" s="1138"/>
      <c r="D4" s="1138"/>
      <c r="E4" s="18"/>
      <c r="F4" s="18"/>
      <c r="G4" s="18"/>
      <c r="H4" s="18"/>
      <c r="I4" s="18"/>
      <c r="J4" s="18"/>
      <c r="K4" s="18"/>
      <c r="L4" s="630"/>
      <c r="M4" s="630"/>
      <c r="N4" s="630"/>
    </row>
    <row r="5" spans="1:14" ht="15.75" x14ac:dyDescent="0.25">
      <c r="A5" s="629" t="s">
        <v>331</v>
      </c>
      <c r="B5" s="1138" t="str">
        <f>CAPA!$A$41</f>
        <v>AGÊNCIA MARITIMA CARGONAVE LTDA</v>
      </c>
      <c r="C5" s="1138"/>
      <c r="D5" s="1138"/>
      <c r="E5" s="18"/>
      <c r="F5" s="18"/>
      <c r="G5" s="18"/>
      <c r="H5" s="18"/>
      <c r="I5" s="18"/>
      <c r="J5" s="18"/>
      <c r="K5" s="18"/>
      <c r="L5" s="630"/>
      <c r="M5" s="630"/>
      <c r="N5" s="630"/>
    </row>
    <row r="6" spans="1:14" ht="15.75" x14ac:dyDescent="0.25">
      <c r="A6" s="629" t="s">
        <v>332</v>
      </c>
      <c r="B6" s="1138" t="str">
        <f>CAPA!$A$43</f>
        <v>TIBAGI SERVIÇOS MARÍTIMOS LTDA.</v>
      </c>
      <c r="C6" s="1138"/>
      <c r="D6" s="1138"/>
      <c r="E6" s="18"/>
      <c r="F6" s="18"/>
      <c r="G6" s="18"/>
      <c r="H6" s="18"/>
      <c r="I6" s="18"/>
      <c r="J6" s="18"/>
      <c r="K6" s="18"/>
      <c r="L6" s="630"/>
      <c r="M6" s="630"/>
      <c r="N6" s="630"/>
    </row>
    <row r="7" spans="1:14" ht="15.75" x14ac:dyDescent="0.25">
      <c r="A7" s="629" t="s">
        <v>333</v>
      </c>
      <c r="B7" s="1139">
        <f>Draft!$X$4</f>
        <v>46081</v>
      </c>
      <c r="C7" s="1139"/>
      <c r="D7" s="1139"/>
      <c r="E7" s="18"/>
      <c r="F7" s="18"/>
      <c r="G7" s="18"/>
      <c r="H7" s="18"/>
      <c r="I7" s="18"/>
      <c r="J7" s="18"/>
      <c r="K7" s="18"/>
      <c r="L7" s="630"/>
      <c r="M7" s="1141" t="s">
        <v>285</v>
      </c>
      <c r="N7" s="1142"/>
    </row>
    <row r="8" spans="1:14" ht="15.75" x14ac:dyDescent="0.25">
      <c r="A8" s="629" t="s">
        <v>334</v>
      </c>
      <c r="B8" s="1140">
        <f>($I$27)</f>
        <v>58913.228999999999</v>
      </c>
      <c r="C8" s="1140"/>
      <c r="D8" s="1140"/>
      <c r="E8" s="18"/>
      <c r="F8" s="18"/>
      <c r="G8" s="18"/>
      <c r="H8" s="18"/>
      <c r="I8" s="18"/>
      <c r="J8" s="18"/>
      <c r="K8" s="18"/>
      <c r="L8" s="630"/>
      <c r="M8" s="1143"/>
      <c r="N8" s="1144"/>
    </row>
    <row r="9" spans="1:14" ht="15.75" x14ac:dyDescent="0.25">
      <c r="A9" s="629" t="s">
        <v>335</v>
      </c>
      <c r="B9" s="1140">
        <f>IF($M$9="SIM",Draft!$AF$77,Draft!$Z$77)</f>
        <v>59138.71079290202</v>
      </c>
      <c r="C9" s="1140"/>
      <c r="D9" s="1140"/>
      <c r="E9" s="18"/>
      <c r="F9" s="18"/>
      <c r="G9" s="18"/>
      <c r="H9" s="18"/>
      <c r="I9" s="18"/>
      <c r="J9" s="18"/>
      <c r="K9" s="18"/>
      <c r="L9" s="630"/>
      <c r="M9" s="1145" t="s">
        <v>576</v>
      </c>
      <c r="N9" s="1146"/>
    </row>
    <row r="10" spans="1:14" ht="15.75" x14ac:dyDescent="0.25">
      <c r="A10" s="629" t="s">
        <v>336</v>
      </c>
      <c r="B10" s="1140">
        <f>(-$B$8+$B$9)</f>
        <v>225.48179290202097</v>
      </c>
      <c r="C10" s="1140"/>
      <c r="D10" s="1140"/>
      <c r="E10" s="18"/>
      <c r="F10" s="18"/>
      <c r="G10" s="18"/>
      <c r="H10" s="18"/>
      <c r="I10" s="18"/>
      <c r="J10" s="18"/>
      <c r="K10" s="18"/>
      <c r="L10" s="630"/>
      <c r="M10" s="1147"/>
      <c r="N10" s="1148"/>
    </row>
    <row r="11" spans="1:14" ht="15.75" x14ac:dyDescent="0.25">
      <c r="A11" s="629" t="s">
        <v>337</v>
      </c>
      <c r="B11" s="1149">
        <f>($B$10/$B$8)</f>
        <v>3.8273541737462902E-3</v>
      </c>
      <c r="C11" s="1149"/>
      <c r="D11" s="1149"/>
      <c r="E11" s="18"/>
      <c r="F11" s="18"/>
      <c r="G11" s="18"/>
      <c r="H11" s="18"/>
      <c r="I11" s="18"/>
      <c r="J11" s="18"/>
      <c r="K11" s="18"/>
      <c r="L11" s="630"/>
      <c r="M11" s="630"/>
      <c r="N11" s="630"/>
    </row>
    <row r="12" spans="1:14" ht="15.75" x14ac:dyDescent="0.25">
      <c r="A12" s="629" t="s">
        <v>338</v>
      </c>
      <c r="B12" s="1150" t="s">
        <v>339</v>
      </c>
      <c r="C12" s="1150"/>
      <c r="D12" s="1150"/>
      <c r="E12" s="18"/>
      <c r="F12" s="18"/>
      <c r="G12" s="18"/>
      <c r="H12" s="18"/>
      <c r="I12" s="18"/>
      <c r="J12" s="18"/>
      <c r="K12" s="18"/>
      <c r="L12" s="630"/>
      <c r="M12" s="630"/>
      <c r="N12" s="630"/>
    </row>
    <row r="13" spans="1:14" ht="15.75" x14ac:dyDescent="0.25">
      <c r="A13" s="18"/>
      <c r="B13" s="18"/>
      <c r="C13" s="18"/>
      <c r="D13" s="18"/>
      <c r="E13" s="18"/>
      <c r="F13" s="18"/>
      <c r="G13" s="18"/>
      <c r="H13" s="18"/>
      <c r="I13" s="18"/>
      <c r="J13" s="18"/>
      <c r="K13" s="18"/>
      <c r="L13" s="630"/>
      <c r="M13" s="630"/>
      <c r="N13" s="630"/>
    </row>
    <row r="14" spans="1:14" ht="15.75" x14ac:dyDescent="0.25">
      <c r="A14" s="629" t="s">
        <v>340</v>
      </c>
      <c r="B14" s="712">
        <v>1</v>
      </c>
      <c r="C14" s="712">
        <v>2</v>
      </c>
      <c r="D14" s="712">
        <v>3</v>
      </c>
      <c r="E14" s="712">
        <v>4</v>
      </c>
      <c r="F14" s="712">
        <v>5</v>
      </c>
      <c r="G14" s="712">
        <v>6</v>
      </c>
      <c r="H14" s="712">
        <v>7</v>
      </c>
      <c r="I14" s="712" t="s">
        <v>14</v>
      </c>
      <c r="J14" s="18"/>
      <c r="K14" s="18"/>
      <c r="L14" s="1136" t="s">
        <v>743</v>
      </c>
      <c r="M14" s="1136"/>
      <c r="N14" s="630"/>
    </row>
    <row r="15" spans="1:14" ht="15.75" customHeight="1" x14ac:dyDescent="0.25">
      <c r="A15" s="629" t="s">
        <v>341</v>
      </c>
      <c r="B15" s="713" t="s">
        <v>778</v>
      </c>
      <c r="C15" s="713" t="s">
        <v>778</v>
      </c>
      <c r="D15" s="713" t="s">
        <v>778</v>
      </c>
      <c r="E15" s="713" t="s">
        <v>778</v>
      </c>
      <c r="F15" s="713" t="s">
        <v>778</v>
      </c>
      <c r="G15" s="713" t="s">
        <v>778</v>
      </c>
      <c r="H15" s="713" t="s">
        <v>778</v>
      </c>
      <c r="I15" s="713"/>
      <c r="J15" s="18"/>
      <c r="K15" s="18"/>
      <c r="L15" s="1137"/>
      <c r="M15" s="1137"/>
      <c r="N15" s="630"/>
    </row>
    <row r="16" spans="1:14" ht="15.75" x14ac:dyDescent="0.25">
      <c r="A16" s="629" t="s">
        <v>342</v>
      </c>
      <c r="B16" s="713"/>
      <c r="C16" s="713"/>
      <c r="D16" s="713"/>
      <c r="E16" s="713"/>
      <c r="F16" s="713"/>
      <c r="G16" s="713"/>
      <c r="H16" s="713"/>
      <c r="I16" s="713">
        <f t="shared" ref="I16:I26" si="0">SUM(B16:H16)</f>
        <v>0</v>
      </c>
      <c r="J16" s="18"/>
      <c r="K16" s="18"/>
      <c r="L16" s="723" t="s">
        <v>747</v>
      </c>
      <c r="M16" s="724" t="s">
        <v>752</v>
      </c>
      <c r="N16" s="630"/>
    </row>
    <row r="17" spans="1:14" ht="15.75" x14ac:dyDescent="0.25">
      <c r="A17" s="629" t="s">
        <v>343</v>
      </c>
      <c r="B17" s="713"/>
      <c r="C17" s="713"/>
      <c r="D17" s="713"/>
      <c r="E17" s="713"/>
      <c r="F17" s="713"/>
      <c r="G17" s="713"/>
      <c r="H17" s="713"/>
      <c r="I17" s="713">
        <f t="shared" si="0"/>
        <v>0</v>
      </c>
      <c r="J17" s="18"/>
      <c r="K17" s="18" t="s">
        <v>744</v>
      </c>
      <c r="L17" s="723"/>
      <c r="M17" s="723">
        <f>L17*35.15</f>
        <v>0</v>
      </c>
      <c r="N17" s="630"/>
    </row>
    <row r="18" spans="1:14" ht="15.75" x14ac:dyDescent="0.25">
      <c r="A18" s="629" t="s">
        <v>344</v>
      </c>
      <c r="B18" s="713"/>
      <c r="C18" s="713"/>
      <c r="D18" s="713"/>
      <c r="E18" s="713"/>
      <c r="F18" s="713"/>
      <c r="G18" s="713"/>
      <c r="H18" s="713"/>
      <c r="I18" s="713">
        <f t="shared" si="0"/>
        <v>0</v>
      </c>
      <c r="J18" s="18"/>
      <c r="K18" s="18" t="s">
        <v>745</v>
      </c>
      <c r="L18" s="723"/>
      <c r="M18" s="723">
        <f t="shared" ref="M18:M23" si="1">L18*35.15</f>
        <v>0</v>
      </c>
      <c r="N18" s="630"/>
    </row>
    <row r="19" spans="1:14" ht="15.75" x14ac:dyDescent="0.25">
      <c r="A19" s="629" t="s">
        <v>345</v>
      </c>
      <c r="B19" s="713">
        <v>1109.605</v>
      </c>
      <c r="C19" s="713"/>
      <c r="D19" s="713">
        <v>206.01499999999999</v>
      </c>
      <c r="E19" s="713">
        <v>3248.1149999999998</v>
      </c>
      <c r="F19" s="713">
        <v>5692.8950000000004</v>
      </c>
      <c r="G19" s="713">
        <v>8700.18</v>
      </c>
      <c r="H19" s="713">
        <v>7947.6049999999996</v>
      </c>
      <c r="I19" s="713">
        <f t="shared" si="0"/>
        <v>26904.415000000001</v>
      </c>
      <c r="J19" s="18"/>
      <c r="K19" s="18" t="s">
        <v>746</v>
      </c>
      <c r="L19" s="723"/>
      <c r="M19" s="723">
        <f t="shared" si="1"/>
        <v>0</v>
      </c>
      <c r="N19" s="630"/>
    </row>
    <row r="20" spans="1:14" ht="15.75" x14ac:dyDescent="0.25">
      <c r="A20" s="629" t="s">
        <v>346</v>
      </c>
      <c r="B20" s="713"/>
      <c r="C20" s="713"/>
      <c r="D20" s="713"/>
      <c r="E20" s="713"/>
      <c r="F20" s="713"/>
      <c r="G20" s="713"/>
      <c r="H20" s="713"/>
      <c r="I20" s="713">
        <f t="shared" si="0"/>
        <v>0</v>
      </c>
      <c r="J20" s="18"/>
      <c r="K20" s="18" t="s">
        <v>748</v>
      </c>
      <c r="L20" s="723"/>
      <c r="M20" s="723">
        <f t="shared" si="1"/>
        <v>0</v>
      </c>
      <c r="N20" s="630"/>
    </row>
    <row r="21" spans="1:14" ht="15.75" x14ac:dyDescent="0.25">
      <c r="A21" s="629" t="s">
        <v>347</v>
      </c>
      <c r="B21" s="713"/>
      <c r="C21" s="713"/>
      <c r="D21" s="713"/>
      <c r="E21" s="713"/>
      <c r="F21" s="713"/>
      <c r="G21" s="713"/>
      <c r="H21" s="713"/>
      <c r="I21" s="713">
        <f t="shared" si="0"/>
        <v>0</v>
      </c>
      <c r="J21" s="18"/>
      <c r="K21" s="18" t="s">
        <v>749</v>
      </c>
      <c r="L21" s="723"/>
      <c r="M21" s="723">
        <f t="shared" si="1"/>
        <v>0</v>
      </c>
      <c r="N21" s="630"/>
    </row>
    <row r="22" spans="1:14" ht="15.75" x14ac:dyDescent="0.25">
      <c r="A22" s="629" t="s">
        <v>348</v>
      </c>
      <c r="B22" s="713"/>
      <c r="C22" s="713">
        <v>8.8140000000000001</v>
      </c>
      <c r="D22" s="713"/>
      <c r="E22" s="713"/>
      <c r="F22" s="713"/>
      <c r="G22" s="713"/>
      <c r="H22" s="713"/>
      <c r="I22" s="713">
        <f t="shared" si="0"/>
        <v>8.8140000000000001</v>
      </c>
      <c r="J22" s="18"/>
      <c r="K22" s="18" t="s">
        <v>750</v>
      </c>
      <c r="L22" s="723"/>
      <c r="M22" s="723">
        <f t="shared" si="1"/>
        <v>0</v>
      </c>
      <c r="N22" s="630"/>
    </row>
    <row r="23" spans="1:14" ht="15.75" x14ac:dyDescent="0.25">
      <c r="A23" s="629" t="s">
        <v>349</v>
      </c>
      <c r="B23" s="713">
        <v>3275.46</v>
      </c>
      <c r="C23" s="713">
        <v>4310.7449999999999</v>
      </c>
      <c r="D23" s="713">
        <v>7092.62</v>
      </c>
      <c r="E23" s="713">
        <v>5321.1750000000002</v>
      </c>
      <c r="F23" s="713"/>
      <c r="G23" s="713"/>
      <c r="H23" s="713"/>
      <c r="I23" s="713">
        <f t="shared" si="0"/>
        <v>20000</v>
      </c>
      <c r="J23" s="18"/>
      <c r="K23" s="18" t="s">
        <v>751</v>
      </c>
      <c r="L23" s="723"/>
      <c r="M23" s="723">
        <f t="shared" si="1"/>
        <v>0</v>
      </c>
      <c r="N23" s="630"/>
    </row>
    <row r="24" spans="1:14" ht="15.75" x14ac:dyDescent="0.25">
      <c r="A24" s="629" t="s">
        <v>350</v>
      </c>
      <c r="B24" s="713">
        <v>2392.915</v>
      </c>
      <c r="C24" s="713">
        <v>1022.015</v>
      </c>
      <c r="D24" s="713">
        <v>1456.54</v>
      </c>
      <c r="E24" s="713"/>
      <c r="F24" s="713">
        <v>128.53</v>
      </c>
      <c r="G24" s="713"/>
      <c r="H24" s="713"/>
      <c r="I24" s="713">
        <f t="shared" si="0"/>
        <v>4999.9999999999991</v>
      </c>
      <c r="J24" s="18"/>
      <c r="K24" s="18"/>
      <c r="L24" s="630"/>
      <c r="M24" s="630"/>
      <c r="N24" s="630"/>
    </row>
    <row r="25" spans="1:14" ht="15.75" x14ac:dyDescent="0.25">
      <c r="A25" s="629" t="s">
        <v>351</v>
      </c>
      <c r="B25" s="713"/>
      <c r="C25" s="713"/>
      <c r="D25" s="713"/>
      <c r="E25" s="713"/>
      <c r="F25" s="713"/>
      <c r="G25" s="713"/>
      <c r="H25" s="713"/>
      <c r="I25" s="713">
        <f t="shared" si="0"/>
        <v>0</v>
      </c>
      <c r="J25" s="18"/>
      <c r="K25" s="18"/>
      <c r="L25" s="630"/>
      <c r="M25" s="630"/>
      <c r="N25" s="630"/>
    </row>
    <row r="26" spans="1:14" ht="15.75" x14ac:dyDescent="0.25">
      <c r="A26" s="629" t="s">
        <v>352</v>
      </c>
      <c r="B26" s="713">
        <v>503.48500000000001</v>
      </c>
      <c r="C26" s="713">
        <v>3681.6</v>
      </c>
      <c r="D26" s="713"/>
      <c r="E26" s="713"/>
      <c r="F26" s="713">
        <v>2814.915</v>
      </c>
      <c r="G26" s="713"/>
      <c r="H26" s="713"/>
      <c r="I26" s="713">
        <f t="shared" si="0"/>
        <v>7000</v>
      </c>
      <c r="J26" s="18"/>
      <c r="K26" s="18"/>
      <c r="L26" s="630"/>
      <c r="M26" s="630"/>
      <c r="N26" s="630"/>
    </row>
    <row r="27" spans="1:14" ht="15.75" x14ac:dyDescent="0.25">
      <c r="A27" s="629" t="s">
        <v>14</v>
      </c>
      <c r="B27" s="713">
        <f t="shared" ref="B27:H27" si="2">SUM(B16:B26)</f>
        <v>7281.4650000000001</v>
      </c>
      <c r="C27" s="713">
        <f t="shared" si="2"/>
        <v>9023.1740000000009</v>
      </c>
      <c r="D27" s="713">
        <f t="shared" si="2"/>
        <v>8755.1749999999993</v>
      </c>
      <c r="E27" s="713">
        <f t="shared" si="2"/>
        <v>8569.2900000000009</v>
      </c>
      <c r="F27" s="713">
        <f t="shared" si="2"/>
        <v>8636.34</v>
      </c>
      <c r="G27" s="713">
        <f t="shared" si="2"/>
        <v>8700.18</v>
      </c>
      <c r="H27" s="713">
        <f t="shared" si="2"/>
        <v>7947.6049999999996</v>
      </c>
      <c r="I27" s="713">
        <f>SUM(I15:I26)</f>
        <v>58913.228999999999</v>
      </c>
      <c r="J27" s="18"/>
      <c r="K27" s="18"/>
      <c r="L27" s="630"/>
      <c r="M27" s="630"/>
      <c r="N27" s="630"/>
    </row>
    <row r="28" spans="1:14" ht="15.75" x14ac:dyDescent="0.25">
      <c r="A28" s="629" t="s">
        <v>353</v>
      </c>
      <c r="B28" s="714">
        <v>377832</v>
      </c>
      <c r="C28" s="714">
        <v>480573</v>
      </c>
      <c r="D28" s="714">
        <v>469466</v>
      </c>
      <c r="E28" s="714">
        <v>468474</v>
      </c>
      <c r="F28" s="714">
        <v>470494</v>
      </c>
      <c r="G28" s="714">
        <v>469809</v>
      </c>
      <c r="H28" s="714">
        <v>446476</v>
      </c>
      <c r="I28" s="712"/>
      <c r="J28" s="18"/>
      <c r="K28" s="18"/>
      <c r="L28" s="630"/>
      <c r="M28" s="630"/>
      <c r="N28" s="630"/>
    </row>
    <row r="29" spans="1:14" ht="15.75" x14ac:dyDescent="0.25">
      <c r="A29" s="629" t="s">
        <v>354</v>
      </c>
      <c r="B29" s="715">
        <f>(B28/B27)</f>
        <v>51.889557939233384</v>
      </c>
      <c r="C29" s="715">
        <f t="shared" ref="C29:H29" si="3">(C28/C27)</f>
        <v>53.25986177369515</v>
      </c>
      <c r="D29" s="715">
        <f t="shared" si="3"/>
        <v>53.621543829792095</v>
      </c>
      <c r="E29" s="715">
        <f t="shared" si="3"/>
        <v>54.668939900505173</v>
      </c>
      <c r="F29" s="715">
        <f t="shared" si="3"/>
        <v>54.478401730362627</v>
      </c>
      <c r="G29" s="715">
        <f t="shared" si="3"/>
        <v>53.999917243091524</v>
      </c>
      <c r="H29" s="715">
        <f t="shared" si="3"/>
        <v>56.177427036195184</v>
      </c>
      <c r="I29" s="712"/>
      <c r="J29" s="18"/>
      <c r="K29" s="18"/>
      <c r="L29" s="630"/>
      <c r="M29" s="630"/>
      <c r="N29" s="630"/>
    </row>
    <row r="30" spans="1:14" ht="15.75" x14ac:dyDescent="0.25">
      <c r="A30" s="716" t="s">
        <v>355</v>
      </c>
      <c r="B30" s="714" t="s">
        <v>800</v>
      </c>
      <c r="C30" s="714" t="s">
        <v>800</v>
      </c>
      <c r="D30" s="714" t="s">
        <v>800</v>
      </c>
      <c r="E30" s="714" t="s">
        <v>800</v>
      </c>
      <c r="F30" s="714" t="s">
        <v>800</v>
      </c>
      <c r="G30" s="714" t="s">
        <v>800</v>
      </c>
      <c r="H30" s="714" t="s">
        <v>800</v>
      </c>
      <c r="I30" s="714"/>
      <c r="J30" s="18"/>
      <c r="K30" s="18"/>
      <c r="L30" s="630"/>
      <c r="M30" s="630"/>
      <c r="N30" s="630"/>
    </row>
    <row r="31" spans="1:14" ht="15.75" x14ac:dyDescent="0.25">
      <c r="A31" s="18"/>
      <c r="B31" s="18"/>
      <c r="C31" s="18"/>
      <c r="D31" s="18"/>
      <c r="E31" s="18"/>
      <c r="F31" s="18"/>
      <c r="G31" s="18"/>
      <c r="H31" s="18"/>
      <c r="I31" s="18"/>
      <c r="J31" s="18"/>
      <c r="K31" s="18"/>
      <c r="L31" s="630"/>
      <c r="M31" s="630"/>
      <c r="N31" s="630"/>
    </row>
    <row r="32" spans="1:14" ht="15.75" x14ac:dyDescent="0.25">
      <c r="A32" s="717" t="s">
        <v>356</v>
      </c>
      <c r="B32" s="718"/>
      <c r="C32" s="718"/>
      <c r="D32" s="718"/>
      <c r="E32" s="718"/>
      <c r="F32" s="718"/>
      <c r="G32" s="718"/>
      <c r="H32" s="718"/>
      <c r="I32" s="719"/>
      <c r="J32" s="18"/>
      <c r="K32" s="18"/>
      <c r="L32" s="630"/>
      <c r="M32" s="630"/>
      <c r="N32" s="630"/>
    </row>
    <row r="33" spans="1:14" ht="15.75" x14ac:dyDescent="0.25">
      <c r="A33" s="720"/>
      <c r="B33" s="721"/>
      <c r="C33" s="721"/>
      <c r="D33" s="721"/>
      <c r="E33" s="721"/>
      <c r="F33" s="721"/>
      <c r="G33" s="721"/>
      <c r="H33" s="721"/>
      <c r="I33" s="722"/>
      <c r="J33" s="18"/>
      <c r="K33" s="18"/>
      <c r="L33" s="630"/>
      <c r="M33" s="630"/>
      <c r="N33" s="630"/>
    </row>
    <row r="34" spans="1:14" ht="15.75" x14ac:dyDescent="0.25">
      <c r="A34" s="630"/>
      <c r="B34" s="630"/>
      <c r="C34" s="630"/>
      <c r="D34" s="630"/>
      <c r="E34" s="630"/>
      <c r="F34" s="630"/>
      <c r="G34" s="630"/>
      <c r="H34" s="630"/>
      <c r="I34" s="630"/>
      <c r="J34" s="630"/>
      <c r="K34" s="630"/>
      <c r="L34" s="630"/>
      <c r="M34" s="630"/>
      <c r="N34" s="630"/>
    </row>
    <row r="35" spans="1:14" ht="15.75" x14ac:dyDescent="0.25">
      <c r="A35" s="630"/>
      <c r="B35" s="630"/>
      <c r="C35" s="630"/>
      <c r="D35" s="630"/>
      <c r="E35" s="630"/>
      <c r="F35" s="630"/>
      <c r="G35" s="630"/>
      <c r="H35" s="630"/>
      <c r="I35" s="630"/>
      <c r="J35" s="630"/>
      <c r="K35" s="630"/>
      <c r="L35" s="630"/>
      <c r="M35" s="630"/>
      <c r="N35" s="630"/>
    </row>
    <row r="36" spans="1:14" ht="15.75" x14ac:dyDescent="0.25">
      <c r="A36" s="630"/>
      <c r="B36" s="630"/>
      <c r="C36" s="630"/>
      <c r="D36" s="630"/>
      <c r="E36" s="630"/>
      <c r="F36" s="630"/>
      <c r="G36" s="630"/>
      <c r="H36" s="630"/>
      <c r="I36" s="630"/>
      <c r="J36" s="630"/>
      <c r="K36" s="630"/>
      <c r="L36" s="630"/>
      <c r="M36" s="630"/>
      <c r="N36" s="630"/>
    </row>
    <row r="37" spans="1:14" ht="15.75" x14ac:dyDescent="0.25">
      <c r="A37" s="630"/>
      <c r="B37" s="630"/>
      <c r="C37" s="630"/>
      <c r="D37" s="630"/>
      <c r="E37" s="630"/>
      <c r="F37" s="630"/>
      <c r="G37" s="630"/>
      <c r="H37" s="630"/>
      <c r="I37" s="630"/>
      <c r="J37" s="630"/>
      <c r="K37" s="630"/>
      <c r="L37" s="630"/>
      <c r="M37" s="630"/>
      <c r="N37" s="630"/>
    </row>
  </sheetData>
  <mergeCells count="12">
    <mergeCell ref="L14:M15"/>
    <mergeCell ref="B4:D4"/>
    <mergeCell ref="B5:D5"/>
    <mergeCell ref="B6:D6"/>
    <mergeCell ref="B7:D7"/>
    <mergeCell ref="B8:D8"/>
    <mergeCell ref="M7:N8"/>
    <mergeCell ref="M9:N10"/>
    <mergeCell ref="B10:D10"/>
    <mergeCell ref="B11:D11"/>
    <mergeCell ref="B12:D12"/>
    <mergeCell ref="B9:D9"/>
  </mergeCells>
  <conditionalFormatting sqref="B28:H28 B15:H15 B30:H30">
    <cfRule type="cellIs" dxfId="34"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P4" sqref="P4"/>
    </sheetView>
  </sheetViews>
  <sheetFormatPr defaultColWidth="12.7109375" defaultRowHeight="12.75" x14ac:dyDescent="0.2"/>
  <cols>
    <col min="1" max="18" width="10.7109375" style="98" customWidth="1"/>
    <col min="19" max="16384" width="12.7109375" style="98"/>
  </cols>
  <sheetData>
    <row r="1" spans="1:18" ht="27" customHeight="1" x14ac:dyDescent="0.2">
      <c r="A1" s="96" t="s">
        <v>109</v>
      </c>
      <c r="B1" s="96"/>
      <c r="C1" s="96"/>
      <c r="D1" s="96" t="s">
        <v>357</v>
      </c>
      <c r="E1" s="96"/>
      <c r="F1" s="96"/>
      <c r="G1" s="97"/>
      <c r="H1" s="96"/>
      <c r="K1" s="96" t="s">
        <v>109</v>
      </c>
      <c r="L1" s="96"/>
      <c r="M1" s="96"/>
      <c r="N1" s="96" t="s">
        <v>357</v>
      </c>
      <c r="O1" s="96"/>
      <c r="P1" s="96"/>
      <c r="Q1" s="97"/>
      <c r="R1" s="96"/>
    </row>
    <row r="2" spans="1:18" s="106" customFormat="1" ht="12.75" customHeight="1" thickBot="1" x14ac:dyDescent="0.3">
      <c r="A2" s="99" t="s">
        <v>358</v>
      </c>
      <c r="B2" s="100" t="s">
        <v>359</v>
      </c>
      <c r="C2" s="101" t="s">
        <v>360</v>
      </c>
      <c r="D2" s="102" t="s">
        <v>361</v>
      </c>
      <c r="E2" s="102"/>
      <c r="F2" s="103" t="s">
        <v>362</v>
      </c>
      <c r="G2" s="104" t="s">
        <v>363</v>
      </c>
      <c r="H2" s="105" t="s">
        <v>364</v>
      </c>
      <c r="K2" s="99" t="s">
        <v>358</v>
      </c>
      <c r="L2" s="100" t="s">
        <v>359</v>
      </c>
      <c r="M2" s="101" t="s">
        <v>360</v>
      </c>
      <c r="N2" s="102" t="s">
        <v>361</v>
      </c>
      <c r="O2" s="102"/>
      <c r="P2" s="103" t="s">
        <v>362</v>
      </c>
      <c r="Q2" s="104" t="s">
        <v>363</v>
      </c>
      <c r="R2" s="105" t="s">
        <v>364</v>
      </c>
    </row>
    <row r="3" spans="1:18" s="106" customFormat="1" ht="12.75" customHeight="1" thickTop="1" thickBot="1" x14ac:dyDescent="0.3">
      <c r="A3" s="107"/>
      <c r="B3" s="108" t="s">
        <v>365</v>
      </c>
      <c r="C3" s="109" t="s">
        <v>366</v>
      </c>
      <c r="D3" s="110">
        <v>1</v>
      </c>
      <c r="E3" s="110">
        <v>2</v>
      </c>
      <c r="F3" s="111">
        <f>Draft!$P$29</f>
        <v>2.6603000000000003</v>
      </c>
      <c r="G3" s="112"/>
      <c r="H3" s="113" t="s">
        <v>367</v>
      </c>
      <c r="I3" s="114"/>
      <c r="K3" s="107"/>
      <c r="L3" s="108" t="s">
        <v>365</v>
      </c>
      <c r="M3" s="109" t="s">
        <v>366</v>
      </c>
      <c r="N3" s="110">
        <v>1</v>
      </c>
      <c r="O3" s="110">
        <v>2</v>
      </c>
      <c r="P3" s="111">
        <f>Draft!$AH$29</f>
        <v>5.7799999999998519E-2</v>
      </c>
      <c r="Q3" s="112"/>
      <c r="R3" s="113" t="s">
        <v>367</v>
      </c>
    </row>
    <row r="4" spans="1:18" ht="12.75" customHeight="1" thickTop="1" thickBot="1" x14ac:dyDescent="0.3">
      <c r="A4" s="115" t="str">
        <f>Relato!$A$253</f>
        <v>F.PK</v>
      </c>
      <c r="B4" s="1153">
        <f>Relato!$G$253</f>
        <v>23.92</v>
      </c>
      <c r="C4" s="116">
        <f>ROUNDDOWN(B4,1)</f>
        <v>23.9</v>
      </c>
      <c r="D4" s="117"/>
      <c r="E4" s="117"/>
      <c r="F4" s="118">
        <f>IF(E4="",D4,ROUND((((E6-D6)/($E$3-$D$3))*($F$3-$D$3))+D6,1))</f>
        <v>0</v>
      </c>
      <c r="G4" s="119">
        <v>1.0249999999999999</v>
      </c>
      <c r="H4" s="120">
        <f>ROUND(F4*G4,1)</f>
        <v>0</v>
      </c>
      <c r="K4" s="115" t="str">
        <f>Relato!$A$253</f>
        <v>F.PK</v>
      </c>
      <c r="L4" s="1153">
        <f>Relato!$D$270</f>
        <v>0</v>
      </c>
      <c r="M4" s="116">
        <f>ROUNDDOWN(L4,1)</f>
        <v>0</v>
      </c>
      <c r="N4" s="117"/>
      <c r="O4" s="117"/>
      <c r="P4" s="118">
        <f>IF(O4="",N4,ROUND((((O6-N6)/($E$3-$D$3))*($F$3-$D$3))+N6,1))</f>
        <v>0</v>
      </c>
      <c r="Q4" s="119">
        <v>1.0249999999999999</v>
      </c>
      <c r="R4" s="120">
        <f>ROUND(P4*Q4,1)</f>
        <v>0</v>
      </c>
    </row>
    <row r="5" spans="1:18" ht="12.75" customHeight="1" thickTop="1" x14ac:dyDescent="0.25">
      <c r="A5" s="115"/>
      <c r="B5" s="1153"/>
      <c r="C5" s="116">
        <f>IF(ROUNDUP(B4,1)=C4,"",ROUNDUP(B4,1))</f>
        <v>24</v>
      </c>
      <c r="D5" s="117"/>
      <c r="E5" s="117"/>
      <c r="F5" s="122" t="str">
        <f>IF(E4="","full","slack")</f>
        <v>full</v>
      </c>
      <c r="G5" s="118"/>
      <c r="H5" s="120"/>
      <c r="I5" s="121"/>
      <c r="K5" s="115"/>
      <c r="L5" s="1153"/>
      <c r="M5" s="116" t="str">
        <f>IF(ROUNDUP(L4,1)=M4,"",ROUNDUP(L4,1))</f>
        <v/>
      </c>
      <c r="N5" s="117"/>
      <c r="O5" s="117"/>
      <c r="P5" s="122" t="str">
        <f>IF(O4="","full","slack")</f>
        <v>full</v>
      </c>
      <c r="Q5" s="118"/>
      <c r="R5" s="120"/>
    </row>
    <row r="6" spans="1:18" ht="12.75" customHeight="1" x14ac:dyDescent="0.25">
      <c r="A6" s="123"/>
      <c r="B6" s="124"/>
      <c r="C6" s="125"/>
      <c r="D6" s="126">
        <f>IF(D5="",D4,(((D5-D4)/(C5-C4))*(B4-C4))+D4)</f>
        <v>0</v>
      </c>
      <c r="E6" s="126">
        <f>IF(E5="",E4,(((E5-E4)/(C5-C4))*(B4-C4))+E4)</f>
        <v>0</v>
      </c>
      <c r="F6" s="127"/>
      <c r="G6" s="127"/>
      <c r="H6" s="128"/>
      <c r="K6" s="123"/>
      <c r="L6" s="124"/>
      <c r="M6" s="125"/>
      <c r="N6" s="126">
        <f>IF(N5="",N4,(((N5-N4)/(M5-M4))*(L4-M4))+N4)</f>
        <v>0</v>
      </c>
      <c r="O6" s="126">
        <f>IF(O5="",O4,(((O5-O4)/(M5-M4))*(L4-M4))+O4)</f>
        <v>0</v>
      </c>
      <c r="P6" s="127"/>
      <c r="Q6" s="127"/>
      <c r="R6" s="128"/>
    </row>
    <row r="7" spans="1:18" ht="12.75" customHeight="1" x14ac:dyDescent="0.25">
      <c r="A7" s="129" t="str">
        <f>Relato!$A$254</f>
        <v>1 WBT (P)</v>
      </c>
      <c r="B7" s="1153">
        <f>Relato!$G$254</f>
        <v>17.36</v>
      </c>
      <c r="C7" s="116">
        <f>ROUNDDOWN(B7,1)</f>
        <v>17.3</v>
      </c>
      <c r="D7" s="130"/>
      <c r="E7" s="130"/>
      <c r="F7" s="131">
        <f>ROUND((((E9-D9)/($E$3-$D$3))*($F$3-$D$3))+D9,1)</f>
        <v>0</v>
      </c>
      <c r="G7" s="132">
        <f>G4</f>
        <v>1.0249999999999999</v>
      </c>
      <c r="H7" s="133">
        <f>ROUND(F7*G7,1)</f>
        <v>0</v>
      </c>
      <c r="I7" s="121"/>
      <c r="K7" s="129" t="str">
        <f>Relato!$A$254</f>
        <v>1 WBT (P)</v>
      </c>
      <c r="L7" s="1153">
        <f>Relato!$D$271</f>
        <v>0</v>
      </c>
      <c r="M7" s="116">
        <f>ROUNDDOWN(L7,1)</f>
        <v>0</v>
      </c>
      <c r="N7" s="130"/>
      <c r="O7" s="130"/>
      <c r="P7" s="131" t="e">
        <f>ROUND((((O9-N9)/($E$3-$D$3))*($F$3-$D$3))+N9,1)</f>
        <v>#VALUE!</v>
      </c>
      <c r="Q7" s="132">
        <f>Q4</f>
        <v>1.0249999999999999</v>
      </c>
      <c r="R7" s="133" t="e">
        <f>ROUND(P7*Q7,1)</f>
        <v>#VALUE!</v>
      </c>
    </row>
    <row r="8" spans="1:18" ht="12.75" customHeight="1" x14ac:dyDescent="0.25">
      <c r="A8" s="115"/>
      <c r="B8" s="1153"/>
      <c r="C8" s="116">
        <f>IF(ROUNDUP(B7,1)=C7,"",ROUNDUP(B7,1))</f>
        <v>17.400000000000002</v>
      </c>
      <c r="D8" s="134"/>
      <c r="E8" s="134"/>
      <c r="F8" s="118"/>
      <c r="G8" s="118"/>
      <c r="H8" s="120"/>
      <c r="K8" s="115"/>
      <c r="L8" s="1153"/>
      <c r="M8" s="116" t="str">
        <f>IF(ROUNDUP(L7,1)=M7,"",ROUNDUP(L7,1))</f>
        <v/>
      </c>
      <c r="N8" s="134"/>
      <c r="O8" s="134"/>
      <c r="P8" s="118"/>
      <c r="Q8" s="118"/>
      <c r="R8" s="120"/>
    </row>
    <row r="9" spans="1:18" ht="12.75" customHeight="1" x14ac:dyDescent="0.25">
      <c r="A9" s="123"/>
      <c r="B9" s="124"/>
      <c r="C9" s="125"/>
      <c r="D9" s="126">
        <f>(((D8-D7)/(C8-C7))*(B7-C7))+D7</f>
        <v>0</v>
      </c>
      <c r="E9" s="126">
        <f>(((E8-E7)/(C8-C7))*(B7-C7))+E7</f>
        <v>0</v>
      </c>
      <c r="F9" s="127"/>
      <c r="G9" s="127"/>
      <c r="H9" s="128"/>
      <c r="K9" s="123"/>
      <c r="L9" s="124"/>
      <c r="M9" s="125"/>
      <c r="N9" s="126" t="e">
        <f>(((N8-N7)/(M8-M7))*(L7-M7))+N7</f>
        <v>#VALUE!</v>
      </c>
      <c r="O9" s="126" t="e">
        <f>(((O8-O7)/(M8-M7))*(L7-M7))+O7</f>
        <v>#VALUE!</v>
      </c>
      <c r="P9" s="127"/>
      <c r="Q9" s="127"/>
      <c r="R9" s="128"/>
    </row>
    <row r="10" spans="1:18" ht="12.75" customHeight="1" x14ac:dyDescent="0.25">
      <c r="A10" s="129" t="str">
        <f>Relato!$A$255</f>
        <v>1 WBT (S)</v>
      </c>
      <c r="B10" s="1153">
        <f>Relato!$G$255</f>
        <v>17.100000000000001</v>
      </c>
      <c r="C10" s="135">
        <f>ROUNDDOWN(B10,1)</f>
        <v>17.100000000000001</v>
      </c>
      <c r="D10" s="130"/>
      <c r="E10" s="130"/>
      <c r="F10" s="131" t="e">
        <f>ROUND((((E12-D12)/($E$3-$D$3))*($F$3-$D$3))+D12,1)</f>
        <v>#VALUE!</v>
      </c>
      <c r="G10" s="132">
        <f>G7</f>
        <v>1.0249999999999999</v>
      </c>
      <c r="H10" s="133" t="e">
        <f>ROUND(F10*G10,1)</f>
        <v>#VALUE!</v>
      </c>
      <c r="I10" s="121"/>
      <c r="K10" s="129" t="str">
        <f>Relato!$A$255</f>
        <v>1 WBT (S)</v>
      </c>
      <c r="L10" s="1153">
        <f>Relato!$D$272</f>
        <v>0</v>
      </c>
      <c r="M10" s="135">
        <f>ROUNDDOWN(L10,1)</f>
        <v>0</v>
      </c>
      <c r="N10" s="130"/>
      <c r="O10" s="130"/>
      <c r="P10" s="131" t="e">
        <f>ROUND((((O12-N12)/($E$3-$D$3))*($F$3-$D$3))+N12,1)</f>
        <v>#VALUE!</v>
      </c>
      <c r="Q10" s="132">
        <f>Q7</f>
        <v>1.0249999999999999</v>
      </c>
      <c r="R10" s="133" t="e">
        <f>ROUND(P10*Q10,1)</f>
        <v>#VALUE!</v>
      </c>
    </row>
    <row r="11" spans="1:18" ht="12.75" customHeight="1" x14ac:dyDescent="0.25">
      <c r="A11" s="115"/>
      <c r="B11" s="1153"/>
      <c r="C11" s="116" t="str">
        <f>IF(ROUNDUP(B10,1)=C10,"",ROUNDUP(B10,1))</f>
        <v/>
      </c>
      <c r="D11" s="134"/>
      <c r="E11" s="134"/>
      <c r="F11" s="118"/>
      <c r="G11" s="118"/>
      <c r="H11" s="120"/>
      <c r="K11" s="115"/>
      <c r="L11" s="1153"/>
      <c r="M11" s="116" t="str">
        <f>IF(ROUNDUP(L10,1)=M10,"",ROUNDUP(L10,1))</f>
        <v/>
      </c>
      <c r="N11" s="134"/>
      <c r="O11" s="134"/>
      <c r="P11" s="118"/>
      <c r="Q11" s="118"/>
      <c r="R11" s="120"/>
    </row>
    <row r="12" spans="1:18" ht="12.75" customHeight="1" x14ac:dyDescent="0.25">
      <c r="A12" s="123"/>
      <c r="B12" s="124"/>
      <c r="C12" s="125"/>
      <c r="D12" s="126" t="e">
        <f>(((D11-D10)/(C11-C10))*(B10-C10))+D10</f>
        <v>#VALUE!</v>
      </c>
      <c r="E12" s="126" t="e">
        <f>(((E11-E10)/(C11-C10))*(B10-C10))+E10</f>
        <v>#VALUE!</v>
      </c>
      <c r="F12" s="127"/>
      <c r="G12" s="127"/>
      <c r="H12" s="128"/>
      <c r="K12" s="123"/>
      <c r="L12" s="124"/>
      <c r="M12" s="125"/>
      <c r="N12" s="126" t="e">
        <f>(((N11-N10)/(M11-M10))*(L10-M10))+N10</f>
        <v>#VALUE!</v>
      </c>
      <c r="O12" s="126" t="e">
        <f>(((O11-O10)/(M11-M10))*(L10-M10))+O10</f>
        <v>#VALUE!</v>
      </c>
      <c r="P12" s="127"/>
      <c r="Q12" s="127"/>
      <c r="R12" s="128"/>
    </row>
    <row r="13" spans="1:18" ht="12.75" customHeight="1" x14ac:dyDescent="0.25">
      <c r="A13" s="129" t="str">
        <f>Relato!$A$256</f>
        <v>2 WBT (P)</v>
      </c>
      <c r="B13" s="1153">
        <f>Relato!$G$256</f>
        <v>20.350000000000001</v>
      </c>
      <c r="C13" s="135">
        <f>ROUNDDOWN(B13,1)</f>
        <v>20.3</v>
      </c>
      <c r="D13" s="130"/>
      <c r="E13" s="130"/>
      <c r="F13" s="131">
        <f>ROUND((((E15-D15)/($E$3-$D$3))*($F$3-$D$3))+D15,1)</f>
        <v>0</v>
      </c>
      <c r="G13" s="132">
        <f>G10</f>
        <v>1.0249999999999999</v>
      </c>
      <c r="H13" s="133">
        <f>ROUND(F13*G13,1)</f>
        <v>0</v>
      </c>
      <c r="I13" s="121"/>
      <c r="K13" s="129" t="str">
        <f>Relato!$A$256</f>
        <v>2 WBT (P)</v>
      </c>
      <c r="L13" s="1153">
        <f>Relato!$D$273</f>
        <v>0.01</v>
      </c>
      <c r="M13" s="135">
        <f>ROUNDDOWN(L13,1)</f>
        <v>0</v>
      </c>
      <c r="N13" s="130"/>
      <c r="O13" s="130"/>
      <c r="P13" s="131">
        <f>ROUND((((O15-N15)/($E$3-$D$3))*($F$3-$D$3))+N15,1)</f>
        <v>0</v>
      </c>
      <c r="Q13" s="132">
        <f>Q10</f>
        <v>1.0249999999999999</v>
      </c>
      <c r="R13" s="133">
        <f>ROUND(P13*Q13,1)</f>
        <v>0</v>
      </c>
    </row>
    <row r="14" spans="1:18" ht="12.75" customHeight="1" x14ac:dyDescent="0.25">
      <c r="A14" s="115"/>
      <c r="B14" s="1153"/>
      <c r="C14" s="116">
        <f>IF(ROUNDUP(B13,1)=C13,"",ROUNDUP(B13,1))</f>
        <v>20.400000000000002</v>
      </c>
      <c r="D14" s="134"/>
      <c r="E14" s="134"/>
      <c r="F14" s="118"/>
      <c r="G14" s="118"/>
      <c r="H14" s="120"/>
      <c r="K14" s="115"/>
      <c r="L14" s="1153"/>
      <c r="M14" s="116">
        <f>IF(ROUNDUP(L13,1)=M13,"",ROUNDUP(L13,1))</f>
        <v>0.1</v>
      </c>
      <c r="N14" s="134"/>
      <c r="O14" s="134"/>
      <c r="P14" s="118"/>
      <c r="Q14" s="118"/>
      <c r="R14" s="120"/>
    </row>
    <row r="15" spans="1:18" ht="12.75" customHeight="1" x14ac:dyDescent="0.25">
      <c r="A15" s="123"/>
      <c r="B15" s="124"/>
      <c r="C15" s="125"/>
      <c r="D15" s="126">
        <f>(((D14-D13)/(C14-C13))*(B13-C13))+D13</f>
        <v>0</v>
      </c>
      <c r="E15" s="126">
        <f>(((E14-E13)/(C14-C13))*(B13-C13))+E13</f>
        <v>0</v>
      </c>
      <c r="F15" s="127"/>
      <c r="G15" s="127"/>
      <c r="H15" s="128"/>
      <c r="K15" s="123"/>
      <c r="L15" s="124"/>
      <c r="M15" s="125"/>
      <c r="N15" s="126">
        <f>(((N14-N13)/(M14-M13))*(L13-M13))+N13</f>
        <v>0</v>
      </c>
      <c r="O15" s="126">
        <f>(((O14-O13)/(M14-M13))*(L13-M13))+O13</f>
        <v>0</v>
      </c>
      <c r="P15" s="127"/>
      <c r="Q15" s="127"/>
      <c r="R15" s="128"/>
    </row>
    <row r="16" spans="1:18" ht="12.75" customHeight="1" x14ac:dyDescent="0.25">
      <c r="A16" s="129" t="str">
        <f>Relato!$A$257</f>
        <v>2 WBT (S)</v>
      </c>
      <c r="B16" s="1153">
        <f>Relato!$G$257</f>
        <v>20.21</v>
      </c>
      <c r="C16" s="135">
        <f>ROUNDDOWN(B16,1)</f>
        <v>20.2</v>
      </c>
      <c r="D16" s="130"/>
      <c r="E16" s="130"/>
      <c r="F16" s="131">
        <f>ROUND((((E18-D18)/($E$3-$D$3))*($F$3-$D$3))+D18,1)</f>
        <v>0</v>
      </c>
      <c r="G16" s="132">
        <f>G13</f>
        <v>1.0249999999999999</v>
      </c>
      <c r="H16" s="133">
        <f>ROUND(F16*G16,1)</f>
        <v>0</v>
      </c>
      <c r="I16" s="121"/>
      <c r="K16" s="129" t="str">
        <f>Relato!$A$257</f>
        <v>2 WBT (S)</v>
      </c>
      <c r="L16" s="1153">
        <f>Relato!$D$274</f>
        <v>0.02</v>
      </c>
      <c r="M16" s="135">
        <f>ROUNDDOWN(L16,1)</f>
        <v>0</v>
      </c>
      <c r="N16" s="130"/>
      <c r="O16" s="130"/>
      <c r="P16" s="131">
        <f>ROUND((((O18-N18)/($E$3-$D$3))*($F$3-$D$3))+N18,1)</f>
        <v>0</v>
      </c>
      <c r="Q16" s="132">
        <f>Q13</f>
        <v>1.0249999999999999</v>
      </c>
      <c r="R16" s="133">
        <f>ROUND(P16*Q16,1)</f>
        <v>0</v>
      </c>
    </row>
    <row r="17" spans="1:18" ht="12.75" customHeight="1" x14ac:dyDescent="0.25">
      <c r="A17" s="115"/>
      <c r="B17" s="1153"/>
      <c r="C17" s="116">
        <f>IF(ROUNDUP(B16,1)=C16,"",ROUNDUP(B16,1))</f>
        <v>20.3</v>
      </c>
      <c r="D17" s="134"/>
      <c r="E17" s="134"/>
      <c r="F17" s="118"/>
      <c r="G17" s="118"/>
      <c r="H17" s="120"/>
      <c r="K17" s="115"/>
      <c r="L17" s="1153"/>
      <c r="M17" s="116">
        <f>IF(ROUNDUP(L16,1)=M16,"",ROUNDUP(L16,1))</f>
        <v>0.1</v>
      </c>
      <c r="N17" s="134"/>
      <c r="O17" s="134"/>
      <c r="P17" s="118"/>
      <c r="Q17" s="118"/>
      <c r="R17" s="120"/>
    </row>
    <row r="18" spans="1:18" ht="12.75" customHeight="1" x14ac:dyDescent="0.25">
      <c r="A18" s="123"/>
      <c r="B18" s="124"/>
      <c r="C18" s="125"/>
      <c r="D18" s="126">
        <f>(((D17-D16)/(C17-C16))*(B16-C16))+D16</f>
        <v>0</v>
      </c>
      <c r="E18" s="126">
        <f>(((E17-E16)/(C17-C16))*(B16-C16))+E16</f>
        <v>0</v>
      </c>
      <c r="F18" s="127"/>
      <c r="G18" s="127"/>
      <c r="H18" s="128"/>
      <c r="K18" s="123"/>
      <c r="L18" s="124"/>
      <c r="M18" s="125"/>
      <c r="N18" s="126">
        <f>(((N17-N16)/(M17-M16))*(L16-M16))+N16</f>
        <v>0</v>
      </c>
      <c r="O18" s="126">
        <f>(((O17-O16)/(M17-M16))*(L16-M16))+O16</f>
        <v>0</v>
      </c>
      <c r="P18" s="127"/>
      <c r="Q18" s="127"/>
      <c r="R18" s="128"/>
    </row>
    <row r="19" spans="1:18" ht="12.75" customHeight="1" x14ac:dyDescent="0.25">
      <c r="A19" s="129" t="str">
        <f>Relato!$A$258</f>
        <v>3 WBT (P)</v>
      </c>
      <c r="B19" s="1153">
        <f>Relato!$G$258</f>
        <v>20.2</v>
      </c>
      <c r="C19" s="135">
        <f>ROUNDDOWN(B19,1)</f>
        <v>20.2</v>
      </c>
      <c r="D19" s="130"/>
      <c r="E19" s="130"/>
      <c r="F19" s="131" t="e">
        <f>ROUND((((E21-D21)/($E$3-$D$3))*($F$3-$D$3))+D21,1)</f>
        <v>#VALUE!</v>
      </c>
      <c r="G19" s="132">
        <f>G16</f>
        <v>1.0249999999999999</v>
      </c>
      <c r="H19" s="133" t="e">
        <f>ROUND(F19*G19,1)</f>
        <v>#VALUE!</v>
      </c>
      <c r="I19" s="121"/>
      <c r="K19" s="129" t="str">
        <f>Relato!$A$258</f>
        <v>3 WBT (P)</v>
      </c>
      <c r="L19" s="1153">
        <f>Relato!$D$275</f>
        <v>0.01</v>
      </c>
      <c r="M19" s="135">
        <f>ROUNDDOWN(L19,1)</f>
        <v>0</v>
      </c>
      <c r="N19" s="130"/>
      <c r="O19" s="130"/>
      <c r="P19" s="131">
        <f>ROUND((((O21-N21)/($E$3-$D$3))*($F$3-$D$3))+N21,1)</f>
        <v>0</v>
      </c>
      <c r="Q19" s="132">
        <f>Q16</f>
        <v>1.0249999999999999</v>
      </c>
      <c r="R19" s="133">
        <f>ROUND(P19*Q19,1)</f>
        <v>0</v>
      </c>
    </row>
    <row r="20" spans="1:18" ht="12.75" customHeight="1" x14ac:dyDescent="0.25">
      <c r="A20" s="115"/>
      <c r="B20" s="1153"/>
      <c r="C20" s="116" t="str">
        <f>IF(ROUNDUP(B19,1)=C19,"",ROUNDUP(B19,1))</f>
        <v/>
      </c>
      <c r="D20" s="134"/>
      <c r="E20" s="134"/>
      <c r="F20" s="118"/>
      <c r="G20" s="118"/>
      <c r="H20" s="120"/>
      <c r="K20" s="115"/>
      <c r="L20" s="1153"/>
      <c r="M20" s="116">
        <f>IF(ROUNDUP(L19,1)=M19,"",ROUNDUP(L19,1))</f>
        <v>0.1</v>
      </c>
      <c r="N20" s="134"/>
      <c r="O20" s="134"/>
      <c r="P20" s="118"/>
      <c r="Q20" s="118"/>
      <c r="R20" s="120"/>
    </row>
    <row r="21" spans="1:18" ht="12.75" customHeight="1" x14ac:dyDescent="0.25">
      <c r="A21" s="123"/>
      <c r="B21" s="124"/>
      <c r="C21" s="125"/>
      <c r="D21" s="126" t="e">
        <f>(((D20-D19)/(C20-C19))*(B19-C19))+D19</f>
        <v>#VALUE!</v>
      </c>
      <c r="E21" s="126" t="e">
        <f>(((E20-E19)/(C20-C19))*(B19-C19))+E19</f>
        <v>#VALUE!</v>
      </c>
      <c r="F21" s="127"/>
      <c r="G21" s="127"/>
      <c r="H21" s="128"/>
      <c r="K21" s="123"/>
      <c r="L21" s="124"/>
      <c r="M21" s="125"/>
      <c r="N21" s="126">
        <f>(((N20-N19)/(M20-M19))*(L19-M19))+N19</f>
        <v>0</v>
      </c>
      <c r="O21" s="126">
        <f>(((O20-O19)/(M20-M19))*(L19-M19))+O19</f>
        <v>0</v>
      </c>
      <c r="P21" s="127"/>
      <c r="Q21" s="127"/>
      <c r="R21" s="128"/>
    </row>
    <row r="22" spans="1:18" ht="12.75" customHeight="1" x14ac:dyDescent="0.25">
      <c r="A22" s="129" t="str">
        <f>Relato!$A$259</f>
        <v>3 WBT (S)</v>
      </c>
      <c r="B22" s="1153">
        <f>Relato!$G$259</f>
        <v>19.84</v>
      </c>
      <c r="C22" s="135">
        <f>ROUNDDOWN(B22,1)</f>
        <v>19.8</v>
      </c>
      <c r="D22" s="130"/>
      <c r="E22" s="130"/>
      <c r="F22" s="131">
        <f>ROUND((((E24-D24)/($E$3-$D$3))*($F$3-$D$3))+D24,1)</f>
        <v>0</v>
      </c>
      <c r="G22" s="132">
        <f>G19</f>
        <v>1.0249999999999999</v>
      </c>
      <c r="H22" s="133">
        <f>ROUND(F22*G22,1)</f>
        <v>0</v>
      </c>
      <c r="I22" s="121"/>
      <c r="K22" s="129" t="str">
        <f>Relato!$A$259</f>
        <v>3 WBT (S)</v>
      </c>
      <c r="L22" s="1153">
        <f>Relato!$D$276</f>
        <v>0.04</v>
      </c>
      <c r="M22" s="135">
        <f>ROUNDDOWN(L22,1)</f>
        <v>0</v>
      </c>
      <c r="N22" s="130"/>
      <c r="O22" s="130"/>
      <c r="P22" s="131">
        <f>ROUND((((O24-N24)/($E$3-$D$3))*($F$3-$D$3))+N24,1)</f>
        <v>0</v>
      </c>
      <c r="Q22" s="132">
        <f>Q19</f>
        <v>1.0249999999999999</v>
      </c>
      <c r="R22" s="133">
        <f>ROUND(P22*Q22,1)</f>
        <v>0</v>
      </c>
    </row>
    <row r="23" spans="1:18" ht="12.75" customHeight="1" x14ac:dyDescent="0.25">
      <c r="A23" s="115"/>
      <c r="B23" s="1153"/>
      <c r="C23" s="116">
        <f>IF(ROUNDUP(B22,1)=C22,"",ROUNDUP(B22,1))</f>
        <v>19.900000000000002</v>
      </c>
      <c r="D23" s="134"/>
      <c r="E23" s="134"/>
      <c r="F23" s="118"/>
      <c r="G23" s="118"/>
      <c r="H23" s="120"/>
      <c r="K23" s="115"/>
      <c r="L23" s="1153"/>
      <c r="M23" s="116">
        <f>IF(ROUNDUP(L22,1)=M22,"",ROUNDUP(L22,1))</f>
        <v>0.1</v>
      </c>
      <c r="N23" s="134"/>
      <c r="O23" s="134"/>
      <c r="P23" s="118"/>
      <c r="Q23" s="118"/>
      <c r="R23" s="120"/>
    </row>
    <row r="24" spans="1:18" ht="12.75" customHeight="1" x14ac:dyDescent="0.25">
      <c r="A24" s="123"/>
      <c r="B24" s="124"/>
      <c r="C24" s="125"/>
      <c r="D24" s="126">
        <f>(((D23-D22)/(C23-C22))*(B22-C22))+D22</f>
        <v>0</v>
      </c>
      <c r="E24" s="126">
        <f>(((E23-E22)/(C23-C22))*(B22-C22))+E22</f>
        <v>0</v>
      </c>
      <c r="F24" s="127"/>
      <c r="G24" s="127"/>
      <c r="H24" s="128"/>
      <c r="K24" s="123"/>
      <c r="L24" s="124"/>
      <c r="M24" s="125"/>
      <c r="N24" s="126">
        <f>(((N23-N22)/(M23-M22))*(L22-M22))+N22</f>
        <v>0</v>
      </c>
      <c r="O24" s="126">
        <f>(((O23-O22)/(M23-M22))*(L22-M22))+O22</f>
        <v>0</v>
      </c>
      <c r="P24" s="127"/>
      <c r="Q24" s="127"/>
      <c r="R24" s="128"/>
    </row>
    <row r="25" spans="1:18" ht="12.75" customHeight="1" x14ac:dyDescent="0.25">
      <c r="A25" s="129" t="str">
        <f>Relato!$A$260</f>
        <v>4 WBT (P)</v>
      </c>
      <c r="B25" s="1153">
        <f>Relato!$G$260</f>
        <v>19.580000000000002</v>
      </c>
      <c r="C25" s="135">
        <f>ROUNDDOWN(B25,1)</f>
        <v>19.5</v>
      </c>
      <c r="D25" s="130"/>
      <c r="E25" s="130"/>
      <c r="F25" s="131">
        <f>ROUND((((E27-D27)/($E$3-$D$3))*($F$3-$D$3))+D27,1)</f>
        <v>0</v>
      </c>
      <c r="G25" s="132">
        <f>G22</f>
        <v>1.0249999999999999</v>
      </c>
      <c r="H25" s="133">
        <f>ROUND(F25*G25,1)</f>
        <v>0</v>
      </c>
      <c r="I25" s="121"/>
      <c r="K25" s="129" t="str">
        <f>Relato!$A$260</f>
        <v>4 WBT (P)</v>
      </c>
      <c r="L25" s="1153">
        <f>Relato!$D$277</f>
        <v>0.03</v>
      </c>
      <c r="M25" s="135">
        <f>ROUNDDOWN(L25,1)</f>
        <v>0</v>
      </c>
      <c r="N25" s="130"/>
      <c r="O25" s="130"/>
      <c r="P25" s="131">
        <f>ROUND((((O27-N27)/($E$3-$D$3))*($F$3-$D$3))+N27,1)</f>
        <v>0</v>
      </c>
      <c r="Q25" s="132">
        <f>Q22</f>
        <v>1.0249999999999999</v>
      </c>
      <c r="R25" s="133">
        <f>ROUND(P25*Q25,1)</f>
        <v>0</v>
      </c>
    </row>
    <row r="26" spans="1:18" ht="12.75" customHeight="1" x14ac:dyDescent="0.25">
      <c r="A26" s="115"/>
      <c r="B26" s="1153"/>
      <c r="C26" s="116">
        <f>IF(ROUNDUP(B25,1)=C25,"",ROUNDUP(B25,1))</f>
        <v>19.600000000000001</v>
      </c>
      <c r="D26" s="134"/>
      <c r="E26" s="134"/>
      <c r="F26" s="118"/>
      <c r="G26" s="118"/>
      <c r="H26" s="120"/>
      <c r="K26" s="115"/>
      <c r="L26" s="1153"/>
      <c r="M26" s="116">
        <f>IF(ROUNDUP(L25,1)=M25,"",ROUNDUP(L25,1))</f>
        <v>0.1</v>
      </c>
      <c r="N26" s="134"/>
      <c r="O26" s="134"/>
      <c r="P26" s="118"/>
      <c r="Q26" s="118"/>
      <c r="R26" s="120"/>
    </row>
    <row r="27" spans="1:18" ht="12.75" customHeight="1" x14ac:dyDescent="0.25">
      <c r="A27" s="123"/>
      <c r="B27" s="124"/>
      <c r="C27" s="125"/>
      <c r="D27" s="126">
        <f>(((D26-D25)/(C26-C25))*(B25-C25))+D25</f>
        <v>0</v>
      </c>
      <c r="E27" s="126">
        <f>(((E26-E25)/(C26-C25))*(B25-C25))+E25</f>
        <v>0</v>
      </c>
      <c r="F27" s="127"/>
      <c r="G27" s="127"/>
      <c r="H27" s="128"/>
      <c r="K27" s="123"/>
      <c r="L27" s="124"/>
      <c r="M27" s="125"/>
      <c r="N27" s="126">
        <f>(((N26-N25)/(M26-M25))*(L25-M25))+N25</f>
        <v>0</v>
      </c>
      <c r="O27" s="126">
        <f>(((O26-O25)/(M26-M25))*(L25-M25))+O25</f>
        <v>0</v>
      </c>
      <c r="P27" s="127"/>
      <c r="Q27" s="127"/>
      <c r="R27" s="128"/>
    </row>
    <row r="28" spans="1:18" ht="12.75" customHeight="1" x14ac:dyDescent="0.25">
      <c r="A28" s="129" t="str">
        <f>Relato!$A$261</f>
        <v>4 WBT (S)</v>
      </c>
      <c r="B28" s="1153">
        <f>Relato!$G$261</f>
        <v>20.009999999999998</v>
      </c>
      <c r="C28" s="135">
        <f>ROUNDDOWN(B28,1)</f>
        <v>20</v>
      </c>
      <c r="D28" s="130"/>
      <c r="E28" s="130"/>
      <c r="F28" s="131">
        <f>ROUND((((E30-D30)/($E$3-$D$3))*($F$3-$D$3))+D30,1)</f>
        <v>0</v>
      </c>
      <c r="G28" s="132">
        <f>G25</f>
        <v>1.0249999999999999</v>
      </c>
      <c r="H28" s="133">
        <f>ROUND(F28*G28,1)</f>
        <v>0</v>
      </c>
      <c r="I28" s="121"/>
      <c r="K28" s="129" t="str">
        <f>Relato!$A$261</f>
        <v>4 WBT (S)</v>
      </c>
      <c r="L28" s="1153" t="e">
        <f>Relato!#REF!</f>
        <v>#REF!</v>
      </c>
      <c r="M28" s="135" t="e">
        <f>ROUNDDOWN(L28,1)</f>
        <v>#REF!</v>
      </c>
      <c r="N28" s="130"/>
      <c r="O28" s="130"/>
      <c r="P28" s="131" t="e">
        <f>ROUND((((O30-N30)/($E$3-$D$3))*($F$3-$D$3))+N30,1)</f>
        <v>#REF!</v>
      </c>
      <c r="Q28" s="132">
        <f>Q25</f>
        <v>1.0249999999999999</v>
      </c>
      <c r="R28" s="133" t="e">
        <f>ROUND(P28*Q28,1)</f>
        <v>#REF!</v>
      </c>
    </row>
    <row r="29" spans="1:18" ht="12.75" customHeight="1" x14ac:dyDescent="0.25">
      <c r="A29" s="115"/>
      <c r="B29" s="1153"/>
      <c r="C29" s="116">
        <f>IF(ROUNDUP(B28,1)=C28,"",ROUNDUP(B28,1))</f>
        <v>20.100000000000001</v>
      </c>
      <c r="D29" s="134"/>
      <c r="E29" s="134"/>
      <c r="F29" s="118"/>
      <c r="G29" s="118"/>
      <c r="H29" s="120"/>
      <c r="K29" s="115"/>
      <c r="L29" s="1153"/>
      <c r="M29" s="116" t="e">
        <f>IF(ROUNDUP(L28,1)=M28,"",ROUNDUP(L28,1))</f>
        <v>#REF!</v>
      </c>
      <c r="N29" s="134"/>
      <c r="O29" s="134"/>
      <c r="P29" s="118"/>
      <c r="Q29" s="118"/>
      <c r="R29" s="120"/>
    </row>
    <row r="30" spans="1:18" ht="12.75" customHeight="1" x14ac:dyDescent="0.25">
      <c r="A30" s="123"/>
      <c r="B30" s="124"/>
      <c r="C30" s="125"/>
      <c r="D30" s="126">
        <f>(((D29-D28)/(C29-C28))*(B28-C28))+D28</f>
        <v>0</v>
      </c>
      <c r="E30" s="126">
        <f>(((E29-E28)/(C29-C28))*(B28-C28))+E28</f>
        <v>0</v>
      </c>
      <c r="F30" s="127"/>
      <c r="G30" s="127"/>
      <c r="H30" s="128"/>
      <c r="K30" s="123"/>
      <c r="L30" s="124"/>
      <c r="M30" s="125"/>
      <c r="N30" s="126" t="e">
        <f>(((N29-N28)/(M29-M28))*(L28-M28))+N28</f>
        <v>#REF!</v>
      </c>
      <c r="O30" s="126" t="e">
        <f>(((O29-O28)/(M29-M28))*(L28-M28))+O28</f>
        <v>#REF!</v>
      </c>
      <c r="P30" s="127"/>
      <c r="Q30" s="127"/>
      <c r="R30" s="128"/>
    </row>
    <row r="31" spans="1:18" ht="12.75" customHeight="1" x14ac:dyDescent="0.25">
      <c r="A31" s="129" t="e">
        <f>Relato!#REF!</f>
        <v>#REF!</v>
      </c>
      <c r="B31" s="1153" t="e">
        <f>Relato!#REF!</f>
        <v>#REF!</v>
      </c>
      <c r="C31" s="135" t="e">
        <f>ROUNDDOWN(B31,1)</f>
        <v>#REF!</v>
      </c>
      <c r="D31" s="130"/>
      <c r="E31" s="130"/>
      <c r="F31" s="131" t="e">
        <f>ROUND((((E33-D33)/($E$3-$D$3))*($F$3-$D$3))+D33,1)</f>
        <v>#REF!</v>
      </c>
      <c r="G31" s="132">
        <f>G28</f>
        <v>1.0249999999999999</v>
      </c>
      <c r="H31" s="133" t="e">
        <f>ROUND(F31*G31,1)</f>
        <v>#REF!</v>
      </c>
      <c r="I31" s="121"/>
      <c r="K31" s="129" t="e">
        <f>Relato!#REF!</f>
        <v>#REF!</v>
      </c>
      <c r="L31" s="1153" t="e">
        <f>Relato!#REF!</f>
        <v>#REF!</v>
      </c>
      <c r="M31" s="135" t="e">
        <f>ROUNDDOWN(L31,1)</f>
        <v>#REF!</v>
      </c>
      <c r="N31" s="130"/>
      <c r="O31" s="130"/>
      <c r="P31" s="131" t="e">
        <f>ROUND((((O33-N33)/($E$3-$D$3))*($F$3-$D$3))+N33,1)</f>
        <v>#REF!</v>
      </c>
      <c r="Q31" s="132">
        <f>Q28</f>
        <v>1.0249999999999999</v>
      </c>
      <c r="R31" s="133" t="e">
        <f>ROUND(P31*Q31,1)</f>
        <v>#REF!</v>
      </c>
    </row>
    <row r="32" spans="1:18" ht="12.75" customHeight="1" x14ac:dyDescent="0.25">
      <c r="A32" s="115"/>
      <c r="B32" s="1153"/>
      <c r="C32" s="116" t="e">
        <f>IF(ROUNDUP(B31,1)=C31,"",ROUNDUP(B31,1))</f>
        <v>#REF!</v>
      </c>
      <c r="D32" s="134"/>
      <c r="E32" s="134"/>
      <c r="F32" s="118"/>
      <c r="G32" s="118"/>
      <c r="H32" s="120"/>
      <c r="K32" s="115"/>
      <c r="L32" s="1153"/>
      <c r="M32" s="116" t="e">
        <f>IF(ROUNDUP(L31,1)=M31,"",ROUNDUP(L31,1))</f>
        <v>#REF!</v>
      </c>
      <c r="N32" s="134"/>
      <c r="O32" s="134"/>
      <c r="P32" s="118"/>
      <c r="Q32" s="118"/>
      <c r="R32" s="120"/>
    </row>
    <row r="33" spans="1:18" ht="12.75" customHeight="1" x14ac:dyDescent="0.25">
      <c r="A33" s="123"/>
      <c r="B33" s="124"/>
      <c r="C33" s="125"/>
      <c r="D33" s="126" t="e">
        <f>(((D32-D31)/(C32-C31))*(B31-C31))+D31</f>
        <v>#REF!</v>
      </c>
      <c r="E33" s="126" t="e">
        <f>(((E32-E31)/(C32-C31))*(B31-C31))+E31</f>
        <v>#REF!</v>
      </c>
      <c r="F33" s="127"/>
      <c r="G33" s="127"/>
      <c r="H33" s="128"/>
      <c r="K33" s="123"/>
      <c r="L33" s="124"/>
      <c r="M33" s="125"/>
      <c r="N33" s="126" t="e">
        <f>(((N32-N31)/(M32-M31))*(L31-M31))+N31</f>
        <v>#REF!</v>
      </c>
      <c r="O33" s="126" t="e">
        <f>(((O32-O31)/(M32-M31))*(L31-M31))+O31</f>
        <v>#REF!</v>
      </c>
      <c r="P33" s="127"/>
      <c r="Q33" s="127"/>
      <c r="R33" s="128"/>
    </row>
    <row r="34" spans="1:18" ht="12.75" customHeight="1" x14ac:dyDescent="0.25">
      <c r="A34" s="129" t="e">
        <f>Relato!#REF!</f>
        <v>#REF!</v>
      </c>
      <c r="B34" s="1153" t="e">
        <f>Relato!#REF!</f>
        <v>#REF!</v>
      </c>
      <c r="C34" s="135" t="e">
        <f>ROUNDDOWN(B34,1)</f>
        <v>#REF!</v>
      </c>
      <c r="D34" s="130"/>
      <c r="E34" s="130"/>
      <c r="F34" s="131" t="e">
        <f>ROUND((((E36-D36)/($E$3-$D$3))*($F$3-$D$3))+D36,1)</f>
        <v>#REF!</v>
      </c>
      <c r="G34" s="132">
        <f>G31</f>
        <v>1.0249999999999999</v>
      </c>
      <c r="H34" s="133" t="e">
        <f>ROUND(F34*G34,1)</f>
        <v>#REF!</v>
      </c>
      <c r="I34" s="121"/>
      <c r="K34" s="129" t="e">
        <f>Relato!#REF!</f>
        <v>#REF!</v>
      </c>
      <c r="L34" s="1153" t="e">
        <f>Relato!#REF!</f>
        <v>#REF!</v>
      </c>
      <c r="M34" s="135" t="e">
        <f>ROUNDDOWN(L34,1)</f>
        <v>#REF!</v>
      </c>
      <c r="N34" s="130"/>
      <c r="O34" s="130"/>
      <c r="P34" s="131" t="e">
        <f>ROUND((((O36-N36)/($E$3-$D$3))*($F$3-$D$3))+N36,1)</f>
        <v>#REF!</v>
      </c>
      <c r="Q34" s="132">
        <f>Q31</f>
        <v>1.0249999999999999</v>
      </c>
      <c r="R34" s="133" t="e">
        <f>ROUND(P34*Q34,1)</f>
        <v>#REF!</v>
      </c>
    </row>
    <row r="35" spans="1:18" ht="12.75" customHeight="1" x14ac:dyDescent="0.25">
      <c r="A35" s="115"/>
      <c r="B35" s="1153"/>
      <c r="C35" s="136" t="e">
        <f>ROUNDUP(B34,1)</f>
        <v>#REF!</v>
      </c>
      <c r="D35" s="134"/>
      <c r="E35" s="134"/>
      <c r="F35" s="118"/>
      <c r="G35" s="118"/>
      <c r="H35" s="120"/>
      <c r="K35" s="115"/>
      <c r="L35" s="1153"/>
      <c r="M35" s="136" t="e">
        <f>ROUNDUP(L34,1)</f>
        <v>#REF!</v>
      </c>
      <c r="N35" s="134"/>
      <c r="O35" s="134"/>
      <c r="P35" s="118"/>
      <c r="Q35" s="118"/>
      <c r="R35" s="120"/>
    </row>
    <row r="36" spans="1:18" ht="12.75" customHeight="1" x14ac:dyDescent="0.25">
      <c r="A36" s="123"/>
      <c r="B36" s="124"/>
      <c r="C36" s="125"/>
      <c r="D36" s="126" t="e">
        <f>(((D35-D34)/(C35-C34))*(B34-C34))+D34</f>
        <v>#REF!</v>
      </c>
      <c r="E36" s="126" t="e">
        <f>(((E35-E34)/(C35-C34))*(B34-C34))+E34</f>
        <v>#REF!</v>
      </c>
      <c r="F36" s="127"/>
      <c r="G36" s="127"/>
      <c r="H36" s="128"/>
      <c r="K36" s="123"/>
      <c r="L36" s="124"/>
      <c r="M36" s="125"/>
      <c r="N36" s="126" t="e">
        <f>(((N35-N34)/(M35-M34))*(L34-M34))+N34</f>
        <v>#REF!</v>
      </c>
      <c r="O36" s="126" t="e">
        <f>(((O35-O34)/(M35-M34))*(L34-M34))+O34</f>
        <v>#REF!</v>
      </c>
      <c r="P36" s="127"/>
      <c r="Q36" s="127"/>
      <c r="R36" s="128"/>
    </row>
    <row r="37" spans="1:18" ht="12.75" customHeight="1" x14ac:dyDescent="0.25">
      <c r="A37" s="129" t="e">
        <f>Relato!#REF!</f>
        <v>#REF!</v>
      </c>
      <c r="B37" s="1153" t="e">
        <f>Relato!#REF!</f>
        <v>#REF!</v>
      </c>
      <c r="C37" s="135" t="e">
        <f>ROUNDDOWN(B37,1)</f>
        <v>#REF!</v>
      </c>
      <c r="D37" s="130"/>
      <c r="E37" s="130"/>
      <c r="F37" s="131" t="e">
        <f>ROUND((((E39-D39)/($E$3-$D$3))*($F$3-$D$3))+D39,1)</f>
        <v>#REF!</v>
      </c>
      <c r="G37" s="132">
        <f>G34</f>
        <v>1.0249999999999999</v>
      </c>
      <c r="H37" s="133" t="e">
        <f>ROUND(F37*G37,1)</f>
        <v>#REF!</v>
      </c>
      <c r="I37" s="121"/>
      <c r="K37" s="129" t="e">
        <f>Relato!#REF!</f>
        <v>#REF!</v>
      </c>
      <c r="L37" s="1153" t="e">
        <f>Relato!#REF!</f>
        <v>#REF!</v>
      </c>
      <c r="M37" s="135" t="e">
        <f>ROUNDDOWN(L37,1)</f>
        <v>#REF!</v>
      </c>
      <c r="N37" s="130"/>
      <c r="O37" s="130"/>
      <c r="P37" s="131" t="e">
        <f>ROUND((((O39-N39)/($E$3-$D$3))*($F$3-$D$3))+N39,1)</f>
        <v>#REF!</v>
      </c>
      <c r="Q37" s="132">
        <f>Q34</f>
        <v>1.0249999999999999</v>
      </c>
      <c r="R37" s="133" t="e">
        <f>ROUND(P37*Q37,1)</f>
        <v>#REF!</v>
      </c>
    </row>
    <row r="38" spans="1:18" ht="12.75" customHeight="1" x14ac:dyDescent="0.25">
      <c r="A38" s="115"/>
      <c r="B38" s="1153"/>
      <c r="C38" s="116" t="e">
        <f>IF(ROUNDUP(B37,1)=C37,"",ROUNDUP(B37,1))</f>
        <v>#REF!</v>
      </c>
      <c r="D38" s="134"/>
      <c r="E38" s="134"/>
      <c r="F38" s="118"/>
      <c r="G38" s="118"/>
      <c r="H38" s="120"/>
      <c r="I38" s="137"/>
      <c r="K38" s="115"/>
      <c r="L38" s="1153"/>
      <c r="M38" s="116" t="e">
        <f>IF(ROUNDUP(L37,1)=M37,"",ROUNDUP(L37,1))</f>
        <v>#REF!</v>
      </c>
      <c r="N38" s="134"/>
      <c r="O38" s="134"/>
      <c r="P38" s="118"/>
      <c r="Q38" s="118"/>
      <c r="R38" s="120"/>
    </row>
    <row r="39" spans="1:18" ht="12.75" customHeight="1" x14ac:dyDescent="0.25">
      <c r="A39" s="123"/>
      <c r="B39" s="124"/>
      <c r="C39" s="125"/>
      <c r="D39" s="126" t="e">
        <f>(((D$38-D$37)/($C$38-$C$37))*($B$37-$C$37))+D$37</f>
        <v>#REF!</v>
      </c>
      <c r="E39" s="126" t="e">
        <f>(((E38-E37)/(C38-C37))*(B37-C37))+E37</f>
        <v>#REF!</v>
      </c>
      <c r="F39" s="127"/>
      <c r="G39" s="127"/>
      <c r="H39" s="128"/>
      <c r="I39" s="137"/>
      <c r="K39" s="123"/>
      <c r="L39" s="124"/>
      <c r="M39" s="125"/>
      <c r="N39" s="126" t="e">
        <f>(((N$38-N$37)/($C$38-$C$37))*($B$37-$C$37))+N$37</f>
        <v>#REF!</v>
      </c>
      <c r="O39" s="126" t="e">
        <f>(((O38-O37)/(M38-M37))*(L37-M37))+O37</f>
        <v>#REF!</v>
      </c>
      <c r="P39" s="127"/>
      <c r="Q39" s="127"/>
      <c r="R39" s="128"/>
    </row>
    <row r="40" spans="1:18" ht="12.75" customHeight="1" x14ac:dyDescent="0.25">
      <c r="A40" s="129" t="e">
        <f>Relato!#REF!</f>
        <v>#REF!</v>
      </c>
      <c r="B40" s="1153" t="e">
        <f>Relato!#REF!</f>
        <v>#REF!</v>
      </c>
      <c r="C40" s="135" t="e">
        <f>ROUNDDOWN(B40,1)</f>
        <v>#REF!</v>
      </c>
      <c r="D40" s="130"/>
      <c r="E40" s="130"/>
      <c r="F40" s="131" t="e">
        <f>ROUND((((E42-D42)/($E$3-$D$3))*($F$3-$D$3))+D42,1)</f>
        <v>#REF!</v>
      </c>
      <c r="G40" s="132">
        <f>G37</f>
        <v>1.0249999999999999</v>
      </c>
      <c r="H40" s="133" t="e">
        <f>ROUND(F40*G40,1)</f>
        <v>#REF!</v>
      </c>
      <c r="I40" s="121"/>
      <c r="K40" s="129" t="e">
        <f>Relato!#REF!</f>
        <v>#REF!</v>
      </c>
      <c r="L40" s="1153" t="e">
        <f>Relato!#REF!</f>
        <v>#REF!</v>
      </c>
      <c r="M40" s="135" t="e">
        <f>ROUNDDOWN(L40,1)</f>
        <v>#REF!</v>
      </c>
      <c r="N40" s="130"/>
      <c r="O40" s="130"/>
      <c r="P40" s="131" t="e">
        <f>ROUND((((O42-N42)/($E$3-$D$3))*($F$3-$D$3))+N42,1)</f>
        <v>#REF!</v>
      </c>
      <c r="Q40" s="132">
        <f>Q37</f>
        <v>1.0249999999999999</v>
      </c>
      <c r="R40" s="133" t="e">
        <f>ROUND(P40*Q40,1)</f>
        <v>#REF!</v>
      </c>
    </row>
    <row r="41" spans="1:18" ht="12.75" customHeight="1" x14ac:dyDescent="0.25">
      <c r="A41" s="115"/>
      <c r="B41" s="1153"/>
      <c r="C41" s="116" t="e">
        <f>ROUNDUP(B40,1)</f>
        <v>#REF!</v>
      </c>
      <c r="D41" s="134"/>
      <c r="E41" s="134"/>
      <c r="F41" s="118"/>
      <c r="G41" s="118"/>
      <c r="H41" s="120"/>
      <c r="K41" s="115"/>
      <c r="L41" s="1153"/>
      <c r="M41" s="116" t="e">
        <f>ROUNDUP(L40,1)</f>
        <v>#REF!</v>
      </c>
      <c r="N41" s="134"/>
      <c r="O41" s="134"/>
      <c r="P41" s="118"/>
      <c r="Q41" s="118"/>
      <c r="R41" s="120"/>
    </row>
    <row r="42" spans="1:18" ht="12.75" customHeight="1" x14ac:dyDescent="0.25">
      <c r="A42" s="123"/>
      <c r="B42" s="124"/>
      <c r="C42" s="125"/>
      <c r="D42" s="126" t="e">
        <f>(((D41-D40)/(100*C41-100*C40))*(100*B40-100*C40))+D40</f>
        <v>#REF!</v>
      </c>
      <c r="E42" s="126" t="e">
        <f>(((E41-E40)/(100*C41-100*C40))*(100*B40-100*C40))+E40</f>
        <v>#REF!</v>
      </c>
      <c r="F42" s="127"/>
      <c r="G42" s="127"/>
      <c r="H42" s="128"/>
      <c r="K42" s="123"/>
      <c r="L42" s="124"/>
      <c r="M42" s="125"/>
      <c r="N42" s="126" t="e">
        <f>(((N41-N40)/(100*M41-100*M40))*(100*L40-100*M40))+N40</f>
        <v>#REF!</v>
      </c>
      <c r="O42" s="126" t="e">
        <f>(((O41-O40)/(100*M41-100*M40))*(100*L40-100*M40))+O40</f>
        <v>#REF!</v>
      </c>
      <c r="P42" s="127"/>
      <c r="Q42" s="127"/>
      <c r="R42" s="128"/>
    </row>
    <row r="43" spans="1:18" ht="12.75" customHeight="1" x14ac:dyDescent="0.25">
      <c r="A43" s="129" t="e">
        <f>Relato!#REF!</f>
        <v>#REF!</v>
      </c>
      <c r="B43" s="1153" t="e">
        <f>Relato!#REF!</f>
        <v>#REF!</v>
      </c>
      <c r="C43" s="135" t="e">
        <f>ROUNDDOWN(B43,1)</f>
        <v>#REF!</v>
      </c>
      <c r="D43" s="130"/>
      <c r="E43" s="130"/>
      <c r="F43" s="131" t="e">
        <f>ROUND((((E45-D45)/($E$3-$D$3))*($F$3-$D$3))+D45,1)</f>
        <v>#REF!</v>
      </c>
      <c r="G43" s="132">
        <f>G40</f>
        <v>1.0249999999999999</v>
      </c>
      <c r="H43" s="133" t="e">
        <f>ROUND(F43*G43,1)</f>
        <v>#REF!</v>
      </c>
      <c r="I43" s="121"/>
      <c r="K43" s="129" t="e">
        <f>Relato!#REF!</f>
        <v>#REF!</v>
      </c>
      <c r="L43" s="1153" t="e">
        <f>Relato!#REF!</f>
        <v>#REF!</v>
      </c>
      <c r="M43" s="135" t="e">
        <f>ROUNDDOWN(L43,1)</f>
        <v>#REF!</v>
      </c>
      <c r="N43" s="130"/>
      <c r="O43" s="130"/>
      <c r="P43" s="131" t="e">
        <f>ROUND((((O45-N45)/($E$3-$D$3))*($F$3-$D$3))+N45,1)</f>
        <v>#REF!</v>
      </c>
      <c r="Q43" s="132">
        <f>Q40</f>
        <v>1.0249999999999999</v>
      </c>
      <c r="R43" s="133" t="e">
        <f>ROUND(P43*Q43,1)</f>
        <v>#REF!</v>
      </c>
    </row>
    <row r="44" spans="1:18" ht="12.75" customHeight="1" x14ac:dyDescent="0.25">
      <c r="A44" s="115"/>
      <c r="B44" s="1153"/>
      <c r="C44" s="116" t="e">
        <f>ROUNDUP(B43,1)</f>
        <v>#REF!</v>
      </c>
      <c r="D44" s="138"/>
      <c r="E44" s="138"/>
      <c r="F44" s="118"/>
      <c r="G44" s="118"/>
      <c r="H44" s="120"/>
      <c r="K44" s="115"/>
      <c r="L44" s="1153"/>
      <c r="M44" s="116" t="e">
        <f>ROUNDUP(L43,1)</f>
        <v>#REF!</v>
      </c>
      <c r="N44" s="138"/>
      <c r="O44" s="138"/>
      <c r="P44" s="118"/>
      <c r="Q44" s="118"/>
      <c r="R44" s="120"/>
    </row>
    <row r="45" spans="1:18" ht="12.75" customHeight="1" x14ac:dyDescent="0.25">
      <c r="A45" s="123"/>
      <c r="B45" s="124"/>
      <c r="C45" s="125"/>
      <c r="D45" s="126" t="e">
        <f>(((D44-D43)/(100*C44-100*C43))*(100*B43-100*C43))+D43</f>
        <v>#REF!</v>
      </c>
      <c r="E45" s="126" t="e">
        <f>(((E44-E43)/(100*C44-100*C43))*(100*B43-100*C43))+E43</f>
        <v>#REF!</v>
      </c>
      <c r="F45" s="127"/>
      <c r="G45" s="127"/>
      <c r="H45" s="128"/>
      <c r="K45" s="123"/>
      <c r="L45" s="124"/>
      <c r="M45" s="125"/>
      <c r="N45" s="126" t="e">
        <f>(((N44-N43)/(100*M44-100*M43))*(100*L43-100*M43))+N43</f>
        <v>#REF!</v>
      </c>
      <c r="O45" s="126" t="e">
        <f>(((O44-O43)/(100*M44-100*M43))*(100*L43-100*M43))+O43</f>
        <v>#REF!</v>
      </c>
      <c r="P45" s="127"/>
      <c r="Q45" s="127"/>
      <c r="R45" s="128"/>
    </row>
    <row r="46" spans="1:18" ht="12.75" customHeight="1" x14ac:dyDescent="0.25">
      <c r="A46" s="129" t="e">
        <f>Relato!#REF!</f>
        <v>#REF!</v>
      </c>
      <c r="B46" s="1153" t="e">
        <f>Relato!#REF!</f>
        <v>#REF!</v>
      </c>
      <c r="C46" s="135" t="e">
        <f>ROUNDDOWN(B46,1)</f>
        <v>#REF!</v>
      </c>
      <c r="D46" s="130"/>
      <c r="E46" s="130"/>
      <c r="F46" s="131" t="e">
        <f>ROUND((((E48-D48)/($E$3-$D$3))*($F$3-$D$3))+D48,1)</f>
        <v>#REF!</v>
      </c>
      <c r="G46" s="132">
        <f>G43</f>
        <v>1.0249999999999999</v>
      </c>
      <c r="H46" s="133" t="e">
        <f>ROUND(F46*G46,1)</f>
        <v>#REF!</v>
      </c>
      <c r="I46" s="121"/>
      <c r="K46" s="129" t="e">
        <f>Relato!#REF!</f>
        <v>#REF!</v>
      </c>
      <c r="L46" s="1153" t="e">
        <f>Relato!#REF!</f>
        <v>#REF!</v>
      </c>
      <c r="M46" s="135" t="e">
        <f>ROUNDDOWN(L46,1)</f>
        <v>#REF!</v>
      </c>
      <c r="N46" s="130"/>
      <c r="O46" s="130"/>
      <c r="P46" s="131" t="e">
        <f>ROUND((((O48-N48)/($E$3-$D$3))*($F$3-$D$3))+N48,1)</f>
        <v>#REF!</v>
      </c>
      <c r="Q46" s="132">
        <f>Q43</f>
        <v>1.0249999999999999</v>
      </c>
      <c r="R46" s="133" t="e">
        <f>ROUND(P46*Q46,1)</f>
        <v>#REF!</v>
      </c>
    </row>
    <row r="47" spans="1:18" ht="12.75" customHeight="1" x14ac:dyDescent="0.25">
      <c r="A47" s="115"/>
      <c r="B47" s="1153"/>
      <c r="C47" s="116" t="e">
        <f>ROUNDUP(B46,1)</f>
        <v>#REF!</v>
      </c>
      <c r="D47" s="134"/>
      <c r="E47" s="134"/>
      <c r="F47" s="118"/>
      <c r="G47" s="118"/>
      <c r="H47" s="120"/>
      <c r="K47" s="115"/>
      <c r="L47" s="1153"/>
      <c r="M47" s="116" t="e">
        <f>ROUNDUP(L46,1)</f>
        <v>#REF!</v>
      </c>
      <c r="N47" s="134"/>
      <c r="O47" s="134"/>
      <c r="P47" s="118"/>
      <c r="Q47" s="118"/>
      <c r="R47" s="120"/>
    </row>
    <row r="48" spans="1:18" ht="12.75" customHeight="1" x14ac:dyDescent="0.25">
      <c r="A48" s="123"/>
      <c r="B48" s="124"/>
      <c r="C48" s="125"/>
      <c r="D48" s="126" t="e">
        <f>(((D47-D46)/(100*C47-100*C46))*(100*B46-100*C46))+D46</f>
        <v>#REF!</v>
      </c>
      <c r="E48" s="126" t="e">
        <f>(((E47-E46)/(100*C47-100*C46))*(100*B46-100*C46))+E46</f>
        <v>#REF!</v>
      </c>
      <c r="F48" s="127"/>
      <c r="G48" s="127"/>
      <c r="H48" s="128"/>
      <c r="I48" s="121"/>
      <c r="K48" s="123"/>
      <c r="L48" s="124"/>
      <c r="M48" s="125"/>
      <c r="N48" s="126" t="e">
        <f>(((N47-N46)/(100*M47-100*M46))*(100*L46-100*M46))+N46</f>
        <v>#REF!</v>
      </c>
      <c r="O48" s="126" t="e">
        <f>(((O47-O46)/(100*M47-100*M46))*(100*L46-100*M46))+O46</f>
        <v>#REF!</v>
      </c>
      <c r="P48" s="127"/>
      <c r="Q48" s="127"/>
      <c r="R48" s="128"/>
    </row>
    <row r="49" spans="1:18" ht="12.75" customHeight="1" x14ac:dyDescent="0.25">
      <c r="A49" s="129" t="e">
        <f>Relato!#REF!</f>
        <v>#REF!</v>
      </c>
      <c r="B49" s="1153" t="e">
        <f>Relato!#REF!</f>
        <v>#REF!</v>
      </c>
      <c r="C49" s="135" t="e">
        <f>ROUNDDOWN(B49,1)</f>
        <v>#REF!</v>
      </c>
      <c r="D49" s="130"/>
      <c r="E49" s="130"/>
      <c r="F49" s="131" t="e">
        <f>ROUND((((E51-D51)/($E$3-$D$3))*($F$3-$D$3))+D51,1)</f>
        <v>#REF!</v>
      </c>
      <c r="G49" s="132">
        <f>G46</f>
        <v>1.0249999999999999</v>
      </c>
      <c r="H49" s="133" t="e">
        <f>ROUND(F49*G49,1)</f>
        <v>#REF!</v>
      </c>
      <c r="I49" s="121"/>
      <c r="K49" s="129" t="e">
        <f>Relato!#REF!</f>
        <v>#REF!</v>
      </c>
      <c r="L49" s="1153" t="e">
        <f>Relato!#REF!</f>
        <v>#REF!</v>
      </c>
      <c r="M49" s="135" t="e">
        <f>ROUNDDOWN(L49,1)</f>
        <v>#REF!</v>
      </c>
      <c r="N49" s="130"/>
      <c r="O49" s="130"/>
      <c r="P49" s="131" t="e">
        <f>ROUND((((O51-N51)/($E$3-$D$3))*($F$3-$D$3))+N51,1)</f>
        <v>#REF!</v>
      </c>
      <c r="Q49" s="132">
        <f>Q46</f>
        <v>1.0249999999999999</v>
      </c>
      <c r="R49" s="133" t="e">
        <f>ROUND(P49*Q49,1)</f>
        <v>#REF!</v>
      </c>
    </row>
    <row r="50" spans="1:18" ht="12.75" customHeight="1" x14ac:dyDescent="0.25">
      <c r="A50" s="115"/>
      <c r="B50" s="1153"/>
      <c r="C50" s="116" t="e">
        <f>ROUNDUP(B49,1)</f>
        <v>#REF!</v>
      </c>
      <c r="D50" s="134"/>
      <c r="E50" s="134"/>
      <c r="F50" s="118"/>
      <c r="G50" s="118"/>
      <c r="H50" s="120"/>
      <c r="K50" s="115"/>
      <c r="L50" s="1153"/>
      <c r="M50" s="116" t="e">
        <f>ROUNDUP(L49,1)</f>
        <v>#REF!</v>
      </c>
      <c r="N50" s="134"/>
      <c r="O50" s="134"/>
      <c r="P50" s="118"/>
      <c r="Q50" s="118"/>
      <c r="R50" s="120"/>
    </row>
    <row r="51" spans="1:18" ht="12.75" customHeight="1" x14ac:dyDescent="0.25">
      <c r="A51" s="123"/>
      <c r="B51" s="124"/>
      <c r="C51" s="125"/>
      <c r="D51" s="126" t="e">
        <f>(((D50-D49)/(100*C50-100*C49))*(100*B49-100*C49))+D49</f>
        <v>#REF!</v>
      </c>
      <c r="E51" s="126" t="e">
        <f>(((E50-E49)/(100*C50-100*C49))*(100*B49-100*C49))+E49</f>
        <v>#REF!</v>
      </c>
      <c r="F51" s="127"/>
      <c r="G51" s="127"/>
      <c r="H51" s="128"/>
      <c r="K51" s="123"/>
      <c r="L51" s="124"/>
      <c r="M51" s="125"/>
      <c r="N51" s="126" t="e">
        <f>(((N50-N49)/(100*M50-100*M49))*(100*L49-100*M49))+N49</f>
        <v>#REF!</v>
      </c>
      <c r="O51" s="126" t="e">
        <f>(((O50-O49)/(100*M50-100*M49))*(100*L49-100*M49))+O49</f>
        <v>#REF!</v>
      </c>
      <c r="P51" s="127"/>
      <c r="Q51" s="127"/>
      <c r="R51" s="128"/>
    </row>
    <row r="52" spans="1:18" ht="12.75" customHeight="1" x14ac:dyDescent="0.25">
      <c r="A52" s="129" t="e">
        <f>Relato!#REF!</f>
        <v>#REF!</v>
      </c>
      <c r="B52" s="1153" t="e">
        <f>Relato!#REF!</f>
        <v>#REF!</v>
      </c>
      <c r="C52" s="135" t="e">
        <f>ROUNDDOWN(B52,1)</f>
        <v>#REF!</v>
      </c>
      <c r="D52" s="130"/>
      <c r="E52" s="130"/>
      <c r="F52" s="131" t="e">
        <f>ROUND((((E54-D54)/($E$3-$D$3))*($F$3-$D$3))+D54,1)</f>
        <v>#REF!</v>
      </c>
      <c r="G52" s="132">
        <f>G49</f>
        <v>1.0249999999999999</v>
      </c>
      <c r="H52" s="133" t="e">
        <f>ROUND(F52*G52,1)</f>
        <v>#REF!</v>
      </c>
      <c r="I52" s="121"/>
      <c r="K52" s="129" t="e">
        <f>Relato!#REF!</f>
        <v>#REF!</v>
      </c>
      <c r="L52" s="1153" t="e">
        <f>Relato!#REF!</f>
        <v>#REF!</v>
      </c>
      <c r="M52" s="135" t="e">
        <f>ROUNDDOWN(L52,1)</f>
        <v>#REF!</v>
      </c>
      <c r="N52" s="130"/>
      <c r="O52" s="130"/>
      <c r="P52" s="131" t="e">
        <f>ROUND((((O54-N54)/($E$3-$D$3))*($F$3-$D$3))+N54,1)</f>
        <v>#REF!</v>
      </c>
      <c r="Q52" s="132">
        <f>Q49</f>
        <v>1.0249999999999999</v>
      </c>
      <c r="R52" s="133" t="e">
        <f>ROUND(P52*Q52,1)</f>
        <v>#REF!</v>
      </c>
    </row>
    <row r="53" spans="1:18" ht="12.75" customHeight="1" x14ac:dyDescent="0.25">
      <c r="A53" s="115"/>
      <c r="B53" s="1153"/>
      <c r="C53" s="116" t="e">
        <f>ROUNDUP(B52,1)</f>
        <v>#REF!</v>
      </c>
      <c r="D53" s="134"/>
      <c r="E53" s="134"/>
      <c r="F53" s="118"/>
      <c r="G53" s="118"/>
      <c r="H53" s="120"/>
      <c r="K53" s="115"/>
      <c r="L53" s="1153"/>
      <c r="M53" s="116" t="e">
        <f>ROUNDUP(L52,1)</f>
        <v>#REF!</v>
      </c>
      <c r="N53" s="134"/>
      <c r="O53" s="134"/>
      <c r="P53" s="118"/>
      <c r="Q53" s="118"/>
      <c r="R53" s="120"/>
    </row>
    <row r="54" spans="1:18" ht="12.75" customHeight="1" x14ac:dyDescent="0.25">
      <c r="A54" s="123"/>
      <c r="B54" s="124"/>
      <c r="C54" s="125"/>
      <c r="D54" s="126" t="e">
        <f>(((D53-D52)/(100*C53-100*C52))*(100*B52-100*C52))+D52</f>
        <v>#REF!</v>
      </c>
      <c r="E54" s="126" t="e">
        <f>(((E53-E52)/(100*C53-100*C52))*(100*B52-100*C52))+E52</f>
        <v>#REF!</v>
      </c>
      <c r="F54" s="127"/>
      <c r="G54" s="127"/>
      <c r="H54" s="128"/>
      <c r="K54" s="123"/>
      <c r="L54" s="124"/>
      <c r="M54" s="125"/>
      <c r="N54" s="126" t="e">
        <f>(((N53-N52)/(100*M53-100*M52))*(100*L52-100*M52))+N52</f>
        <v>#REF!</v>
      </c>
      <c r="O54" s="126" t="e">
        <f>(((O53-O52)/(100*M53-100*M52))*(100*L52-100*M52))+O52</f>
        <v>#REF!</v>
      </c>
      <c r="P54" s="127"/>
      <c r="Q54" s="127"/>
      <c r="R54" s="128"/>
    </row>
    <row r="55" spans="1:18" ht="12.75" customHeight="1" x14ac:dyDescent="0.25">
      <c r="A55" s="129" t="e">
        <f>Relato!#REF!</f>
        <v>#REF!</v>
      </c>
      <c r="B55" s="1153" t="e">
        <f>Relato!#REF!</f>
        <v>#REF!</v>
      </c>
      <c r="C55" s="135" t="e">
        <f>ROUNDDOWN(B55,1)</f>
        <v>#REF!</v>
      </c>
      <c r="D55" s="130"/>
      <c r="E55" s="130"/>
      <c r="F55" s="131" t="e">
        <f>ROUND((((E57-D57)/($E$3-$D$3))*($F$3-$D$3))+D57,1)</f>
        <v>#REF!</v>
      </c>
      <c r="G55" s="132">
        <f>G52</f>
        <v>1.0249999999999999</v>
      </c>
      <c r="H55" s="133" t="e">
        <f>ROUND(F55*G55,1)</f>
        <v>#REF!</v>
      </c>
      <c r="I55" s="121"/>
      <c r="K55" s="129" t="e">
        <f>Relato!#REF!</f>
        <v>#REF!</v>
      </c>
      <c r="L55" s="1153" t="e">
        <f>Relato!#REF!</f>
        <v>#REF!</v>
      </c>
      <c r="M55" s="135" t="e">
        <f>ROUNDDOWN(L55,1)</f>
        <v>#REF!</v>
      </c>
      <c r="N55" s="130"/>
      <c r="O55" s="130"/>
      <c r="P55" s="131" t="e">
        <f>ROUND((((O57-N57)/($E$3-$D$3))*($F$3-$D$3))+N57,1)</f>
        <v>#REF!</v>
      </c>
      <c r="Q55" s="132">
        <f>Q52</f>
        <v>1.0249999999999999</v>
      </c>
      <c r="R55" s="133" t="e">
        <f>ROUND(P55*Q55,1)</f>
        <v>#REF!</v>
      </c>
    </row>
    <row r="56" spans="1:18" ht="12.75" customHeight="1" x14ac:dyDescent="0.25">
      <c r="A56" s="115"/>
      <c r="B56" s="1153"/>
      <c r="C56" s="116" t="e">
        <f>ROUNDUP(B55,1)</f>
        <v>#REF!</v>
      </c>
      <c r="D56" s="134"/>
      <c r="E56" s="134"/>
      <c r="F56" s="118"/>
      <c r="G56" s="139"/>
      <c r="H56" s="120"/>
      <c r="K56" s="115"/>
      <c r="L56" s="1153"/>
      <c r="M56" s="116" t="e">
        <f>ROUNDUP(L55,1)</f>
        <v>#REF!</v>
      </c>
      <c r="N56" s="134"/>
      <c r="O56" s="134"/>
      <c r="P56" s="118"/>
      <c r="Q56" s="139"/>
      <c r="R56" s="120"/>
    </row>
    <row r="57" spans="1:18" ht="12.75" customHeight="1" x14ac:dyDescent="0.25">
      <c r="A57" s="123"/>
      <c r="B57" s="124"/>
      <c r="C57" s="125"/>
      <c r="D57" s="126" t="e">
        <f>(((D56-D55)/(100*C56-100*C55))*(100*B55-100*C55))+D55</f>
        <v>#REF!</v>
      </c>
      <c r="E57" s="126" t="e">
        <f>(((E56-E55)/(100*C56-100*C55))*(100*B55-100*C55))+E55</f>
        <v>#REF!</v>
      </c>
      <c r="F57" s="127"/>
      <c r="G57" s="127"/>
      <c r="H57" s="128"/>
      <c r="K57" s="123"/>
      <c r="L57" s="124"/>
      <c r="M57" s="125"/>
      <c r="N57" s="126" t="e">
        <f>(((N56-N55)/(100*M56-100*M55))*(100*L55-100*M55))+N55</f>
        <v>#REF!</v>
      </c>
      <c r="O57" s="126" t="e">
        <f>(((O56-O55)/(100*M56-100*M55))*(100*L55-100*M55))+O55</f>
        <v>#REF!</v>
      </c>
      <c r="P57" s="127"/>
      <c r="Q57" s="127"/>
      <c r="R57" s="128"/>
    </row>
    <row r="58" spans="1:18" ht="12.75" customHeight="1" x14ac:dyDescent="0.25">
      <c r="A58" s="129" t="e">
        <f>Relato!#REF!</f>
        <v>#REF!</v>
      </c>
      <c r="B58" s="1153" t="e">
        <f>Relato!#REF!</f>
        <v>#REF!</v>
      </c>
      <c r="C58" s="135" t="e">
        <f>ROUNDDOWN(B58,1)</f>
        <v>#REF!</v>
      </c>
      <c r="D58" s="130"/>
      <c r="E58" s="130"/>
      <c r="F58" s="131" t="e">
        <f>ROUND((((E60-D60)/($E$3-$D$3))*($F$3-$D$3))+D60,1)</f>
        <v>#REF!</v>
      </c>
      <c r="G58" s="132">
        <f>G55</f>
        <v>1.0249999999999999</v>
      </c>
      <c r="H58" s="133" t="e">
        <f>ROUND(F58*G58,1)</f>
        <v>#REF!</v>
      </c>
      <c r="I58" s="121"/>
      <c r="K58" s="129" t="e">
        <f>Relato!#REF!</f>
        <v>#REF!</v>
      </c>
      <c r="L58" s="1153" t="e">
        <f>Relato!#REF!</f>
        <v>#REF!</v>
      </c>
      <c r="M58" s="135" t="e">
        <f>ROUNDDOWN(L58,1)</f>
        <v>#REF!</v>
      </c>
      <c r="N58" s="130"/>
      <c r="O58" s="130"/>
      <c r="P58" s="131" t="e">
        <f>ROUND((((O60-N60)/($E$3-$D$3))*($F$3-$D$3))+N60,1)</f>
        <v>#REF!</v>
      </c>
      <c r="Q58" s="132">
        <f>Q55</f>
        <v>1.0249999999999999</v>
      </c>
      <c r="R58" s="133" t="e">
        <f>ROUND(P58*Q58,1)</f>
        <v>#REF!</v>
      </c>
    </row>
    <row r="59" spans="1:18" ht="12.75" customHeight="1" x14ac:dyDescent="0.25">
      <c r="A59" s="115"/>
      <c r="B59" s="1153"/>
      <c r="C59" s="116" t="e">
        <f>ROUNDUP(B58,1)</f>
        <v>#REF!</v>
      </c>
      <c r="D59" s="134"/>
      <c r="E59" s="134"/>
      <c r="F59" s="118"/>
      <c r="G59" s="118"/>
      <c r="H59" s="120"/>
      <c r="K59" s="115"/>
      <c r="L59" s="1153"/>
      <c r="M59" s="116" t="e">
        <f>ROUNDUP(L58,1)</f>
        <v>#REF!</v>
      </c>
      <c r="N59" s="134"/>
      <c r="O59" s="134"/>
      <c r="P59" s="118"/>
      <c r="Q59" s="118"/>
      <c r="R59" s="120"/>
    </row>
    <row r="60" spans="1:18" ht="12.75" customHeight="1" x14ac:dyDescent="0.25">
      <c r="A60" s="123"/>
      <c r="B60" s="124"/>
      <c r="C60" s="125"/>
      <c r="D60" s="126" t="e">
        <f>(((D59-D58)/(100*C59-100*C58))*(100*B58-100*C58))+D58</f>
        <v>#REF!</v>
      </c>
      <c r="E60" s="126" t="e">
        <f>(((E59-E58)/(100*C59-100*C58))*(100*B58-100*C58))+E58</f>
        <v>#REF!</v>
      </c>
      <c r="F60" s="127"/>
      <c r="G60" s="127"/>
      <c r="H60" s="128"/>
      <c r="K60" s="123"/>
      <c r="L60" s="124"/>
      <c r="M60" s="125"/>
      <c r="N60" s="126" t="e">
        <f>(((N59-N58)/(100*M59-100*M58))*(100*L58-100*M58))+N58</f>
        <v>#REF!</v>
      </c>
      <c r="O60" s="126" t="e">
        <f>(((O59-O58)/(100*M59-100*M58))*(100*L58-100*M58))+O58</f>
        <v>#REF!</v>
      </c>
      <c r="P60" s="127"/>
      <c r="Q60" s="127"/>
      <c r="R60" s="128"/>
    </row>
    <row r="61" spans="1:18" ht="12.75" customHeight="1" x14ac:dyDescent="0.25">
      <c r="A61" s="129" t="e">
        <f>Relato!#REF!</f>
        <v>#REF!</v>
      </c>
      <c r="B61" s="1153" t="e">
        <f>Relato!#REF!</f>
        <v>#REF!</v>
      </c>
      <c r="C61" s="135" t="e">
        <f>ROUNDDOWN(B61,1)</f>
        <v>#REF!</v>
      </c>
      <c r="D61" s="130"/>
      <c r="E61" s="130"/>
      <c r="F61" s="131" t="e">
        <f>ROUND((((E63-D63)/($E$3-$D$3))*($F$3-$D$3))+D63,1)</f>
        <v>#REF!</v>
      </c>
      <c r="G61" s="132">
        <f>G58</f>
        <v>1.0249999999999999</v>
      </c>
      <c r="H61" s="133" t="e">
        <f>ROUND(F61*G61,1)</f>
        <v>#REF!</v>
      </c>
      <c r="I61" s="121"/>
      <c r="K61" s="129" t="e">
        <f>Relato!#REF!</f>
        <v>#REF!</v>
      </c>
      <c r="L61" s="1153" t="e">
        <f>Relato!#REF!</f>
        <v>#REF!</v>
      </c>
      <c r="M61" s="135" t="e">
        <f>ROUNDDOWN(L61,1)</f>
        <v>#REF!</v>
      </c>
      <c r="N61" s="130"/>
      <c r="O61" s="130"/>
      <c r="P61" s="131" t="e">
        <f>ROUND((((O63-N63)/($E$3-$D$3))*($F$3-$D$3))+N63,1)</f>
        <v>#REF!</v>
      </c>
      <c r="Q61" s="132">
        <f>Q58</f>
        <v>1.0249999999999999</v>
      </c>
      <c r="R61" s="133" t="e">
        <f>ROUND(P61*Q61,1)</f>
        <v>#REF!</v>
      </c>
    </row>
    <row r="62" spans="1:18" ht="12.75" customHeight="1" x14ac:dyDescent="0.25">
      <c r="A62" s="115"/>
      <c r="B62" s="1153"/>
      <c r="C62" s="116" t="e">
        <f>ROUNDUP(B61,1)</f>
        <v>#REF!</v>
      </c>
      <c r="D62" s="134"/>
      <c r="E62" s="134"/>
      <c r="F62" s="118"/>
      <c r="G62" s="118"/>
      <c r="H62" s="120"/>
      <c r="K62" s="115"/>
      <c r="L62" s="1153"/>
      <c r="M62" s="116" t="e">
        <f>ROUNDUP(L61,1)</f>
        <v>#REF!</v>
      </c>
      <c r="N62" s="134"/>
      <c r="O62" s="134"/>
      <c r="P62" s="118"/>
      <c r="Q62" s="118"/>
      <c r="R62" s="120"/>
    </row>
    <row r="63" spans="1:18" ht="12.75" customHeight="1" x14ac:dyDescent="0.25">
      <c r="A63" s="123"/>
      <c r="B63" s="124"/>
      <c r="C63" s="125"/>
      <c r="D63" s="126" t="e">
        <f>(((D62-D61)/(100*C62-100*C61))*(100*B61-100*C61))+D61</f>
        <v>#REF!</v>
      </c>
      <c r="E63" s="126" t="e">
        <f>(((E62-E61)/(100*C62-100*C61))*(100*B61-100*C61))+E61</f>
        <v>#REF!</v>
      </c>
      <c r="F63" s="127"/>
      <c r="G63" s="127"/>
      <c r="H63" s="128"/>
      <c r="K63" s="123"/>
      <c r="L63" s="124"/>
      <c r="M63" s="125"/>
      <c r="N63" s="126" t="e">
        <f>(((N62-N61)/(100*M62-100*M61))*(100*L61-100*M61))+N61</f>
        <v>#REF!</v>
      </c>
      <c r="O63" s="126" t="e">
        <f>(((O62-O61)/(100*M62-100*M61))*(100*L61-100*M61))+O61</f>
        <v>#REF!</v>
      </c>
      <c r="P63" s="127"/>
      <c r="Q63" s="127"/>
      <c r="R63" s="128"/>
    </row>
    <row r="64" spans="1:18" ht="12.75" customHeight="1" x14ac:dyDescent="0.25">
      <c r="A64" s="129" t="e">
        <f>Relato!#REF!</f>
        <v>#REF!</v>
      </c>
      <c r="B64" s="1153" t="e">
        <f>Relato!#REF!</f>
        <v>#REF!</v>
      </c>
      <c r="C64" s="135" t="e">
        <f>ROUNDDOWN(B64,1)</f>
        <v>#REF!</v>
      </c>
      <c r="D64" s="130"/>
      <c r="E64" s="130"/>
      <c r="F64" s="131" t="e">
        <f>ROUND((((E66-D66)/($E$3-$D$3))*($F$3-$D$3))+D66,1)</f>
        <v>#REF!</v>
      </c>
      <c r="G64" s="132">
        <f>G61</f>
        <v>1.0249999999999999</v>
      </c>
      <c r="H64" s="133" t="e">
        <f>ROUND(F64*G64,1)</f>
        <v>#REF!</v>
      </c>
      <c r="I64" s="121"/>
      <c r="K64" s="129" t="e">
        <f>Relato!#REF!</f>
        <v>#REF!</v>
      </c>
      <c r="L64" s="1153" t="e">
        <f>Relato!#REF!</f>
        <v>#REF!</v>
      </c>
      <c r="M64" s="135" t="e">
        <f>ROUNDDOWN(L64,1)</f>
        <v>#REF!</v>
      </c>
      <c r="N64" s="130"/>
      <c r="O64" s="130"/>
      <c r="P64" s="131" t="e">
        <f>ROUND((((O66-N66)/($E$3-$D$3))*($F$3-$D$3))+N66,1)</f>
        <v>#REF!</v>
      </c>
      <c r="Q64" s="132">
        <f>Q61</f>
        <v>1.0249999999999999</v>
      </c>
      <c r="R64" s="133" t="e">
        <f>ROUND(P64*Q64,1)</f>
        <v>#REF!</v>
      </c>
    </row>
    <row r="65" spans="1:18" ht="12.75" customHeight="1" x14ac:dyDescent="0.25">
      <c r="A65" s="115"/>
      <c r="B65" s="1153"/>
      <c r="C65" s="116" t="e">
        <f>ROUNDUP(B64,1)</f>
        <v>#REF!</v>
      </c>
      <c r="D65" s="134"/>
      <c r="E65" s="134"/>
      <c r="F65" s="118"/>
      <c r="G65" s="118"/>
      <c r="H65" s="120"/>
      <c r="K65" s="115"/>
      <c r="L65" s="1153"/>
      <c r="M65" s="116" t="e">
        <f>ROUNDUP(L64,1)</f>
        <v>#REF!</v>
      </c>
      <c r="N65" s="134"/>
      <c r="O65" s="134"/>
      <c r="P65" s="118"/>
      <c r="Q65" s="118"/>
      <c r="R65" s="120"/>
    </row>
    <row r="66" spans="1:18" ht="12.75" customHeight="1" x14ac:dyDescent="0.25">
      <c r="A66" s="123"/>
      <c r="B66" s="124"/>
      <c r="C66" s="125"/>
      <c r="D66" s="126" t="e">
        <f>(((D65-D64)/(100*C65-100*C64))*(100*B64-100*C64))+D64</f>
        <v>#REF!</v>
      </c>
      <c r="E66" s="126" t="e">
        <f>(((E65-E64)/(100*C65-100*C64))*(100*B64-100*C64))+E64</f>
        <v>#REF!</v>
      </c>
      <c r="F66" s="127"/>
      <c r="G66" s="127"/>
      <c r="H66" s="128"/>
      <c r="K66" s="123"/>
      <c r="L66" s="124"/>
      <c r="M66" s="125"/>
      <c r="N66" s="126" t="e">
        <f>(((N65-N64)/(100*M65-100*M64))*(100*L64-100*M64))+N64</f>
        <v>#REF!</v>
      </c>
      <c r="O66" s="126" t="e">
        <f>(((O65-O64)/(100*M65-100*M64))*(100*L64-100*M64))+O64</f>
        <v>#REF!</v>
      </c>
      <c r="P66" s="127"/>
      <c r="Q66" s="127"/>
      <c r="R66" s="128"/>
    </row>
    <row r="67" spans="1:18" ht="12.75" customHeight="1" x14ac:dyDescent="0.25">
      <c r="A67" s="129" t="e">
        <f>Relato!#REF!</f>
        <v>#REF!</v>
      </c>
      <c r="B67" s="1153" t="e">
        <f>Relato!#REF!</f>
        <v>#REF!</v>
      </c>
      <c r="C67" s="135" t="e">
        <f>ROUNDDOWN(B67,1)</f>
        <v>#REF!</v>
      </c>
      <c r="D67" s="130"/>
      <c r="E67" s="130"/>
      <c r="F67" s="131" t="e">
        <f>ROUND((((E69-D69)/($E$3-$D$3))*($F$3-$D$3))+D69,1)</f>
        <v>#REF!</v>
      </c>
      <c r="G67" s="132">
        <f>G64</f>
        <v>1.0249999999999999</v>
      </c>
      <c r="H67" s="133" t="e">
        <f>ROUND(F67*G67,1)</f>
        <v>#REF!</v>
      </c>
      <c r="I67" s="121"/>
      <c r="K67" s="129" t="e">
        <f>Relato!#REF!</f>
        <v>#REF!</v>
      </c>
      <c r="L67" s="1153" t="e">
        <f>Relato!#REF!</f>
        <v>#REF!</v>
      </c>
      <c r="M67" s="135" t="e">
        <f>ROUNDDOWN(L67,1)</f>
        <v>#REF!</v>
      </c>
      <c r="N67" s="130"/>
      <c r="O67" s="130"/>
      <c r="P67" s="131" t="e">
        <f>ROUND((((O69-N69)/($E$3-$D$3))*($F$3-$D$3))+N69,1)</f>
        <v>#REF!</v>
      </c>
      <c r="Q67" s="132">
        <f>Q64</f>
        <v>1.0249999999999999</v>
      </c>
      <c r="R67" s="133" t="e">
        <f>ROUND(P67*Q67,1)</f>
        <v>#REF!</v>
      </c>
    </row>
    <row r="68" spans="1:18" ht="12.75" customHeight="1" x14ac:dyDescent="0.25">
      <c r="A68" s="115"/>
      <c r="B68" s="1153"/>
      <c r="C68" s="116" t="e">
        <f>ROUNDUP(B67,1)</f>
        <v>#REF!</v>
      </c>
      <c r="D68" s="134"/>
      <c r="E68" s="134"/>
      <c r="F68" s="118"/>
      <c r="G68" s="118"/>
      <c r="H68" s="120"/>
      <c r="K68" s="115"/>
      <c r="L68" s="1153"/>
      <c r="M68" s="116" t="e">
        <f>ROUNDUP(L67,1)</f>
        <v>#REF!</v>
      </c>
      <c r="N68" s="134"/>
      <c r="O68" s="134"/>
      <c r="P68" s="118"/>
      <c r="Q68" s="118"/>
      <c r="R68" s="120"/>
    </row>
    <row r="69" spans="1:18" ht="12.75" customHeight="1" x14ac:dyDescent="0.25">
      <c r="A69" s="123"/>
      <c r="B69" s="124"/>
      <c r="C69" s="125"/>
      <c r="D69" s="126" t="e">
        <f>(((D68-D67)/(100*C68-100*C67))*(100*B67-100*C67))+D67</f>
        <v>#REF!</v>
      </c>
      <c r="E69" s="126" t="e">
        <f>(((E68-E67)/(100*C68-100*C67))*(100*B67-100*C67))+E67</f>
        <v>#REF!</v>
      </c>
      <c r="F69" s="127"/>
      <c r="G69" s="127"/>
      <c r="H69" s="128"/>
      <c r="K69" s="123"/>
      <c r="L69" s="124"/>
      <c r="M69" s="125"/>
      <c r="N69" s="126" t="e">
        <f>(((N68-N67)/(100*M68-100*M67))*(100*L67-100*M67))+N67</f>
        <v>#REF!</v>
      </c>
      <c r="O69" s="126" t="e">
        <f>(((O68-O67)/(100*M68-100*M67))*(100*L67-100*M67))+O67</f>
        <v>#REF!</v>
      </c>
      <c r="P69" s="127"/>
      <c r="Q69" s="127"/>
      <c r="R69" s="128"/>
    </row>
    <row r="70" spans="1:18" ht="12.75" customHeight="1" x14ac:dyDescent="0.25">
      <c r="A70" s="129" t="e">
        <f>Relato!#REF!</f>
        <v>#REF!</v>
      </c>
      <c r="B70" s="1153" t="e">
        <f>Relato!#REF!</f>
        <v>#REF!</v>
      </c>
      <c r="C70" s="135" t="e">
        <f>ROUNDDOWN(B70,1)</f>
        <v>#REF!</v>
      </c>
      <c r="D70" s="130"/>
      <c r="E70" s="130"/>
      <c r="F70" s="131" t="e">
        <f>ROUND((((E72-D72)/($E$3-$D$3))*($F$3-$D$3))+D72,1)</f>
        <v>#REF!</v>
      </c>
      <c r="G70" s="132">
        <f>G67</f>
        <v>1.0249999999999999</v>
      </c>
      <c r="H70" s="133" t="e">
        <f>ROUND(F70*G70,1)</f>
        <v>#REF!</v>
      </c>
      <c r="I70" s="121"/>
      <c r="K70" s="129" t="e">
        <f>Relato!#REF!</f>
        <v>#REF!</v>
      </c>
      <c r="L70" s="1153" t="e">
        <f>Relato!#REF!</f>
        <v>#REF!</v>
      </c>
      <c r="M70" s="135" t="e">
        <f>ROUNDDOWN(L70,1)</f>
        <v>#REF!</v>
      </c>
      <c r="N70" s="130"/>
      <c r="O70" s="130"/>
      <c r="P70" s="131" t="e">
        <f>ROUND((((O72-N72)/($E$3-$D$3))*($F$3-$D$3))+N72,1)</f>
        <v>#REF!</v>
      </c>
      <c r="Q70" s="132">
        <f>Q67</f>
        <v>1.0249999999999999</v>
      </c>
      <c r="R70" s="133" t="e">
        <f>ROUND(P70*Q70,1)</f>
        <v>#REF!</v>
      </c>
    </row>
    <row r="71" spans="1:18" ht="12.75" customHeight="1" x14ac:dyDescent="0.25">
      <c r="A71" s="115"/>
      <c r="B71" s="1153"/>
      <c r="C71" s="116" t="e">
        <f>ROUNDUP(B70,1)</f>
        <v>#REF!</v>
      </c>
      <c r="D71" s="134"/>
      <c r="E71" s="134"/>
      <c r="F71" s="118"/>
      <c r="G71" s="118"/>
      <c r="H71" s="120"/>
      <c r="K71" s="115"/>
      <c r="L71" s="1153"/>
      <c r="M71" s="116" t="e">
        <f>ROUNDUP(L70,1)</f>
        <v>#REF!</v>
      </c>
      <c r="N71" s="134"/>
      <c r="O71" s="134"/>
      <c r="P71" s="118"/>
      <c r="Q71" s="118"/>
      <c r="R71" s="120"/>
    </row>
    <row r="72" spans="1:18" ht="12.75" customHeight="1" x14ac:dyDescent="0.25">
      <c r="A72" s="123"/>
      <c r="B72" s="124"/>
      <c r="C72" s="125"/>
      <c r="D72" s="126" t="e">
        <f>(((D71-D70)/(100*C71-100*C70))*(100*B70-100*C70))+D70</f>
        <v>#REF!</v>
      </c>
      <c r="E72" s="140" t="e">
        <f>(((E71-E70)/(100*C71-100*C70))*(100*B70-100*C70))+E70</f>
        <v>#REF!</v>
      </c>
      <c r="F72" s="118"/>
      <c r="G72" s="118"/>
      <c r="H72" s="120"/>
      <c r="K72" s="123"/>
      <c r="L72" s="124"/>
      <c r="M72" s="125"/>
      <c r="N72" s="126" t="e">
        <f>(((N71-N70)/(100*M71-100*M70))*(100*L70-100*M70))+N70</f>
        <v>#REF!</v>
      </c>
      <c r="O72" s="140" t="e">
        <f>(((O71-O70)/(100*M71-100*M70))*(100*L70-100*M70))+O70</f>
        <v>#REF!</v>
      </c>
      <c r="P72" s="118"/>
      <c r="Q72" s="118"/>
      <c r="R72" s="120"/>
    </row>
    <row r="73" spans="1:18" ht="12.75" customHeight="1" x14ac:dyDescent="0.25">
      <c r="A73" s="129" t="e">
        <f>Relato!#REF!</f>
        <v>#REF!</v>
      </c>
      <c r="B73" s="1153" t="e">
        <f>Relato!#REF!</f>
        <v>#REF!</v>
      </c>
      <c r="C73" s="135" t="e">
        <f>ROUNDDOWN(B73,1)</f>
        <v>#REF!</v>
      </c>
      <c r="D73" s="130"/>
      <c r="E73" s="130"/>
      <c r="F73" s="131" t="e">
        <f>ROUND((((E75-D75)/($E$3-$D$3))*($F$3-$D$3))+D75,1)</f>
        <v>#REF!</v>
      </c>
      <c r="G73" s="132">
        <f>G70</f>
        <v>1.0249999999999999</v>
      </c>
      <c r="H73" s="133" t="e">
        <f>ROUND(F73*G73,1)</f>
        <v>#REF!</v>
      </c>
      <c r="I73" s="121"/>
      <c r="K73" s="129" t="e">
        <f>Relato!#REF!</f>
        <v>#REF!</v>
      </c>
      <c r="L73" s="1153" t="e">
        <f>Relato!#REF!</f>
        <v>#REF!</v>
      </c>
      <c r="M73" s="135" t="e">
        <f>ROUNDDOWN(L73,1)</f>
        <v>#REF!</v>
      </c>
      <c r="N73" s="130"/>
      <c r="O73" s="130"/>
      <c r="P73" s="131" t="e">
        <f>ROUND((((O75-N75)/($E$3-$D$3))*($F$3-$D$3))+N75,1)</f>
        <v>#REF!</v>
      </c>
      <c r="Q73" s="132">
        <f>Q70</f>
        <v>1.0249999999999999</v>
      </c>
      <c r="R73" s="133" t="e">
        <f>ROUND(P73*Q73,1)</f>
        <v>#REF!</v>
      </c>
    </row>
    <row r="74" spans="1:18" ht="12.75" customHeight="1" x14ac:dyDescent="0.25">
      <c r="A74" s="115"/>
      <c r="B74" s="1153"/>
      <c r="C74" s="116" t="e">
        <f>ROUNDUP(B73,1)</f>
        <v>#REF!</v>
      </c>
      <c r="D74" s="134"/>
      <c r="E74" s="134"/>
      <c r="F74" s="118"/>
      <c r="G74" s="139"/>
      <c r="H74" s="120"/>
      <c r="K74" s="115"/>
      <c r="L74" s="1153"/>
      <c r="M74" s="116" t="e">
        <f>ROUNDUP(L73,1)</f>
        <v>#REF!</v>
      </c>
      <c r="N74" s="134"/>
      <c r="O74" s="134"/>
      <c r="P74" s="118"/>
      <c r="Q74" s="139"/>
      <c r="R74" s="120"/>
    </row>
    <row r="75" spans="1:18" ht="12.75" customHeight="1" x14ac:dyDescent="0.25">
      <c r="A75" s="123"/>
      <c r="B75" s="124"/>
      <c r="C75" s="125"/>
      <c r="D75" s="126" t="e">
        <f>(((D74-D73)/(100*C74-100*C73))*(100*B73-100*C73))+D73</f>
        <v>#REF!</v>
      </c>
      <c r="E75" s="126" t="e">
        <f>(((E74-E73)/(100*C74-100*C73))*(100*B73-100*C73))+E73</f>
        <v>#REF!</v>
      </c>
      <c r="F75" s="127"/>
      <c r="G75" s="127"/>
      <c r="H75" s="128"/>
      <c r="K75" s="123"/>
      <c r="L75" s="124"/>
      <c r="M75" s="125"/>
      <c r="N75" s="126" t="e">
        <f>(((N74-N73)/(100*M74-100*M73))*(100*L73-100*M73))+N73</f>
        <v>#REF!</v>
      </c>
      <c r="O75" s="126" t="e">
        <f>(((O74-O73)/(100*M74-100*M73))*(100*L73-100*M73))+O73</f>
        <v>#REF!</v>
      </c>
      <c r="P75" s="127"/>
      <c r="Q75" s="127"/>
      <c r="R75" s="128"/>
    </row>
    <row r="76" spans="1:18" ht="12.75" customHeight="1" x14ac:dyDescent="0.25">
      <c r="A76" s="129" t="e">
        <f>Relato!#REF!</f>
        <v>#REF!</v>
      </c>
      <c r="B76" s="1153" t="e">
        <f>Relato!#REF!</f>
        <v>#REF!</v>
      </c>
      <c r="C76" s="135" t="e">
        <f>ROUNDDOWN(B76,1)</f>
        <v>#REF!</v>
      </c>
      <c r="D76" s="130"/>
      <c r="E76" s="130"/>
      <c r="F76" s="131" t="e">
        <f>ROUND((((E78-D78)/($E$3-$D$3))*($F$3-$D$3))+D78,1)</f>
        <v>#REF!</v>
      </c>
      <c r="G76" s="132">
        <f>G73</f>
        <v>1.0249999999999999</v>
      </c>
      <c r="H76" s="133" t="e">
        <f>ROUND(F76*G76,1)</f>
        <v>#REF!</v>
      </c>
      <c r="I76" s="121"/>
      <c r="K76" s="129" t="e">
        <f>Relato!#REF!</f>
        <v>#REF!</v>
      </c>
      <c r="L76" s="1153" t="e">
        <f>Relato!#REF!</f>
        <v>#REF!</v>
      </c>
      <c r="M76" s="135" t="e">
        <f>ROUNDDOWN(L76,1)</f>
        <v>#REF!</v>
      </c>
      <c r="N76" s="130"/>
      <c r="O76" s="130"/>
      <c r="P76" s="131" t="e">
        <f>ROUND((((O78-N78)/($E$3-$D$3))*($F$3-$D$3))+N78,1)</f>
        <v>#REF!</v>
      </c>
      <c r="Q76" s="132">
        <f>Q73</f>
        <v>1.0249999999999999</v>
      </c>
      <c r="R76" s="133" t="e">
        <f>ROUND(P76*Q76,1)</f>
        <v>#REF!</v>
      </c>
    </row>
    <row r="77" spans="1:18" ht="12.75" customHeight="1" x14ac:dyDescent="0.25">
      <c r="A77" s="115"/>
      <c r="B77" s="1153"/>
      <c r="C77" s="116" t="e">
        <f>ROUNDUP(B76,1)</f>
        <v>#REF!</v>
      </c>
      <c r="D77" s="134"/>
      <c r="E77" s="134"/>
      <c r="F77" s="118"/>
      <c r="G77" s="118"/>
      <c r="H77" s="120"/>
      <c r="K77" s="115"/>
      <c r="L77" s="1153"/>
      <c r="M77" s="116" t="e">
        <f>ROUNDUP(L76,1)</f>
        <v>#REF!</v>
      </c>
      <c r="N77" s="134"/>
      <c r="O77" s="134"/>
      <c r="P77" s="118"/>
      <c r="Q77" s="118"/>
      <c r="R77" s="120"/>
    </row>
    <row r="78" spans="1:18" ht="12.75" customHeight="1" x14ac:dyDescent="0.25">
      <c r="A78" s="123"/>
      <c r="B78" s="124"/>
      <c r="C78" s="125"/>
      <c r="D78" s="126" t="e">
        <f>(((D77-D76)/(100*C77-100*C76))*(100*B76-100*C76))+D76</f>
        <v>#REF!</v>
      </c>
      <c r="E78" s="126" t="e">
        <f>(((E77-E76)/(100*C77-100*C76))*(100*B76-100*C76))+E76</f>
        <v>#REF!</v>
      </c>
      <c r="F78" s="127"/>
      <c r="G78" s="127"/>
      <c r="H78" s="128"/>
      <c r="K78" s="123"/>
      <c r="L78" s="124"/>
      <c r="M78" s="125"/>
      <c r="N78" s="126" t="e">
        <f>(((N77-N76)/(100*M77-100*M76))*(100*L76-100*M76))+N76</f>
        <v>#REF!</v>
      </c>
      <c r="O78" s="126" t="e">
        <f>(((O77-O76)/(100*M77-100*M76))*(100*L76-100*M76))+O76</f>
        <v>#REF!</v>
      </c>
      <c r="P78" s="127"/>
      <c r="Q78" s="127"/>
      <c r="R78" s="128"/>
    </row>
    <row r="79" spans="1:18" ht="12.75" customHeight="1" x14ac:dyDescent="0.25">
      <c r="A79" s="129" t="e">
        <f>Relato!#REF!</f>
        <v>#REF!</v>
      </c>
      <c r="B79" s="1153" t="e">
        <f>Relato!#REF!</f>
        <v>#REF!</v>
      </c>
      <c r="C79" s="135" t="e">
        <f>ROUNDDOWN(B79,1)</f>
        <v>#REF!</v>
      </c>
      <c r="D79" s="130"/>
      <c r="E79" s="130"/>
      <c r="F79" s="131" t="e">
        <f>ROUND((((E81-D81)/($E$3-$D$3))*($F$3-$D$3))+D81,1)</f>
        <v>#REF!</v>
      </c>
      <c r="G79" s="132">
        <f>G76</f>
        <v>1.0249999999999999</v>
      </c>
      <c r="H79" s="133" t="e">
        <f>ROUND(F79*G79,1)</f>
        <v>#REF!</v>
      </c>
      <c r="I79" s="121"/>
      <c r="K79" s="129" t="e">
        <f>Relato!#REF!</f>
        <v>#REF!</v>
      </c>
      <c r="L79" s="1153" t="e">
        <f>Relato!#REF!</f>
        <v>#REF!</v>
      </c>
      <c r="M79" s="135" t="e">
        <f>ROUNDDOWN(L79,1)</f>
        <v>#REF!</v>
      </c>
      <c r="N79" s="130"/>
      <c r="O79" s="130"/>
      <c r="P79" s="131" t="e">
        <f>ROUND((((O81-N81)/($E$3-$D$3))*($F$3-$D$3))+N81,1)</f>
        <v>#REF!</v>
      </c>
      <c r="Q79" s="132">
        <f>Q76</f>
        <v>1.0249999999999999</v>
      </c>
      <c r="R79" s="133" t="e">
        <f>ROUND(P79*Q79,1)</f>
        <v>#REF!</v>
      </c>
    </row>
    <row r="80" spans="1:18" ht="12.75" customHeight="1" x14ac:dyDescent="0.25">
      <c r="A80" s="115"/>
      <c r="B80" s="1153"/>
      <c r="C80" s="116" t="e">
        <f>ROUNDUP(B79,1)</f>
        <v>#REF!</v>
      </c>
      <c r="D80" s="134"/>
      <c r="E80" s="134"/>
      <c r="F80" s="118"/>
      <c r="G80" s="118"/>
      <c r="H80" s="120"/>
      <c r="K80" s="115"/>
      <c r="L80" s="1153"/>
      <c r="M80" s="116" t="e">
        <f>ROUNDUP(L79,1)</f>
        <v>#REF!</v>
      </c>
      <c r="N80" s="134"/>
      <c r="O80" s="134"/>
      <c r="P80" s="118"/>
      <c r="Q80" s="118"/>
      <c r="R80" s="120"/>
    </row>
    <row r="81" spans="1:18" ht="12.75" customHeight="1" x14ac:dyDescent="0.25">
      <c r="A81" s="123"/>
      <c r="B81" s="124"/>
      <c r="C81" s="125"/>
      <c r="D81" s="126" t="e">
        <f>(((D80-D79)/(100*C80-100*C79))*(100*B79-100*C79))+D79</f>
        <v>#REF!</v>
      </c>
      <c r="E81" s="126" t="e">
        <f>(((E80-E79)/(100*C80-100*C79))*(100*B79-100*C79))+E79</f>
        <v>#REF!</v>
      </c>
      <c r="F81" s="127"/>
      <c r="G81" s="127"/>
      <c r="H81" s="128"/>
      <c r="K81" s="123"/>
      <c r="L81" s="124"/>
      <c r="M81" s="125"/>
      <c r="N81" s="126" t="e">
        <f>(((N80-N79)/(100*M80-100*M79))*(100*L79-100*M79))+N79</f>
        <v>#REF!</v>
      </c>
      <c r="O81" s="126" t="e">
        <f>(((O80-O79)/(100*M80-100*M79))*(100*L79-100*M79))+O79</f>
        <v>#REF!</v>
      </c>
      <c r="P81" s="127"/>
      <c r="Q81" s="127"/>
      <c r="R81" s="128"/>
    </row>
    <row r="82" spans="1:18" ht="12.75" customHeight="1" x14ac:dyDescent="0.25">
      <c r="A82" s="129" t="e">
        <f>Relato!#REF!</f>
        <v>#REF!</v>
      </c>
      <c r="B82" s="1153" t="e">
        <f>Relato!#REF!</f>
        <v>#REF!</v>
      </c>
      <c r="C82" s="135" t="e">
        <f>ROUNDDOWN(B82,1)</f>
        <v>#REF!</v>
      </c>
      <c r="D82" s="130"/>
      <c r="E82" s="130"/>
      <c r="F82" s="131" t="e">
        <f>ROUND((((E84-D84)/($E$3-$D$3))*($F$3-$D$3))+D84,1)</f>
        <v>#REF!</v>
      </c>
      <c r="G82" s="132">
        <f>G79</f>
        <v>1.0249999999999999</v>
      </c>
      <c r="H82" s="133" t="e">
        <f>ROUND(F82*G82,1)</f>
        <v>#REF!</v>
      </c>
      <c r="I82" s="121"/>
      <c r="K82" s="129" t="e">
        <f>Relato!#REF!</f>
        <v>#REF!</v>
      </c>
      <c r="L82" s="1153" t="e">
        <f>Relato!#REF!</f>
        <v>#REF!</v>
      </c>
      <c r="M82" s="135" t="e">
        <f>ROUNDDOWN(L82,1)</f>
        <v>#REF!</v>
      </c>
      <c r="N82" s="130"/>
      <c r="O82" s="130"/>
      <c r="P82" s="131" t="e">
        <f>ROUND((((O84-N84)/($E$3-$D$3))*($F$3-$D$3))+N84,1)</f>
        <v>#REF!</v>
      </c>
      <c r="Q82" s="132">
        <f>Q79</f>
        <v>1.0249999999999999</v>
      </c>
      <c r="R82" s="133" t="e">
        <f>ROUND(P82*Q82,1)</f>
        <v>#REF!</v>
      </c>
    </row>
    <row r="83" spans="1:18" ht="12.75" customHeight="1" x14ac:dyDescent="0.25">
      <c r="A83" s="115"/>
      <c r="B83" s="1153"/>
      <c r="C83" s="116" t="e">
        <f>ROUNDUP(B82,1)</f>
        <v>#REF!</v>
      </c>
      <c r="D83" s="134"/>
      <c r="E83" s="134"/>
      <c r="F83" s="118"/>
      <c r="G83" s="118"/>
      <c r="H83" s="120"/>
      <c r="K83" s="115"/>
      <c r="L83" s="1153"/>
      <c r="M83" s="116" t="e">
        <f>ROUNDUP(L82,1)</f>
        <v>#REF!</v>
      </c>
      <c r="N83" s="134"/>
      <c r="O83" s="134"/>
      <c r="P83" s="118"/>
      <c r="Q83" s="118"/>
      <c r="R83" s="120"/>
    </row>
    <row r="84" spans="1:18" ht="12.75" customHeight="1" x14ac:dyDescent="0.25">
      <c r="A84" s="123"/>
      <c r="B84" s="124"/>
      <c r="C84" s="125"/>
      <c r="D84" s="126" t="e">
        <f>(((D83-D82)/(100*C83-100*C82))*(100*B82-100*C82))+D82</f>
        <v>#REF!</v>
      </c>
      <c r="E84" s="126" t="e">
        <f>(((E83-E82)/(100*C83-100*C82))*(100*B82-100*C82))+E82</f>
        <v>#REF!</v>
      </c>
      <c r="F84" s="127"/>
      <c r="G84" s="127"/>
      <c r="H84" s="128"/>
      <c r="K84" s="123"/>
      <c r="L84" s="124"/>
      <c r="M84" s="125"/>
      <c r="N84" s="126" t="e">
        <f>(((N83-N82)/(100*M83-100*M82))*(100*L82-100*M82))+N82</f>
        <v>#REF!</v>
      </c>
      <c r="O84" s="126" t="e">
        <f>(((O83-O82)/(100*M83-100*M82))*(100*L82-100*M82))+O82</f>
        <v>#REF!</v>
      </c>
      <c r="P84" s="127"/>
      <c r="Q84" s="127"/>
      <c r="R84" s="128"/>
    </row>
    <row r="85" spans="1:18" ht="12.75" customHeight="1" x14ac:dyDescent="0.25">
      <c r="A85" s="129" t="e">
        <f>Relato!#REF!</f>
        <v>#REF!</v>
      </c>
      <c r="B85" s="1153" t="e">
        <f>Relato!#REF!</f>
        <v>#REF!</v>
      </c>
      <c r="C85" s="135" t="e">
        <f>ROUNDDOWN(B85,1)</f>
        <v>#REF!</v>
      </c>
      <c r="D85" s="130"/>
      <c r="E85" s="130"/>
      <c r="F85" s="131" t="e">
        <f>ROUND((((E87-D87)/($E$3-$D$3))*($F$3-$D$3))+D87,1)</f>
        <v>#REF!</v>
      </c>
      <c r="G85" s="132">
        <f>G82</f>
        <v>1.0249999999999999</v>
      </c>
      <c r="H85" s="133" t="e">
        <f>ROUND(F85*G85,1)</f>
        <v>#REF!</v>
      </c>
      <c r="I85" s="121"/>
      <c r="K85" s="129" t="e">
        <f>Relato!#REF!</f>
        <v>#REF!</v>
      </c>
      <c r="L85" s="1153" t="e">
        <f>Relato!#REF!</f>
        <v>#REF!</v>
      </c>
      <c r="M85" s="135" t="e">
        <f>ROUNDDOWN(L85,1)</f>
        <v>#REF!</v>
      </c>
      <c r="N85" s="130"/>
      <c r="O85" s="130"/>
      <c r="P85" s="131" t="e">
        <f>ROUND((((O87-N87)/($E$3-$D$3))*($F$3-$D$3))+N87,1)</f>
        <v>#REF!</v>
      </c>
      <c r="Q85" s="132">
        <f>Q82</f>
        <v>1.0249999999999999</v>
      </c>
      <c r="R85" s="133" t="e">
        <f>ROUND(P85*Q85,1)</f>
        <v>#REF!</v>
      </c>
    </row>
    <row r="86" spans="1:18" ht="12.75" customHeight="1" x14ac:dyDescent="0.25">
      <c r="A86" s="115"/>
      <c r="B86" s="1153"/>
      <c r="C86" s="116" t="e">
        <f>ROUNDUP(B85,1)</f>
        <v>#REF!</v>
      </c>
      <c r="D86" s="134"/>
      <c r="E86" s="134"/>
      <c r="F86" s="118"/>
      <c r="G86" s="118"/>
      <c r="H86" s="120"/>
      <c r="K86" s="115"/>
      <c r="L86" s="1153"/>
      <c r="M86" s="116" t="e">
        <f>ROUNDUP(L85,1)</f>
        <v>#REF!</v>
      </c>
      <c r="N86" s="134"/>
      <c r="O86" s="134"/>
      <c r="P86" s="118"/>
      <c r="Q86" s="118"/>
      <c r="R86" s="120"/>
    </row>
    <row r="87" spans="1:18" ht="12.75" customHeight="1" x14ac:dyDescent="0.25">
      <c r="A87" s="123"/>
      <c r="B87" s="124"/>
      <c r="C87" s="125"/>
      <c r="D87" s="126" t="e">
        <f>(((D86-D85)/(100*C86-100*C85))*(100*B85-100*C85))+D85</f>
        <v>#REF!</v>
      </c>
      <c r="E87" s="126" t="e">
        <f>(((E86-E85)/(100*C86-100*C85))*(100*B85-100*C85))+E85</f>
        <v>#REF!</v>
      </c>
      <c r="F87" s="127"/>
      <c r="G87" s="127"/>
      <c r="H87" s="128"/>
      <c r="K87" s="123"/>
      <c r="L87" s="124"/>
      <c r="M87" s="125"/>
      <c r="N87" s="126" t="e">
        <f>(((N86-N85)/(100*M86-100*M85))*(100*L85-100*M85))+N85</f>
        <v>#REF!</v>
      </c>
      <c r="O87" s="126" t="e">
        <f>(((O86-O85)/(100*M86-100*M85))*(100*L85-100*M85))+O85</f>
        <v>#REF!</v>
      </c>
      <c r="P87" s="127"/>
      <c r="Q87" s="127"/>
      <c r="R87" s="128"/>
    </row>
    <row r="88" spans="1:18" ht="12.75" customHeight="1" x14ac:dyDescent="0.25">
      <c r="A88" s="129" t="e">
        <f>Relato!#REF!</f>
        <v>#REF!</v>
      </c>
      <c r="B88" s="1153" t="e">
        <f>Relato!#REF!</f>
        <v>#REF!</v>
      </c>
      <c r="C88" s="135" t="e">
        <f>ROUNDDOWN(B88,1)</f>
        <v>#REF!</v>
      </c>
      <c r="D88" s="130"/>
      <c r="E88" s="130"/>
      <c r="F88" s="131" t="e">
        <f>ROUND((((E90-D90)/($E$3-$D$3))*($F$3-$D$3))+D90,1)</f>
        <v>#REF!</v>
      </c>
      <c r="G88" s="132">
        <f>G85</f>
        <v>1.0249999999999999</v>
      </c>
      <c r="H88" s="133" t="e">
        <f>ROUND(F88*G88,1)</f>
        <v>#REF!</v>
      </c>
      <c r="I88" s="121"/>
      <c r="K88" s="129" t="e">
        <f>Relato!#REF!</f>
        <v>#REF!</v>
      </c>
      <c r="L88" s="1153">
        <f>Relato!$D$278</f>
        <v>4.72</v>
      </c>
      <c r="M88" s="135">
        <f>ROUNDDOWN(L88,1)</f>
        <v>4.7</v>
      </c>
      <c r="N88" s="130"/>
      <c r="O88" s="130"/>
      <c r="P88" s="131">
        <f>ROUND((((O90-N90)/($E$3-$D$3))*($F$3-$D$3))+N90,1)</f>
        <v>0</v>
      </c>
      <c r="Q88" s="132">
        <f>Q85</f>
        <v>1.0249999999999999</v>
      </c>
      <c r="R88" s="133">
        <f>ROUND(P88*Q88,1)</f>
        <v>0</v>
      </c>
    </row>
    <row r="89" spans="1:18" ht="12.75" customHeight="1" x14ac:dyDescent="0.25">
      <c r="A89" s="115"/>
      <c r="B89" s="1153"/>
      <c r="C89" s="116" t="e">
        <f>ROUNDUP(B88,1)</f>
        <v>#REF!</v>
      </c>
      <c r="D89" s="134"/>
      <c r="E89" s="134"/>
      <c r="F89" s="118"/>
      <c r="G89" s="118"/>
      <c r="H89" s="120"/>
      <c r="K89" s="115"/>
      <c r="L89" s="1153"/>
      <c r="M89" s="116">
        <f>ROUNDUP(L88,1)</f>
        <v>4.8</v>
      </c>
      <c r="N89" s="134"/>
      <c r="O89" s="134"/>
      <c r="P89" s="118"/>
      <c r="Q89" s="118"/>
      <c r="R89" s="120"/>
    </row>
    <row r="90" spans="1:18" ht="12.75" customHeight="1" x14ac:dyDescent="0.25">
      <c r="A90" s="123"/>
      <c r="B90" s="124"/>
      <c r="C90" s="125"/>
      <c r="D90" s="126" t="e">
        <f>(((D89-D88)/(100*C89-100*C88))*(100*B88-100*C88))+D88</f>
        <v>#REF!</v>
      </c>
      <c r="E90" s="140" t="e">
        <f>(((E89-E88)/(100*C89-100*C88))*(100*B88-100*C88))+E88</f>
        <v>#REF!</v>
      </c>
      <c r="F90" s="118"/>
      <c r="G90" s="118"/>
      <c r="H90" s="120"/>
      <c r="K90" s="123"/>
      <c r="L90" s="124"/>
      <c r="M90" s="125"/>
      <c r="N90" s="126">
        <f>(((N89-N88)/(100*M89-100*M88))*(100*L88-100*M88))+N88</f>
        <v>0</v>
      </c>
      <c r="O90" s="140">
        <f>(((O89-O88)/(100*M89-100*M88))*(100*L88-100*M88))+O88</f>
        <v>0</v>
      </c>
      <c r="P90" s="118"/>
      <c r="Q90" s="118"/>
      <c r="R90" s="120"/>
    </row>
    <row r="91" spans="1:18" ht="12.75" customHeight="1" x14ac:dyDescent="0.25">
      <c r="A91" s="129" t="str">
        <f>Relato!$A$262</f>
        <v>A.PK</v>
      </c>
      <c r="B91" s="1153">
        <f>Relato!$G$262</f>
        <v>6.8</v>
      </c>
      <c r="C91" s="135">
        <f>ROUNDDOWN(B91,1)</f>
        <v>6.8</v>
      </c>
      <c r="D91" s="130"/>
      <c r="E91" s="130"/>
      <c r="F91" s="131" t="e">
        <f>ROUND((((E93-D93)/($E$3-$D$3))*($F$3-$D$3))+D93,1)</f>
        <v>#DIV/0!</v>
      </c>
      <c r="G91" s="132">
        <f>G88</f>
        <v>1.0249999999999999</v>
      </c>
      <c r="H91" s="133" t="e">
        <f>ROUND(F91*G91,1)</f>
        <v>#DIV/0!</v>
      </c>
      <c r="I91" s="121"/>
      <c r="K91" s="129" t="str">
        <f>Relato!$A$262</f>
        <v>A.PK</v>
      </c>
      <c r="L91" s="1153">
        <f>Relato!$D$279</f>
        <v>0</v>
      </c>
      <c r="M91" s="135">
        <f>ROUNDDOWN(L91,1)</f>
        <v>0</v>
      </c>
      <c r="N91" s="130"/>
      <c r="O91" s="130"/>
      <c r="P91" s="131" t="e">
        <f>ROUND((((O93-N93)/($E$3-$D$3))*($F$3-$D$3))+N93,1)</f>
        <v>#DIV/0!</v>
      </c>
      <c r="Q91" s="132">
        <f>Q88</f>
        <v>1.0249999999999999</v>
      </c>
      <c r="R91" s="133" t="e">
        <f>ROUND(P91*Q91,1)</f>
        <v>#DIV/0!</v>
      </c>
    </row>
    <row r="92" spans="1:18" ht="12.75" customHeight="1" x14ac:dyDescent="0.25">
      <c r="A92" s="115"/>
      <c r="B92" s="1153"/>
      <c r="C92" s="116">
        <f>ROUNDUP(B91,1)</f>
        <v>6.8</v>
      </c>
      <c r="D92" s="134"/>
      <c r="E92" s="134"/>
      <c r="F92" s="118"/>
      <c r="G92" s="118"/>
      <c r="H92" s="120"/>
      <c r="K92" s="115"/>
      <c r="L92" s="1153"/>
      <c r="M92" s="116">
        <f>ROUNDUP(L91,1)</f>
        <v>0</v>
      </c>
      <c r="N92" s="134"/>
      <c r="O92" s="134"/>
      <c r="P92" s="118"/>
      <c r="Q92" s="118"/>
      <c r="R92" s="120"/>
    </row>
    <row r="93" spans="1:18" ht="12.75" customHeight="1" x14ac:dyDescent="0.25">
      <c r="A93" s="123"/>
      <c r="B93" s="124"/>
      <c r="C93" s="125"/>
      <c r="D93" s="126" t="e">
        <f>(((D92-D91)/(100*C92-100*C91))*(100*B91-100*C91))+D91</f>
        <v>#DIV/0!</v>
      </c>
      <c r="E93" s="140" t="e">
        <f>(((E92-E91)/(100*C92-100*C91))*(100*B91-100*C91))+E91</f>
        <v>#DIV/0!</v>
      </c>
      <c r="F93" s="118"/>
      <c r="G93" s="118"/>
      <c r="H93" s="120"/>
      <c r="K93" s="123"/>
      <c r="L93" s="124"/>
      <c r="M93" s="125"/>
      <c r="N93" s="126" t="e">
        <f>(((N92-N91)/(100*M92-100*M91))*(100*L91-100*M91))+N91</f>
        <v>#DIV/0!</v>
      </c>
      <c r="O93" s="140" t="e">
        <f>(((O92-O91)/(100*M92-100*M91))*(100*L91-100*M91))+O91</f>
        <v>#DIV/0!</v>
      </c>
      <c r="P93" s="118"/>
      <c r="Q93" s="118"/>
      <c r="R93" s="120"/>
    </row>
    <row r="94" spans="1:18" ht="12.75" customHeight="1" x14ac:dyDescent="0.25">
      <c r="A94" s="141"/>
      <c r="B94" s="142"/>
      <c r="C94" s="143"/>
      <c r="D94" s="144"/>
      <c r="E94" s="145" t="s">
        <v>79</v>
      </c>
      <c r="F94" s="146" t="e">
        <f>SUM(F91+F88+F85+F82+F79+F76+F73+F70+F67+F64+F61+F58+F55+F52+F49+F46+F43+F40+F37+F34+F31+F28+F25+F22+F19+F16+F13+F10+F7+F4)</f>
        <v>#DIV/0!</v>
      </c>
      <c r="G94" s="147"/>
      <c r="H94" s="148" t="e">
        <f>ROUND(SUM(H91+H88+H85+H82+H79+H76+H73+H70+H67+H64+H61+H58+H55+H52+H49+H46+H43+H40+H37+H34+H31+H28+H25+H22+H19+H16+H13+H10+H7+H4),1)</f>
        <v>#DIV/0!</v>
      </c>
      <c r="K94" s="141"/>
      <c r="L94" s="142"/>
      <c r="M94" s="143"/>
      <c r="N94" s="144"/>
      <c r="O94" s="145" t="s">
        <v>79</v>
      </c>
      <c r="P94" s="146" t="e">
        <f>SUM(P91+P88+P85+P82+P79+P76+P73+P70+P67+P64+P61+P58+P55+P52+P49+P46+P43+P40+P37+P34+P31+P28+P25+P22+P19+P16+P13+P10+P7+P4)</f>
        <v>#DIV/0!</v>
      </c>
      <c r="Q94" s="147"/>
      <c r="R94" s="148" t="e">
        <f>ROUND(SUM(R91+R88+R85+R82+R79+R76+R73+R70+R67+R64+R61+R58+R55+R52+R49+R46+R43+R40+R37+R34+R31+R28+R25+R22+R19+R16+R13+R10+R7+R4),1)</f>
        <v>#DIV/0!</v>
      </c>
    </row>
    <row r="95" spans="1:18" ht="26.25" customHeight="1" x14ac:dyDescent="0.25">
      <c r="A95" s="149"/>
      <c r="B95" s="150"/>
      <c r="C95" s="150"/>
      <c r="D95" s="150" t="s">
        <v>368</v>
      </c>
      <c r="E95" s="150"/>
      <c r="F95" s="151"/>
      <c r="G95" s="151"/>
      <c r="H95" s="151"/>
      <c r="K95" s="149"/>
      <c r="L95" s="150"/>
      <c r="M95" s="150"/>
      <c r="N95" s="150" t="s">
        <v>368</v>
      </c>
      <c r="O95" s="150"/>
      <c r="P95" s="151"/>
      <c r="Q95" s="151"/>
      <c r="R95" s="151"/>
    </row>
    <row r="96" spans="1:18" ht="12.75" customHeight="1" x14ac:dyDescent="0.25">
      <c r="A96" s="152" t="s">
        <v>358</v>
      </c>
      <c r="B96" s="153" t="s">
        <v>359</v>
      </c>
      <c r="C96" s="152" t="s">
        <v>360</v>
      </c>
      <c r="D96" s="154" t="s">
        <v>361</v>
      </c>
      <c r="E96" s="152"/>
      <c r="F96" s="152" t="s">
        <v>362</v>
      </c>
      <c r="G96" s="155" t="s">
        <v>363</v>
      </c>
      <c r="H96" s="152" t="s">
        <v>364</v>
      </c>
      <c r="K96" s="152" t="s">
        <v>358</v>
      </c>
      <c r="L96" s="153" t="s">
        <v>359</v>
      </c>
      <c r="M96" s="152" t="s">
        <v>360</v>
      </c>
      <c r="N96" s="154" t="s">
        <v>361</v>
      </c>
      <c r="O96" s="152"/>
      <c r="P96" s="152" t="s">
        <v>362</v>
      </c>
      <c r="Q96" s="155" t="s">
        <v>363</v>
      </c>
      <c r="R96" s="152" t="s">
        <v>364</v>
      </c>
    </row>
    <row r="97" spans="1:18" ht="12.75" customHeight="1" x14ac:dyDescent="0.25">
      <c r="A97" s="152"/>
      <c r="B97" s="153" t="s">
        <v>365</v>
      </c>
      <c r="C97" s="152" t="s">
        <v>366</v>
      </c>
      <c r="D97" s="156">
        <f>D3</f>
        <v>1</v>
      </c>
      <c r="E97" s="156">
        <f>E3</f>
        <v>2</v>
      </c>
      <c r="F97" s="157">
        <f>F3</f>
        <v>2.6603000000000003</v>
      </c>
      <c r="G97" s="158"/>
      <c r="H97" s="152" t="s">
        <v>367</v>
      </c>
      <c r="K97" s="152"/>
      <c r="L97" s="153" t="s">
        <v>365</v>
      </c>
      <c r="M97" s="152" t="s">
        <v>366</v>
      </c>
      <c r="N97" s="156">
        <f>N3</f>
        <v>1</v>
      </c>
      <c r="O97" s="156">
        <f>O3</f>
        <v>2</v>
      </c>
      <c r="P97" s="157">
        <f>P3</f>
        <v>5.7799999999998519E-2</v>
      </c>
      <c r="Q97" s="158"/>
      <c r="R97" s="152" t="s">
        <v>367</v>
      </c>
    </row>
    <row r="98" spans="1:18" ht="12.75" customHeight="1" x14ac:dyDescent="0.25">
      <c r="A98" s="159" t="str">
        <f>Relato!$A$286</f>
        <v>FWT (P)</v>
      </c>
      <c r="B98" s="1151">
        <f>Relato!$G$286</f>
        <v>0</v>
      </c>
      <c r="C98" s="135">
        <f>ROUNDDOWN(B98,1)</f>
        <v>0</v>
      </c>
      <c r="D98" s="160"/>
      <c r="E98" s="160"/>
      <c r="F98" s="161" t="e">
        <f>ROUND((((E100-D100)/($E$3-$D$3))*($F$3-$D$3))+D100,1)</f>
        <v>#DIV/0!</v>
      </c>
      <c r="G98" s="162">
        <v>1</v>
      </c>
      <c r="H98" s="163" t="e">
        <f>F98*G98</f>
        <v>#DIV/0!</v>
      </c>
      <c r="K98" s="159" t="str">
        <f>Relato!$A$286</f>
        <v>FWT (P)</v>
      </c>
      <c r="L98" s="1151">
        <f>Relato!D295</f>
        <v>1.56</v>
      </c>
      <c r="M98" s="135">
        <f>ROUNDDOWN(L98,1)</f>
        <v>1.5</v>
      </c>
      <c r="N98" s="160"/>
      <c r="O98" s="160"/>
      <c r="P98" s="161">
        <f>ROUND((((O100-N100)/($E$3-$D$3))*($F$3-$D$3))+N100,1)</f>
        <v>0</v>
      </c>
      <c r="Q98" s="162">
        <v>1</v>
      </c>
      <c r="R98" s="163">
        <f>P98*Q98</f>
        <v>0</v>
      </c>
    </row>
    <row r="99" spans="1:18" ht="12.75" customHeight="1" x14ac:dyDescent="0.25">
      <c r="A99" s="164"/>
      <c r="B99" s="1152"/>
      <c r="C99" s="116">
        <f>ROUNDUP(B98,1)</f>
        <v>0</v>
      </c>
      <c r="D99" s="165"/>
      <c r="E99" s="165"/>
      <c r="F99" s="166"/>
      <c r="G99" s="166"/>
      <c r="H99" s="167"/>
      <c r="K99" s="164"/>
      <c r="L99" s="1152"/>
      <c r="M99" s="116">
        <f>ROUNDUP(L98,1)</f>
        <v>1.6</v>
      </c>
      <c r="N99" s="165"/>
      <c r="O99" s="165"/>
      <c r="P99" s="166"/>
      <c r="Q99" s="166"/>
      <c r="R99" s="167"/>
    </row>
    <row r="100" spans="1:18" ht="12.75" customHeight="1" x14ac:dyDescent="0.25">
      <c r="A100" s="168"/>
      <c r="B100" s="169"/>
      <c r="C100" s="170"/>
      <c r="D100" s="171" t="e">
        <f>(((D99-D98)/(C99-C98))*(B98-C98))+D98</f>
        <v>#DIV/0!</v>
      </c>
      <c r="E100" s="171" t="e">
        <f>(((E99-E98)/(C99-C98))*(B98-C98))+E98</f>
        <v>#DIV/0!</v>
      </c>
      <c r="F100" s="172"/>
      <c r="G100" s="172"/>
      <c r="H100" s="173"/>
      <c r="K100" s="168"/>
      <c r="L100" s="169"/>
      <c r="M100" s="170"/>
      <c r="N100" s="171">
        <f>(((N99-N98)/(M99-M98))*(L98-M98))+N98</f>
        <v>0</v>
      </c>
      <c r="O100" s="171">
        <f>(((O99-O98)/(M99-M98))*(L98-M98))+O98</f>
        <v>0</v>
      </c>
      <c r="P100" s="172"/>
      <c r="Q100" s="172"/>
      <c r="R100" s="173"/>
    </row>
    <row r="101" spans="1:18" ht="12.75" customHeight="1" x14ac:dyDescent="0.25">
      <c r="A101" s="159" t="str">
        <f>Relato!$A$287</f>
        <v>DWT (S)</v>
      </c>
      <c r="B101" s="1151">
        <f>Relato!$G$287</f>
        <v>0</v>
      </c>
      <c r="C101" s="135">
        <f>ROUNDDOWN(B101,1)</f>
        <v>0</v>
      </c>
      <c r="D101" s="160"/>
      <c r="E101" s="160"/>
      <c r="F101" s="161" t="e">
        <f>ROUND((((E103-D103)/($E$3-$D$3))*($F$3-$D$3))+D103,1)</f>
        <v>#DIV/0!</v>
      </c>
      <c r="G101" s="162">
        <v>1</v>
      </c>
      <c r="H101" s="163" t="e">
        <f>F101*G101</f>
        <v>#DIV/0!</v>
      </c>
      <c r="K101" s="159" t="str">
        <f>Relato!$A$287</f>
        <v>DWT (S)</v>
      </c>
      <c r="L101" s="1151">
        <f>Relato!D296</f>
        <v>2.54</v>
      </c>
      <c r="M101" s="135">
        <f>ROUNDDOWN(L101,1)</f>
        <v>2.5</v>
      </c>
      <c r="N101" s="160"/>
      <c r="O101" s="160"/>
      <c r="P101" s="161">
        <f>ROUND((((O103-N103)/($E$3-$D$3))*($F$3-$D$3))+N103,1)</f>
        <v>0</v>
      </c>
      <c r="Q101" s="162">
        <v>1</v>
      </c>
      <c r="R101" s="163">
        <f>P101*Q101</f>
        <v>0</v>
      </c>
    </row>
    <row r="102" spans="1:18" ht="12.75" customHeight="1" x14ac:dyDescent="0.25">
      <c r="A102" s="164"/>
      <c r="B102" s="1152"/>
      <c r="C102" s="116">
        <f>ROUNDUP(B101,1)</f>
        <v>0</v>
      </c>
      <c r="D102" s="165"/>
      <c r="E102" s="165"/>
      <c r="F102" s="166"/>
      <c r="G102" s="166"/>
      <c r="H102" s="167"/>
      <c r="K102" s="164"/>
      <c r="L102" s="1152"/>
      <c r="M102" s="116">
        <f>ROUNDUP(L101,1)</f>
        <v>2.6</v>
      </c>
      <c r="N102" s="165"/>
      <c r="O102" s="165"/>
      <c r="P102" s="166"/>
      <c r="Q102" s="166"/>
      <c r="R102" s="167"/>
    </row>
    <row r="103" spans="1:18" ht="12.75" customHeight="1" x14ac:dyDescent="0.25">
      <c r="A103" s="168"/>
      <c r="B103" s="169"/>
      <c r="C103" s="170"/>
      <c r="D103" s="171" t="e">
        <f>(((D102-D101)/(C102-C101))*(B101-C101))+D101</f>
        <v>#DIV/0!</v>
      </c>
      <c r="E103" s="171" t="e">
        <f>(((E102-E101)/(C102-C101))*(B101-C101))+E101</f>
        <v>#DIV/0!</v>
      </c>
      <c r="F103" s="172"/>
      <c r="G103" s="172"/>
      <c r="H103" s="173"/>
      <c r="K103" s="168"/>
      <c r="L103" s="169"/>
      <c r="M103" s="170"/>
      <c r="N103" s="171">
        <f>(((N102-N101)/(M102-M101))*(L101-M101))+N101</f>
        <v>0</v>
      </c>
      <c r="O103" s="171">
        <f>(((O102-O101)/(M102-M101))*(L101-M101))+O101</f>
        <v>0</v>
      </c>
      <c r="P103" s="172"/>
      <c r="Q103" s="172"/>
      <c r="R103" s="173"/>
    </row>
    <row r="104" spans="1:18" ht="12.75" customHeight="1" x14ac:dyDescent="0.25">
      <c r="A104" s="159" t="e">
        <f>Relato!#REF!</f>
        <v>#REF!</v>
      </c>
      <c r="B104" s="1151" t="e">
        <f>Relato!#REF!</f>
        <v>#REF!</v>
      </c>
      <c r="C104" s="135" t="e">
        <f>ROUNDDOWN(B104,1)</f>
        <v>#REF!</v>
      </c>
      <c r="D104" s="160"/>
      <c r="E104" s="160"/>
      <c r="F104" s="161" t="e">
        <f>ROUND((((E106-D106)/($E$3-$D$3))*($F$3-$D$3))+D106,1)</f>
        <v>#REF!</v>
      </c>
      <c r="G104" s="162">
        <v>1</v>
      </c>
      <c r="H104" s="163" t="e">
        <f>F104*G104</f>
        <v>#REF!</v>
      </c>
      <c r="K104" s="159" t="e">
        <f>Relato!#REF!</f>
        <v>#REF!</v>
      </c>
      <c r="L104" s="1151" t="e">
        <f>Relato!#REF!</f>
        <v>#REF!</v>
      </c>
      <c r="M104" s="135" t="e">
        <f>ROUNDDOWN(L104,1)</f>
        <v>#REF!</v>
      </c>
      <c r="N104" s="160"/>
      <c r="O104" s="160"/>
      <c r="P104" s="161" t="e">
        <f>ROUND((((O106-N106)/($E$3-$D$3))*($F$3-$D$3))+N106,1)</f>
        <v>#REF!</v>
      </c>
      <c r="Q104" s="162">
        <v>1</v>
      </c>
      <c r="R104" s="163" t="e">
        <f>P104*Q104</f>
        <v>#REF!</v>
      </c>
    </row>
    <row r="105" spans="1:18" ht="12.75" customHeight="1" x14ac:dyDescent="0.25">
      <c r="A105" s="164"/>
      <c r="B105" s="1152"/>
      <c r="C105" s="116" t="e">
        <f>ROUNDUP(B104,1)</f>
        <v>#REF!</v>
      </c>
      <c r="D105" s="165"/>
      <c r="E105" s="165"/>
      <c r="F105" s="166"/>
      <c r="G105" s="166"/>
      <c r="H105" s="167"/>
      <c r="K105" s="164"/>
      <c r="L105" s="1152"/>
      <c r="M105" s="116" t="e">
        <f>ROUNDUP(L104,1)</f>
        <v>#REF!</v>
      </c>
      <c r="N105" s="165"/>
      <c r="O105" s="165"/>
      <c r="P105" s="166"/>
      <c r="Q105" s="166"/>
      <c r="R105" s="167"/>
    </row>
    <row r="106" spans="1:18" ht="12.75" customHeight="1" x14ac:dyDescent="0.25">
      <c r="A106" s="168"/>
      <c r="B106" s="169"/>
      <c r="C106" s="170"/>
      <c r="D106" s="171" t="e">
        <f>(((D105-D104)/(C105-C104))*(B104-C104))+D104</f>
        <v>#REF!</v>
      </c>
      <c r="E106" s="171" t="e">
        <f>(((E105-E104)/(C105-C104))*(B104-C104))+E104</f>
        <v>#REF!</v>
      </c>
      <c r="F106" s="172"/>
      <c r="G106" s="172"/>
      <c r="H106" s="173"/>
      <c r="K106" s="168"/>
      <c r="L106" s="169"/>
      <c r="M106" s="170"/>
      <c r="N106" s="171" t="e">
        <f>(((N105-N104)/(M105-M104))*(L104-M104))+N104</f>
        <v>#REF!</v>
      </c>
      <c r="O106" s="171" t="e">
        <f>(((O105-O104)/(M105-M104))*(L104-M104))+O104</f>
        <v>#REF!</v>
      </c>
      <c r="P106" s="172"/>
      <c r="Q106" s="172"/>
      <c r="R106" s="173"/>
    </row>
    <row r="107" spans="1:18" ht="12.75" customHeight="1" x14ac:dyDescent="0.25">
      <c r="A107" s="159" t="str">
        <f>Relato!$A$288</f>
        <v>Dist (S)</v>
      </c>
      <c r="B107" s="1151">
        <f>Relato!$G$288</f>
        <v>0</v>
      </c>
      <c r="C107" s="135">
        <f>ROUNDDOWN(B107,1)</f>
        <v>0</v>
      </c>
      <c r="D107" s="160"/>
      <c r="E107" s="160"/>
      <c r="F107" s="161" t="e">
        <f>ROUND((((E109-D109)/($E$3-$D$3))*($F$3-$D$3))+D109,1)</f>
        <v>#DIV/0!</v>
      </c>
      <c r="G107" s="162">
        <v>1</v>
      </c>
      <c r="H107" s="163" t="e">
        <f>F107*G107</f>
        <v>#DIV/0!</v>
      </c>
      <c r="K107" s="159" t="str">
        <f>Relato!$A$288</f>
        <v>Dist (S)</v>
      </c>
      <c r="L107" s="1151">
        <f>Relato!D297</f>
        <v>2.5499999999999998</v>
      </c>
      <c r="M107" s="135">
        <f>ROUNDDOWN(L107,1)</f>
        <v>2.5</v>
      </c>
      <c r="N107" s="160"/>
      <c r="O107" s="160"/>
      <c r="P107" s="161">
        <f>ROUND((((O109-N109)/($E$3-$D$3))*($F$3-$D$3))+N109,1)</f>
        <v>0</v>
      </c>
      <c r="Q107" s="162">
        <v>1</v>
      </c>
      <c r="R107" s="163">
        <f>P107*Q107</f>
        <v>0</v>
      </c>
    </row>
    <row r="108" spans="1:18" ht="12.75" customHeight="1" x14ac:dyDescent="0.25">
      <c r="A108" s="174"/>
      <c r="B108" s="1152"/>
      <c r="C108" s="116">
        <f>ROUNDUP(B107,1)</f>
        <v>0</v>
      </c>
      <c r="D108" s="165"/>
      <c r="E108" s="165"/>
      <c r="F108" s="166"/>
      <c r="G108" s="166"/>
      <c r="H108" s="167"/>
      <c r="K108" s="174"/>
      <c r="L108" s="1152"/>
      <c r="M108" s="116">
        <f>ROUNDUP(L107,1)</f>
        <v>2.6</v>
      </c>
      <c r="N108" s="165"/>
      <c r="O108" s="165"/>
      <c r="P108" s="166"/>
      <c r="Q108" s="166"/>
      <c r="R108" s="167"/>
    </row>
    <row r="109" spans="1:18" ht="12.75" customHeight="1" x14ac:dyDescent="0.25">
      <c r="A109" s="175"/>
      <c r="B109" s="169"/>
      <c r="C109" s="170"/>
      <c r="D109" s="171" t="e">
        <f>(((D108-D107)/(C108-C107))*(B107-C107))+D107</f>
        <v>#DIV/0!</v>
      </c>
      <c r="E109" s="171" t="e">
        <f>(((E108-E107)/(C108-C107))*(B107-C107))+E107</f>
        <v>#DIV/0!</v>
      </c>
      <c r="F109" s="172"/>
      <c r="G109" s="172"/>
      <c r="H109" s="173"/>
      <c r="K109" s="175"/>
      <c r="L109" s="169"/>
      <c r="M109" s="170"/>
      <c r="N109" s="171">
        <f>(((N108-N107)/(M108-M107))*(L107-M107))+N107</f>
        <v>0</v>
      </c>
      <c r="O109" s="171">
        <f>(((O108-O107)/(M108-M107))*(L107-M107))+O107</f>
        <v>0</v>
      </c>
      <c r="P109" s="172"/>
      <c r="Q109" s="172"/>
      <c r="R109" s="173"/>
    </row>
    <row r="110" spans="1:18" ht="12.75" customHeight="1" x14ac:dyDescent="0.25">
      <c r="A110" s="176"/>
      <c r="B110" s="176"/>
      <c r="C110" s="176"/>
      <c r="D110" s="176"/>
      <c r="E110" s="177" t="s">
        <v>79</v>
      </c>
      <c r="F110" s="178" t="e">
        <f>SUM(F98:F109)</f>
        <v>#DIV/0!</v>
      </c>
      <c r="G110" s="179" t="s">
        <v>369</v>
      </c>
      <c r="H110" s="176"/>
      <c r="K110" s="176"/>
      <c r="L110" s="176"/>
      <c r="M110" s="176"/>
      <c r="N110" s="176"/>
      <c r="O110" s="177" t="s">
        <v>79</v>
      </c>
      <c r="P110" s="178" t="e">
        <f>SUM(P98:P109)</f>
        <v>#REF!</v>
      </c>
      <c r="Q110" s="179" t="s">
        <v>369</v>
      </c>
      <c r="R110" s="176"/>
    </row>
    <row r="112" spans="1:18" x14ac:dyDescent="0.2">
      <c r="F112" s="180"/>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2" t="s">
        <v>454</v>
      </c>
    </row>
    <row r="2" spans="1:59" x14ac:dyDescent="0.2">
      <c r="A2" s="69" t="s">
        <v>455</v>
      </c>
    </row>
    <row r="3" spans="1:59" x14ac:dyDescent="0.2">
      <c r="A3" s="69" t="s">
        <v>456</v>
      </c>
    </row>
    <row r="4" spans="1:59" x14ac:dyDescent="0.2">
      <c r="A4" s="69" t="s">
        <v>457</v>
      </c>
    </row>
    <row r="5" spans="1:59" x14ac:dyDescent="0.2">
      <c r="A5" s="69" t="s">
        <v>458</v>
      </c>
    </row>
    <row r="6" spans="1:59" x14ac:dyDescent="0.2">
      <c r="A6" s="203" t="s">
        <v>459</v>
      </c>
    </row>
    <row r="9" spans="1:59" x14ac:dyDescent="0.2">
      <c r="A9" s="188" t="s">
        <v>460</v>
      </c>
      <c r="B9" s="69"/>
      <c r="C9" s="69"/>
      <c r="D9" s="69"/>
      <c r="E9" s="69"/>
      <c r="F9" s="69"/>
      <c r="G9" s="69"/>
      <c r="H9" s="69"/>
      <c r="I9" s="69"/>
      <c r="J9" s="69"/>
      <c r="K9" s="69"/>
      <c r="L9" s="69"/>
      <c r="M9" s="69"/>
      <c r="N9" s="69"/>
      <c r="O9" s="69"/>
      <c r="P9" s="69"/>
      <c r="Q9" s="69"/>
      <c r="R9" s="69"/>
      <c r="S9" s="69"/>
      <c r="T9" s="69"/>
      <c r="U9" s="69"/>
      <c r="V9" s="69"/>
      <c r="W9" s="69"/>
      <c r="X9" s="69"/>
      <c r="Y9" s="69"/>
      <c r="Z9" s="69"/>
      <c r="AA9" s="69"/>
      <c r="AB9" s="69"/>
      <c r="AC9" s="69"/>
      <c r="AD9" s="69"/>
      <c r="AE9" s="69"/>
      <c r="AF9" s="69"/>
      <c r="AG9" s="69"/>
      <c r="AH9" s="69"/>
      <c r="AI9" s="69"/>
      <c r="AJ9" s="69"/>
      <c r="AK9" s="69"/>
      <c r="AL9" s="69"/>
      <c r="AM9" s="69"/>
      <c r="AN9" s="69"/>
      <c r="AO9" s="69"/>
      <c r="AP9" s="69"/>
      <c r="AQ9" s="69"/>
      <c r="AR9" s="69"/>
      <c r="AS9" s="69"/>
      <c r="AT9" s="69"/>
      <c r="AU9" s="69"/>
      <c r="AV9" s="69"/>
      <c r="AW9" s="69"/>
      <c r="AX9" s="69"/>
      <c r="AY9" s="69"/>
      <c r="AZ9" s="69"/>
      <c r="BA9" s="69"/>
      <c r="BB9" s="69"/>
      <c r="BC9" s="188"/>
    </row>
    <row r="10" spans="1:59" x14ac:dyDescent="0.2">
      <c r="A10" s="69" t="s">
        <v>461</v>
      </c>
      <c r="B10" s="69"/>
      <c r="C10" s="69"/>
      <c r="D10" s="69"/>
      <c r="E10" s="69"/>
      <c r="F10" s="69"/>
      <c r="G10" s="69"/>
      <c r="H10" s="69"/>
      <c r="I10" s="69"/>
      <c r="J10" s="69"/>
      <c r="K10" s="69"/>
      <c r="L10" s="69"/>
      <c r="M10" s="69"/>
      <c r="N10" s="69"/>
      <c r="O10" s="69"/>
      <c r="P10" s="69"/>
      <c r="Q10" s="69"/>
      <c r="R10" s="69"/>
      <c r="S10" s="69"/>
      <c r="T10" s="69"/>
      <c r="U10" s="69"/>
      <c r="V10" s="69"/>
      <c r="W10" s="69"/>
      <c r="X10" s="69"/>
      <c r="Y10" s="69"/>
      <c r="Z10" s="69"/>
      <c r="AA10" s="69"/>
      <c r="AB10" s="69"/>
      <c r="AC10" s="69"/>
      <c r="AD10" s="69"/>
      <c r="AE10" s="69"/>
      <c r="AF10" s="69"/>
      <c r="AG10" s="69"/>
      <c r="AH10" s="69"/>
      <c r="AI10" s="69"/>
      <c r="AJ10" s="69"/>
      <c r="AK10" s="69"/>
      <c r="AL10" s="69"/>
      <c r="AM10" s="69"/>
      <c r="AN10" s="69"/>
      <c r="AO10" s="69"/>
      <c r="AP10" s="69"/>
      <c r="AQ10" s="69"/>
      <c r="AR10" s="69"/>
      <c r="AS10" s="69"/>
      <c r="AT10" s="69"/>
      <c r="AU10" s="69"/>
      <c r="AV10" s="69"/>
      <c r="AW10" s="69"/>
      <c r="AX10" s="188"/>
      <c r="AY10" s="69"/>
      <c r="AZ10" s="69"/>
      <c r="BA10" s="69"/>
      <c r="BB10" s="69"/>
      <c r="BC10" s="188"/>
    </row>
    <row r="11" spans="1:59" x14ac:dyDescent="0.2">
      <c r="A11" s="69" t="s">
        <v>462</v>
      </c>
      <c r="B11" s="69"/>
      <c r="C11" s="69"/>
      <c r="D11" s="69"/>
      <c r="E11" s="69"/>
      <c r="F11" s="69"/>
      <c r="G11" s="69"/>
      <c r="H11" s="69"/>
      <c r="I11" s="69"/>
      <c r="J11" s="69"/>
      <c r="K11" s="69"/>
      <c r="L11" s="69"/>
      <c r="M11" s="69"/>
      <c r="N11" s="69"/>
      <c r="O11" s="69"/>
      <c r="P11" s="69"/>
      <c r="Q11" s="69"/>
      <c r="R11" s="69"/>
      <c r="S11" s="69"/>
      <c r="T11" s="69"/>
      <c r="U11" s="69"/>
      <c r="V11" s="69"/>
      <c r="W11" s="69"/>
      <c r="X11" s="69"/>
      <c r="Y11" s="69"/>
      <c r="Z11" s="69"/>
      <c r="AA11" s="69"/>
      <c r="AB11" s="69"/>
      <c r="AC11" s="69"/>
      <c r="AD11" s="69"/>
      <c r="AE11" s="69"/>
      <c r="AF11" s="69"/>
      <c r="AG11" s="69"/>
      <c r="AH11" s="69"/>
      <c r="AI11" s="69"/>
      <c r="AJ11" s="69"/>
      <c r="AK11" s="69"/>
      <c r="AL11" s="69"/>
      <c r="AM11" s="69"/>
      <c r="AN11" s="69"/>
      <c r="AO11" s="69"/>
      <c r="AP11" s="69"/>
      <c r="AQ11" s="69"/>
      <c r="AR11" s="69"/>
      <c r="AS11" s="69"/>
      <c r="AT11" s="69"/>
      <c r="AU11" s="69"/>
      <c r="AV11" s="69"/>
      <c r="AW11" s="69"/>
      <c r="AX11" s="188"/>
      <c r="AY11" s="69"/>
      <c r="AZ11" s="69"/>
      <c r="BA11" s="69"/>
      <c r="BB11" s="69"/>
      <c r="BC11" s="188"/>
    </row>
    <row r="13" spans="1:59" ht="51" customHeight="1" x14ac:dyDescent="0.2">
      <c r="A13" s="1155" t="s">
        <v>463</v>
      </c>
      <c r="B13" s="1155"/>
      <c r="C13" s="1155"/>
      <c r="D13" s="1155"/>
      <c r="E13" s="1155"/>
      <c r="F13" s="1155"/>
      <c r="G13" s="1155"/>
      <c r="H13" s="1155"/>
      <c r="I13" s="1155"/>
      <c r="J13" s="1155"/>
      <c r="K13" s="1155"/>
      <c r="L13" s="204"/>
      <c r="M13" s="204"/>
      <c r="N13" s="204"/>
      <c r="O13" s="204"/>
      <c r="P13" s="204"/>
      <c r="Q13" s="204"/>
      <c r="R13" s="204"/>
      <c r="S13" s="204"/>
      <c r="T13" s="204"/>
      <c r="U13" s="204"/>
      <c r="V13" s="204"/>
      <c r="W13" s="204"/>
      <c r="X13" s="204"/>
      <c r="Y13" s="204"/>
      <c r="Z13" s="204"/>
      <c r="AA13" s="204"/>
      <c r="AB13" s="204"/>
      <c r="AC13" s="204"/>
      <c r="AD13" s="204"/>
      <c r="AE13" s="204"/>
      <c r="AF13" s="204"/>
      <c r="AG13" s="204"/>
      <c r="AH13" s="204"/>
      <c r="AI13" s="204"/>
      <c r="AJ13" s="204"/>
      <c r="AK13" s="204"/>
      <c r="AL13" s="204"/>
      <c r="AM13" s="204"/>
      <c r="AN13" s="204"/>
      <c r="AO13" s="204"/>
      <c r="AP13" s="204"/>
      <c r="AQ13" s="204"/>
      <c r="AR13" s="204"/>
      <c r="AS13" s="204"/>
      <c r="AT13" s="204"/>
      <c r="AU13" s="204"/>
      <c r="AV13" s="204"/>
      <c r="AW13" s="204"/>
      <c r="AX13" s="204"/>
      <c r="AY13" s="204"/>
      <c r="AZ13" s="204"/>
      <c r="BA13" s="204"/>
      <c r="BB13" s="204"/>
      <c r="BC13" s="204"/>
      <c r="BD13" s="204"/>
      <c r="BE13" s="204"/>
      <c r="BF13" s="204"/>
      <c r="BG13" s="204"/>
    </row>
    <row r="15" spans="1:59" ht="39" customHeight="1" x14ac:dyDescent="0.2">
      <c r="A15" s="1154" t="s">
        <v>464</v>
      </c>
      <c r="B15" s="1155"/>
      <c r="C15" s="1155"/>
      <c r="D15" s="1155"/>
      <c r="E15" s="1155"/>
      <c r="F15" s="1155"/>
      <c r="G15" s="1155"/>
      <c r="H15" s="1155"/>
      <c r="I15" s="1155"/>
      <c r="J15" s="1155"/>
      <c r="K15" s="1155"/>
    </row>
    <row r="16" spans="1:59" x14ac:dyDescent="0.2">
      <c r="A16" s="188"/>
    </row>
    <row r="17" spans="1:54" x14ac:dyDescent="0.2">
      <c r="A17" s="188"/>
    </row>
    <row r="20" spans="1:54" x14ac:dyDescent="0.2">
      <c r="A20" s="205" t="s">
        <v>465</v>
      </c>
    </row>
    <row r="22" spans="1:54" x14ac:dyDescent="0.2">
      <c r="A22" s="205" t="s">
        <v>466</v>
      </c>
      <c r="B22" s="188"/>
      <c r="C22" s="188"/>
      <c r="D22" s="188"/>
      <c r="E22" s="188"/>
      <c r="F22" s="188"/>
      <c r="G22" s="188"/>
      <c r="H22" s="188"/>
      <c r="I22" s="188"/>
      <c r="J22" s="188"/>
      <c r="K22" s="188"/>
      <c r="L22" s="188"/>
      <c r="M22" s="188"/>
      <c r="N22" s="188"/>
      <c r="O22" s="188"/>
      <c r="P22" s="188"/>
      <c r="Q22" s="188"/>
      <c r="R22" s="188"/>
      <c r="S22" s="188"/>
      <c r="T22" s="188"/>
      <c r="U22" s="188"/>
      <c r="V22" s="188"/>
      <c r="W22" s="188"/>
      <c r="X22" s="188"/>
      <c r="Y22" s="188"/>
      <c r="Z22" s="188"/>
      <c r="AA22" s="188"/>
      <c r="AB22" s="188"/>
      <c r="AC22" s="188"/>
      <c r="AD22" s="188"/>
      <c r="AE22" s="188"/>
      <c r="AF22" s="188"/>
      <c r="AG22" s="188"/>
      <c r="AH22" s="188"/>
      <c r="AI22" s="188"/>
      <c r="AJ22" s="188"/>
      <c r="AK22" s="188"/>
      <c r="AL22" s="188"/>
      <c r="AM22" s="188"/>
      <c r="AN22" s="188"/>
      <c r="AO22" s="188"/>
      <c r="AP22" s="188"/>
      <c r="AQ22" s="188"/>
      <c r="AR22" s="188"/>
      <c r="AS22" s="188"/>
      <c r="AT22" s="188"/>
      <c r="AU22" s="188"/>
      <c r="AV22" s="188"/>
      <c r="AW22" s="188"/>
      <c r="AX22" s="188"/>
      <c r="AY22" s="188"/>
      <c r="AZ22" s="188"/>
      <c r="BA22" s="188"/>
      <c r="BB22" s="188"/>
    </row>
    <row r="23" spans="1:54" x14ac:dyDescent="0.2">
      <c r="A23" s="1159" t="s">
        <v>467</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9"/>
    </row>
    <row r="25" spans="1:54" ht="13.5" thickBot="1" x14ac:dyDescent="0.25"/>
    <row r="26" spans="1:54" ht="54" customHeight="1" thickTop="1" x14ac:dyDescent="0.2">
      <c r="A26" s="1154" t="s">
        <v>468</v>
      </c>
      <c r="B26" s="1155"/>
      <c r="C26" s="1155"/>
      <c r="D26" s="1155"/>
      <c r="E26" s="1155"/>
      <c r="F26" s="1155"/>
      <c r="G26" s="1155"/>
      <c r="H26" s="1155"/>
      <c r="I26" s="1155"/>
      <c r="J26" s="1155"/>
      <c r="K26" s="1155"/>
      <c r="L26" s="206"/>
      <c r="M26" s="206"/>
      <c r="N26" s="206"/>
      <c r="O26" s="206"/>
      <c r="P26" s="206"/>
      <c r="Q26" s="206"/>
      <c r="R26" s="206"/>
      <c r="S26" s="206"/>
      <c r="T26" s="206"/>
      <c r="U26" s="207"/>
      <c r="V26" s="207"/>
      <c r="W26" s="207"/>
      <c r="X26" s="207"/>
      <c r="Y26" s="207"/>
      <c r="Z26" s="207"/>
      <c r="AA26" s="207"/>
      <c r="AB26" s="207"/>
      <c r="AC26" s="207"/>
      <c r="AD26" s="207"/>
      <c r="AE26" s="207"/>
      <c r="AF26" s="207"/>
      <c r="AG26" s="207"/>
      <c r="AH26" s="207"/>
      <c r="AI26" s="207"/>
      <c r="AJ26" s="207"/>
      <c r="AK26" s="207"/>
      <c r="AL26" s="207"/>
      <c r="AM26" s="207"/>
      <c r="AN26" s="207"/>
      <c r="AO26" s="207"/>
      <c r="AP26" s="207"/>
      <c r="AQ26" s="207"/>
      <c r="AR26" s="207"/>
      <c r="AS26" s="207"/>
      <c r="AT26" s="207"/>
      <c r="AU26" s="207"/>
      <c r="AV26" s="207"/>
      <c r="AW26" s="207"/>
      <c r="AX26" s="207"/>
      <c r="AY26" s="207"/>
      <c r="AZ26" s="207"/>
      <c r="BA26" s="207"/>
      <c r="BB26" s="207"/>
    </row>
    <row r="27" spans="1:54" ht="15.75" customHeight="1" x14ac:dyDescent="0.2">
      <c r="A27" s="208"/>
      <c r="B27" s="209"/>
      <c r="C27" s="209"/>
      <c r="D27" s="209"/>
      <c r="E27" s="209"/>
      <c r="F27" s="209"/>
      <c r="G27" s="209"/>
      <c r="H27" s="209"/>
      <c r="I27" s="209"/>
      <c r="J27" s="209"/>
      <c r="K27" s="209"/>
      <c r="L27" s="206"/>
      <c r="M27" s="206"/>
      <c r="N27" s="206"/>
      <c r="O27" s="206"/>
      <c r="P27" s="206"/>
      <c r="Q27" s="206"/>
      <c r="R27" s="206"/>
      <c r="S27" s="206"/>
      <c r="T27" s="206"/>
      <c r="U27" s="206"/>
      <c r="V27" s="206"/>
      <c r="W27" s="206"/>
      <c r="X27" s="206"/>
      <c r="Y27" s="206"/>
      <c r="Z27" s="206"/>
      <c r="AA27" s="206"/>
      <c r="AB27" s="206"/>
      <c r="AC27" s="206"/>
      <c r="AD27" s="206"/>
      <c r="AE27" s="206"/>
      <c r="AF27" s="206"/>
      <c r="AG27" s="206"/>
      <c r="AH27" s="206"/>
      <c r="AI27" s="206"/>
      <c r="AJ27" s="206"/>
      <c r="AK27" s="206"/>
      <c r="AL27" s="206"/>
      <c r="AM27" s="206"/>
      <c r="AN27" s="206"/>
      <c r="AO27" s="206"/>
      <c r="AP27" s="206"/>
      <c r="AQ27" s="206"/>
      <c r="AR27" s="206"/>
      <c r="AS27" s="206"/>
      <c r="AT27" s="206"/>
      <c r="AU27" s="206"/>
      <c r="AV27" s="206"/>
      <c r="AW27" s="206"/>
      <c r="AX27" s="206"/>
      <c r="AY27" s="206"/>
      <c r="AZ27" s="206"/>
      <c r="BA27" s="206"/>
      <c r="BB27" s="206"/>
    </row>
    <row r="28" spans="1:54" x14ac:dyDescent="0.2">
      <c r="A28" s="1161" t="s">
        <v>469</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9" t="s">
        <v>470</v>
      </c>
    </row>
    <row r="31" spans="1:54" x14ac:dyDescent="0.2">
      <c r="A31" s="69" t="s">
        <v>471</v>
      </c>
    </row>
    <row r="32" spans="1:54" x14ac:dyDescent="0.2">
      <c r="A32" s="69" t="s">
        <v>472</v>
      </c>
    </row>
    <row r="33" spans="1:7" x14ac:dyDescent="0.2">
      <c r="A33" s="69"/>
    </row>
    <row r="34" spans="1:7" x14ac:dyDescent="0.2">
      <c r="A34" s="69" t="s">
        <v>473</v>
      </c>
    </row>
    <row r="36" spans="1:7" x14ac:dyDescent="0.2">
      <c r="A36" s="20" t="s">
        <v>474</v>
      </c>
    </row>
    <row r="37" spans="1:7" x14ac:dyDescent="0.2">
      <c r="A37" s="20" t="s">
        <v>475</v>
      </c>
    </row>
    <row r="39" spans="1:7" x14ac:dyDescent="0.2">
      <c r="A39" s="69" t="s">
        <v>476</v>
      </c>
    </row>
    <row r="40" spans="1:7" x14ac:dyDescent="0.2">
      <c r="A40" s="69" t="s">
        <v>477</v>
      </c>
    </row>
    <row r="41" spans="1:7" x14ac:dyDescent="0.2">
      <c r="A41" s="69" t="s">
        <v>478</v>
      </c>
    </row>
    <row r="44" spans="1:7" x14ac:dyDescent="0.2">
      <c r="A44" s="69" t="s">
        <v>479</v>
      </c>
      <c r="B44" s="210"/>
      <c r="C44" s="210"/>
      <c r="D44" s="210"/>
      <c r="E44" s="210"/>
      <c r="F44" s="210"/>
      <c r="G44" s="210"/>
    </row>
    <row r="45" spans="1:7" x14ac:dyDescent="0.2">
      <c r="A45" s="210"/>
      <c r="B45" s="69" t="s">
        <v>480</v>
      </c>
      <c r="C45" s="210"/>
      <c r="D45" s="210"/>
      <c r="E45" s="210"/>
      <c r="G45" s="210"/>
    </row>
    <row r="48" spans="1:7" ht="15" x14ac:dyDescent="0.2">
      <c r="A48" s="55" t="s">
        <v>481</v>
      </c>
    </row>
    <row r="51" spans="1:1" x14ac:dyDescent="0.2">
      <c r="A51" s="20" t="s">
        <v>482</v>
      </c>
    </row>
    <row r="53" spans="1:1" x14ac:dyDescent="0.2">
      <c r="A53" s="188" t="s">
        <v>483</v>
      </c>
    </row>
    <row r="55" spans="1:1" x14ac:dyDescent="0.2">
      <c r="A55" s="69" t="s">
        <v>484</v>
      </c>
    </row>
    <row r="58" spans="1:1" x14ac:dyDescent="0.2">
      <c r="A58" s="20" t="s">
        <v>484</v>
      </c>
    </row>
    <row r="61" spans="1:1" ht="15.75" x14ac:dyDescent="0.25">
      <c r="A61" s="211" t="s">
        <v>485</v>
      </c>
    </row>
    <row r="62" spans="1:1" ht="15.75" x14ac:dyDescent="0.25">
      <c r="A62" s="212" t="s">
        <v>486</v>
      </c>
    </row>
    <row r="63" spans="1:1" ht="15.75" x14ac:dyDescent="0.25">
      <c r="A63" s="212" t="s">
        <v>487</v>
      </c>
    </row>
    <row r="66" spans="1:10" x14ac:dyDescent="0.2">
      <c r="A66" s="20" t="s">
        <v>488</v>
      </c>
    </row>
    <row r="70" spans="1:10" x14ac:dyDescent="0.2">
      <c r="A70" s="69" t="s">
        <v>489</v>
      </c>
    </row>
    <row r="73" spans="1:10" x14ac:dyDescent="0.2">
      <c r="A73" s="69" t="s">
        <v>490</v>
      </c>
    </row>
    <row r="74" spans="1:10" x14ac:dyDescent="0.2">
      <c r="A74" s="69" t="s">
        <v>491</v>
      </c>
    </row>
    <row r="78" spans="1:10" ht="16.5" x14ac:dyDescent="0.3">
      <c r="A78" s="1158" t="s">
        <v>492</v>
      </c>
      <c r="B78" s="1158"/>
      <c r="C78" s="1158"/>
      <c r="D78" s="1158"/>
      <c r="E78" s="1158"/>
      <c r="F78" s="1158"/>
      <c r="G78" s="1158"/>
      <c r="H78" s="1158"/>
      <c r="I78" s="1158"/>
      <c r="J78" s="1158"/>
    </row>
    <row r="82" spans="1:1" x14ac:dyDescent="0.2">
      <c r="A82" s="20" t="s">
        <v>493</v>
      </c>
    </row>
    <row r="86" spans="1:1" x14ac:dyDescent="0.2">
      <c r="A86" s="20" t="s">
        <v>494</v>
      </c>
    </row>
    <row r="89" spans="1:1" x14ac:dyDescent="0.2">
      <c r="A89" s="20" t="s">
        <v>495</v>
      </c>
    </row>
    <row r="90" spans="1:1" x14ac:dyDescent="0.2">
      <c r="A90" s="20" t="s">
        <v>496</v>
      </c>
    </row>
    <row r="91" spans="1:1" x14ac:dyDescent="0.2">
      <c r="A91" s="20" t="s">
        <v>497</v>
      </c>
    </row>
    <row r="94" spans="1:1" ht="14.25" x14ac:dyDescent="0.2">
      <c r="A94" s="69" t="s">
        <v>498</v>
      </c>
    </row>
    <row r="97" spans="1:11" ht="55.5" customHeight="1" x14ac:dyDescent="0.2">
      <c r="A97" s="1154" t="s">
        <v>499</v>
      </c>
      <c r="B97" s="1154"/>
      <c r="C97" s="1154"/>
      <c r="D97" s="1154"/>
      <c r="E97" s="1154"/>
      <c r="F97" s="1154"/>
      <c r="G97" s="1154"/>
      <c r="H97" s="1154"/>
      <c r="I97" s="1154"/>
      <c r="J97" s="1154"/>
      <c r="K97" s="1154"/>
    </row>
    <row r="98" spans="1:11" x14ac:dyDescent="0.2">
      <c r="A98" s="205"/>
      <c r="B98" s="205"/>
    </row>
    <row r="99" spans="1:11" x14ac:dyDescent="0.2">
      <c r="A99" s="205"/>
      <c r="B99" s="205"/>
    </row>
    <row r="102" spans="1:11" ht="28.5" customHeight="1" x14ac:dyDescent="0.2">
      <c r="A102" s="1155" t="s">
        <v>500</v>
      </c>
      <c r="B102" s="1155"/>
      <c r="C102" s="1155"/>
      <c r="D102" s="1155"/>
      <c r="E102" s="1155"/>
      <c r="F102" s="1155"/>
      <c r="G102" s="1155"/>
      <c r="H102" s="1155"/>
      <c r="I102" s="1155"/>
      <c r="J102" s="1155"/>
      <c r="K102" s="1155"/>
    </row>
    <row r="106" spans="1:11" x14ac:dyDescent="0.2">
      <c r="A106" s="202" t="s">
        <v>454</v>
      </c>
    </row>
    <row r="107" spans="1:11" x14ac:dyDescent="0.2">
      <c r="A107" s="69" t="s">
        <v>455</v>
      </c>
    </row>
    <row r="108" spans="1:11" x14ac:dyDescent="0.2">
      <c r="A108" s="69" t="s">
        <v>456</v>
      </c>
    </row>
    <row r="109" spans="1:11" x14ac:dyDescent="0.2">
      <c r="A109" s="69" t="s">
        <v>457</v>
      </c>
    </row>
    <row r="110" spans="1:11" x14ac:dyDescent="0.2">
      <c r="A110" s="69" t="s">
        <v>458</v>
      </c>
    </row>
    <row r="111" spans="1:11" x14ac:dyDescent="0.2">
      <c r="A111" s="203" t="s">
        <v>459</v>
      </c>
    </row>
    <row r="113" spans="1:11" x14ac:dyDescent="0.2">
      <c r="A113" s="20" t="s">
        <v>501</v>
      </c>
    </row>
    <row r="114" spans="1:11" x14ac:dyDescent="0.2">
      <c r="A114" s="20" t="s">
        <v>502</v>
      </c>
    </row>
    <row r="116" spans="1:11" x14ac:dyDescent="0.2">
      <c r="A116" s="1156" t="s">
        <v>503</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5" t="s">
        <v>463</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57" t="s">
        <v>504</v>
      </c>
      <c r="B124" s="1157"/>
      <c r="C124" s="1157"/>
      <c r="D124" s="1157"/>
      <c r="E124" s="1157"/>
      <c r="F124" s="1157"/>
      <c r="G124" s="1157"/>
      <c r="H124" s="1157"/>
      <c r="I124" s="1157"/>
      <c r="J124" s="1157"/>
      <c r="K124" s="115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3" t="s">
        <v>505</v>
      </c>
      <c r="B1" s="214"/>
      <c r="C1" s="214"/>
      <c r="D1" s="214"/>
      <c r="E1" s="214"/>
      <c r="F1" s="214"/>
      <c r="G1" s="214"/>
      <c r="H1" s="214"/>
      <c r="I1" s="214"/>
      <c r="J1" s="215"/>
    </row>
    <row r="2" spans="1:16" x14ac:dyDescent="0.2">
      <c r="A2" s="216"/>
      <c r="J2" s="217"/>
    </row>
    <row r="3" spans="1:16" ht="15" x14ac:dyDescent="0.25">
      <c r="A3" s="218" t="s">
        <v>506</v>
      </c>
      <c r="B3" s="20" t="s">
        <v>285</v>
      </c>
      <c r="J3" s="217"/>
    </row>
    <row r="4" spans="1:16" ht="15" x14ac:dyDescent="0.25">
      <c r="A4" s="219">
        <v>0.78</v>
      </c>
      <c r="B4" s="220">
        <v>0.6</v>
      </c>
      <c r="D4" s="221"/>
      <c r="E4" s="221"/>
      <c r="J4" s="217"/>
    </row>
    <row r="5" spans="1:16" ht="15" x14ac:dyDescent="0.25">
      <c r="A5" s="222">
        <f t="shared" ref="A5:A44" si="0">A4-0.005</f>
        <v>0.77500000000000002</v>
      </c>
      <c r="B5" s="221">
        <v>0.61</v>
      </c>
      <c r="J5" s="217"/>
    </row>
    <row r="6" spans="1:16" ht="15" x14ac:dyDescent="0.25">
      <c r="A6" s="222">
        <f t="shared" si="0"/>
        <v>0.77</v>
      </c>
      <c r="B6" s="221">
        <v>0.62</v>
      </c>
      <c r="D6" s="20" t="s">
        <v>109</v>
      </c>
      <c r="J6" s="217"/>
      <c r="L6" s="20" t="s">
        <v>110</v>
      </c>
    </row>
    <row r="7" spans="1:16" ht="15" x14ac:dyDescent="0.25">
      <c r="A7" s="222">
        <f t="shared" si="0"/>
        <v>0.76500000000000001</v>
      </c>
      <c r="B7" s="221">
        <v>0.63</v>
      </c>
      <c r="J7" s="217"/>
    </row>
    <row r="8" spans="1:16" ht="15" x14ac:dyDescent="0.25">
      <c r="A8" s="222">
        <f t="shared" si="0"/>
        <v>0.76</v>
      </c>
      <c r="B8" s="221">
        <v>0.64</v>
      </c>
      <c r="D8" s="223" t="s">
        <v>507</v>
      </c>
      <c r="E8" s="224"/>
      <c r="F8" s="224"/>
      <c r="G8" s="224"/>
      <c r="H8" s="224"/>
      <c r="J8" s="217"/>
      <c r="L8" s="223" t="s">
        <v>507</v>
      </c>
      <c r="M8" s="224"/>
      <c r="N8" s="224"/>
      <c r="O8" s="224"/>
      <c r="P8" s="224"/>
    </row>
    <row r="9" spans="1:16" ht="15" x14ac:dyDescent="0.25">
      <c r="A9" s="222">
        <f t="shared" si="0"/>
        <v>0.755</v>
      </c>
      <c r="B9" s="221">
        <v>0.65</v>
      </c>
      <c r="J9" s="217"/>
    </row>
    <row r="10" spans="1:16" ht="15" x14ac:dyDescent="0.25">
      <c r="A10" s="222">
        <f t="shared" si="0"/>
        <v>0.75</v>
      </c>
      <c r="B10" s="221">
        <v>0.66</v>
      </c>
      <c r="D10" s="20" t="s">
        <v>508</v>
      </c>
      <c r="E10" s="225">
        <f>Draft!J$47</f>
        <v>62.247</v>
      </c>
      <c r="J10" s="217"/>
      <c r="L10" s="20" t="s">
        <v>508</v>
      </c>
      <c r="M10" s="225">
        <f>Draft!AB$47</f>
        <v>67.500999999999991</v>
      </c>
    </row>
    <row r="11" spans="1:16" ht="15" x14ac:dyDescent="0.25">
      <c r="A11" s="222">
        <f t="shared" si="0"/>
        <v>0.745</v>
      </c>
      <c r="B11" s="221">
        <v>0.67</v>
      </c>
      <c r="D11" s="20" t="s">
        <v>509</v>
      </c>
      <c r="E11" s="225">
        <f>Draft!D$11</f>
        <v>217</v>
      </c>
      <c r="G11" s="224" t="s">
        <v>510</v>
      </c>
      <c r="H11" s="224">
        <f>E10*97.545/(E11*E12)</f>
        <v>0.86735990340579572</v>
      </c>
      <c r="J11" s="217"/>
      <c r="L11" s="20" t="s">
        <v>509</v>
      </c>
      <c r="M11" s="225">
        <f>Draft!V$11</f>
        <v>217</v>
      </c>
      <c r="O11" s="224" t="s">
        <v>510</v>
      </c>
      <c r="P11" s="224">
        <f>M10*97.545/(M11*M12)</f>
        <v>0.94057000079995201</v>
      </c>
    </row>
    <row r="12" spans="1:16" ht="15" x14ac:dyDescent="0.25">
      <c r="A12" s="222">
        <f t="shared" si="0"/>
        <v>0.74</v>
      </c>
      <c r="B12" s="221">
        <v>0.68</v>
      </c>
      <c r="D12" s="20" t="s">
        <v>511</v>
      </c>
      <c r="E12" s="225">
        <f>Draft!L$11</f>
        <v>32.26</v>
      </c>
      <c r="J12" s="217"/>
      <c r="L12" s="20" t="s">
        <v>511</v>
      </c>
      <c r="M12" s="225">
        <f>E$12</f>
        <v>32.26</v>
      </c>
    </row>
    <row r="13" spans="1:16" ht="15" x14ac:dyDescent="0.25">
      <c r="A13" s="222">
        <f t="shared" si="0"/>
        <v>0.73499999999999999</v>
      </c>
      <c r="B13" s="221">
        <v>0.69</v>
      </c>
      <c r="J13" s="217"/>
    </row>
    <row r="14" spans="1:16" ht="15" x14ac:dyDescent="0.25">
      <c r="A14" s="219">
        <f t="shared" si="0"/>
        <v>0.73</v>
      </c>
      <c r="B14" s="220">
        <v>0.7</v>
      </c>
      <c r="J14" s="217"/>
    </row>
    <row r="15" spans="1:16" ht="18.75" x14ac:dyDescent="0.3">
      <c r="A15" s="222">
        <f t="shared" si="0"/>
        <v>0.72499999999999998</v>
      </c>
      <c r="B15" s="226">
        <v>0.71</v>
      </c>
      <c r="D15" s="223" t="s">
        <v>512</v>
      </c>
      <c r="E15" s="224"/>
      <c r="F15" s="224"/>
      <c r="G15" s="224"/>
      <c r="H15" s="224"/>
      <c r="J15" s="217"/>
      <c r="L15" s="223" t="s">
        <v>512</v>
      </c>
      <c r="M15" s="224"/>
      <c r="N15" s="224"/>
      <c r="O15" s="224"/>
      <c r="P15" s="224"/>
    </row>
    <row r="16" spans="1:16" ht="15" x14ac:dyDescent="0.25">
      <c r="A16" s="222">
        <f t="shared" si="0"/>
        <v>0.72</v>
      </c>
      <c r="B16" s="226">
        <v>0.72</v>
      </c>
      <c r="D16" s="20" t="s">
        <v>513</v>
      </c>
      <c r="J16" s="217"/>
      <c r="L16" s="20" t="s">
        <v>513</v>
      </c>
    </row>
    <row r="17" spans="1:16" ht="15" x14ac:dyDescent="0.25">
      <c r="A17" s="222">
        <f t="shared" si="0"/>
        <v>0.71499999999999997</v>
      </c>
      <c r="B17" s="226">
        <v>0.73</v>
      </c>
      <c r="J17" s="217"/>
    </row>
    <row r="18" spans="1:16" ht="15.75" thickBot="1" x14ac:dyDescent="0.3">
      <c r="A18" s="222">
        <f t="shared" si="0"/>
        <v>0.71</v>
      </c>
      <c r="B18" s="226">
        <v>0.74</v>
      </c>
      <c r="D18" s="20" t="s">
        <v>514</v>
      </c>
      <c r="E18" s="20">
        <f>(Draft!$P$25+Draft!$P$27)/2</f>
        <v>6.3427500000000006</v>
      </c>
      <c r="J18" s="217"/>
      <c r="L18" s="20" t="s">
        <v>514</v>
      </c>
      <c r="M18" s="20">
        <f>(Draft!$AH$25+Draft!$AH$27)/2</f>
        <v>12.309100000000001</v>
      </c>
    </row>
    <row r="19" spans="1:16" ht="19.5" thickBot="1" x14ac:dyDescent="0.35">
      <c r="A19" s="222">
        <f t="shared" si="0"/>
        <v>0.70499999999999996</v>
      </c>
      <c r="B19" s="226">
        <v>0.75</v>
      </c>
      <c r="D19" s="227" t="s">
        <v>515</v>
      </c>
      <c r="E19" s="221">
        <f>(($H$11-$B$4)*(0.15)/(0.3))-0.78</f>
        <v>-0.6463200482971021</v>
      </c>
      <c r="G19" s="228" t="s">
        <v>516</v>
      </c>
      <c r="H19" s="229">
        <f>$E$18+($E$19*$E$20)</f>
        <v>6.2800246393127663</v>
      </c>
      <c r="J19" s="217"/>
      <c r="L19" s="227" t="s">
        <v>515</v>
      </c>
      <c r="M19" s="221">
        <f>(($P$11-$B$4)*(0.15)/(0.3))-0.78</f>
        <v>-0.60971499960002395</v>
      </c>
      <c r="O19" s="228" t="s">
        <v>516</v>
      </c>
      <c r="P19" s="229">
        <f>$M$18+($M$19*$M$20)</f>
        <v>12.32531841898936</v>
      </c>
    </row>
    <row r="20" spans="1:16" ht="15" x14ac:dyDescent="0.25">
      <c r="A20" s="222">
        <f t="shared" si="0"/>
        <v>0.7</v>
      </c>
      <c r="B20" s="226">
        <v>0.76</v>
      </c>
      <c r="D20" s="20" t="s">
        <v>517</v>
      </c>
      <c r="E20" s="20">
        <f>((Draft!$P$25+Draft!$P$27))/2-Draft!$P$26</f>
        <v>9.7050000000000303E-2</v>
      </c>
      <c r="J20" s="217"/>
      <c r="L20" s="20" t="s">
        <v>517</v>
      </c>
      <c r="M20" s="20">
        <f>(Draft!$AH$25+Draft!$AH$27)/2-(Draft!$AH$26)</f>
        <v>-2.6599999999998403E-2</v>
      </c>
    </row>
    <row r="21" spans="1:16" ht="15" x14ac:dyDescent="0.25">
      <c r="A21" s="222">
        <f t="shared" si="0"/>
        <v>0.69499999999999995</v>
      </c>
      <c r="B21" s="226">
        <v>0.77</v>
      </c>
      <c r="J21" s="217"/>
    </row>
    <row r="22" spans="1:16" ht="15" x14ac:dyDescent="0.25">
      <c r="A22" s="222">
        <f t="shared" si="0"/>
        <v>0.69</v>
      </c>
      <c r="B22" s="226">
        <v>0.78</v>
      </c>
      <c r="D22" s="1162" t="s">
        <v>581</v>
      </c>
      <c r="E22" s="1163"/>
      <c r="F22" s="1163"/>
      <c r="G22" s="1163"/>
      <c r="H22" s="1163"/>
      <c r="I22" s="1163"/>
      <c r="J22" s="1163"/>
      <c r="K22" s="1163"/>
      <c r="L22" s="1163"/>
      <c r="M22" s="1163"/>
      <c r="N22" s="1163"/>
      <c r="O22" s="1163"/>
      <c r="P22" s="1164"/>
    </row>
    <row r="23" spans="1:16" ht="15" x14ac:dyDescent="0.25">
      <c r="A23" s="222">
        <f t="shared" si="0"/>
        <v>0.68499999999999994</v>
      </c>
      <c r="B23" s="226">
        <v>0.79</v>
      </c>
      <c r="D23" s="1165"/>
      <c r="E23" s="1166"/>
      <c r="F23" s="1166"/>
      <c r="G23" s="1166"/>
      <c r="H23" s="1166"/>
      <c r="I23" s="1166"/>
      <c r="J23" s="1166"/>
      <c r="K23" s="1166"/>
      <c r="L23" s="1166"/>
      <c r="M23" s="1166"/>
      <c r="N23" s="1166"/>
      <c r="O23" s="1166"/>
      <c r="P23" s="1167"/>
    </row>
    <row r="24" spans="1:16" ht="15" x14ac:dyDescent="0.25">
      <c r="A24" s="219">
        <f t="shared" si="0"/>
        <v>0.67999999999999994</v>
      </c>
      <c r="B24" s="220">
        <v>0.8</v>
      </c>
      <c r="D24" s="1165"/>
      <c r="E24" s="1166"/>
      <c r="F24" s="1166"/>
      <c r="G24" s="1166"/>
      <c r="H24" s="1166"/>
      <c r="I24" s="1166"/>
      <c r="J24" s="1166"/>
      <c r="K24" s="1166"/>
      <c r="L24" s="1166"/>
      <c r="M24" s="1166"/>
      <c r="N24" s="1166"/>
      <c r="O24" s="1166"/>
      <c r="P24" s="1167"/>
    </row>
    <row r="25" spans="1:16" ht="15" x14ac:dyDescent="0.25">
      <c r="A25" s="222">
        <f t="shared" si="0"/>
        <v>0.67499999999999993</v>
      </c>
      <c r="B25" s="226">
        <v>0.81</v>
      </c>
      <c r="D25" s="1168"/>
      <c r="E25" s="1169"/>
      <c r="F25" s="1169"/>
      <c r="G25" s="1169"/>
      <c r="H25" s="1169"/>
      <c r="I25" s="1169"/>
      <c r="J25" s="1169"/>
      <c r="K25" s="1169"/>
      <c r="L25" s="1169"/>
      <c r="M25" s="1169"/>
      <c r="N25" s="1169"/>
      <c r="O25" s="1169"/>
      <c r="P25" s="1170"/>
    </row>
    <row r="26" spans="1:16" ht="15" x14ac:dyDescent="0.25">
      <c r="A26" s="222">
        <f t="shared" si="0"/>
        <v>0.66999999999999993</v>
      </c>
      <c r="B26" s="226">
        <v>0.82</v>
      </c>
      <c r="D26" s="230"/>
      <c r="E26" s="231"/>
      <c r="F26" s="230"/>
    </row>
    <row r="27" spans="1:16" ht="15" x14ac:dyDescent="0.25">
      <c r="A27" s="222">
        <f t="shared" si="0"/>
        <v>0.66499999999999992</v>
      </c>
      <c r="B27" s="226">
        <v>0.83</v>
      </c>
      <c r="D27" s="232"/>
      <c r="E27" s="231"/>
      <c r="F27" s="230"/>
    </row>
    <row r="28" spans="1:16" ht="15" x14ac:dyDescent="0.25">
      <c r="A28" s="222">
        <f t="shared" si="0"/>
        <v>0.65999999999999992</v>
      </c>
      <c r="B28" s="226">
        <v>0.84</v>
      </c>
      <c r="D28" s="230"/>
      <c r="E28" s="230"/>
      <c r="F28" s="230"/>
    </row>
    <row r="29" spans="1:16" ht="15" x14ac:dyDescent="0.25">
      <c r="A29" s="222">
        <f t="shared" si="0"/>
        <v>0.65499999999999992</v>
      </c>
      <c r="B29" s="226">
        <v>0.85</v>
      </c>
      <c r="D29" s="230"/>
      <c r="E29" s="231"/>
      <c r="F29" s="230"/>
    </row>
    <row r="30" spans="1:16" ht="15" x14ac:dyDescent="0.25">
      <c r="A30" s="222">
        <f t="shared" si="0"/>
        <v>0.64999999999999991</v>
      </c>
      <c r="B30" s="226">
        <v>0.86</v>
      </c>
      <c r="D30" s="230"/>
      <c r="E30" s="231"/>
      <c r="F30" s="230"/>
    </row>
    <row r="31" spans="1:16" ht="15" x14ac:dyDescent="0.25">
      <c r="A31" s="222">
        <f t="shared" si="0"/>
        <v>0.64499999999999991</v>
      </c>
      <c r="B31" s="226">
        <v>0.87</v>
      </c>
      <c r="D31" s="233"/>
      <c r="E31" s="234"/>
      <c r="F31" s="233"/>
    </row>
    <row r="32" spans="1:16" ht="15" x14ac:dyDescent="0.25">
      <c r="A32" s="222">
        <f t="shared" si="0"/>
        <v>0.6399999999999999</v>
      </c>
      <c r="B32" s="226">
        <v>0.88</v>
      </c>
      <c r="D32" s="230"/>
      <c r="E32" s="231"/>
      <c r="F32" s="230"/>
      <c r="H32" s="225"/>
    </row>
    <row r="33" spans="1:6" ht="15" x14ac:dyDescent="0.25">
      <c r="A33" s="222">
        <f t="shared" si="0"/>
        <v>0.6349999999999999</v>
      </c>
      <c r="B33" s="226">
        <v>0.89</v>
      </c>
      <c r="D33" s="230"/>
      <c r="E33" s="231"/>
      <c r="F33" s="230"/>
    </row>
    <row r="34" spans="1:6" ht="15.75" thickBot="1" x14ac:dyDescent="0.3">
      <c r="A34" s="235">
        <f t="shared" si="0"/>
        <v>0.62999999999999989</v>
      </c>
      <c r="B34" s="236">
        <v>0.9</v>
      </c>
      <c r="C34" s="237"/>
    </row>
    <row r="35" spans="1:6" ht="15" x14ac:dyDescent="0.25">
      <c r="A35" s="238">
        <f t="shared" si="0"/>
        <v>0.62499999999999989</v>
      </c>
      <c r="B35" s="239">
        <v>0.91</v>
      </c>
    </row>
    <row r="36" spans="1:6" ht="15" x14ac:dyDescent="0.25">
      <c r="A36" s="240">
        <f t="shared" si="0"/>
        <v>0.61999999999999988</v>
      </c>
      <c r="B36" s="241">
        <v>0.92</v>
      </c>
    </row>
    <row r="37" spans="1:6" ht="15.75" thickBot="1" x14ac:dyDescent="0.3">
      <c r="A37" s="242">
        <f t="shared" si="0"/>
        <v>0.61499999999999988</v>
      </c>
      <c r="B37" s="243">
        <v>0.93</v>
      </c>
    </row>
    <row r="38" spans="1:6" ht="15" x14ac:dyDescent="0.25">
      <c r="A38" s="240">
        <f t="shared" si="0"/>
        <v>0.60999999999999988</v>
      </c>
      <c r="B38" s="241">
        <v>0.94</v>
      </c>
    </row>
    <row r="39" spans="1:6" ht="15" x14ac:dyDescent="0.25">
      <c r="A39" s="240">
        <f t="shared" si="0"/>
        <v>0.60499999999999987</v>
      </c>
      <c r="B39" s="241">
        <v>0.95</v>
      </c>
    </row>
    <row r="40" spans="1:6" ht="15.75" thickBot="1" x14ac:dyDescent="0.3">
      <c r="A40" s="242">
        <f t="shared" si="0"/>
        <v>0.59999999999999987</v>
      </c>
      <c r="B40" s="243">
        <v>0.96</v>
      </c>
    </row>
    <row r="41" spans="1:6" ht="15" x14ac:dyDescent="0.25">
      <c r="A41" s="240">
        <f t="shared" si="0"/>
        <v>0.59499999999999986</v>
      </c>
      <c r="B41" s="241">
        <v>0.97</v>
      </c>
    </row>
    <row r="42" spans="1:6" ht="15" x14ac:dyDescent="0.25">
      <c r="A42" s="240">
        <f t="shared" si="0"/>
        <v>0.58999999999999986</v>
      </c>
      <c r="B42" s="241">
        <v>0.98</v>
      </c>
    </row>
    <row r="43" spans="1:6" ht="15.75" thickBot="1" x14ac:dyDescent="0.3">
      <c r="A43" s="242">
        <f t="shared" si="0"/>
        <v>0.58499999999999985</v>
      </c>
      <c r="B43" s="243">
        <v>0.99</v>
      </c>
    </row>
    <row r="44" spans="1:6" ht="15" x14ac:dyDescent="0.25">
      <c r="A44" s="244">
        <f t="shared" si="0"/>
        <v>0.57999999999999985</v>
      </c>
      <c r="B44" s="245">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 zoomScale="96" zoomScaleNormal="96" workbookViewId="0">
      <selection activeCell="Q189" sqref="Q189"/>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7"/>
      <c r="B1" s="37"/>
      <c r="C1" s="37"/>
      <c r="D1" s="37"/>
      <c r="E1" s="37"/>
      <c r="F1" s="181"/>
      <c r="G1" s="181"/>
      <c r="H1" s="181"/>
      <c r="I1" s="181"/>
      <c r="J1" s="181"/>
      <c r="K1" s="181"/>
      <c r="L1" s="181"/>
      <c r="M1" s="181"/>
      <c r="N1" s="181"/>
      <c r="O1" s="181"/>
      <c r="P1" s="181"/>
      <c r="Q1" s="181"/>
      <c r="R1" s="181"/>
      <c r="S1" s="181"/>
      <c r="T1" s="181"/>
      <c r="U1" s="181"/>
      <c r="V1" s="181"/>
      <c r="W1" s="181"/>
      <c r="X1" s="181"/>
      <c r="Y1" s="181"/>
      <c r="Z1" s="181"/>
      <c r="AA1" s="181"/>
      <c r="AB1" s="181"/>
      <c r="AC1" s="181"/>
      <c r="AD1" s="181"/>
      <c r="AE1" s="181"/>
      <c r="AF1" s="181"/>
      <c r="AG1" s="181"/>
      <c r="AH1" s="181"/>
      <c r="AI1" s="181"/>
      <c r="AJ1" s="181"/>
      <c r="AK1" s="181"/>
      <c r="AL1" s="181"/>
      <c r="AM1" s="181"/>
      <c r="AN1" s="181"/>
      <c r="AO1" s="181"/>
      <c r="AP1" s="181"/>
      <c r="AQ1" s="181"/>
      <c r="AR1" s="181"/>
      <c r="AS1" s="181"/>
      <c r="AT1" s="181"/>
      <c r="AU1" s="181"/>
      <c r="AV1" s="181"/>
      <c r="AW1" s="181"/>
      <c r="AX1" s="181"/>
      <c r="AY1" s="181"/>
      <c r="AZ1" s="181"/>
      <c r="BA1" s="181"/>
      <c r="BB1" s="181"/>
      <c r="BC1" s="181"/>
      <c r="BD1" s="181"/>
      <c r="BE1" s="181"/>
      <c r="BF1" s="181"/>
      <c r="BG1" s="181"/>
      <c r="BH1" s="181"/>
      <c r="BI1" s="181"/>
      <c r="BJ1" s="181"/>
      <c r="BK1" s="181"/>
      <c r="BL1" s="181"/>
      <c r="BM1" s="37"/>
      <c r="BN1" s="37"/>
      <c r="BO1" s="37"/>
      <c r="BP1" s="37"/>
      <c r="BQ1" s="37"/>
      <c r="BR1" s="37"/>
      <c r="BS1" s="37"/>
    </row>
    <row r="2" spans="1:71" ht="15.75" customHeight="1" x14ac:dyDescent="0.25">
      <c r="A2" s="37"/>
      <c r="B2" s="37"/>
      <c r="C2" s="37"/>
      <c r="D2" s="37"/>
      <c r="E2" s="37"/>
      <c r="F2" s="182" t="s">
        <v>370</v>
      </c>
      <c r="G2" s="181"/>
      <c r="H2" s="181"/>
      <c r="I2" s="181"/>
      <c r="J2" s="181"/>
      <c r="K2" s="181"/>
      <c r="L2" s="181"/>
      <c r="M2" s="181"/>
      <c r="N2" s="181"/>
      <c r="O2" s="181"/>
      <c r="P2" s="181"/>
      <c r="Q2" s="181"/>
      <c r="R2" s="181"/>
      <c r="S2" s="181"/>
      <c r="T2" s="181"/>
      <c r="U2" s="181"/>
      <c r="V2" s="181"/>
      <c r="W2" s="181"/>
      <c r="X2" s="181"/>
      <c r="Y2" s="181"/>
      <c r="Z2" s="181"/>
      <c r="AA2" s="181"/>
      <c r="AB2" s="181"/>
      <c r="AC2" s="181"/>
      <c r="AD2" s="181"/>
      <c r="AE2" s="181"/>
      <c r="AF2" s="181"/>
      <c r="AG2" s="181"/>
      <c r="AH2" s="181"/>
      <c r="AI2" s="181"/>
      <c r="AJ2" s="181"/>
      <c r="AK2" s="181"/>
      <c r="AL2" s="181"/>
      <c r="AM2" s="181"/>
      <c r="AN2" s="181"/>
      <c r="AO2" s="181"/>
      <c r="AP2" s="181"/>
      <c r="AQ2" s="181"/>
      <c r="AR2" s="181"/>
      <c r="AS2" s="181"/>
      <c r="AT2" s="181"/>
      <c r="AU2" s="181"/>
      <c r="AV2" s="181"/>
      <c r="AW2" s="181"/>
      <c r="AX2" s="181"/>
      <c r="AY2" s="181"/>
      <c r="AZ2" s="181"/>
      <c r="BA2" s="181"/>
      <c r="BB2" s="181"/>
      <c r="BC2" s="181"/>
      <c r="BD2" s="181"/>
      <c r="BE2" s="181"/>
      <c r="BF2" s="181"/>
      <c r="BG2" s="181"/>
      <c r="BH2" s="181"/>
      <c r="BI2" s="181"/>
      <c r="BJ2" s="181"/>
      <c r="BK2" s="181"/>
      <c r="BL2" s="181"/>
      <c r="BM2" s="37"/>
      <c r="BN2" s="37"/>
      <c r="BO2" s="37"/>
      <c r="BP2" s="37"/>
      <c r="BQ2" s="37"/>
      <c r="BR2" s="37"/>
      <c r="BS2" s="37"/>
    </row>
    <row r="3" spans="1:71" ht="10.5" customHeight="1" x14ac:dyDescent="0.25">
      <c r="A3" s="37"/>
      <c r="B3" s="37"/>
      <c r="C3" s="37"/>
      <c r="D3" s="37"/>
      <c r="E3" s="37"/>
      <c r="F3" s="183"/>
      <c r="G3" s="181"/>
      <c r="H3" s="181"/>
      <c r="I3" s="181"/>
      <c r="J3" s="181"/>
      <c r="K3" s="181"/>
      <c r="L3" s="181"/>
      <c r="M3" s="181"/>
      <c r="N3" s="181"/>
      <c r="O3" s="181"/>
      <c r="P3" s="181"/>
      <c r="Q3" s="181"/>
      <c r="R3" s="181"/>
      <c r="S3" s="181"/>
      <c r="T3" s="181"/>
      <c r="U3" s="181"/>
      <c r="V3" s="181"/>
      <c r="W3" s="181"/>
      <c r="X3" s="181"/>
      <c r="Y3" s="181"/>
      <c r="Z3" s="181"/>
      <c r="AA3" s="181"/>
      <c r="AB3" s="181"/>
      <c r="AC3" s="181"/>
      <c r="AD3" s="181"/>
      <c r="AE3" s="181"/>
      <c r="AF3" s="181"/>
      <c r="AG3" s="181"/>
      <c r="AH3" s="181"/>
      <c r="AI3" s="181"/>
      <c r="AJ3" s="181"/>
      <c r="AK3" s="181"/>
      <c r="AL3" s="181"/>
      <c r="AM3" s="181"/>
      <c r="AN3" s="181"/>
      <c r="AO3" s="181"/>
      <c r="AP3" s="181"/>
      <c r="AQ3" s="181"/>
      <c r="AR3" s="181"/>
      <c r="AS3" s="181"/>
      <c r="AT3" s="181"/>
      <c r="AU3" s="181"/>
      <c r="AV3" s="181"/>
      <c r="AW3" s="181"/>
      <c r="AX3" s="181"/>
      <c r="AY3" s="181"/>
      <c r="AZ3" s="181"/>
      <c r="BA3" s="181"/>
      <c r="BB3" s="181"/>
      <c r="BC3" s="181"/>
      <c r="BD3" s="181"/>
      <c r="BE3" s="181"/>
      <c r="BF3" s="181"/>
      <c r="BG3" s="181"/>
      <c r="BH3" s="181"/>
      <c r="BI3" s="181"/>
      <c r="BJ3" s="181"/>
      <c r="BK3" s="181"/>
      <c r="BL3" s="181"/>
      <c r="BM3" s="37"/>
      <c r="BN3" s="37"/>
      <c r="BO3" s="37"/>
      <c r="BP3" s="37"/>
      <c r="BQ3" s="37"/>
      <c r="BR3" s="37"/>
      <c r="BS3" s="37"/>
    </row>
    <row r="4" spans="1:71" ht="15" customHeight="1" x14ac:dyDescent="0.25">
      <c r="A4" s="37"/>
      <c r="B4" s="37"/>
      <c r="C4" s="37"/>
      <c r="D4" s="37"/>
      <c r="E4" s="37"/>
      <c r="F4" s="184"/>
      <c r="G4" s="37"/>
      <c r="H4" s="37"/>
      <c r="I4" s="37"/>
      <c r="J4" s="37"/>
      <c r="K4" s="37"/>
      <c r="L4" s="37"/>
      <c r="M4" s="37"/>
      <c r="N4" s="37"/>
      <c r="O4" s="37"/>
      <c r="P4" s="37"/>
      <c r="Q4" s="37"/>
      <c r="R4" s="37"/>
      <c r="S4" s="37"/>
      <c r="T4" s="37"/>
      <c r="U4" s="37"/>
      <c r="V4" s="37"/>
      <c r="W4" s="37"/>
      <c r="X4" s="37"/>
      <c r="Y4" s="37"/>
      <c r="Z4" s="37"/>
      <c r="AA4" s="37"/>
      <c r="AB4" s="37"/>
      <c r="AC4" s="37"/>
      <c r="AD4" s="37"/>
      <c r="AE4" s="37"/>
      <c r="AF4" s="37"/>
      <c r="AG4" s="37"/>
      <c r="AH4" s="37"/>
      <c r="AI4" s="37"/>
      <c r="AJ4" s="37"/>
      <c r="AK4" s="37"/>
      <c r="AL4" s="37"/>
      <c r="AM4" s="37"/>
      <c r="AN4" s="37"/>
      <c r="AO4" s="37"/>
      <c r="AP4" s="37"/>
      <c r="AQ4" s="37"/>
      <c r="AR4" s="37"/>
      <c r="AS4" s="37"/>
      <c r="AT4" s="37"/>
      <c r="AU4" s="37"/>
      <c r="AV4" s="37"/>
      <c r="AW4" s="37"/>
      <c r="AX4" s="37"/>
      <c r="AY4" s="37"/>
      <c r="AZ4" s="37"/>
      <c r="BA4" s="37"/>
      <c r="BB4" s="37"/>
      <c r="BC4" s="37"/>
      <c r="BD4" s="37"/>
      <c r="BE4" s="37"/>
      <c r="BF4" s="37"/>
      <c r="BG4" s="37"/>
      <c r="BH4" s="37"/>
      <c r="BI4" s="37"/>
      <c r="BJ4" s="37"/>
      <c r="BK4" s="37"/>
      <c r="BL4" s="37"/>
      <c r="BM4" s="37"/>
      <c r="BN4" s="37"/>
      <c r="BO4" s="37"/>
      <c r="BP4" s="37"/>
      <c r="BQ4" s="37"/>
      <c r="BR4" s="37"/>
      <c r="BS4" s="37"/>
    </row>
    <row r="5" spans="1:71" ht="15" x14ac:dyDescent="0.25">
      <c r="A5" s="37"/>
      <c r="B5" s="37"/>
      <c r="C5" s="37"/>
      <c r="D5" s="37"/>
      <c r="E5" s="37"/>
      <c r="F5" s="37" t="s">
        <v>371</v>
      </c>
      <c r="G5" s="37"/>
      <c r="H5" s="37"/>
      <c r="I5" s="37"/>
      <c r="J5" s="37"/>
      <c r="K5" s="37"/>
      <c r="L5" s="37"/>
      <c r="M5" s="37"/>
      <c r="N5" s="37"/>
      <c r="O5" s="37"/>
      <c r="P5" s="37"/>
      <c r="Q5" s="37"/>
      <c r="R5" s="37"/>
      <c r="S5" s="37"/>
      <c r="T5" s="37"/>
      <c r="U5" s="37"/>
      <c r="V5" s="37"/>
      <c r="W5" s="37"/>
      <c r="X5" s="37"/>
      <c r="Y5" s="37"/>
      <c r="Z5" s="37"/>
      <c r="AA5" s="37"/>
      <c r="AB5" s="37"/>
      <c r="AC5" s="37"/>
      <c r="AD5" s="37"/>
      <c r="AE5" s="37"/>
      <c r="AF5" s="37"/>
      <c r="AG5" s="37"/>
      <c r="AH5" s="37"/>
      <c r="AI5" s="37"/>
      <c r="AJ5" s="37"/>
      <c r="AK5" s="37"/>
      <c r="AL5" s="37"/>
      <c r="AM5" s="37"/>
      <c r="AN5" s="37"/>
      <c r="AO5" s="37"/>
      <c r="AP5" s="37"/>
      <c r="AQ5" s="37"/>
      <c r="AR5" s="37"/>
      <c r="AS5" s="37"/>
      <c r="AT5" s="37"/>
      <c r="AU5" s="37"/>
      <c r="AV5" s="37"/>
      <c r="AW5" s="37"/>
      <c r="AX5" s="37"/>
      <c r="AY5" s="37"/>
      <c r="AZ5" s="37"/>
      <c r="BA5" s="37"/>
      <c r="BB5" s="37"/>
      <c r="BC5" s="37"/>
      <c r="BD5" s="37"/>
      <c r="BE5" s="37"/>
      <c r="BF5" s="37"/>
      <c r="BG5" s="37"/>
      <c r="BH5" s="37"/>
      <c r="BI5" s="37"/>
      <c r="BJ5" s="37"/>
      <c r="BK5" s="37"/>
      <c r="BL5" s="37"/>
      <c r="BM5" s="37"/>
      <c r="BN5" s="37"/>
      <c r="BO5" s="37"/>
      <c r="BP5" s="37"/>
      <c r="BQ5" s="37"/>
      <c r="BR5" s="37"/>
      <c r="BS5" s="37"/>
    </row>
    <row r="6" spans="1:71" ht="15" x14ac:dyDescent="0.25">
      <c r="A6" s="37"/>
      <c r="B6" s="37"/>
      <c r="C6" s="37"/>
      <c r="D6" s="37"/>
      <c r="E6" s="37"/>
      <c r="F6" s="37" t="s">
        <v>372</v>
      </c>
      <c r="G6" s="37"/>
      <c r="H6" s="37"/>
      <c r="I6" s="37"/>
      <c r="J6" s="37"/>
      <c r="K6" s="37"/>
      <c r="L6" s="37"/>
      <c r="M6" s="37"/>
      <c r="N6" s="37"/>
      <c r="O6" s="37"/>
      <c r="P6" s="37"/>
      <c r="Q6" s="37"/>
      <c r="R6" s="37"/>
      <c r="S6" s="37"/>
      <c r="T6" s="37"/>
      <c r="U6" s="37"/>
      <c r="V6" s="37"/>
      <c r="W6" s="37"/>
      <c r="X6" s="37"/>
      <c r="Y6" s="37"/>
      <c r="Z6" s="37"/>
      <c r="AA6" s="37"/>
      <c r="AB6" s="37"/>
      <c r="AC6" s="37"/>
      <c r="AD6" s="37"/>
      <c r="AE6" s="37"/>
      <c r="AF6" s="37"/>
      <c r="AG6" s="37"/>
      <c r="AH6" s="37"/>
      <c r="AI6" s="37"/>
      <c r="AJ6" s="37"/>
      <c r="AK6" s="37"/>
      <c r="AL6" s="37"/>
      <c r="AM6" s="37"/>
      <c r="AN6" s="37"/>
      <c r="AO6" s="37"/>
      <c r="AP6" s="37"/>
      <c r="AQ6" s="37"/>
      <c r="AR6" s="37"/>
      <c r="AS6" s="37"/>
      <c r="AT6" s="37"/>
      <c r="AU6" s="37"/>
      <c r="AV6" s="37"/>
      <c r="AW6" s="37"/>
      <c r="AX6" s="37"/>
      <c r="AY6" s="37"/>
      <c r="AZ6" s="37"/>
      <c r="BA6" s="37"/>
      <c r="BB6" s="37"/>
      <c r="BC6" s="37"/>
      <c r="BD6" s="37"/>
      <c r="BE6" s="37"/>
      <c r="BF6" s="37"/>
      <c r="BG6" s="37"/>
      <c r="BH6" s="37"/>
      <c r="BI6" s="37"/>
      <c r="BJ6" s="37"/>
      <c r="BK6" s="37"/>
      <c r="BL6" s="37"/>
      <c r="BM6" s="37"/>
      <c r="BN6" s="37"/>
      <c r="BO6" s="37"/>
      <c r="BP6" s="37"/>
      <c r="BQ6" s="37"/>
      <c r="BR6" s="37"/>
      <c r="BS6" s="37"/>
    </row>
    <row r="7" spans="1:71" ht="15" x14ac:dyDescent="0.25">
      <c r="A7" s="37"/>
      <c r="B7" s="37"/>
      <c r="C7" s="37"/>
      <c r="D7" s="37"/>
      <c r="E7" s="37"/>
      <c r="F7" s="37" t="s">
        <v>373</v>
      </c>
      <c r="G7" s="37"/>
      <c r="H7" s="37"/>
      <c r="I7" s="37"/>
      <c r="J7" s="37"/>
      <c r="K7" s="37"/>
      <c r="L7" s="37"/>
      <c r="M7" s="37"/>
      <c r="N7" s="37"/>
      <c r="O7" s="37"/>
      <c r="P7" s="37"/>
      <c r="Q7" s="37"/>
      <c r="R7" s="37"/>
      <c r="S7" s="37"/>
      <c r="T7" s="37"/>
      <c r="U7" s="37"/>
      <c r="V7" s="37"/>
      <c r="W7" s="37"/>
      <c r="X7" s="37"/>
      <c r="Y7" s="37"/>
      <c r="Z7" s="37"/>
      <c r="AA7" s="37"/>
      <c r="AB7" s="37"/>
      <c r="AC7" s="37"/>
      <c r="AD7" s="37"/>
      <c r="AE7" s="37"/>
      <c r="AF7" s="37"/>
      <c r="AG7" s="37"/>
      <c r="AH7" s="37"/>
      <c r="AI7" s="37"/>
      <c r="AJ7" s="37"/>
      <c r="AK7" s="37"/>
      <c r="AL7" s="37"/>
      <c r="AM7" s="37"/>
      <c r="AN7" s="37"/>
      <c r="AO7" s="37"/>
      <c r="AP7" s="37"/>
      <c r="AQ7" s="37"/>
      <c r="AR7" s="37"/>
      <c r="AS7" s="37"/>
      <c r="AT7" s="37"/>
      <c r="AU7" s="37"/>
      <c r="AV7" s="37"/>
      <c r="AW7" s="37"/>
      <c r="AX7" s="37"/>
      <c r="AY7" s="37"/>
      <c r="AZ7" s="37"/>
      <c r="BA7" s="37"/>
      <c r="BB7" s="37"/>
      <c r="BC7" s="37"/>
      <c r="BD7" s="37"/>
      <c r="BE7" s="37"/>
      <c r="BF7" s="37"/>
      <c r="BG7" s="37"/>
      <c r="BH7" s="37"/>
      <c r="BI7" s="37"/>
      <c r="BJ7" s="37"/>
      <c r="BK7" s="37"/>
      <c r="BL7" s="37"/>
      <c r="BM7" s="37"/>
      <c r="BN7" s="37"/>
      <c r="BO7" s="37"/>
      <c r="BP7" s="37"/>
      <c r="BQ7" s="37"/>
      <c r="BR7" s="37"/>
      <c r="BS7" s="37"/>
    </row>
    <row r="8" spans="1:71" ht="15" x14ac:dyDescent="0.25">
      <c r="A8" s="37"/>
      <c r="B8" s="37"/>
      <c r="C8" s="37"/>
      <c r="D8" s="37"/>
      <c r="E8" s="37"/>
      <c r="F8" s="37" t="s">
        <v>374</v>
      </c>
      <c r="G8" s="37"/>
      <c r="H8" s="37"/>
      <c r="I8" s="37"/>
      <c r="J8" s="37"/>
      <c r="K8" s="37"/>
      <c r="L8" s="37"/>
      <c r="M8" s="37"/>
      <c r="N8" s="37"/>
      <c r="O8" s="37"/>
      <c r="P8" s="37"/>
      <c r="Q8" s="37"/>
      <c r="R8" s="37"/>
      <c r="S8" s="37"/>
      <c r="T8" s="37"/>
      <c r="U8" s="37"/>
      <c r="V8" s="37"/>
      <c r="W8" s="37"/>
      <c r="X8" s="37"/>
      <c r="Y8" s="37"/>
      <c r="Z8" s="37"/>
      <c r="AA8" s="37"/>
      <c r="AB8" s="37"/>
      <c r="AC8" s="37"/>
      <c r="AD8" s="37"/>
      <c r="AE8" s="37"/>
      <c r="AF8" s="37"/>
      <c r="AG8" s="37"/>
      <c r="AH8" s="37"/>
      <c r="AI8" s="37"/>
      <c r="AJ8" s="37"/>
      <c r="AK8" s="37"/>
      <c r="AL8" s="37"/>
      <c r="AM8" s="37"/>
      <c r="AN8" s="37"/>
      <c r="AO8" s="37"/>
      <c r="AP8" s="37"/>
      <c r="AQ8" s="37"/>
      <c r="AR8" s="37"/>
      <c r="AS8" s="37"/>
      <c r="AT8" s="37"/>
      <c r="AU8" s="37"/>
      <c r="AV8" s="37"/>
      <c r="AW8" s="37"/>
      <c r="AX8" s="37"/>
      <c r="AY8" s="37"/>
      <c r="AZ8" s="37"/>
      <c r="BA8" s="37"/>
      <c r="BB8" s="37"/>
      <c r="BC8" s="37"/>
      <c r="BD8" s="37"/>
      <c r="BE8" s="37"/>
      <c r="BF8" s="37"/>
      <c r="BG8" s="37"/>
      <c r="BH8" s="37"/>
      <c r="BI8" s="37"/>
      <c r="BJ8" s="37"/>
      <c r="BK8" s="37"/>
      <c r="BL8" s="37"/>
      <c r="BM8" s="37"/>
      <c r="BN8" s="37"/>
      <c r="BO8" s="37"/>
      <c r="BP8" s="37"/>
      <c r="BQ8" s="37"/>
      <c r="BR8" s="37"/>
      <c r="BS8" s="37"/>
    </row>
    <row r="9" spans="1:71" ht="15" x14ac:dyDescent="0.25">
      <c r="A9" s="37"/>
      <c r="B9" s="37"/>
      <c r="C9" s="37"/>
      <c r="D9" s="37"/>
      <c r="E9" s="37"/>
      <c r="F9" s="37" t="s">
        <v>375</v>
      </c>
      <c r="G9" s="37"/>
      <c r="H9" s="37"/>
      <c r="I9" s="37"/>
      <c r="J9" s="37"/>
      <c r="K9" s="37"/>
      <c r="L9" s="37"/>
      <c r="M9" s="37"/>
      <c r="N9" s="37"/>
      <c r="O9" s="37"/>
      <c r="P9" s="37"/>
      <c r="Q9" s="37"/>
      <c r="R9" s="37"/>
      <c r="S9" s="37"/>
      <c r="T9" s="37"/>
      <c r="U9" s="37"/>
      <c r="V9" s="37"/>
      <c r="W9" s="37"/>
      <c r="X9" s="37"/>
      <c r="Y9" s="37"/>
      <c r="Z9" s="37"/>
      <c r="AA9" s="37"/>
      <c r="AB9" s="37"/>
      <c r="AC9" s="37"/>
      <c r="AD9" s="37"/>
      <c r="AE9" s="37"/>
      <c r="AF9" s="37"/>
      <c r="AG9" s="37"/>
      <c r="AH9" s="37"/>
      <c r="AI9" s="37"/>
      <c r="AJ9" s="37"/>
      <c r="AK9" s="37"/>
      <c r="AL9" s="37"/>
      <c r="AM9" s="37"/>
      <c r="AN9" s="37"/>
      <c r="AO9" s="37"/>
      <c r="AP9" s="37"/>
      <c r="AQ9" s="37"/>
      <c r="AR9" s="37"/>
      <c r="AS9" s="37"/>
      <c r="AT9" s="37"/>
      <c r="AU9" s="37"/>
      <c r="AV9" s="37"/>
      <c r="AW9" s="37"/>
      <c r="AX9" s="37"/>
      <c r="AY9" s="37"/>
      <c r="AZ9" s="37"/>
      <c r="BA9" s="37"/>
      <c r="BB9" s="37"/>
      <c r="BC9" s="37"/>
      <c r="BD9" s="37"/>
      <c r="BE9" s="37"/>
      <c r="BF9" s="37"/>
      <c r="BG9" s="37"/>
      <c r="BH9" s="37"/>
      <c r="BI9" s="37"/>
      <c r="BJ9" s="37"/>
      <c r="BK9" s="37"/>
      <c r="BL9" s="37"/>
      <c r="BM9" s="37"/>
      <c r="BN9" s="37"/>
      <c r="BO9" s="37"/>
      <c r="BP9" s="37"/>
      <c r="BQ9" s="37"/>
      <c r="BR9" s="37"/>
      <c r="BS9" s="37"/>
    </row>
    <row r="10" spans="1:71" ht="15" x14ac:dyDescent="0.25">
      <c r="A10" s="37"/>
      <c r="B10" s="37"/>
      <c r="C10" s="37"/>
      <c r="D10" s="37"/>
      <c r="E10" s="37"/>
      <c r="F10" s="37" t="s">
        <v>376</v>
      </c>
      <c r="G10" s="37"/>
      <c r="H10" s="37"/>
      <c r="I10" s="37"/>
      <c r="J10" s="37"/>
      <c r="K10" s="37"/>
      <c r="L10" s="37"/>
      <c r="M10" s="37"/>
      <c r="N10" s="37"/>
      <c r="O10" s="37"/>
      <c r="P10" s="37"/>
      <c r="Q10" s="37"/>
      <c r="R10" s="37"/>
      <c r="S10" s="37"/>
      <c r="T10" s="37"/>
      <c r="U10" s="37"/>
      <c r="V10" s="37"/>
      <c r="W10" s="37"/>
      <c r="X10" s="37"/>
      <c r="Y10" s="37"/>
      <c r="Z10" s="37"/>
      <c r="AA10" s="37"/>
      <c r="AB10" s="37"/>
      <c r="AC10" s="37"/>
      <c r="AD10" s="37"/>
      <c r="AE10" s="37"/>
      <c r="AF10" s="37"/>
      <c r="AG10" s="37"/>
      <c r="AH10" s="37"/>
      <c r="AI10" s="37"/>
      <c r="AJ10" s="37"/>
      <c r="AK10" s="37"/>
      <c r="AL10" s="37"/>
      <c r="AM10" s="37"/>
      <c r="AN10" s="37"/>
      <c r="AO10" s="37"/>
      <c r="AP10" s="37"/>
      <c r="AQ10" s="37"/>
      <c r="AR10" s="37"/>
      <c r="AS10" s="37"/>
      <c r="AT10" s="37"/>
      <c r="AU10" s="37"/>
      <c r="AV10" s="37"/>
      <c r="AW10" s="37"/>
      <c r="AX10" s="37"/>
      <c r="AY10" s="37"/>
      <c r="AZ10" s="37"/>
      <c r="BA10" s="37"/>
      <c r="BB10" s="37"/>
      <c r="BC10" s="37"/>
      <c r="BD10" s="37"/>
      <c r="BE10" s="37"/>
      <c r="BF10" s="37"/>
      <c r="BG10" s="37"/>
      <c r="BH10" s="37"/>
      <c r="BI10" s="37"/>
      <c r="BJ10" s="37"/>
      <c r="BK10" s="37"/>
      <c r="BL10" s="37"/>
      <c r="BM10" s="37"/>
      <c r="BN10" s="37"/>
      <c r="BO10" s="37"/>
      <c r="BP10" s="37"/>
      <c r="BQ10" s="37"/>
      <c r="BR10" s="37"/>
      <c r="BS10" s="37"/>
    </row>
    <row r="11" spans="1:71" ht="15" x14ac:dyDescent="0.25">
      <c r="A11" s="37"/>
      <c r="B11" s="37"/>
      <c r="C11" s="37"/>
      <c r="D11" s="37"/>
      <c r="E11" s="37"/>
      <c r="F11" s="37" t="s">
        <v>377</v>
      </c>
      <c r="G11" s="37"/>
      <c r="H11" s="37"/>
      <c r="I11" s="37"/>
      <c r="J11" s="37"/>
      <c r="K11" s="37"/>
      <c r="L11" s="37"/>
      <c r="M11" s="37"/>
      <c r="N11" s="37"/>
      <c r="O11" s="37"/>
      <c r="P11" s="37"/>
      <c r="Q11" s="37"/>
      <c r="R11" s="37"/>
      <c r="S11" s="37"/>
      <c r="T11" s="37"/>
      <c r="U11" s="37"/>
      <c r="V11" s="37"/>
      <c r="W11" s="37"/>
      <c r="X11" s="37"/>
      <c r="Y11" s="37"/>
      <c r="Z11" s="37"/>
      <c r="AA11" s="37"/>
      <c r="AB11" s="37"/>
      <c r="AC11" s="37"/>
      <c r="AD11" s="37"/>
      <c r="AE11" s="37"/>
      <c r="AF11" s="37"/>
      <c r="AG11" s="37"/>
      <c r="AH11" s="37"/>
      <c r="AI11" s="37"/>
      <c r="AJ11" s="37"/>
      <c r="AK11" s="37"/>
      <c r="AL11" s="37"/>
      <c r="AM11" s="37"/>
      <c r="AN11" s="37"/>
      <c r="AO11" s="37"/>
      <c r="AP11" s="37"/>
      <c r="AQ11" s="37"/>
      <c r="AR11" s="37"/>
      <c r="AS11" s="37"/>
      <c r="AT11" s="37"/>
      <c r="AU11" s="37"/>
      <c r="AV11" s="37"/>
      <c r="AW11" s="37"/>
      <c r="AX11" s="37"/>
      <c r="AY11" s="37"/>
      <c r="AZ11" s="37"/>
      <c r="BA11" s="37"/>
      <c r="BB11" s="37"/>
      <c r="BC11" s="37"/>
      <c r="BD11" s="37"/>
      <c r="BE11" s="37"/>
      <c r="BF11" s="37"/>
      <c r="BG11" s="37"/>
      <c r="BH11" s="37"/>
      <c r="BI11" s="37"/>
      <c r="BJ11" s="37"/>
      <c r="BK11" s="37"/>
      <c r="BL11" s="37"/>
      <c r="BM11" s="37"/>
      <c r="BN11" s="37"/>
      <c r="BO11" s="37"/>
      <c r="BP11" s="37"/>
      <c r="BQ11" s="37"/>
      <c r="BR11" s="37"/>
      <c r="BS11" s="37"/>
    </row>
    <row r="12" spans="1:71" ht="15" x14ac:dyDescent="0.25">
      <c r="A12" s="37"/>
      <c r="B12" s="37"/>
      <c r="C12" s="37"/>
      <c r="D12" s="37"/>
      <c r="E12" s="37"/>
      <c r="F12" s="37"/>
      <c r="G12" s="37"/>
      <c r="H12" s="37"/>
      <c r="I12" s="37"/>
      <c r="J12" s="37"/>
      <c r="K12" s="37"/>
      <c r="L12" s="37"/>
      <c r="M12" s="37"/>
      <c r="N12" s="37"/>
      <c r="O12" s="37"/>
      <c r="P12" s="37"/>
      <c r="Q12" s="37"/>
      <c r="R12" s="37"/>
      <c r="S12" s="37"/>
      <c r="T12" s="37"/>
      <c r="U12" s="37"/>
      <c r="V12" s="37"/>
      <c r="W12" s="37"/>
      <c r="X12" s="37"/>
      <c r="Y12" s="37"/>
      <c r="Z12" s="37"/>
      <c r="AA12" s="37"/>
      <c r="AB12" s="37"/>
      <c r="AC12" s="37"/>
      <c r="AD12" s="37"/>
      <c r="AE12" s="37"/>
      <c r="AF12" s="37"/>
      <c r="AG12" s="37"/>
      <c r="AH12" s="37"/>
      <c r="AI12" s="37"/>
      <c r="AJ12" s="37"/>
      <c r="AK12" s="37"/>
      <c r="AL12" s="37"/>
      <c r="AM12" s="37"/>
      <c r="AN12" s="37"/>
      <c r="AO12" s="37"/>
      <c r="AP12" s="37"/>
      <c r="AQ12" s="37"/>
      <c r="AR12" s="37"/>
      <c r="AS12" s="37"/>
      <c r="AT12" s="37"/>
      <c r="AU12" s="37"/>
      <c r="AV12" s="37"/>
      <c r="AW12" s="37"/>
      <c r="AX12" s="37"/>
      <c r="AY12" s="37"/>
      <c r="AZ12" s="37"/>
      <c r="BA12" s="37"/>
      <c r="BB12" s="37"/>
      <c r="BC12" s="37"/>
      <c r="BD12" s="37"/>
      <c r="BE12" s="37"/>
      <c r="BF12" s="37"/>
      <c r="BG12" s="37"/>
      <c r="BH12" s="37"/>
      <c r="BI12" s="37"/>
      <c r="BJ12" s="37"/>
      <c r="BK12" s="37"/>
      <c r="BL12" s="37"/>
      <c r="BM12" s="37"/>
      <c r="BN12" s="37"/>
      <c r="BO12" s="37"/>
      <c r="BP12" s="37"/>
      <c r="BQ12" s="37"/>
      <c r="BR12" s="37"/>
      <c r="BS12" s="37"/>
    </row>
    <row r="13" spans="1:71" ht="15" x14ac:dyDescent="0.25">
      <c r="A13" s="37"/>
      <c r="B13" s="37"/>
      <c r="C13" s="37"/>
      <c r="D13" s="37"/>
      <c r="E13" s="37"/>
      <c r="F13" s="36" t="s">
        <v>378</v>
      </c>
      <c r="G13" s="36"/>
      <c r="H13" s="36"/>
      <c r="I13" s="36"/>
      <c r="J13" s="36"/>
      <c r="K13" s="36"/>
      <c r="L13" s="36"/>
      <c r="M13" s="36"/>
      <c r="N13" s="36"/>
      <c r="O13" s="36"/>
      <c r="P13" s="36"/>
      <c r="Q13" s="36"/>
      <c r="R13" s="36"/>
      <c r="S13" s="36"/>
      <c r="T13" s="36"/>
      <c r="U13" s="36"/>
      <c r="V13" s="36"/>
      <c r="W13" s="36"/>
      <c r="X13" s="36"/>
      <c r="Y13" s="36"/>
      <c r="Z13" s="36"/>
      <c r="AA13" s="36"/>
      <c r="AB13" s="36"/>
      <c r="AC13" s="36"/>
      <c r="AD13" s="36"/>
      <c r="AE13" s="36"/>
      <c r="AF13" s="36"/>
      <c r="AG13" s="36"/>
      <c r="AH13" s="36" t="s">
        <v>379</v>
      </c>
      <c r="AI13" s="36"/>
      <c r="AJ13" s="36"/>
      <c r="AK13" s="36"/>
      <c r="AL13" s="71"/>
      <c r="AM13" s="71"/>
      <c r="AN13" s="36"/>
      <c r="AO13" s="36"/>
      <c r="AP13" s="36"/>
      <c r="AQ13" s="37"/>
      <c r="AR13" s="37"/>
      <c r="AS13" s="37"/>
      <c r="AT13" s="37"/>
      <c r="AU13" s="37"/>
      <c r="AV13" s="37"/>
      <c r="AW13" s="37"/>
      <c r="AX13" s="37"/>
      <c r="AY13" s="37"/>
      <c r="AZ13" s="37"/>
      <c r="BA13" s="37"/>
      <c r="BB13" s="37"/>
      <c r="BC13" s="37"/>
      <c r="BD13" s="37"/>
      <c r="BE13" s="37"/>
      <c r="BF13" s="37"/>
      <c r="BG13" s="37"/>
      <c r="BH13" s="37"/>
      <c r="BI13" s="37"/>
      <c r="BJ13" s="37"/>
      <c r="BK13" s="37"/>
      <c r="BL13" s="37"/>
      <c r="BM13" s="37"/>
      <c r="BN13" s="37"/>
      <c r="BO13" s="37"/>
      <c r="BP13" s="37"/>
      <c r="BQ13" s="37"/>
      <c r="BR13" s="37"/>
      <c r="BS13" s="37"/>
    </row>
    <row r="14" spans="1:71" ht="15" x14ac:dyDescent="0.25">
      <c r="A14" s="37"/>
      <c r="B14" s="37"/>
      <c r="C14" s="37"/>
      <c r="D14" s="37"/>
      <c r="E14" s="37"/>
      <c r="F14" s="36"/>
      <c r="G14" s="36"/>
      <c r="H14" s="36"/>
      <c r="I14" s="36"/>
      <c r="J14" s="36"/>
      <c r="K14" s="36"/>
      <c r="L14" s="36"/>
      <c r="M14" s="36"/>
      <c r="N14" s="36"/>
      <c r="O14" s="36"/>
      <c r="P14" s="36"/>
      <c r="Q14" s="36"/>
      <c r="R14" s="36"/>
      <c r="S14" s="36"/>
      <c r="T14" s="36"/>
      <c r="U14" s="36"/>
      <c r="V14" s="36"/>
      <c r="W14" s="36"/>
      <c r="X14" s="36"/>
      <c r="Y14" s="36"/>
      <c r="Z14" s="36"/>
      <c r="AA14" s="36"/>
      <c r="AB14" s="36"/>
      <c r="AC14" s="36"/>
      <c r="AD14" s="36"/>
      <c r="AE14" s="36"/>
      <c r="AF14" s="36"/>
      <c r="AG14" s="36"/>
      <c r="AI14" s="36"/>
      <c r="AJ14" s="36"/>
      <c r="AK14" s="36"/>
      <c r="AL14" s="37"/>
      <c r="AM14" s="37"/>
      <c r="AN14" s="37"/>
      <c r="AO14" s="37"/>
      <c r="AP14" s="37"/>
      <c r="AQ14" s="37"/>
      <c r="AR14" s="37"/>
      <c r="AS14" s="37"/>
      <c r="AT14" s="37"/>
      <c r="AU14" s="37"/>
      <c r="AV14" s="37"/>
      <c r="AW14" s="37"/>
      <c r="AX14" s="37"/>
      <c r="AY14" s="37"/>
      <c r="AZ14" s="37"/>
      <c r="BA14" s="37"/>
      <c r="BB14" s="37"/>
      <c r="BC14" s="37"/>
      <c r="BD14" s="37"/>
      <c r="BE14" s="37"/>
      <c r="BF14" s="37"/>
      <c r="BG14" s="37"/>
      <c r="BH14" s="37"/>
      <c r="BI14" s="37"/>
      <c r="BJ14" s="37"/>
      <c r="BK14" s="37"/>
      <c r="BL14" s="37"/>
      <c r="BM14" s="37"/>
      <c r="BN14" s="37"/>
      <c r="BO14" s="37"/>
      <c r="BP14" s="37"/>
      <c r="BQ14" s="37"/>
      <c r="BR14" s="37"/>
      <c r="BS14" s="37"/>
    </row>
    <row r="15" spans="1:71" ht="15" x14ac:dyDescent="0.25">
      <c r="A15" s="37"/>
      <c r="B15" s="37"/>
      <c r="C15" s="37"/>
      <c r="D15" s="37"/>
      <c r="E15" s="37"/>
      <c r="F15" s="36"/>
      <c r="G15" s="36"/>
      <c r="H15" s="36"/>
      <c r="I15" s="36"/>
      <c r="J15" s="36"/>
      <c r="K15" s="36"/>
      <c r="L15" s="36"/>
      <c r="M15" s="36"/>
      <c r="N15" s="36"/>
      <c r="O15" s="36"/>
      <c r="P15" s="36"/>
      <c r="Q15" s="36"/>
      <c r="R15" s="36"/>
      <c r="S15" s="36"/>
      <c r="T15" s="36"/>
      <c r="U15" s="36"/>
      <c r="V15" s="36"/>
      <c r="W15" s="36"/>
      <c r="X15" s="36"/>
      <c r="Y15" s="36"/>
      <c r="Z15" s="36"/>
      <c r="AA15" s="36"/>
      <c r="AB15" s="36"/>
      <c r="AC15" s="36"/>
      <c r="AD15" s="36"/>
      <c r="AE15" s="36"/>
      <c r="AF15" s="36"/>
      <c r="AG15" s="36"/>
      <c r="AH15" s="36"/>
      <c r="AI15" s="36"/>
      <c r="AJ15" s="36"/>
      <c r="AK15" s="36"/>
      <c r="AL15" s="36"/>
      <c r="AM15" s="36"/>
      <c r="AN15" s="37"/>
      <c r="AO15" s="37"/>
      <c r="AP15" s="37"/>
      <c r="AQ15" s="37"/>
      <c r="AR15" s="37"/>
      <c r="AS15" s="37"/>
      <c r="AT15" s="37"/>
      <c r="AU15" s="37"/>
      <c r="AV15" s="37"/>
      <c r="AW15" s="37"/>
      <c r="AX15" s="37"/>
      <c r="AY15" s="37"/>
      <c r="AZ15" s="37"/>
      <c r="BA15" s="37"/>
      <c r="BB15" s="37"/>
      <c r="BC15" s="37"/>
      <c r="BD15" s="37"/>
      <c r="BE15" s="37"/>
      <c r="BF15" s="37"/>
      <c r="BG15" s="37"/>
      <c r="BH15" s="37"/>
      <c r="BI15" s="37"/>
      <c r="BJ15" s="37"/>
      <c r="BK15" s="37"/>
      <c r="BL15" s="37"/>
      <c r="BM15" s="37"/>
      <c r="BN15" s="37"/>
      <c r="BO15" s="37"/>
      <c r="BP15" s="37"/>
      <c r="BQ15" s="37"/>
      <c r="BR15" s="37"/>
      <c r="BS15" s="37"/>
    </row>
    <row r="16" spans="1:71" ht="15" x14ac:dyDescent="0.25">
      <c r="A16" s="37"/>
      <c r="B16" s="37"/>
      <c r="C16" s="37"/>
      <c r="D16" s="37"/>
      <c r="E16" s="37"/>
      <c r="F16" s="36"/>
      <c r="G16" s="36"/>
      <c r="H16" s="36"/>
      <c r="I16" s="36"/>
      <c r="J16" s="36"/>
      <c r="K16" s="36"/>
      <c r="L16" s="36"/>
      <c r="M16" s="36"/>
      <c r="N16" s="36"/>
      <c r="O16" s="36"/>
      <c r="P16" s="36"/>
      <c r="Q16" s="36"/>
      <c r="R16" s="36"/>
      <c r="S16" s="36"/>
      <c r="T16" s="36"/>
      <c r="U16" s="36"/>
      <c r="V16" s="36"/>
      <c r="W16" s="36"/>
      <c r="X16" s="36"/>
      <c r="Y16" s="36"/>
      <c r="Z16" s="36"/>
      <c r="AA16" s="36"/>
      <c r="AB16" s="36"/>
      <c r="AC16" s="36"/>
      <c r="AD16" s="36"/>
      <c r="AE16" s="36"/>
      <c r="AF16" s="36"/>
      <c r="AG16" s="36"/>
      <c r="AH16" s="36"/>
      <c r="AI16" s="36"/>
      <c r="AJ16" s="36"/>
      <c r="AK16" s="36"/>
      <c r="AL16" s="37"/>
      <c r="AM16" s="37"/>
      <c r="AN16" s="37"/>
      <c r="AO16" s="37"/>
      <c r="AP16" s="37"/>
      <c r="AQ16" s="37"/>
      <c r="AR16" s="37"/>
      <c r="AS16" s="37"/>
      <c r="AT16" s="37"/>
      <c r="AU16" s="37"/>
      <c r="AV16" s="37"/>
      <c r="AW16" s="37"/>
      <c r="AX16" s="37"/>
      <c r="AY16" s="37"/>
      <c r="AZ16" s="37"/>
      <c r="BA16" s="37"/>
      <c r="BB16" s="37"/>
      <c r="BC16" s="37"/>
      <c r="BD16" s="37"/>
      <c r="BE16" s="37"/>
      <c r="BF16" s="37"/>
      <c r="BG16" s="37"/>
      <c r="BH16" s="37"/>
      <c r="BI16" s="37"/>
      <c r="BJ16" s="37"/>
      <c r="BK16" s="37"/>
      <c r="BL16" s="37"/>
      <c r="BM16" s="37"/>
      <c r="BN16" s="37"/>
      <c r="BO16" s="37"/>
      <c r="BP16" s="37"/>
      <c r="BQ16" s="37"/>
      <c r="BR16" s="37"/>
      <c r="BS16" s="37"/>
    </row>
    <row r="17" spans="1:92" ht="15" x14ac:dyDescent="0.25">
      <c r="A17" s="37"/>
      <c r="B17" s="37"/>
      <c r="C17" s="37"/>
      <c r="D17" s="37"/>
      <c r="E17" s="37"/>
      <c r="F17" s="37" t="s">
        <v>160</v>
      </c>
      <c r="G17" s="37"/>
      <c r="H17" s="37"/>
      <c r="I17" s="37"/>
      <c r="J17" s="37"/>
      <c r="K17" s="37"/>
      <c r="L17" s="37"/>
      <c r="M17" s="37"/>
      <c r="N17" s="37"/>
      <c r="O17" s="37"/>
      <c r="P17" s="37"/>
      <c r="Q17" s="37"/>
      <c r="R17" s="37"/>
      <c r="S17" s="37"/>
      <c r="T17" s="37"/>
      <c r="U17" s="37"/>
      <c r="V17" s="37"/>
      <c r="W17" s="37"/>
      <c r="X17" s="37"/>
      <c r="Y17" s="37"/>
      <c r="Z17" s="37"/>
      <c r="AA17" s="37"/>
      <c r="AB17" s="37"/>
      <c r="AC17" s="37"/>
      <c r="AD17" s="37"/>
      <c r="AE17" s="37"/>
      <c r="AF17" s="37"/>
      <c r="AG17" s="37"/>
      <c r="AH17" s="673" t="s">
        <v>381</v>
      </c>
      <c r="AI17" s="673"/>
      <c r="AJ17" s="673"/>
      <c r="AK17" s="37"/>
      <c r="AL17" s="37"/>
      <c r="AM17" s="37"/>
      <c r="AN17" s="37"/>
      <c r="AO17" s="37"/>
      <c r="AP17" s="37"/>
      <c r="AQ17" s="37"/>
      <c r="AR17" s="37"/>
      <c r="AS17" s="37"/>
      <c r="AT17" s="37"/>
      <c r="AU17" s="37"/>
      <c r="AV17" s="37"/>
      <c r="AW17" s="37"/>
      <c r="AX17" s="37"/>
      <c r="AY17" s="37"/>
      <c r="AZ17" s="37"/>
      <c r="BA17" s="37"/>
      <c r="BB17" s="37"/>
      <c r="BC17" s="37"/>
      <c r="BD17" s="37"/>
      <c r="BE17" s="37"/>
      <c r="BF17" s="37"/>
      <c r="BG17" s="37"/>
      <c r="BH17" s="37"/>
      <c r="BI17" s="37"/>
      <c r="BJ17" s="37"/>
      <c r="BK17" s="37"/>
      <c r="BL17" s="37"/>
      <c r="BM17" s="37"/>
      <c r="BN17" s="37"/>
      <c r="BO17" s="37"/>
      <c r="BP17" s="37"/>
      <c r="BQ17" s="37"/>
      <c r="BR17" s="37"/>
      <c r="BS17" s="37"/>
    </row>
    <row r="18" spans="1:92" ht="15" x14ac:dyDescent="0.25">
      <c r="A18" s="37"/>
      <c r="B18" s="37"/>
      <c r="C18" s="37"/>
      <c r="D18" s="37"/>
      <c r="E18" s="37"/>
      <c r="F18" s="37"/>
      <c r="G18" s="37"/>
      <c r="H18" s="37"/>
      <c r="I18" s="37"/>
      <c r="J18" s="37"/>
      <c r="K18" s="37"/>
      <c r="L18" s="37"/>
      <c r="M18" s="37"/>
      <c r="N18" s="37"/>
      <c r="O18" s="37"/>
      <c r="P18" s="37"/>
      <c r="Q18" s="37"/>
      <c r="R18" s="37"/>
      <c r="S18" s="37"/>
      <c r="T18" s="37"/>
      <c r="U18" s="37"/>
      <c r="V18" s="37"/>
      <c r="W18" s="37"/>
      <c r="X18" s="37"/>
      <c r="Y18" s="37"/>
      <c r="Z18" s="37"/>
      <c r="AA18" s="37"/>
      <c r="AB18" s="37"/>
      <c r="AC18" s="37"/>
      <c r="AD18" s="37"/>
      <c r="AE18" s="37"/>
      <c r="AF18" s="37"/>
      <c r="AG18" s="37"/>
      <c r="AH18" s="627" t="s">
        <v>382</v>
      </c>
      <c r="AI18" s="627"/>
      <c r="AJ18" s="627"/>
      <c r="AK18" s="627"/>
      <c r="AL18" s="627"/>
      <c r="AM18" s="627"/>
      <c r="AN18" s="627"/>
      <c r="AO18" s="627"/>
      <c r="AP18" s="37"/>
      <c r="AQ18" s="37"/>
      <c r="AR18" s="37"/>
      <c r="AS18" s="37"/>
      <c r="AT18" s="37"/>
      <c r="AU18" s="37"/>
      <c r="AV18" s="37"/>
      <c r="AW18" s="37"/>
      <c r="AX18" s="37"/>
      <c r="AY18" s="37"/>
      <c r="AZ18" s="37"/>
      <c r="BA18" s="37"/>
      <c r="BB18" s="37"/>
      <c r="BC18" s="37"/>
      <c r="BD18" s="37"/>
      <c r="BE18" s="37"/>
      <c r="BF18" s="37"/>
      <c r="BG18" s="37"/>
      <c r="BH18" s="37"/>
      <c r="BI18" s="37"/>
      <c r="BJ18" s="37"/>
      <c r="BK18" s="37"/>
      <c r="BL18" s="37"/>
      <c r="BM18" s="37"/>
      <c r="BN18" s="37"/>
      <c r="BO18" s="37"/>
      <c r="BP18" s="37"/>
      <c r="BQ18" s="37"/>
      <c r="BR18" s="37"/>
      <c r="BS18" s="37"/>
    </row>
    <row r="19" spans="1:92" ht="15" x14ac:dyDescent="0.25">
      <c r="A19" s="37"/>
      <c r="B19" s="37"/>
      <c r="C19" s="37"/>
      <c r="D19" s="37"/>
      <c r="E19" s="37"/>
      <c r="F19" s="37"/>
      <c r="G19" s="37"/>
      <c r="H19" s="37"/>
      <c r="I19" s="37"/>
      <c r="J19" s="37"/>
      <c r="K19" s="37"/>
      <c r="L19" s="37"/>
      <c r="M19" s="37"/>
      <c r="N19" s="37"/>
      <c r="O19" s="37"/>
      <c r="P19" s="37"/>
      <c r="Q19" s="37"/>
      <c r="R19" s="37"/>
      <c r="S19" s="37"/>
      <c r="T19" s="37"/>
      <c r="U19" s="37"/>
      <c r="V19" s="37"/>
      <c r="W19" s="37"/>
      <c r="X19" s="37"/>
      <c r="Y19" s="37"/>
      <c r="Z19" s="37"/>
      <c r="AA19" s="37"/>
      <c r="AB19" s="37"/>
      <c r="AC19" s="37"/>
      <c r="AD19" s="37"/>
      <c r="AE19" s="37"/>
      <c r="AF19" s="37"/>
      <c r="AG19" s="37"/>
      <c r="AH19" s="1171"/>
      <c r="AI19" s="1171"/>
      <c r="AJ19" s="185"/>
      <c r="AK19" s="37"/>
      <c r="AL19" s="37"/>
      <c r="AM19" s="37"/>
      <c r="AN19" s="37"/>
      <c r="AO19" s="37"/>
      <c r="AP19" s="37"/>
      <c r="AQ19" s="37"/>
      <c r="AR19" s="37"/>
      <c r="AS19" s="37"/>
      <c r="AT19" s="37"/>
      <c r="AU19" s="37"/>
      <c r="AV19" s="37"/>
      <c r="AW19" s="37"/>
      <c r="AX19" s="37"/>
      <c r="AY19" s="37"/>
      <c r="AZ19" s="37"/>
      <c r="BA19" s="37"/>
      <c r="BB19" s="37"/>
      <c r="BC19" s="37"/>
      <c r="BD19" s="37"/>
      <c r="BE19" s="37"/>
      <c r="BF19" s="37"/>
      <c r="BG19" s="37"/>
      <c r="BH19" s="37"/>
      <c r="BI19" s="37"/>
      <c r="BJ19" s="37"/>
      <c r="BK19" s="37"/>
      <c r="BL19" s="37"/>
      <c r="BM19" s="37"/>
      <c r="BN19" s="37"/>
      <c r="BO19" s="37"/>
      <c r="BP19" s="37"/>
      <c r="BQ19" s="37"/>
      <c r="BR19" s="37"/>
      <c r="BS19" s="37"/>
    </row>
    <row r="20" spans="1:92" ht="15" x14ac:dyDescent="0.25">
      <c r="A20" s="37"/>
      <c r="B20" s="37"/>
      <c r="C20" s="37"/>
      <c r="D20" s="37"/>
      <c r="E20" s="37"/>
      <c r="F20" s="37"/>
      <c r="G20" s="37"/>
      <c r="H20" s="37"/>
      <c r="I20" s="37"/>
      <c r="J20" s="37"/>
      <c r="K20" s="37"/>
      <c r="L20" s="37"/>
      <c r="M20" s="37"/>
      <c r="N20" s="37"/>
      <c r="O20" s="37"/>
      <c r="P20" s="37"/>
      <c r="Q20" s="37"/>
      <c r="R20" s="37"/>
      <c r="S20" s="37"/>
      <c r="T20" s="37"/>
      <c r="U20" s="37"/>
      <c r="V20" s="37"/>
      <c r="W20" s="37"/>
      <c r="X20" s="37"/>
      <c r="Y20" s="37"/>
      <c r="Z20" s="37"/>
      <c r="AA20" s="37"/>
      <c r="AB20" s="37"/>
      <c r="AC20" s="37"/>
      <c r="AD20" s="37"/>
      <c r="AE20" s="37"/>
      <c r="AF20" s="37"/>
      <c r="AG20" s="37"/>
      <c r="AH20" s="37"/>
      <c r="AI20" s="37"/>
      <c r="AJ20" s="37"/>
      <c r="AK20" s="37"/>
      <c r="AL20" s="37"/>
      <c r="AM20" s="37"/>
      <c r="AN20" s="37"/>
      <c r="AO20" s="37"/>
      <c r="AP20" s="37"/>
      <c r="AQ20" s="37"/>
      <c r="AR20" s="37"/>
      <c r="AS20" s="37"/>
      <c r="AT20" s="37"/>
      <c r="AU20" s="37"/>
      <c r="AV20" s="37"/>
      <c r="AW20" s="37"/>
      <c r="AX20" s="37"/>
      <c r="AY20" s="37"/>
      <c r="AZ20" s="37"/>
      <c r="BA20" s="37"/>
      <c r="BB20" s="37"/>
      <c r="BC20" s="37"/>
      <c r="BD20" s="37"/>
      <c r="BE20" s="37"/>
      <c r="BF20" s="37"/>
      <c r="BG20" s="37"/>
      <c r="BH20" s="37"/>
      <c r="BI20" s="37"/>
      <c r="BJ20" s="37"/>
      <c r="BK20" s="37"/>
      <c r="BL20" s="37"/>
      <c r="BM20" s="37"/>
      <c r="BN20" s="37"/>
      <c r="BO20" s="37"/>
      <c r="BP20" s="37"/>
      <c r="BQ20" s="37"/>
      <c r="BR20" s="37"/>
      <c r="BS20" s="37"/>
    </row>
    <row r="21" spans="1:92" ht="15" x14ac:dyDescent="0.25">
      <c r="A21" s="37"/>
      <c r="B21" s="37"/>
      <c r="C21" s="37"/>
      <c r="D21" s="37"/>
      <c r="E21" s="37"/>
      <c r="F21" s="36" t="s">
        <v>383</v>
      </c>
      <c r="G21" s="36"/>
      <c r="H21" s="36"/>
      <c r="I21" s="36"/>
      <c r="J21" s="36"/>
      <c r="K21" s="36"/>
      <c r="L21" s="36"/>
      <c r="M21" s="36"/>
      <c r="N21" s="36"/>
      <c r="O21" s="36"/>
      <c r="P21" s="36"/>
      <c r="Q21" s="36"/>
      <c r="R21" s="36"/>
      <c r="S21" s="36"/>
      <c r="T21" s="36"/>
      <c r="U21" s="36"/>
      <c r="V21" s="36"/>
      <c r="W21" s="36"/>
      <c r="X21" s="36"/>
      <c r="Y21" s="36"/>
      <c r="Z21" s="36"/>
      <c r="AA21" s="36"/>
      <c r="AB21" s="36"/>
      <c r="AC21" s="36"/>
      <c r="AD21" s="36"/>
      <c r="AE21" s="36"/>
      <c r="AF21" s="36"/>
      <c r="AG21" s="36"/>
      <c r="AH21" s="36" t="s">
        <v>379</v>
      </c>
      <c r="AI21" s="36"/>
      <c r="AJ21" s="36"/>
      <c r="AK21" s="36"/>
      <c r="AL21" s="36"/>
      <c r="AM21" s="36"/>
      <c r="AN21" s="37"/>
      <c r="AO21" s="37"/>
      <c r="AP21" s="37"/>
      <c r="AQ21" s="37"/>
      <c r="AR21" s="37"/>
      <c r="AS21" s="37"/>
      <c r="AT21" s="37"/>
      <c r="AU21" s="37"/>
      <c r="AV21" s="37"/>
      <c r="AW21" s="37"/>
      <c r="AX21" s="37"/>
      <c r="AY21" s="37"/>
      <c r="AZ21" s="37"/>
      <c r="BA21" s="37"/>
      <c r="BB21" s="37"/>
      <c r="BC21" s="37"/>
      <c r="BD21" s="37"/>
      <c r="BE21" s="37"/>
      <c r="BF21" s="37"/>
      <c r="BG21" s="37"/>
      <c r="BH21" s="37"/>
      <c r="BI21" s="37"/>
      <c r="BJ21" s="37"/>
      <c r="BK21" s="37"/>
      <c r="BL21" s="37"/>
      <c r="BM21" s="37"/>
      <c r="BN21" s="37"/>
      <c r="BO21" s="37"/>
      <c r="BP21" s="37"/>
      <c r="BQ21" s="37"/>
      <c r="BR21" s="37"/>
      <c r="BS21" s="37"/>
    </row>
    <row r="22" spans="1:92" ht="15" x14ac:dyDescent="0.25">
      <c r="A22" s="37"/>
      <c r="B22" s="37"/>
      <c r="C22" s="37"/>
      <c r="D22" s="37"/>
      <c r="E22" s="37"/>
      <c r="F22" s="36"/>
      <c r="G22" s="36"/>
      <c r="H22" s="36"/>
      <c r="I22" s="36"/>
      <c r="J22" s="36"/>
      <c r="K22" s="36"/>
      <c r="L22" s="36"/>
      <c r="M22" s="36"/>
      <c r="N22" s="36"/>
      <c r="O22" s="36"/>
      <c r="P22" s="36"/>
      <c r="Q22" s="36"/>
      <c r="R22" s="36"/>
      <c r="S22" s="36"/>
      <c r="T22" s="36"/>
      <c r="U22" s="36"/>
      <c r="V22" s="36"/>
      <c r="W22" s="36"/>
      <c r="X22" s="36"/>
      <c r="Y22" s="36"/>
      <c r="Z22" s="36"/>
      <c r="AA22" s="36"/>
      <c r="AB22" s="36"/>
      <c r="AC22" s="36"/>
      <c r="AD22" s="36"/>
      <c r="AE22" s="36"/>
      <c r="AF22" s="36"/>
      <c r="AG22" s="36"/>
      <c r="AH22" s="36" t="s">
        <v>617</v>
      </c>
      <c r="AI22" s="36"/>
      <c r="AJ22" s="36"/>
      <c r="AK22" s="36"/>
      <c r="AL22" s="36"/>
      <c r="AM22" s="36"/>
      <c r="AN22" s="37"/>
      <c r="AO22" s="37"/>
      <c r="AP22" s="37"/>
      <c r="AQ22" s="37"/>
      <c r="AR22" s="37"/>
      <c r="AS22" s="37"/>
      <c r="AT22" s="37"/>
      <c r="AU22" s="37"/>
      <c r="AV22" s="37"/>
      <c r="AW22" s="37"/>
      <c r="AX22" s="37"/>
      <c r="AY22" s="37"/>
      <c r="AZ22" s="37"/>
      <c r="BA22" s="37"/>
      <c r="BB22" s="37"/>
      <c r="BC22" s="37"/>
      <c r="BD22" s="37"/>
      <c r="BE22" s="37"/>
      <c r="BF22" s="37"/>
      <c r="BG22" s="37"/>
      <c r="BH22" s="37"/>
      <c r="BI22" s="37"/>
      <c r="BJ22" s="37"/>
      <c r="BK22" s="37"/>
      <c r="BL22" s="37"/>
      <c r="BM22" s="37"/>
      <c r="BN22" s="37"/>
      <c r="BO22" s="37"/>
      <c r="BP22" s="37"/>
      <c r="BQ22" s="37"/>
      <c r="BR22" s="37"/>
      <c r="BS22" s="37"/>
    </row>
    <row r="23" spans="1:92" ht="15" x14ac:dyDescent="0.25">
      <c r="A23" s="37"/>
      <c r="B23" s="37"/>
      <c r="C23" s="37"/>
      <c r="D23" s="37"/>
      <c r="E23" s="37"/>
      <c r="F23" s="36"/>
      <c r="G23" s="36"/>
      <c r="H23" s="36"/>
      <c r="I23" s="36"/>
      <c r="J23" s="36"/>
      <c r="K23" s="36"/>
      <c r="L23" s="36"/>
      <c r="M23" s="36"/>
      <c r="N23" s="36"/>
      <c r="O23" s="36"/>
      <c r="P23" s="36"/>
      <c r="Q23" s="36"/>
      <c r="R23" s="36"/>
      <c r="S23" s="36"/>
      <c r="T23" s="36"/>
      <c r="U23" s="36"/>
      <c r="V23" s="36"/>
      <c r="W23" s="36"/>
      <c r="X23" s="36"/>
      <c r="Y23" s="36"/>
      <c r="Z23" s="36"/>
      <c r="AA23" s="36"/>
      <c r="AB23" s="36"/>
      <c r="AC23" s="36"/>
      <c r="AD23" s="36"/>
      <c r="AE23" s="36"/>
      <c r="AF23" s="36"/>
      <c r="AG23" s="36"/>
      <c r="AI23" s="36"/>
      <c r="AJ23" s="36"/>
      <c r="AK23" s="36"/>
      <c r="AL23" s="36"/>
      <c r="AM23" s="36"/>
      <c r="AN23" s="37"/>
      <c r="AO23" s="37"/>
      <c r="AP23" s="37"/>
      <c r="AQ23" s="37"/>
      <c r="AR23" s="37"/>
      <c r="AS23" s="37"/>
      <c r="AT23" s="37"/>
      <c r="AU23" s="37"/>
      <c r="AV23" s="37"/>
      <c r="AW23" s="37"/>
      <c r="AX23" s="37"/>
      <c r="AY23" s="37"/>
      <c r="AZ23" s="37"/>
      <c r="BA23" s="37"/>
      <c r="BB23" s="37"/>
      <c r="BC23" s="37"/>
      <c r="BD23" s="37"/>
      <c r="BE23" s="37"/>
      <c r="BF23" s="37"/>
      <c r="BG23" s="37"/>
      <c r="BH23" s="37"/>
      <c r="BI23" s="37"/>
      <c r="BJ23" s="37"/>
      <c r="BK23" s="37"/>
      <c r="BL23" s="37"/>
      <c r="BM23" s="37"/>
      <c r="BN23" s="37"/>
      <c r="BO23" s="37"/>
      <c r="BP23" s="37"/>
      <c r="BQ23" s="37"/>
      <c r="BR23" s="37"/>
      <c r="BS23" s="37"/>
    </row>
    <row r="24" spans="1:92" ht="15" x14ac:dyDescent="0.25">
      <c r="A24" s="37"/>
      <c r="B24" s="37"/>
      <c r="C24" s="37"/>
      <c r="D24" s="37"/>
      <c r="E24" s="37"/>
      <c r="F24" s="36"/>
      <c r="G24" s="36"/>
      <c r="H24" s="36"/>
      <c r="I24" s="36"/>
      <c r="J24" s="36"/>
      <c r="K24" s="36"/>
      <c r="L24" s="36"/>
      <c r="M24" s="36"/>
      <c r="N24" s="36"/>
      <c r="O24" s="36"/>
      <c r="P24" s="36"/>
      <c r="Q24" s="36"/>
      <c r="R24" s="36"/>
      <c r="S24" s="36"/>
      <c r="T24" s="36"/>
      <c r="U24" s="36"/>
      <c r="V24" s="36"/>
      <c r="W24" s="36"/>
      <c r="X24" s="36"/>
      <c r="Y24" s="36"/>
      <c r="Z24" s="36"/>
      <c r="AA24" s="36"/>
      <c r="AB24" s="36"/>
      <c r="AC24" s="36"/>
      <c r="AD24" s="36"/>
      <c r="AE24" s="36"/>
      <c r="AF24" s="36"/>
      <c r="AG24" s="36"/>
      <c r="AH24" s="36"/>
      <c r="AI24" s="36"/>
      <c r="AJ24" s="36"/>
      <c r="AK24" s="36"/>
      <c r="AL24" s="36"/>
      <c r="AM24" s="36"/>
      <c r="AN24" s="37"/>
      <c r="AO24" s="37"/>
      <c r="AP24" s="37"/>
      <c r="AQ24" s="37"/>
      <c r="AR24" s="37"/>
      <c r="AS24" s="37"/>
      <c r="AT24" s="37"/>
      <c r="AU24" s="37"/>
      <c r="AV24" s="37"/>
      <c r="AW24" s="37"/>
      <c r="AX24" s="37"/>
      <c r="AY24" s="37"/>
      <c r="AZ24" s="37"/>
      <c r="BA24" s="37"/>
      <c r="BB24" s="37"/>
      <c r="BC24" s="37"/>
      <c r="BD24" s="37"/>
      <c r="BE24" s="37"/>
      <c r="BF24" s="37"/>
      <c r="BG24" s="37"/>
      <c r="BH24" s="37"/>
      <c r="BI24" s="37"/>
      <c r="BJ24" s="37"/>
      <c r="BK24" s="37"/>
      <c r="BL24" s="37"/>
      <c r="BM24" s="37"/>
      <c r="BN24" s="37"/>
      <c r="BO24" s="37"/>
      <c r="BP24" s="37"/>
      <c r="BQ24" s="37"/>
      <c r="BR24" s="37"/>
      <c r="BS24" s="37"/>
    </row>
    <row r="25" spans="1:92" ht="15" x14ac:dyDescent="0.25">
      <c r="A25" s="37"/>
      <c r="B25" s="37"/>
      <c r="C25" s="37"/>
      <c r="D25" s="37"/>
      <c r="E25" s="37"/>
      <c r="F25" s="71" t="s">
        <v>384</v>
      </c>
      <c r="G25" s="71"/>
      <c r="H25" s="71"/>
      <c r="I25" s="71"/>
      <c r="J25" s="71"/>
      <c r="K25" s="71"/>
      <c r="L25" s="71"/>
      <c r="M25" s="71"/>
      <c r="N25" s="71"/>
      <c r="O25" s="71"/>
      <c r="P25" s="71"/>
      <c r="Q25" s="71"/>
      <c r="R25" s="71"/>
      <c r="S25" s="71"/>
      <c r="T25" s="71"/>
      <c r="U25" s="71"/>
      <c r="V25" s="71"/>
      <c r="W25" s="71"/>
      <c r="X25" s="71"/>
      <c r="Y25" s="71"/>
      <c r="Z25" s="71"/>
      <c r="AA25" s="71"/>
      <c r="AB25" s="71"/>
      <c r="AC25" s="71"/>
      <c r="AD25" s="71"/>
      <c r="AE25" s="71"/>
      <c r="AF25" s="71"/>
      <c r="AG25" s="71"/>
      <c r="AH25" s="71" t="s">
        <v>618</v>
      </c>
      <c r="AI25" s="71"/>
      <c r="AJ25" s="71"/>
      <c r="AK25" s="186"/>
      <c r="AL25" s="71"/>
      <c r="AM25" s="71"/>
      <c r="AN25" s="37"/>
      <c r="AO25" s="37"/>
      <c r="AP25" s="37"/>
      <c r="AQ25" s="37"/>
      <c r="AR25" s="37"/>
      <c r="AS25" s="37"/>
      <c r="AT25" s="37"/>
      <c r="AU25" s="37"/>
      <c r="AV25" s="37"/>
      <c r="AW25" s="37"/>
      <c r="AX25" s="37"/>
      <c r="AY25" s="37"/>
      <c r="AZ25" s="37"/>
      <c r="BA25" s="37"/>
      <c r="BB25" s="37"/>
      <c r="BC25" s="37"/>
      <c r="BD25" s="37"/>
      <c r="BE25" s="37"/>
      <c r="BF25" s="37"/>
      <c r="BG25" s="37"/>
      <c r="BH25" s="37"/>
      <c r="BI25" s="37"/>
      <c r="BJ25" s="37"/>
      <c r="BK25" s="37"/>
      <c r="BL25" s="37"/>
      <c r="BM25" s="37"/>
      <c r="BN25" s="37"/>
      <c r="BO25" s="37"/>
      <c r="BP25" s="37"/>
      <c r="BQ25" s="37"/>
      <c r="BR25" s="37"/>
      <c r="BS25" s="37"/>
    </row>
    <row r="26" spans="1:92" ht="15" x14ac:dyDescent="0.25">
      <c r="A26" s="37"/>
      <c r="B26" s="37"/>
      <c r="C26" s="37"/>
      <c r="D26" s="37"/>
      <c r="E26" s="37"/>
      <c r="F26" s="71"/>
      <c r="G26" s="71"/>
      <c r="H26" s="71"/>
      <c r="I26" s="71"/>
      <c r="J26" s="71"/>
      <c r="K26" s="71"/>
      <c r="L26" s="71"/>
      <c r="M26" s="71"/>
      <c r="N26" s="71"/>
      <c r="O26" s="71"/>
      <c r="P26" s="71"/>
      <c r="Q26" s="71"/>
      <c r="R26" s="71"/>
      <c r="S26" s="71"/>
      <c r="T26" s="71"/>
      <c r="U26" s="71"/>
      <c r="V26" s="71"/>
      <c r="W26" s="71"/>
      <c r="X26" s="71"/>
      <c r="Y26" s="71"/>
      <c r="Z26" s="71"/>
      <c r="AA26" s="71"/>
      <c r="AB26" s="71"/>
      <c r="AC26" s="71"/>
      <c r="AD26" s="71"/>
      <c r="AE26" s="71"/>
      <c r="AF26" s="71"/>
      <c r="AG26" s="71"/>
      <c r="AH26" s="71" t="s">
        <v>619</v>
      </c>
      <c r="AI26" s="71"/>
      <c r="AJ26" s="71"/>
      <c r="AK26" s="186"/>
      <c r="AL26" s="71"/>
      <c r="AM26" s="71"/>
      <c r="AN26" s="37"/>
      <c r="AO26" s="37"/>
      <c r="AP26" s="37"/>
      <c r="AQ26" s="37"/>
      <c r="AR26" s="37"/>
      <c r="AS26" s="37"/>
      <c r="AT26" s="37"/>
      <c r="AU26" s="37"/>
      <c r="AV26" s="37"/>
      <c r="AW26" s="37"/>
      <c r="AX26" s="37"/>
      <c r="AY26" s="37"/>
      <c r="AZ26" s="37"/>
      <c r="BA26" s="37"/>
      <c r="BB26" s="37"/>
      <c r="BC26" s="37"/>
      <c r="BD26" s="37"/>
      <c r="BE26" s="37"/>
      <c r="BF26" s="37"/>
      <c r="BG26" s="37"/>
      <c r="BH26" s="37"/>
      <c r="BI26" s="37"/>
      <c r="BJ26" s="37"/>
      <c r="BK26" s="37"/>
      <c r="BL26" s="37"/>
      <c r="BM26" s="37"/>
      <c r="BN26" s="37"/>
      <c r="BO26" s="37"/>
      <c r="BP26" s="37"/>
      <c r="BQ26" s="37"/>
      <c r="BR26" s="37"/>
      <c r="BS26" s="37"/>
    </row>
    <row r="27" spans="1:92" ht="15.75" x14ac:dyDescent="0.25">
      <c r="A27" s="37"/>
      <c r="B27" s="37"/>
      <c r="C27" s="37"/>
      <c r="D27" s="37"/>
      <c r="E27" s="37"/>
      <c r="F27" s="71"/>
      <c r="G27" s="71"/>
      <c r="H27" s="71"/>
      <c r="I27" s="71"/>
      <c r="J27" s="71"/>
      <c r="K27" s="71"/>
      <c r="L27" s="71"/>
      <c r="M27" s="71"/>
      <c r="N27" s="71"/>
      <c r="O27" s="71"/>
      <c r="P27" s="71"/>
      <c r="Q27" s="71"/>
      <c r="R27" s="71"/>
      <c r="S27" s="71"/>
      <c r="T27" s="71"/>
      <c r="U27" s="71"/>
      <c r="V27" s="71"/>
      <c r="W27" s="71"/>
      <c r="X27" s="71"/>
      <c r="Y27" s="71"/>
      <c r="Z27" s="71"/>
      <c r="AA27" s="71"/>
      <c r="AB27" s="71"/>
      <c r="AC27" s="71"/>
      <c r="AD27" s="71"/>
      <c r="AE27" s="71"/>
      <c r="AF27" s="71"/>
      <c r="AG27" s="71"/>
      <c r="AH27" s="71" t="s">
        <v>385</v>
      </c>
      <c r="AI27" s="71"/>
      <c r="AJ27" s="71"/>
      <c r="AK27" s="186"/>
      <c r="AL27" s="71"/>
      <c r="AM27" s="71"/>
      <c r="AN27" s="37"/>
      <c r="AO27" s="37"/>
      <c r="AP27" s="37"/>
      <c r="AQ27" s="37"/>
      <c r="AR27" s="37"/>
      <c r="AS27" s="37"/>
      <c r="AT27" s="37"/>
      <c r="AU27" s="37"/>
      <c r="AV27" s="37"/>
      <c r="AW27" s="37"/>
      <c r="AX27" s="37"/>
      <c r="AY27" s="37"/>
      <c r="AZ27" s="37"/>
      <c r="BA27" s="37"/>
      <c r="BB27" s="37"/>
      <c r="BC27" s="37"/>
      <c r="BD27" s="37"/>
      <c r="BE27" s="37"/>
      <c r="BF27" s="37"/>
      <c r="BG27" s="71"/>
      <c r="BH27" s="71"/>
      <c r="BI27" s="71"/>
      <c r="BJ27" s="71"/>
      <c r="BK27" s="71"/>
      <c r="BL27" s="71"/>
      <c r="BM27" s="71"/>
      <c r="BN27" s="71"/>
      <c r="BO27" s="71"/>
      <c r="BP27" s="71"/>
      <c r="BQ27" s="71"/>
      <c r="BR27" s="71"/>
      <c r="BS27" s="71"/>
      <c r="BT27" s="187"/>
      <c r="BU27" s="187"/>
      <c r="BV27" s="187"/>
      <c r="BW27" s="187"/>
      <c r="BX27" s="187"/>
      <c r="BY27" s="187"/>
      <c r="BZ27" s="187"/>
      <c r="CA27" s="187"/>
      <c r="CB27" s="187"/>
      <c r="CC27" s="187"/>
      <c r="CD27" s="187"/>
      <c r="CE27" s="187"/>
      <c r="CF27" s="187"/>
      <c r="CG27" s="187"/>
      <c r="CH27" s="187"/>
      <c r="CI27" s="187"/>
      <c r="CJ27" s="187"/>
      <c r="CK27" s="187"/>
      <c r="CL27" s="4"/>
      <c r="CM27" s="187"/>
      <c r="CN27" s="187"/>
    </row>
    <row r="28" spans="1:92" ht="15.75" x14ac:dyDescent="0.25">
      <c r="A28" s="37"/>
      <c r="B28" s="37"/>
      <c r="C28" s="37"/>
      <c r="D28" s="37"/>
      <c r="E28" s="37"/>
      <c r="F28" s="37"/>
      <c r="G28" s="37"/>
      <c r="H28" s="37"/>
      <c r="I28" s="37"/>
      <c r="J28" s="37"/>
      <c r="K28" s="37"/>
      <c r="L28" s="37"/>
      <c r="M28" s="37"/>
      <c r="N28" s="37"/>
      <c r="O28" s="37"/>
      <c r="P28" s="37"/>
      <c r="Q28" s="37"/>
      <c r="R28" s="37"/>
      <c r="S28" s="37"/>
      <c r="T28" s="37"/>
      <c r="U28" s="37"/>
      <c r="V28" s="37"/>
      <c r="W28" s="37"/>
      <c r="X28" s="37"/>
      <c r="Y28" s="37"/>
      <c r="Z28" s="37"/>
      <c r="AA28" s="37"/>
      <c r="AB28" s="37"/>
      <c r="AC28" s="37"/>
      <c r="AD28" s="37"/>
      <c r="AE28" s="37"/>
      <c r="AF28" s="37"/>
      <c r="AG28" s="37"/>
      <c r="AH28" s="37"/>
      <c r="AI28" s="37"/>
      <c r="AJ28" s="37"/>
      <c r="AK28" s="37"/>
      <c r="AL28" s="37"/>
      <c r="AM28" s="37"/>
      <c r="AN28" s="37"/>
      <c r="AO28" s="37"/>
      <c r="AP28" s="37"/>
      <c r="AQ28" s="37"/>
      <c r="AR28" s="37"/>
      <c r="AS28" s="37"/>
      <c r="AT28" s="37"/>
      <c r="AU28" s="37"/>
      <c r="AV28" s="37"/>
      <c r="AW28" s="37"/>
      <c r="AX28" s="37"/>
      <c r="AY28" s="37"/>
      <c r="AZ28" s="37"/>
      <c r="BA28" s="37"/>
      <c r="BB28" s="37"/>
      <c r="BC28" s="37"/>
      <c r="BD28" s="37"/>
      <c r="BE28" s="37"/>
      <c r="BF28" s="37"/>
      <c r="BG28" s="71"/>
      <c r="BH28" s="71"/>
      <c r="BI28" s="71"/>
      <c r="BJ28" s="71"/>
      <c r="BK28" s="71"/>
      <c r="BL28" s="71"/>
      <c r="BM28" s="71"/>
      <c r="BN28" s="71"/>
      <c r="BO28" s="71"/>
      <c r="BP28" s="71"/>
      <c r="BQ28" s="71"/>
      <c r="BR28" s="71"/>
      <c r="BS28" s="71"/>
      <c r="BT28" s="187"/>
      <c r="BU28" s="187"/>
      <c r="BV28" s="187"/>
      <c r="BW28" s="187"/>
      <c r="BX28" s="187"/>
      <c r="BY28" s="187"/>
      <c r="BZ28" s="187"/>
      <c r="CA28" s="187"/>
      <c r="CB28" s="187"/>
      <c r="CC28" s="187"/>
      <c r="CD28" s="187"/>
      <c r="CE28" s="187"/>
      <c r="CF28" s="187"/>
      <c r="CG28" s="187"/>
      <c r="CH28" s="187"/>
      <c r="CI28" s="187"/>
      <c r="CJ28" s="187"/>
      <c r="CK28" s="187"/>
      <c r="CL28" s="4"/>
      <c r="CM28" s="187"/>
      <c r="CN28" s="187"/>
    </row>
    <row r="29" spans="1:92" ht="15" x14ac:dyDescent="0.25">
      <c r="A29" s="37"/>
      <c r="B29" s="37"/>
      <c r="C29" s="37"/>
      <c r="D29" s="37"/>
      <c r="E29" s="37"/>
      <c r="F29" s="71" t="s">
        <v>386</v>
      </c>
      <c r="G29" s="71"/>
      <c r="H29" s="71"/>
      <c r="I29" s="71"/>
      <c r="J29" s="71"/>
      <c r="K29" s="71"/>
      <c r="L29" s="71"/>
      <c r="M29" s="71"/>
      <c r="N29" s="71"/>
      <c r="O29" s="71"/>
      <c r="P29" s="71"/>
      <c r="Q29" s="71"/>
      <c r="R29" s="71"/>
      <c r="S29" s="71"/>
      <c r="T29" s="71"/>
      <c r="U29" s="71"/>
      <c r="V29" s="71"/>
      <c r="W29" s="71"/>
      <c r="X29" s="71"/>
      <c r="Y29" s="71"/>
      <c r="Z29" s="71"/>
      <c r="AA29" s="71"/>
      <c r="AB29" s="71"/>
      <c r="AC29" s="71"/>
      <c r="AD29" s="71"/>
      <c r="AE29" s="71"/>
      <c r="AF29" s="71"/>
      <c r="AG29" s="71"/>
      <c r="AH29" s="71" t="s">
        <v>388</v>
      </c>
      <c r="AI29" s="71"/>
      <c r="AJ29" s="71"/>
      <c r="AK29" s="186"/>
      <c r="AL29" s="71"/>
      <c r="AM29" s="71"/>
      <c r="AN29" s="71"/>
      <c r="AO29" s="37"/>
      <c r="AP29" s="37"/>
      <c r="AQ29" s="37"/>
      <c r="AR29" s="37"/>
      <c r="AS29" s="37"/>
      <c r="AT29" s="37"/>
      <c r="AU29" s="37"/>
      <c r="AV29" s="37"/>
      <c r="AW29" s="37"/>
      <c r="AX29" s="37"/>
      <c r="AY29" s="37"/>
      <c r="AZ29" s="37"/>
      <c r="BA29" s="37"/>
      <c r="BB29" s="37"/>
      <c r="BC29" s="37"/>
      <c r="BD29" s="37"/>
      <c r="BE29" s="37"/>
      <c r="BF29" s="37"/>
      <c r="BG29" s="37"/>
      <c r="BH29" s="37"/>
      <c r="BI29" s="37"/>
      <c r="BJ29" s="37"/>
      <c r="BK29" s="37"/>
      <c r="BL29" s="37"/>
      <c r="BM29" s="37"/>
      <c r="BN29" s="37"/>
      <c r="BO29" s="37"/>
      <c r="BP29" s="37"/>
      <c r="BQ29" s="37"/>
      <c r="BR29" s="37"/>
      <c r="BS29" s="37"/>
    </row>
    <row r="30" spans="1:92" ht="15" x14ac:dyDescent="0.25">
      <c r="A30" s="37"/>
      <c r="B30" s="37"/>
      <c r="C30" s="37"/>
      <c r="D30" s="37"/>
      <c r="E30" s="37"/>
      <c r="F30" s="71" t="s">
        <v>387</v>
      </c>
      <c r="G30" s="71"/>
      <c r="H30" s="71"/>
      <c r="I30" s="71"/>
      <c r="J30" s="71"/>
      <c r="K30" s="71"/>
      <c r="L30" s="71"/>
      <c r="M30" s="71"/>
      <c r="N30" s="71"/>
      <c r="O30" s="71"/>
      <c r="P30" s="71"/>
      <c r="Q30" s="71"/>
      <c r="R30" s="71"/>
      <c r="S30" s="71"/>
      <c r="T30" s="71"/>
      <c r="U30" s="71"/>
      <c r="V30" s="71"/>
      <c r="W30" s="71"/>
      <c r="X30" s="71"/>
      <c r="Y30" s="71"/>
      <c r="Z30" s="71"/>
      <c r="AA30" s="71"/>
      <c r="AB30" s="71"/>
      <c r="AC30" s="71"/>
      <c r="AD30" s="71"/>
      <c r="AE30" s="71"/>
      <c r="AF30" s="71"/>
      <c r="AG30" s="71"/>
      <c r="AH30" s="20" t="s">
        <v>620</v>
      </c>
      <c r="AI30" s="71"/>
      <c r="AJ30" s="71"/>
      <c r="AK30" s="186"/>
      <c r="AL30" s="71"/>
      <c r="AM30" s="71"/>
      <c r="AN30" s="71"/>
      <c r="AO30" s="37"/>
      <c r="AP30" s="37"/>
      <c r="AQ30" s="37"/>
      <c r="AR30" s="37"/>
      <c r="AS30" s="37"/>
      <c r="AT30" s="37"/>
      <c r="AU30" s="37"/>
      <c r="AV30" s="37"/>
      <c r="AW30" s="37"/>
      <c r="AX30" s="37"/>
      <c r="AY30" s="37"/>
      <c r="AZ30" s="37"/>
      <c r="BA30" s="37"/>
      <c r="BB30" s="37"/>
      <c r="BC30" s="37"/>
      <c r="BD30" s="37"/>
      <c r="BE30" s="37"/>
      <c r="BF30" s="37"/>
      <c r="BG30" s="37"/>
      <c r="BH30" s="37"/>
      <c r="BI30" s="37"/>
      <c r="BJ30" s="37"/>
      <c r="BK30" s="37"/>
      <c r="BL30" s="37"/>
      <c r="BM30" s="37"/>
      <c r="BN30" s="37"/>
      <c r="BO30" s="37"/>
      <c r="BP30" s="37"/>
      <c r="BQ30" s="37"/>
      <c r="BR30" s="37"/>
      <c r="BS30" s="37"/>
    </row>
    <row r="31" spans="1:92" ht="15" x14ac:dyDescent="0.25">
      <c r="A31" s="37"/>
      <c r="B31" s="37"/>
      <c r="C31" s="37"/>
      <c r="D31" s="37"/>
      <c r="E31" s="37"/>
      <c r="F31" s="71"/>
      <c r="G31" s="71"/>
      <c r="H31" s="71"/>
      <c r="I31" s="71"/>
      <c r="J31" s="71"/>
      <c r="K31" s="71"/>
      <c r="L31" s="71"/>
      <c r="M31" s="71"/>
      <c r="N31" s="71"/>
      <c r="O31" s="71"/>
      <c r="P31" s="71"/>
      <c r="Q31" s="71"/>
      <c r="R31" s="71"/>
      <c r="S31" s="71"/>
      <c r="T31" s="71"/>
      <c r="U31" s="71"/>
      <c r="V31" s="71"/>
      <c r="W31" s="71"/>
      <c r="X31" s="71"/>
      <c r="Y31" s="71"/>
      <c r="Z31" s="71"/>
      <c r="AA31" s="71"/>
      <c r="AB31" s="71"/>
      <c r="AC31" s="71"/>
      <c r="AD31" s="71"/>
      <c r="AE31" s="71"/>
      <c r="AF31" s="71"/>
      <c r="AG31" s="71"/>
      <c r="AH31" s="71"/>
      <c r="AI31" s="71"/>
      <c r="AJ31" s="71"/>
      <c r="AK31" s="186"/>
      <c r="AL31" s="71"/>
      <c r="AM31" s="71"/>
      <c r="AN31" s="71"/>
      <c r="AO31" s="37"/>
      <c r="AP31" s="37"/>
      <c r="AQ31" s="37"/>
      <c r="AR31" s="37"/>
      <c r="AS31" s="37"/>
      <c r="AT31" s="37"/>
      <c r="AU31" s="37"/>
      <c r="AV31" s="37"/>
      <c r="AW31" s="37"/>
      <c r="AX31" s="37"/>
      <c r="AY31" s="37"/>
      <c r="AZ31" s="37"/>
      <c r="BA31" s="37"/>
      <c r="BB31" s="37"/>
      <c r="BC31" s="37"/>
      <c r="BD31" s="37"/>
      <c r="BE31" s="37"/>
      <c r="BF31" s="37"/>
      <c r="BG31" s="37"/>
      <c r="BH31" s="37"/>
      <c r="BI31" s="37"/>
      <c r="BJ31" s="37"/>
      <c r="BK31" s="37"/>
      <c r="BL31" s="37"/>
      <c r="BM31" s="37"/>
      <c r="BN31" s="37"/>
      <c r="BO31" s="37"/>
      <c r="BP31" s="37"/>
      <c r="BQ31" s="37"/>
      <c r="BR31" s="37"/>
      <c r="BS31" s="37"/>
    </row>
    <row r="32" spans="1:92" s="188" customFormat="1" ht="15" customHeight="1" x14ac:dyDescent="0.25">
      <c r="A32" s="71"/>
      <c r="B32" s="71"/>
      <c r="C32" s="71"/>
      <c r="D32" s="71"/>
      <c r="E32" s="71"/>
      <c r="F32" s="71" t="s">
        <v>389</v>
      </c>
      <c r="G32" s="71"/>
      <c r="H32" s="71"/>
      <c r="I32" s="71"/>
      <c r="J32" s="71"/>
      <c r="K32" s="71"/>
      <c r="L32" s="71"/>
      <c r="M32" s="71"/>
      <c r="N32" s="71"/>
      <c r="O32" s="71"/>
      <c r="P32" s="71"/>
      <c r="Q32" s="71"/>
      <c r="R32" s="71"/>
      <c r="S32" s="71"/>
      <c r="T32" s="71"/>
      <c r="U32" s="71"/>
      <c r="V32" s="71"/>
      <c r="W32" s="71"/>
      <c r="X32" s="71"/>
      <c r="Y32" s="71"/>
      <c r="Z32" s="71"/>
      <c r="AA32" s="71"/>
      <c r="AB32" s="71"/>
      <c r="AC32" s="71"/>
      <c r="AD32" s="71"/>
      <c r="AE32" s="71"/>
      <c r="AF32" s="71"/>
      <c r="AG32" s="71"/>
      <c r="AH32" s="71" t="s">
        <v>390</v>
      </c>
      <c r="AI32" s="71"/>
      <c r="AJ32" s="71"/>
      <c r="AK32" s="186"/>
      <c r="AL32" s="71"/>
      <c r="AM32" s="71"/>
      <c r="AN32" s="71"/>
      <c r="AO32" s="71"/>
      <c r="AP32" s="71"/>
      <c r="AQ32" s="71"/>
      <c r="AR32" s="71"/>
      <c r="AS32" s="71"/>
      <c r="AT32" s="71"/>
      <c r="AU32" s="71"/>
      <c r="AV32" s="71"/>
      <c r="AW32" s="71"/>
      <c r="AX32" s="71"/>
      <c r="AY32" s="71"/>
      <c r="AZ32" s="71"/>
      <c r="BA32" s="71"/>
      <c r="BB32" s="71"/>
      <c r="BC32" s="71"/>
      <c r="BD32" s="71"/>
      <c r="BE32" s="71"/>
      <c r="BF32" s="71"/>
      <c r="BG32" s="71"/>
      <c r="BH32" s="71"/>
      <c r="BI32" s="71"/>
      <c r="BJ32" s="71"/>
      <c r="BK32" s="71"/>
      <c r="BL32" s="71"/>
      <c r="BM32" s="71"/>
      <c r="BN32" s="71"/>
      <c r="BO32" s="71"/>
      <c r="BP32" s="71"/>
      <c r="BQ32" s="71"/>
      <c r="BR32" s="71"/>
      <c r="BS32" s="71"/>
    </row>
    <row r="33" spans="1:71" s="188" customFormat="1" ht="15" customHeight="1" x14ac:dyDescent="0.25">
      <c r="A33" s="71"/>
      <c r="B33" s="71"/>
      <c r="C33" s="71"/>
      <c r="D33" s="71"/>
      <c r="E33" s="71"/>
      <c r="F33" s="71"/>
      <c r="G33" s="71"/>
      <c r="H33" s="71"/>
      <c r="I33" s="71"/>
      <c r="J33" s="71"/>
      <c r="K33" s="71"/>
      <c r="L33" s="71"/>
      <c r="M33" s="71"/>
      <c r="N33" s="71"/>
      <c r="O33" s="71"/>
      <c r="P33" s="71"/>
      <c r="Q33" s="71"/>
      <c r="R33" s="71"/>
      <c r="S33" s="71"/>
      <c r="T33" s="71"/>
      <c r="U33" s="71"/>
      <c r="V33" s="71"/>
      <c r="W33" s="71"/>
      <c r="X33" s="71"/>
      <c r="Y33" s="71"/>
      <c r="Z33" s="71"/>
      <c r="AA33" s="71"/>
      <c r="AB33" s="71"/>
      <c r="AC33" s="71"/>
      <c r="AD33" s="71"/>
      <c r="AE33" s="71"/>
      <c r="AF33" s="71"/>
      <c r="AG33" s="71"/>
      <c r="AH33" s="71" t="s">
        <v>391</v>
      </c>
      <c r="AI33" s="71"/>
      <c r="AJ33" s="71"/>
      <c r="AK33" s="186"/>
      <c r="AL33" s="71"/>
      <c r="AM33" s="71"/>
      <c r="AN33" s="71"/>
      <c r="AO33" s="71"/>
      <c r="AP33" s="71"/>
      <c r="AQ33" s="71"/>
      <c r="AR33" s="71"/>
      <c r="AS33" s="71"/>
      <c r="AT33" s="71"/>
      <c r="AU33" s="71"/>
      <c r="AV33" s="71"/>
      <c r="AW33" s="71"/>
      <c r="AX33" s="71"/>
      <c r="AY33" s="71"/>
      <c r="AZ33" s="71"/>
      <c r="BA33" s="71"/>
      <c r="BB33" s="71"/>
      <c r="BC33" s="71"/>
      <c r="BD33" s="71"/>
      <c r="BE33" s="71"/>
      <c r="BF33" s="71"/>
      <c r="BG33" s="71"/>
      <c r="BH33" s="71"/>
      <c r="BI33" s="71"/>
      <c r="BJ33" s="71"/>
      <c r="BK33" s="71"/>
      <c r="BL33" s="71"/>
      <c r="BM33" s="71"/>
      <c r="BN33" s="71"/>
      <c r="BO33" s="71"/>
      <c r="BP33" s="71"/>
      <c r="BQ33" s="71"/>
      <c r="BR33" s="71"/>
      <c r="BS33" s="71"/>
    </row>
    <row r="34" spans="1:71" s="188" customFormat="1" ht="15" customHeight="1" x14ac:dyDescent="0.25">
      <c r="A34" s="71"/>
      <c r="B34" s="71"/>
      <c r="C34" s="71"/>
      <c r="D34" s="71"/>
      <c r="E34" s="71"/>
      <c r="F34" s="71"/>
      <c r="G34" s="71"/>
      <c r="H34" s="71"/>
      <c r="I34" s="71"/>
      <c r="J34" s="71"/>
      <c r="K34" s="71"/>
      <c r="L34" s="71"/>
      <c r="M34" s="71"/>
      <c r="N34" s="71"/>
      <c r="O34" s="71"/>
      <c r="P34" s="71"/>
      <c r="Q34" s="71"/>
      <c r="R34" s="71"/>
      <c r="S34" s="71"/>
      <c r="T34" s="71"/>
      <c r="U34" s="71"/>
      <c r="V34" s="71"/>
      <c r="W34" s="71"/>
      <c r="X34" s="71"/>
      <c r="Y34" s="71"/>
      <c r="Z34" s="71"/>
      <c r="AA34" s="71"/>
      <c r="AB34" s="71"/>
      <c r="AC34" s="71"/>
      <c r="AD34" s="71"/>
      <c r="AE34" s="71"/>
      <c r="AF34" s="71"/>
      <c r="AG34" s="71"/>
      <c r="AI34" s="71"/>
      <c r="AJ34" s="71"/>
      <c r="AK34" s="186"/>
      <c r="AL34" s="71"/>
      <c r="AM34" s="71"/>
      <c r="AN34" s="71"/>
      <c r="AO34" s="71"/>
      <c r="AP34" s="71"/>
      <c r="AQ34" s="71"/>
      <c r="AR34" s="71"/>
      <c r="AS34" s="71"/>
      <c r="AT34" s="71"/>
      <c r="AU34" s="71"/>
      <c r="AV34" s="71"/>
      <c r="AW34" s="71"/>
      <c r="AX34" s="71"/>
      <c r="AY34" s="71"/>
      <c r="AZ34" s="71"/>
      <c r="BA34" s="71"/>
      <c r="BB34" s="71"/>
      <c r="BC34" s="71"/>
      <c r="BD34" s="71"/>
      <c r="BE34" s="71"/>
      <c r="BF34" s="71"/>
      <c r="BG34" s="71"/>
      <c r="BH34" s="71"/>
      <c r="BI34" s="71"/>
      <c r="BJ34" s="71"/>
      <c r="BK34" s="71"/>
      <c r="BL34" s="71"/>
      <c r="BM34" s="71"/>
      <c r="BN34" s="71"/>
      <c r="BO34" s="71"/>
      <c r="BP34" s="71"/>
      <c r="BQ34" s="71"/>
      <c r="BR34" s="71"/>
      <c r="BS34" s="71"/>
    </row>
    <row r="35" spans="1:71" s="188" customFormat="1" ht="15" customHeight="1" x14ac:dyDescent="0.25">
      <c r="A35" s="71"/>
      <c r="B35" s="71"/>
      <c r="C35" s="71"/>
      <c r="D35" s="71"/>
      <c r="E35" s="71"/>
      <c r="F35" s="71"/>
      <c r="G35" s="71"/>
      <c r="H35" s="71"/>
      <c r="I35" s="71"/>
      <c r="J35" s="71"/>
      <c r="K35" s="71"/>
      <c r="L35" s="71"/>
      <c r="M35" s="71"/>
      <c r="N35" s="71"/>
      <c r="O35" s="71"/>
      <c r="P35" s="71"/>
      <c r="Q35" s="71"/>
      <c r="R35" s="71"/>
      <c r="S35" s="71"/>
      <c r="T35" s="71"/>
      <c r="U35" s="71"/>
      <c r="V35" s="71"/>
      <c r="W35" s="71"/>
      <c r="X35" s="71"/>
      <c r="Y35" s="71"/>
      <c r="Z35" s="71"/>
      <c r="AA35" s="71"/>
      <c r="AB35" s="71"/>
      <c r="AC35" s="71"/>
      <c r="AD35" s="71"/>
      <c r="AE35" s="71"/>
      <c r="AF35" s="71"/>
      <c r="AG35" s="71"/>
      <c r="AH35" s="71"/>
      <c r="AI35" s="71"/>
      <c r="AJ35" s="71"/>
      <c r="AK35" s="186"/>
      <c r="AL35" s="71"/>
      <c r="AM35" s="71"/>
      <c r="AN35" s="71"/>
      <c r="AO35" s="71"/>
      <c r="AP35" s="71"/>
      <c r="AQ35" s="71"/>
      <c r="AR35" s="71"/>
      <c r="AS35" s="71"/>
      <c r="AT35" s="71"/>
      <c r="AU35" s="71"/>
      <c r="AV35" s="71"/>
      <c r="AW35" s="71"/>
      <c r="AX35" s="71"/>
      <c r="AY35" s="71"/>
      <c r="AZ35" s="71"/>
      <c r="BA35" s="71"/>
      <c r="BB35" s="71"/>
      <c r="BC35" s="71"/>
      <c r="BD35" s="71"/>
      <c r="BE35" s="71"/>
      <c r="BF35" s="71"/>
      <c r="BG35" s="71"/>
      <c r="BH35" s="71"/>
      <c r="BI35" s="71"/>
      <c r="BJ35" s="71"/>
      <c r="BK35" s="71"/>
      <c r="BL35" s="71"/>
      <c r="BM35" s="71"/>
      <c r="BN35" s="71"/>
      <c r="BO35" s="71"/>
      <c r="BP35" s="71"/>
      <c r="BQ35" s="71"/>
      <c r="BR35" s="71"/>
      <c r="BS35" s="71"/>
    </row>
    <row r="36" spans="1:71" s="188" customFormat="1" ht="15" customHeight="1" x14ac:dyDescent="0.25">
      <c r="A36" s="71"/>
      <c r="B36" s="71"/>
      <c r="C36" s="71"/>
      <c r="D36" s="71"/>
      <c r="E36" s="71"/>
      <c r="F36" s="71"/>
      <c r="G36" s="71"/>
      <c r="H36" s="71"/>
      <c r="I36" s="71"/>
      <c r="J36" s="71"/>
      <c r="K36" s="71"/>
      <c r="L36" s="71"/>
      <c r="M36" s="71"/>
      <c r="N36" s="71"/>
      <c r="O36" s="71"/>
      <c r="P36" s="71"/>
      <c r="Q36" s="71"/>
      <c r="R36" s="71"/>
      <c r="S36" s="71"/>
      <c r="T36" s="71"/>
      <c r="U36" s="71"/>
      <c r="V36" s="71"/>
      <c r="W36" s="71"/>
      <c r="X36" s="71"/>
      <c r="Y36" s="71"/>
      <c r="Z36" s="71"/>
      <c r="AA36" s="71"/>
      <c r="AB36" s="71"/>
      <c r="AC36" s="71"/>
      <c r="AD36" s="71"/>
      <c r="AE36" s="71"/>
      <c r="AF36" s="71"/>
      <c r="AG36" s="71"/>
      <c r="AH36" s="71"/>
      <c r="AI36" s="71"/>
      <c r="AJ36" s="71"/>
      <c r="AK36" s="186"/>
      <c r="AL36" s="71"/>
      <c r="AM36" s="71"/>
      <c r="AN36" s="71"/>
      <c r="AO36" s="71"/>
      <c r="AP36" s="71"/>
      <c r="AQ36" s="71"/>
      <c r="AR36" s="71"/>
      <c r="AS36" s="71"/>
      <c r="AT36" s="71"/>
      <c r="AU36" s="71"/>
      <c r="AV36" s="71"/>
      <c r="AW36" s="71"/>
      <c r="AX36" s="71"/>
      <c r="AY36" s="71"/>
      <c r="AZ36" s="71"/>
      <c r="BA36" s="71"/>
      <c r="BB36" s="71"/>
      <c r="BC36" s="71"/>
      <c r="BD36" s="71"/>
      <c r="BE36" s="71"/>
      <c r="BF36" s="71"/>
      <c r="BG36" s="71"/>
      <c r="BH36" s="71"/>
      <c r="BI36" s="71"/>
      <c r="BJ36" s="71"/>
      <c r="BK36" s="71"/>
      <c r="BL36" s="71"/>
      <c r="BM36" s="71"/>
      <c r="BN36" s="71"/>
      <c r="BO36" s="71"/>
      <c r="BP36" s="71"/>
      <c r="BQ36" s="71"/>
      <c r="BR36" s="71"/>
      <c r="BS36" s="71"/>
    </row>
    <row r="37" spans="1:71" ht="15" x14ac:dyDescent="0.25">
      <c r="A37" s="37"/>
      <c r="B37" s="37"/>
      <c r="C37" s="37"/>
      <c r="D37" s="37"/>
      <c r="E37" s="37"/>
      <c r="F37" s="37" t="s">
        <v>392</v>
      </c>
      <c r="G37" s="36"/>
      <c r="H37" s="36"/>
      <c r="I37" s="36"/>
      <c r="J37" s="36"/>
      <c r="K37" s="36"/>
      <c r="L37" s="36"/>
      <c r="M37" s="36"/>
      <c r="N37" s="36"/>
      <c r="O37" s="36"/>
      <c r="P37" s="36"/>
      <c r="Q37" s="36"/>
      <c r="R37" s="36"/>
      <c r="S37" s="36"/>
      <c r="T37" s="36"/>
      <c r="U37" s="36"/>
      <c r="V37" s="36"/>
      <c r="W37" s="36"/>
      <c r="X37" s="36"/>
      <c r="Y37" s="36"/>
      <c r="Z37" s="36"/>
      <c r="AA37" s="36"/>
      <c r="AB37" s="36"/>
      <c r="AC37" s="36"/>
      <c r="AD37" s="36"/>
      <c r="AE37" s="36"/>
      <c r="AF37" s="36"/>
      <c r="AG37" s="36"/>
      <c r="AH37" s="36" t="s">
        <v>393</v>
      </c>
      <c r="AI37" s="36"/>
      <c r="AJ37" s="36"/>
      <c r="AK37" s="36"/>
      <c r="AL37" s="37"/>
      <c r="AM37" s="37"/>
      <c r="AN37" s="37"/>
      <c r="AO37" s="37"/>
      <c r="AP37" s="37"/>
      <c r="AQ37" s="37"/>
      <c r="AR37" s="37"/>
      <c r="AS37" s="37"/>
      <c r="AT37" s="37"/>
      <c r="AU37" s="37"/>
      <c r="AV37" s="37"/>
      <c r="AW37" s="37"/>
      <c r="AX37" s="37"/>
      <c r="AY37" s="37"/>
      <c r="AZ37" s="37"/>
      <c r="BA37" s="37"/>
      <c r="BB37" s="37"/>
      <c r="BC37" s="37"/>
      <c r="BD37" s="37"/>
      <c r="BE37" s="37"/>
      <c r="BF37" s="37"/>
      <c r="BG37" s="37"/>
      <c r="BH37" s="37"/>
      <c r="BI37" s="37"/>
      <c r="BJ37" s="37"/>
      <c r="BK37" s="37"/>
      <c r="BL37" s="37"/>
      <c r="BM37" s="37"/>
      <c r="BN37" s="37"/>
      <c r="BO37" s="37"/>
      <c r="BP37" s="37"/>
      <c r="BQ37" s="37"/>
      <c r="BR37" s="37"/>
      <c r="BS37" s="37"/>
    </row>
    <row r="38" spans="1:71" ht="15" x14ac:dyDescent="0.25">
      <c r="A38" s="37"/>
      <c r="B38" s="37"/>
      <c r="C38" s="37"/>
      <c r="D38" s="37"/>
      <c r="E38" s="37"/>
      <c r="F38" s="36"/>
      <c r="G38" s="36"/>
      <c r="H38" s="36"/>
      <c r="I38" s="36"/>
      <c r="J38" s="36"/>
      <c r="K38" s="36"/>
      <c r="L38" s="36"/>
      <c r="M38" s="36"/>
      <c r="N38" s="36"/>
      <c r="O38" s="36"/>
      <c r="P38" s="36"/>
      <c r="Q38" s="36"/>
      <c r="R38" s="36"/>
      <c r="S38" s="36"/>
      <c r="T38" s="36"/>
      <c r="U38" s="36"/>
      <c r="V38" s="36"/>
      <c r="W38" s="36"/>
      <c r="X38" s="36"/>
      <c r="Y38" s="36"/>
      <c r="Z38" s="36"/>
      <c r="AA38" s="36"/>
      <c r="AB38" s="36"/>
      <c r="AC38" s="36"/>
      <c r="AD38" s="36"/>
      <c r="AE38" s="36"/>
      <c r="AF38" s="36"/>
      <c r="AG38" s="36"/>
      <c r="AH38" s="36" t="s">
        <v>621</v>
      </c>
      <c r="AI38" s="36"/>
      <c r="AJ38" s="36"/>
      <c r="AK38" s="36"/>
      <c r="AL38" s="37"/>
      <c r="AM38" s="37"/>
      <c r="AN38" s="37"/>
      <c r="AO38" s="37"/>
      <c r="AP38" s="37"/>
      <c r="AQ38" s="37"/>
      <c r="AR38" s="37"/>
      <c r="AS38" s="37"/>
      <c r="AT38" s="37"/>
      <c r="AU38" s="37"/>
      <c r="AV38" s="37"/>
      <c r="AW38" s="37"/>
      <c r="AX38" s="37"/>
      <c r="AY38" s="37"/>
      <c r="AZ38" s="37"/>
      <c r="BA38" s="37"/>
      <c r="BB38" s="37"/>
      <c r="BC38" s="37"/>
      <c r="BD38" s="37"/>
      <c r="BE38" s="37"/>
      <c r="BF38" s="37"/>
      <c r="BG38" s="37"/>
      <c r="BH38" s="37"/>
      <c r="BI38" s="37"/>
      <c r="BJ38" s="37"/>
      <c r="BK38" s="37"/>
      <c r="BL38" s="37"/>
      <c r="BM38" s="37"/>
      <c r="BN38" s="37"/>
      <c r="BO38" s="37"/>
      <c r="BP38" s="37"/>
      <c r="BQ38" s="37"/>
      <c r="BR38" s="37"/>
      <c r="BS38" s="37"/>
    </row>
    <row r="39" spans="1:71" ht="15" x14ac:dyDescent="0.25">
      <c r="A39" s="37"/>
      <c r="B39" s="37"/>
      <c r="C39" s="37"/>
      <c r="D39" s="37"/>
      <c r="E39" s="37"/>
      <c r="F39" s="71"/>
      <c r="G39" s="71"/>
      <c r="H39" s="71"/>
      <c r="I39" s="71"/>
      <c r="J39" s="71"/>
      <c r="K39" s="71"/>
      <c r="L39" s="71"/>
      <c r="M39" s="71"/>
      <c r="N39" s="71"/>
      <c r="O39" s="71"/>
      <c r="P39" s="71"/>
      <c r="Q39" s="71"/>
      <c r="R39" s="71"/>
      <c r="S39" s="71"/>
      <c r="T39" s="71"/>
      <c r="U39" s="71"/>
      <c r="V39" s="71"/>
      <c r="W39" s="71"/>
      <c r="X39" s="71"/>
      <c r="Y39" s="71"/>
      <c r="Z39" s="71"/>
      <c r="AA39" s="71"/>
      <c r="AB39" s="71"/>
      <c r="AC39" s="71"/>
      <c r="AD39" s="71"/>
      <c r="AE39" s="71"/>
      <c r="AF39" s="71"/>
      <c r="AG39" s="71"/>
      <c r="AH39" s="71"/>
      <c r="AI39" s="71"/>
      <c r="AJ39" s="71"/>
      <c r="AK39" s="186"/>
      <c r="AL39" s="71"/>
      <c r="AM39" s="71"/>
      <c r="AN39" s="71"/>
      <c r="AO39" s="37"/>
      <c r="AP39" s="37"/>
      <c r="AQ39" s="37"/>
      <c r="AR39" s="37"/>
      <c r="AS39" s="37"/>
      <c r="AT39" s="37"/>
      <c r="AU39" s="37"/>
      <c r="AV39" s="37"/>
      <c r="AW39" s="37"/>
      <c r="AX39" s="37"/>
      <c r="AY39" s="37"/>
      <c r="AZ39" s="37"/>
      <c r="BA39" s="37"/>
      <c r="BB39" s="37"/>
      <c r="BC39" s="37"/>
      <c r="BD39" s="37"/>
      <c r="BE39" s="37"/>
      <c r="BF39" s="37"/>
      <c r="BG39" s="37"/>
      <c r="BH39" s="37"/>
      <c r="BI39" s="37"/>
      <c r="BJ39" s="37"/>
      <c r="BK39" s="37"/>
      <c r="BL39" s="37"/>
      <c r="BM39" s="37"/>
      <c r="BN39" s="37"/>
      <c r="BO39" s="37"/>
      <c r="BP39" s="37"/>
      <c r="BQ39" s="37"/>
      <c r="BR39" s="37"/>
      <c r="BS39" s="37"/>
    </row>
    <row r="40" spans="1:71" ht="15" x14ac:dyDescent="0.25">
      <c r="A40" s="37"/>
      <c r="B40" s="37"/>
      <c r="C40" s="37"/>
      <c r="D40" s="37"/>
      <c r="E40" s="37"/>
      <c r="F40" s="37" t="s">
        <v>394</v>
      </c>
      <c r="G40" s="37"/>
      <c r="H40" s="37"/>
      <c r="I40" s="37"/>
      <c r="J40" s="37"/>
      <c r="K40" s="37"/>
      <c r="L40" s="37"/>
      <c r="M40" s="37"/>
      <c r="N40" s="37"/>
      <c r="O40" s="37"/>
      <c r="P40" s="37"/>
      <c r="Q40" s="37"/>
      <c r="R40" s="37"/>
      <c r="S40" s="37"/>
      <c r="T40" s="37"/>
      <c r="U40" s="37"/>
      <c r="V40" s="37"/>
      <c r="W40" s="37"/>
      <c r="X40" s="37"/>
      <c r="Y40" s="37"/>
      <c r="Z40" s="37"/>
      <c r="AA40" s="37"/>
      <c r="AB40" s="37"/>
      <c r="AC40" s="37"/>
      <c r="AD40" s="37"/>
      <c r="AE40" s="37"/>
      <c r="AF40" s="37"/>
      <c r="AG40" s="37"/>
      <c r="AH40" s="37" t="s">
        <v>395</v>
      </c>
      <c r="AI40" s="37"/>
      <c r="AJ40" s="37"/>
      <c r="AK40" s="37"/>
      <c r="AL40" s="37"/>
      <c r="AM40" s="37"/>
      <c r="AN40" s="37"/>
      <c r="AO40" s="37"/>
      <c r="AP40" s="37"/>
      <c r="AQ40" s="37"/>
      <c r="AR40" s="37"/>
      <c r="AS40" s="37"/>
      <c r="AT40" s="37"/>
      <c r="AU40" s="37"/>
      <c r="AV40" s="37"/>
      <c r="AW40" s="37"/>
      <c r="AX40" s="37"/>
      <c r="AY40" s="37"/>
      <c r="AZ40" s="37"/>
      <c r="BA40" s="37"/>
      <c r="BB40" s="37"/>
      <c r="BC40" s="37"/>
      <c r="BD40" s="37"/>
      <c r="BE40" s="37"/>
      <c r="BF40" s="37"/>
      <c r="BG40" s="37"/>
      <c r="BH40" s="37"/>
      <c r="BI40" s="37"/>
      <c r="BJ40" s="37"/>
      <c r="BK40" s="37"/>
      <c r="BL40" s="37"/>
      <c r="BM40" s="37"/>
      <c r="BN40" s="37"/>
      <c r="BO40" s="37"/>
      <c r="BP40" s="37"/>
      <c r="BQ40" s="37"/>
      <c r="BR40" s="37"/>
      <c r="BS40" s="37"/>
    </row>
    <row r="41" spans="1:71" ht="15" x14ac:dyDescent="0.25">
      <c r="A41" s="37"/>
      <c r="B41" s="37"/>
      <c r="C41" s="37"/>
      <c r="D41" s="37"/>
      <c r="E41" s="37"/>
      <c r="F41" s="37"/>
      <c r="G41" s="37"/>
      <c r="H41" s="37"/>
      <c r="I41" s="37"/>
      <c r="J41" s="37"/>
      <c r="K41" s="37"/>
      <c r="L41" s="37"/>
      <c r="M41" s="37"/>
      <c r="N41" s="37"/>
      <c r="O41" s="37"/>
      <c r="P41" s="37"/>
      <c r="Q41" s="37"/>
      <c r="R41" s="37"/>
      <c r="S41" s="37"/>
      <c r="T41" s="37"/>
      <c r="U41" s="37"/>
      <c r="V41" s="37"/>
      <c r="W41" s="37"/>
      <c r="X41" s="37"/>
      <c r="Y41" s="37"/>
      <c r="Z41" s="37"/>
      <c r="AA41" s="37"/>
      <c r="AB41" s="37"/>
      <c r="AC41" s="37"/>
      <c r="AD41" s="37"/>
      <c r="AE41" s="37"/>
      <c r="AF41" s="37"/>
      <c r="AG41" s="37"/>
      <c r="AH41" s="37" t="s">
        <v>622</v>
      </c>
      <c r="AI41" s="37"/>
      <c r="AJ41" s="37"/>
      <c r="AK41" s="37"/>
      <c r="AL41" s="37"/>
      <c r="AM41" s="37"/>
      <c r="AN41" s="37"/>
      <c r="AO41" s="37"/>
      <c r="AP41" s="37"/>
      <c r="AQ41" s="37"/>
      <c r="AR41" s="37"/>
      <c r="AS41" s="37"/>
      <c r="AT41" s="37"/>
      <c r="AU41" s="37"/>
      <c r="AV41" s="37"/>
      <c r="AW41" s="37"/>
      <c r="AX41" s="37"/>
      <c r="AY41" s="37"/>
      <c r="AZ41" s="37"/>
      <c r="BA41" s="37"/>
      <c r="BB41" s="37"/>
      <c r="BC41" s="37"/>
      <c r="BD41" s="37"/>
      <c r="BE41" s="37"/>
      <c r="BF41" s="37"/>
      <c r="BG41" s="37"/>
      <c r="BH41" s="37"/>
      <c r="BI41" s="37"/>
      <c r="BJ41" s="37"/>
      <c r="BK41" s="37"/>
      <c r="BL41" s="37"/>
      <c r="BM41" s="37"/>
      <c r="BN41" s="37"/>
      <c r="BO41" s="37"/>
      <c r="BP41" s="37"/>
      <c r="BQ41" s="37"/>
      <c r="BR41" s="37"/>
      <c r="BS41" s="37"/>
    </row>
    <row r="42" spans="1:71" ht="15" x14ac:dyDescent="0.25">
      <c r="A42" s="37"/>
      <c r="B42" s="37"/>
      <c r="C42" s="37"/>
      <c r="D42" s="37"/>
      <c r="E42" s="37"/>
      <c r="F42" s="37"/>
      <c r="G42" s="37"/>
      <c r="H42" s="37"/>
      <c r="I42" s="37"/>
      <c r="J42" s="37"/>
      <c r="K42" s="37"/>
      <c r="L42" s="37"/>
      <c r="M42" s="37"/>
      <c r="N42" s="37"/>
      <c r="O42" s="37"/>
      <c r="P42" s="37"/>
      <c r="Q42" s="37"/>
      <c r="R42" s="37"/>
      <c r="S42" s="37"/>
      <c r="T42" s="37"/>
      <c r="U42" s="37"/>
      <c r="V42" s="37"/>
      <c r="W42" s="37"/>
      <c r="X42" s="37"/>
      <c r="Y42" s="37"/>
      <c r="Z42" s="37"/>
      <c r="AA42" s="37"/>
      <c r="AB42" s="37"/>
      <c r="AC42" s="37"/>
      <c r="AD42" s="37"/>
      <c r="AE42" s="37"/>
      <c r="AF42" s="37"/>
      <c r="AG42" s="37"/>
      <c r="AH42" s="37"/>
      <c r="AI42" s="37"/>
      <c r="AJ42" s="37"/>
      <c r="AK42" s="37"/>
      <c r="AL42" s="37"/>
      <c r="AM42" s="37"/>
      <c r="AN42" s="37"/>
      <c r="AO42" s="37"/>
      <c r="AP42" s="37"/>
      <c r="AQ42" s="37"/>
      <c r="AR42" s="37"/>
      <c r="AS42" s="37"/>
      <c r="AT42" s="37"/>
      <c r="AU42" s="37"/>
      <c r="AV42" s="37"/>
      <c r="AW42" s="37"/>
      <c r="AX42" s="37"/>
      <c r="AY42" s="37"/>
      <c r="AZ42" s="37"/>
      <c r="BA42" s="37"/>
      <c r="BB42" s="37"/>
      <c r="BC42" s="37"/>
      <c r="BD42" s="37"/>
      <c r="BE42" s="37"/>
      <c r="BF42" s="37"/>
      <c r="BG42" s="37"/>
      <c r="BH42" s="37"/>
      <c r="BI42" s="37"/>
      <c r="BJ42" s="37"/>
      <c r="BK42" s="37"/>
      <c r="BL42" s="37"/>
      <c r="BM42" s="37"/>
      <c r="BN42" s="37"/>
      <c r="BO42" s="37"/>
      <c r="BP42" s="37"/>
      <c r="BQ42" s="37"/>
      <c r="BR42" s="37"/>
      <c r="BS42" s="37"/>
    </row>
    <row r="43" spans="1:71" ht="15" x14ac:dyDescent="0.25">
      <c r="A43" s="37"/>
      <c r="B43" s="37"/>
      <c r="C43" s="37"/>
      <c r="D43" s="37"/>
      <c r="E43" s="37"/>
      <c r="F43" s="37" t="s">
        <v>600</v>
      </c>
      <c r="G43" s="37"/>
      <c r="H43" s="37"/>
      <c r="I43" s="37"/>
      <c r="J43" s="37"/>
      <c r="K43" s="37"/>
      <c r="L43" s="37"/>
      <c r="M43" s="37"/>
      <c r="N43" s="37"/>
      <c r="O43" s="37"/>
      <c r="P43" s="37"/>
      <c r="Q43" s="37"/>
      <c r="R43" s="37"/>
      <c r="S43" s="37"/>
      <c r="T43" s="37"/>
      <c r="U43" s="37"/>
      <c r="V43" s="37"/>
      <c r="W43" s="37"/>
      <c r="X43" s="37"/>
      <c r="Y43" s="37"/>
      <c r="Z43" s="37"/>
      <c r="AA43" s="37"/>
      <c r="AB43" s="37"/>
      <c r="AC43" s="37"/>
      <c r="AD43" s="37"/>
      <c r="AE43" s="37"/>
      <c r="AF43" s="37"/>
      <c r="AG43" s="37"/>
      <c r="AH43" s="37" t="s">
        <v>601</v>
      </c>
      <c r="AI43" s="37"/>
      <c r="AJ43" s="37"/>
      <c r="AK43" s="37"/>
      <c r="AL43" s="37"/>
      <c r="AM43" s="37"/>
      <c r="AN43" s="37"/>
      <c r="AO43" s="37"/>
      <c r="AP43" s="37"/>
      <c r="AQ43" s="37"/>
      <c r="AR43" s="37"/>
      <c r="AS43" s="37"/>
      <c r="AT43" s="37"/>
      <c r="AU43" s="37"/>
      <c r="AV43" s="37"/>
      <c r="AW43" s="37"/>
      <c r="AX43" s="37"/>
      <c r="AY43" s="37"/>
      <c r="AZ43" s="37"/>
      <c r="BA43" s="37"/>
      <c r="BB43" s="37"/>
      <c r="BC43" s="37"/>
      <c r="BD43" s="37"/>
      <c r="BE43" s="37"/>
      <c r="BF43" s="37"/>
      <c r="BG43" s="37"/>
      <c r="BH43" s="37"/>
      <c r="BI43" s="37"/>
      <c r="BJ43" s="37"/>
      <c r="BK43" s="37"/>
      <c r="BL43" s="37"/>
      <c r="BM43" s="37"/>
      <c r="BN43" s="37"/>
      <c r="BO43" s="37"/>
      <c r="BP43" s="37"/>
      <c r="BQ43" s="37"/>
      <c r="BR43" s="37"/>
      <c r="BS43" s="37"/>
    </row>
    <row r="44" spans="1:71" ht="15" x14ac:dyDescent="0.25">
      <c r="A44" s="37"/>
      <c r="B44" s="37"/>
      <c r="C44" s="37"/>
      <c r="D44" s="37"/>
      <c r="E44" s="37"/>
      <c r="F44" s="37"/>
      <c r="G44" s="37"/>
      <c r="H44" s="37"/>
      <c r="I44" s="37"/>
      <c r="J44" s="37"/>
      <c r="K44" s="37"/>
      <c r="L44" s="37"/>
      <c r="M44" s="37"/>
      <c r="N44" s="37"/>
      <c r="O44" s="37"/>
      <c r="P44" s="37"/>
      <c r="Q44" s="37"/>
      <c r="R44" s="37"/>
      <c r="S44" s="37"/>
      <c r="T44" s="37"/>
      <c r="U44" s="37"/>
      <c r="V44" s="37"/>
      <c r="W44" s="37"/>
      <c r="X44" s="37"/>
      <c r="Y44" s="37"/>
      <c r="Z44" s="37"/>
      <c r="AA44" s="37"/>
      <c r="AB44" s="37"/>
      <c r="AC44" s="37"/>
      <c r="AD44" s="37"/>
      <c r="AE44" s="37"/>
      <c r="AF44" s="37"/>
      <c r="AG44" s="37"/>
      <c r="AH44" s="37"/>
      <c r="AI44" s="37"/>
      <c r="AJ44" s="37"/>
      <c r="AK44" s="37"/>
      <c r="AL44" s="37"/>
      <c r="AM44" s="37"/>
      <c r="AN44" s="37"/>
      <c r="AO44" s="37"/>
      <c r="AP44" s="37"/>
      <c r="AQ44" s="37"/>
      <c r="AR44" s="37"/>
      <c r="AS44" s="37"/>
      <c r="AT44" s="37"/>
      <c r="AU44" s="37"/>
      <c r="AV44" s="37"/>
      <c r="AW44" s="37"/>
      <c r="AX44" s="37"/>
      <c r="AY44" s="37"/>
      <c r="AZ44" s="37"/>
      <c r="BA44" s="37"/>
      <c r="BB44" s="37"/>
      <c r="BC44" s="37"/>
      <c r="BD44" s="37"/>
      <c r="BE44" s="37"/>
      <c r="BF44" s="37"/>
      <c r="BG44" s="37"/>
      <c r="BH44" s="37"/>
      <c r="BI44" s="37"/>
      <c r="BJ44" s="37"/>
      <c r="BK44" s="37"/>
      <c r="BL44" s="37"/>
      <c r="BM44" s="37"/>
      <c r="BN44" s="37"/>
      <c r="BO44" s="37"/>
      <c r="BP44" s="37"/>
      <c r="BQ44" s="37"/>
      <c r="BR44" s="37"/>
      <c r="BS44" s="37"/>
    </row>
    <row r="45" spans="1:71" ht="15" x14ac:dyDescent="0.25">
      <c r="A45" s="37"/>
      <c r="B45" s="37"/>
      <c r="C45" s="37"/>
      <c r="D45" s="37"/>
      <c r="E45" s="37"/>
      <c r="F45" s="37" t="s">
        <v>602</v>
      </c>
      <c r="G45" s="37"/>
      <c r="H45" s="37"/>
      <c r="I45" s="37"/>
      <c r="J45" s="37"/>
      <c r="K45" s="37"/>
      <c r="L45" s="37"/>
      <c r="M45" s="37"/>
      <c r="N45" s="37"/>
      <c r="O45" s="37"/>
      <c r="P45" s="37"/>
      <c r="Q45" s="37"/>
      <c r="R45" s="37"/>
      <c r="S45" s="37"/>
      <c r="T45" s="37"/>
      <c r="U45" s="37"/>
      <c r="V45" s="37"/>
      <c r="W45" s="37"/>
      <c r="X45" s="37"/>
      <c r="Y45" s="37"/>
      <c r="Z45" s="37"/>
      <c r="AA45" s="37"/>
      <c r="AB45" s="37"/>
      <c r="AC45" s="37"/>
      <c r="AD45" s="37"/>
      <c r="AE45" s="37"/>
      <c r="AF45" s="37"/>
      <c r="AG45" s="37"/>
      <c r="AH45" s="37" t="s">
        <v>603</v>
      </c>
      <c r="AI45" s="37"/>
      <c r="AJ45" s="37"/>
      <c r="AK45" s="37"/>
      <c r="AL45" s="37"/>
      <c r="AM45" s="37"/>
      <c r="AN45" s="37"/>
      <c r="AO45" s="37"/>
      <c r="AP45" s="37"/>
      <c r="AQ45" s="37"/>
      <c r="AR45" s="37"/>
      <c r="AS45" s="37"/>
      <c r="AT45" s="37"/>
      <c r="AU45" s="37"/>
      <c r="AV45" s="37"/>
      <c r="AW45" s="37"/>
      <c r="AX45" s="37"/>
      <c r="AY45" s="37"/>
      <c r="AZ45" s="37"/>
      <c r="BA45" s="37"/>
      <c r="BB45" s="37"/>
      <c r="BC45" s="37"/>
      <c r="BD45" s="37"/>
      <c r="BE45" s="37"/>
      <c r="BF45" s="37"/>
      <c r="BG45" s="37"/>
      <c r="BH45" s="37"/>
      <c r="BI45" s="37"/>
      <c r="BJ45" s="37"/>
      <c r="BK45" s="37"/>
      <c r="BL45" s="37"/>
      <c r="BM45" s="37"/>
      <c r="BN45" s="37"/>
      <c r="BO45" s="37"/>
      <c r="BP45" s="37"/>
      <c r="BQ45" s="37"/>
      <c r="BR45" s="37"/>
      <c r="BS45" s="37"/>
    </row>
    <row r="46" spans="1:71" ht="15" x14ac:dyDescent="0.25">
      <c r="A46" s="37"/>
      <c r="B46" s="37"/>
      <c r="C46" s="37"/>
      <c r="D46" s="37"/>
      <c r="E46" s="37"/>
      <c r="F46" s="37"/>
      <c r="G46" s="37"/>
      <c r="H46" s="37"/>
      <c r="I46" s="37"/>
      <c r="J46" s="37"/>
      <c r="K46" s="37"/>
      <c r="L46" s="37"/>
      <c r="M46" s="37"/>
      <c r="N46" s="37"/>
      <c r="O46" s="37"/>
      <c r="P46" s="37"/>
      <c r="Q46" s="37"/>
      <c r="R46" s="37"/>
      <c r="S46" s="37"/>
      <c r="T46" s="37"/>
      <c r="U46" s="37"/>
      <c r="V46" s="37"/>
      <c r="W46" s="37"/>
      <c r="X46" s="37"/>
      <c r="Y46" s="37"/>
      <c r="Z46" s="37"/>
      <c r="AA46" s="37"/>
      <c r="AB46" s="37"/>
      <c r="AC46" s="37"/>
      <c r="AD46" s="37"/>
      <c r="AE46" s="37"/>
      <c r="AF46" s="37"/>
      <c r="AG46" s="37"/>
      <c r="AH46" s="37"/>
      <c r="AI46" s="37"/>
      <c r="AJ46" s="37"/>
      <c r="AK46" s="37"/>
      <c r="AL46" s="37"/>
      <c r="AM46" s="37"/>
      <c r="AN46" s="37"/>
      <c r="AO46" s="37"/>
      <c r="AP46" s="37"/>
      <c r="AQ46" s="37"/>
      <c r="AR46" s="37"/>
      <c r="AS46" s="37"/>
      <c r="AT46" s="37"/>
      <c r="AU46" s="37"/>
      <c r="AV46" s="37"/>
      <c r="AW46" s="37"/>
      <c r="AX46" s="37"/>
      <c r="AY46" s="37"/>
      <c r="AZ46" s="37"/>
      <c r="BA46" s="37"/>
      <c r="BB46" s="37"/>
      <c r="BC46" s="37"/>
      <c r="BD46" s="37"/>
      <c r="BE46" s="37"/>
      <c r="BF46" s="37"/>
      <c r="BG46" s="37"/>
      <c r="BH46" s="37"/>
      <c r="BI46" s="37"/>
      <c r="BJ46" s="37"/>
      <c r="BK46" s="37"/>
      <c r="BL46" s="37"/>
      <c r="BM46" s="37"/>
      <c r="BN46" s="37"/>
      <c r="BO46" s="37"/>
      <c r="BP46" s="37"/>
      <c r="BQ46" s="37"/>
      <c r="BR46" s="37"/>
      <c r="BS46" s="37"/>
    </row>
    <row r="47" spans="1:71" ht="15" x14ac:dyDescent="0.25">
      <c r="A47" s="37"/>
      <c r="B47" s="37"/>
      <c r="C47" s="37"/>
      <c r="D47" s="37"/>
      <c r="E47" s="37"/>
      <c r="F47" s="37" t="s">
        <v>623</v>
      </c>
      <c r="G47" s="37"/>
      <c r="H47" s="37"/>
      <c r="I47" s="37"/>
      <c r="J47" s="37"/>
      <c r="K47" s="37"/>
      <c r="L47" s="37"/>
      <c r="M47" s="37"/>
      <c r="N47" s="37"/>
      <c r="O47" s="37"/>
      <c r="P47" s="37"/>
      <c r="Q47" s="37"/>
      <c r="R47" s="37"/>
      <c r="S47" s="37"/>
      <c r="T47" s="37"/>
      <c r="U47" s="37"/>
      <c r="V47" s="37"/>
      <c r="W47" s="37"/>
      <c r="X47" s="37"/>
      <c r="Y47" s="37"/>
      <c r="Z47" s="37"/>
      <c r="AA47" s="37"/>
      <c r="AB47" s="37"/>
      <c r="AC47" s="37"/>
      <c r="AD47" s="37"/>
      <c r="AE47" s="37"/>
      <c r="AF47" s="37"/>
      <c r="AG47" s="37"/>
      <c r="AH47" s="37" t="s">
        <v>624</v>
      </c>
      <c r="AI47" s="37"/>
      <c r="AJ47" s="37"/>
      <c r="AK47" s="37"/>
      <c r="AL47" s="37"/>
      <c r="AM47" s="37"/>
      <c r="AN47" s="37"/>
      <c r="AO47" s="37"/>
      <c r="AP47" s="37"/>
      <c r="AQ47" s="37"/>
      <c r="AR47" s="37"/>
      <c r="AS47" s="37"/>
      <c r="AT47" s="37"/>
      <c r="AU47" s="37"/>
      <c r="AV47" s="37"/>
      <c r="AW47" s="37"/>
      <c r="AX47" s="37"/>
      <c r="AY47" s="37"/>
      <c r="AZ47" s="37"/>
      <c r="BA47" s="37"/>
      <c r="BB47" s="37"/>
      <c r="BC47" s="37"/>
      <c r="BD47" s="37"/>
      <c r="BE47" s="37"/>
      <c r="BF47" s="37"/>
      <c r="BG47" s="37"/>
      <c r="BH47" s="37"/>
      <c r="BI47" s="37"/>
      <c r="BJ47" s="37"/>
      <c r="BK47" s="37"/>
      <c r="BL47" s="37"/>
      <c r="BM47" s="37"/>
      <c r="BN47" s="37"/>
      <c r="BO47" s="37"/>
      <c r="BP47" s="37"/>
      <c r="BQ47" s="37"/>
      <c r="BR47" s="37"/>
      <c r="BS47" s="37"/>
    </row>
    <row r="48" spans="1:71" ht="15" x14ac:dyDescent="0.25">
      <c r="A48" s="37"/>
      <c r="B48" s="37"/>
      <c r="C48" s="37"/>
      <c r="D48" s="37"/>
      <c r="E48" s="37"/>
      <c r="F48" s="36"/>
      <c r="G48" s="36"/>
      <c r="H48" s="36"/>
      <c r="I48" s="36"/>
      <c r="J48" s="36"/>
      <c r="K48" s="36"/>
      <c r="L48" s="36"/>
      <c r="M48" s="36"/>
      <c r="N48" s="36"/>
      <c r="O48" s="36"/>
      <c r="P48" s="36"/>
      <c r="Q48" s="36"/>
      <c r="R48" s="36"/>
      <c r="S48" s="36"/>
      <c r="T48" s="36"/>
      <c r="U48" s="36"/>
      <c r="V48" s="36"/>
      <c r="W48" s="36"/>
      <c r="X48" s="36"/>
      <c r="Y48" s="36"/>
      <c r="Z48" s="36"/>
      <c r="AA48" s="36"/>
      <c r="AB48" s="36"/>
      <c r="AC48" s="36"/>
      <c r="AD48" s="36"/>
      <c r="AE48" s="36"/>
      <c r="AF48" s="36"/>
      <c r="AG48" s="36"/>
      <c r="AH48" s="36"/>
      <c r="AI48" s="36"/>
      <c r="AJ48" s="36"/>
      <c r="AK48" s="36"/>
      <c r="AL48" s="36"/>
      <c r="AM48" s="36"/>
      <c r="AN48" s="37"/>
      <c r="AO48" s="37"/>
      <c r="AP48" s="37"/>
      <c r="AQ48" s="37"/>
      <c r="AR48" s="37"/>
      <c r="AS48" s="37"/>
      <c r="AT48" s="37"/>
      <c r="AU48" s="37"/>
      <c r="AV48" s="37"/>
      <c r="AW48" s="37"/>
      <c r="AX48" s="37"/>
      <c r="AY48" s="37"/>
      <c r="AZ48" s="37"/>
      <c r="BA48" s="37"/>
      <c r="BB48" s="37"/>
      <c r="BC48" s="37"/>
      <c r="BD48" s="37"/>
      <c r="BE48" s="37"/>
      <c r="BF48" s="37"/>
      <c r="BG48" s="37"/>
      <c r="BH48" s="37"/>
      <c r="BI48" s="37"/>
      <c r="BJ48" s="37"/>
      <c r="BK48" s="37"/>
      <c r="BL48" s="37"/>
      <c r="BM48" s="37"/>
      <c r="BN48" s="37"/>
      <c r="BO48" s="37"/>
      <c r="BP48" s="37"/>
      <c r="BQ48" s="37"/>
      <c r="BR48" s="37"/>
      <c r="BS48" s="37"/>
    </row>
    <row r="49" spans="1:71" ht="15" x14ac:dyDescent="0.25">
      <c r="A49" s="37"/>
      <c r="B49" s="37"/>
      <c r="C49" s="37"/>
      <c r="D49" s="37"/>
      <c r="E49" s="37"/>
      <c r="F49" s="189"/>
      <c r="G49" s="189"/>
      <c r="H49" s="189"/>
      <c r="I49" s="189"/>
      <c r="J49" s="189"/>
      <c r="K49" s="189"/>
      <c r="L49" s="189"/>
      <c r="M49" s="189"/>
      <c r="N49" s="189"/>
      <c r="O49" s="189"/>
      <c r="P49" s="189"/>
      <c r="Q49" s="189"/>
      <c r="R49" s="189"/>
      <c r="S49" s="189"/>
      <c r="T49" s="189"/>
      <c r="U49" s="189"/>
      <c r="V49" s="189"/>
      <c r="W49" s="189"/>
      <c r="X49" s="189"/>
      <c r="Y49" s="189"/>
      <c r="Z49" s="189"/>
      <c r="AA49" s="189"/>
      <c r="AB49" s="189"/>
      <c r="AC49" s="189"/>
      <c r="AD49" s="189"/>
      <c r="AE49" s="189"/>
      <c r="AF49" s="189"/>
      <c r="AG49" s="189"/>
      <c r="AH49" s="189"/>
      <c r="AI49" s="189"/>
      <c r="AJ49" s="189"/>
      <c r="AK49" s="190"/>
      <c r="AL49" s="189"/>
      <c r="AM49" s="189"/>
      <c r="AN49" s="191"/>
      <c r="AO49" s="191"/>
      <c r="AP49" s="191"/>
      <c r="AQ49" s="181"/>
      <c r="AR49" s="181"/>
      <c r="AS49" s="181"/>
      <c r="AT49" s="181"/>
      <c r="AU49" s="181"/>
      <c r="AV49" s="181"/>
      <c r="AW49" s="181"/>
      <c r="AX49" s="181"/>
      <c r="AY49" s="181"/>
      <c r="AZ49" s="181"/>
      <c r="BA49" s="181"/>
      <c r="BB49" s="181"/>
      <c r="BC49" s="181"/>
      <c r="BD49" s="181"/>
      <c r="BE49" s="181"/>
      <c r="BF49" s="181"/>
      <c r="BG49" s="181"/>
      <c r="BH49" s="181"/>
      <c r="BI49" s="181"/>
      <c r="BJ49" s="181"/>
      <c r="BK49" s="181"/>
      <c r="BL49" s="181"/>
      <c r="BM49" s="37"/>
      <c r="BN49" s="37"/>
      <c r="BO49" s="37"/>
      <c r="BP49" s="37"/>
      <c r="BQ49" s="37"/>
      <c r="BR49" s="37"/>
      <c r="BS49" s="37"/>
    </row>
    <row r="50" spans="1:71" ht="15.75" x14ac:dyDescent="0.25">
      <c r="A50" s="37"/>
      <c r="B50" s="37"/>
      <c r="C50" s="37" t="str">
        <f>CAPA!$A$41</f>
        <v>AGÊNCIA MARITIMA CARGONAVE LTDA</v>
      </c>
      <c r="D50" s="37" t="str">
        <f>IFERROR(_xlfn.IFS(C50=F55,AH55,C50=F61,AH61,C50=F68,AH68,C50=F76,AH76,C50=F84,AH84,C50=F93,AH93,C50=F99,AH99,C50=F106,AH106,C50=F112,AH112,C50=F118,AH118,C50=F126,AH126,C50=F132,AH132,C50=F142,AH142,C50=F148,AH148,C50=F154,AH154,C50=F160,AH160,C50=F166,AH166,C50=F172,AH172,C50=F88,AH88)," ")</f>
        <v>Mr. Renan Calixto</v>
      </c>
      <c r="E50" s="37"/>
      <c r="F50" s="182" t="s">
        <v>396</v>
      </c>
      <c r="G50" s="181"/>
      <c r="H50" s="181"/>
      <c r="I50" s="181"/>
      <c r="J50" s="181"/>
      <c r="K50" s="181"/>
      <c r="L50" s="181"/>
      <c r="M50" s="181"/>
      <c r="N50" s="181"/>
      <c r="O50" s="181"/>
      <c r="P50" s="181"/>
      <c r="Q50" s="181"/>
      <c r="R50" s="181"/>
      <c r="S50" s="181"/>
      <c r="T50" s="181"/>
      <c r="U50" s="181"/>
      <c r="V50" s="181"/>
      <c r="W50" s="181"/>
      <c r="X50" s="181"/>
      <c r="Y50" s="181"/>
      <c r="Z50" s="181"/>
      <c r="AA50" s="181"/>
      <c r="AB50" s="181"/>
      <c r="AC50" s="181"/>
      <c r="AD50" s="181"/>
      <c r="AE50" s="181"/>
      <c r="AF50" s="181"/>
      <c r="AG50" s="181"/>
      <c r="AH50" s="181"/>
      <c r="AI50" s="181"/>
      <c r="AJ50" s="181"/>
      <c r="AK50" s="181"/>
      <c r="AL50" s="181"/>
      <c r="AM50" s="181"/>
      <c r="AN50" s="181"/>
      <c r="AO50" s="181"/>
      <c r="AP50" s="181"/>
      <c r="AQ50" s="181"/>
      <c r="AR50" s="181"/>
      <c r="AS50" s="181"/>
      <c r="AT50" s="181"/>
      <c r="AU50" s="181"/>
      <c r="AV50" s="181"/>
      <c r="AW50" s="181"/>
      <c r="AX50" s="181"/>
      <c r="AY50" s="181"/>
      <c r="AZ50" s="181"/>
      <c r="BA50" s="181"/>
      <c r="BB50" s="181"/>
      <c r="BC50" s="181"/>
      <c r="BD50" s="181"/>
      <c r="BE50" s="181"/>
      <c r="BF50" s="181"/>
      <c r="BG50" s="181"/>
      <c r="BH50" s="181"/>
      <c r="BI50" s="181"/>
      <c r="BJ50" s="181"/>
      <c r="BK50" s="181"/>
      <c r="BL50" s="181"/>
      <c r="BM50" s="37"/>
      <c r="BN50" s="37"/>
      <c r="BO50" s="37"/>
      <c r="BP50" s="37"/>
      <c r="BQ50" s="37"/>
      <c r="BR50" s="37"/>
      <c r="BS50" s="37"/>
    </row>
    <row r="51" spans="1:71" ht="15" x14ac:dyDescent="0.25">
      <c r="A51" s="37"/>
      <c r="B51" s="37"/>
      <c r="C51" s="37"/>
      <c r="D51" s="37" t="str">
        <f>IFERROR(_xlfn.IFS(C50=F55,AH56,C50=F61,AH62,C50=F68,AH69,C50=F76,AH77,C50=F84,AH85,C50=F93,AH94,C50=F99,AH100,C50=F106,AH107,C50=F112,AH113,C50=F118,AH119,C50=F126,AH127,C50=F132,AH133,C50=F142,AH143,C50=F148,AH149,C50=F154,AH155,C50=F160,AH161,C50=F166,AH167,C50=F172,AH173,C50=F88,AH89)," ")</f>
        <v>Mr. Rafael Nogueira</v>
      </c>
      <c r="E51" s="37"/>
      <c r="F51" s="183"/>
      <c r="G51" s="181"/>
      <c r="H51" s="181"/>
      <c r="I51" s="181"/>
      <c r="J51" s="181"/>
      <c r="K51" s="181"/>
      <c r="L51" s="181"/>
      <c r="M51" s="181"/>
      <c r="N51" s="181"/>
      <c r="O51" s="181"/>
      <c r="P51" s="181"/>
      <c r="Q51" s="181"/>
      <c r="R51" s="181"/>
      <c r="S51" s="181"/>
      <c r="T51" s="181"/>
      <c r="U51" s="181"/>
      <c r="V51" s="181"/>
      <c r="W51" s="181"/>
      <c r="X51" s="181"/>
      <c r="Y51" s="181"/>
      <c r="Z51" s="181"/>
      <c r="AA51" s="181"/>
      <c r="AB51" s="181"/>
      <c r="AC51" s="181"/>
      <c r="AD51" s="181"/>
      <c r="AE51" s="181"/>
      <c r="AF51" s="181"/>
      <c r="AG51" s="181"/>
      <c r="AH51" s="181"/>
      <c r="AI51" s="181"/>
      <c r="AJ51" s="181"/>
      <c r="AK51" s="181"/>
      <c r="AL51" s="181"/>
      <c r="AM51" s="181"/>
      <c r="AN51" s="181"/>
      <c r="AO51" s="181"/>
      <c r="AP51" s="181"/>
      <c r="AQ51" s="181"/>
      <c r="AR51" s="181"/>
      <c r="AS51" s="181"/>
      <c r="AT51" s="181"/>
      <c r="AU51" s="181"/>
      <c r="AV51" s="181"/>
      <c r="AW51" s="181"/>
      <c r="AX51" s="181"/>
      <c r="AY51" s="181"/>
      <c r="AZ51" s="181"/>
      <c r="BA51" s="181"/>
      <c r="BB51" s="181"/>
      <c r="BC51" s="181"/>
      <c r="BD51" s="181"/>
      <c r="BE51" s="181"/>
      <c r="BF51" s="181"/>
      <c r="BG51" s="181"/>
      <c r="BH51" s="181"/>
      <c r="BI51" s="181"/>
      <c r="BJ51" s="181"/>
      <c r="BK51" s="181"/>
      <c r="BL51" s="181"/>
      <c r="BM51" s="37"/>
      <c r="BN51" s="37"/>
      <c r="BO51" s="37"/>
      <c r="BP51" s="37"/>
      <c r="BQ51" s="37"/>
      <c r="BR51" s="37"/>
      <c r="BS51" s="37"/>
    </row>
    <row r="52" spans="1:71" ht="15" x14ac:dyDescent="0.25">
      <c r="A52" s="37"/>
      <c r="B52" s="37"/>
      <c r="C52" s="37"/>
      <c r="D52" s="37" t="str">
        <f>IFERROR(_xlfn.IFS(C50=F61,AH63,C50=F68,AH70,C50=F76,AH78,C50=F84,AH86,C50=F99,AH101,C50=F118,AH120,C50=F132,AH134,C50=F172,AH174,C50=F55,AH57,C50=F112,AH114,C50=F88,AH90)," ")</f>
        <v>Mr. Lorram Gabriel Florentino</v>
      </c>
      <c r="E52" s="37"/>
      <c r="F52" s="184"/>
      <c r="G52" s="37"/>
      <c r="H52" s="37"/>
      <c r="I52" s="37"/>
      <c r="J52" s="37"/>
      <c r="K52" s="37"/>
      <c r="L52" s="37"/>
      <c r="M52" s="37"/>
      <c r="N52" s="37"/>
      <c r="O52" s="37"/>
      <c r="P52" s="37"/>
      <c r="Q52" s="37"/>
      <c r="R52" s="37"/>
      <c r="S52" s="37"/>
      <c r="T52" s="37"/>
      <c r="U52" s="37"/>
      <c r="V52" s="37"/>
      <c r="W52" s="37"/>
      <c r="X52" s="37"/>
      <c r="Y52" s="37"/>
      <c r="Z52" s="37"/>
      <c r="AA52" s="37"/>
      <c r="AB52" s="37"/>
      <c r="AC52" s="37"/>
      <c r="AD52" s="37"/>
      <c r="AE52" s="37"/>
      <c r="AF52" s="37"/>
      <c r="AG52" s="37"/>
      <c r="AH52" s="37"/>
      <c r="AI52" s="37"/>
      <c r="AJ52" s="37"/>
      <c r="AK52" s="37"/>
      <c r="AL52" s="37"/>
      <c r="AM52" s="37"/>
      <c r="AN52" s="37"/>
      <c r="AO52" s="37"/>
      <c r="AP52" s="37"/>
      <c r="AQ52" s="37"/>
      <c r="AR52" s="37"/>
      <c r="AS52" s="37"/>
      <c r="AT52" s="37"/>
      <c r="AU52" s="37"/>
      <c r="AV52" s="37"/>
      <c r="AW52" s="37"/>
      <c r="AX52" s="37"/>
      <c r="AY52" s="37"/>
      <c r="AZ52" s="37"/>
      <c r="BA52" s="37"/>
      <c r="BB52" s="37"/>
      <c r="BC52" s="37"/>
      <c r="BD52" s="37"/>
      <c r="BE52" s="37"/>
      <c r="BF52" s="37"/>
      <c r="BG52" s="37"/>
      <c r="BH52" s="37"/>
      <c r="BI52" s="37"/>
      <c r="BJ52" s="37"/>
      <c r="BK52" s="37"/>
      <c r="BL52" s="37"/>
      <c r="BM52" s="37"/>
      <c r="BN52" s="37"/>
      <c r="BO52" s="37"/>
      <c r="BP52" s="37"/>
      <c r="BQ52" s="37"/>
      <c r="BR52" s="37"/>
      <c r="BS52" s="37"/>
    </row>
    <row r="53" spans="1:71" ht="15" x14ac:dyDescent="0.25">
      <c r="A53" s="37"/>
      <c r="B53" s="37"/>
      <c r="C53" s="37"/>
      <c r="D53" s="37">
        <f>IFERROR(_xlfn.IFS(C50=F68,AH71,C50=F84,AH87,C50=F118,AH121,C50=F132,AH135,C50=F172,AH175,C50=F88,AH91)," ")</f>
        <v>0</v>
      </c>
      <c r="E53" s="37"/>
      <c r="F53" s="46" t="s">
        <v>397</v>
      </c>
      <c r="G53" s="46"/>
      <c r="H53" s="46"/>
      <c r="I53" s="46"/>
      <c r="J53" s="46"/>
      <c r="K53" s="46"/>
      <c r="L53" s="46"/>
      <c r="M53" s="46"/>
      <c r="N53" s="46"/>
      <c r="O53" s="192"/>
      <c r="P53" s="192"/>
      <c r="Q53" s="192"/>
      <c r="R53" s="192"/>
      <c r="S53" s="192"/>
      <c r="T53" s="192"/>
      <c r="U53" s="192"/>
      <c r="V53" s="192"/>
      <c r="W53" s="192"/>
      <c r="X53" s="192"/>
      <c r="Y53" s="192"/>
      <c r="Z53" s="192"/>
      <c r="AA53" s="192"/>
      <c r="AB53" s="192"/>
      <c r="AC53" s="192"/>
      <c r="AD53" s="192"/>
      <c r="AE53" s="192"/>
      <c r="AF53" s="37"/>
      <c r="AG53" s="37"/>
      <c r="AH53" s="37"/>
      <c r="AI53" s="37"/>
      <c r="AJ53" s="37"/>
      <c r="AK53" s="37"/>
      <c r="AL53" s="37"/>
      <c r="AM53" s="37"/>
      <c r="AN53" s="37"/>
      <c r="AO53" s="37"/>
      <c r="AP53" s="37"/>
      <c r="AQ53" s="37"/>
      <c r="AR53" s="37"/>
      <c r="AS53" s="37"/>
      <c r="AT53" s="37"/>
      <c r="AU53" s="37"/>
      <c r="AV53" s="37"/>
      <c r="AW53" s="37"/>
      <c r="AX53" s="37"/>
      <c r="AY53" s="37"/>
      <c r="AZ53" s="37"/>
      <c r="BA53" s="37"/>
      <c r="BB53" s="37"/>
      <c r="BC53" s="37"/>
      <c r="BD53" s="37"/>
      <c r="BE53" s="37"/>
      <c r="BF53" s="37"/>
      <c r="BG53" s="37"/>
      <c r="BH53" s="37"/>
      <c r="BI53" s="37"/>
      <c r="BJ53" s="37"/>
      <c r="BK53" s="37"/>
      <c r="BL53" s="37"/>
      <c r="BM53" s="37"/>
      <c r="BN53" s="37"/>
      <c r="BO53" s="37"/>
      <c r="BP53" s="37"/>
      <c r="BQ53" s="37"/>
      <c r="BR53" s="37"/>
      <c r="BS53" s="37"/>
    </row>
    <row r="54" spans="1:71" ht="15" x14ac:dyDescent="0.25">
      <c r="A54" s="37"/>
      <c r="B54" s="37"/>
      <c r="C54" s="37"/>
      <c r="D54" s="37" t="str">
        <f>IFERROR(_xlfn.IFS(C50=F132,AH136,C50=F172,AH176)," ")</f>
        <v xml:space="preserve"> </v>
      </c>
      <c r="E54" s="37"/>
      <c r="F54" s="37"/>
      <c r="G54" s="37"/>
      <c r="H54" s="37"/>
      <c r="I54" s="37"/>
      <c r="J54" s="37"/>
      <c r="K54" s="37"/>
      <c r="L54" s="37"/>
      <c r="M54" s="37"/>
      <c r="N54" s="37"/>
      <c r="O54" s="37"/>
      <c r="P54" s="37"/>
      <c r="Q54" s="37"/>
      <c r="R54" s="37"/>
      <c r="S54" s="37"/>
      <c r="T54" s="37"/>
      <c r="U54" s="37"/>
      <c r="V54" s="37"/>
      <c r="W54" s="37"/>
      <c r="X54" s="37"/>
      <c r="Y54" s="37"/>
      <c r="Z54" s="37"/>
      <c r="AA54" s="37"/>
      <c r="AB54" s="37"/>
      <c r="AC54" s="37"/>
      <c r="AD54" s="37"/>
      <c r="AE54" s="37"/>
      <c r="AF54" s="37"/>
      <c r="AG54" s="37"/>
      <c r="AH54" s="37"/>
      <c r="AI54" s="37"/>
      <c r="AJ54" s="37"/>
      <c r="AK54" s="37"/>
      <c r="AL54" s="37"/>
      <c r="AM54" s="37"/>
      <c r="AN54" s="37"/>
      <c r="AO54" s="37"/>
      <c r="AP54" s="37"/>
      <c r="AQ54" s="37"/>
      <c r="AR54" s="37"/>
      <c r="AS54" s="37"/>
      <c r="AT54" s="37"/>
      <c r="AU54" s="37"/>
      <c r="AV54" s="37"/>
      <c r="AW54" s="37"/>
      <c r="AX54" s="37"/>
      <c r="AY54" s="37"/>
      <c r="AZ54" s="37"/>
      <c r="BA54" s="37"/>
      <c r="BB54" s="37"/>
      <c r="BC54" s="37"/>
      <c r="BD54" s="37"/>
      <c r="BE54" s="37"/>
      <c r="BF54" s="37"/>
      <c r="BG54" s="37"/>
      <c r="BH54" s="37"/>
      <c r="BI54" s="37"/>
      <c r="BJ54" s="37"/>
      <c r="BK54" s="37"/>
      <c r="BL54" s="37"/>
      <c r="BM54" s="37"/>
      <c r="BN54" s="37"/>
      <c r="BO54" s="37"/>
      <c r="BP54" s="37"/>
      <c r="BQ54" s="37"/>
      <c r="BR54" s="37"/>
      <c r="BS54" s="37"/>
    </row>
    <row r="55" spans="1:71" s="74" customFormat="1" ht="15" x14ac:dyDescent="0.25">
      <c r="A55" s="71"/>
      <c r="B55" s="71"/>
      <c r="C55" s="71"/>
      <c r="D55" s="71" t="str">
        <f>IFERROR(_xlfn.IFS(C50=F132,AH137,C50=F172,AH177)," ")</f>
        <v xml:space="preserve"> </v>
      </c>
      <c r="E55" s="71"/>
      <c r="F55" s="36" t="s">
        <v>158</v>
      </c>
      <c r="G55" s="36"/>
      <c r="H55" s="36"/>
      <c r="I55" s="36"/>
      <c r="J55" s="36"/>
      <c r="K55" s="36"/>
      <c r="L55" s="36"/>
      <c r="M55" s="36"/>
      <c r="N55" s="36"/>
      <c r="O55" s="36"/>
      <c r="P55" s="36"/>
      <c r="Q55" s="36"/>
      <c r="R55" s="36"/>
      <c r="S55" s="36"/>
      <c r="T55" s="36"/>
      <c r="U55" s="36"/>
      <c r="V55" s="36"/>
      <c r="W55" s="36"/>
      <c r="X55" s="36"/>
      <c r="Y55" s="36"/>
      <c r="Z55" s="36"/>
      <c r="AA55" s="36"/>
      <c r="AB55" s="36"/>
      <c r="AC55" s="36"/>
      <c r="AD55" s="36"/>
      <c r="AE55" s="36"/>
      <c r="AF55" s="36"/>
      <c r="AG55" s="36"/>
      <c r="AH55" s="36" t="s">
        <v>716</v>
      </c>
      <c r="AI55" s="36"/>
      <c r="AJ55" s="36"/>
      <c r="AK55" s="36"/>
      <c r="AL55" s="36"/>
      <c r="AM55" s="36"/>
      <c r="AN55" s="36"/>
      <c r="AO55" s="36"/>
      <c r="AP55" s="36"/>
      <c r="AQ55" s="36"/>
      <c r="AR55" s="36"/>
      <c r="AS55" s="36"/>
      <c r="AT55" s="36"/>
      <c r="AU55" s="36"/>
      <c r="AV55" s="36"/>
      <c r="AW55" s="36"/>
      <c r="AX55" s="36"/>
      <c r="AY55" s="36"/>
      <c r="AZ55" s="71"/>
      <c r="BA55" s="71"/>
      <c r="BB55" s="71"/>
      <c r="BC55" s="71"/>
      <c r="BD55" s="71"/>
      <c r="BE55" s="71"/>
      <c r="BF55" s="71"/>
      <c r="BG55" s="71"/>
      <c r="BH55" s="71"/>
      <c r="BI55" s="71"/>
      <c r="BJ55" s="71"/>
      <c r="BK55" s="71"/>
      <c r="BL55" s="71"/>
      <c r="BM55" s="71"/>
      <c r="BN55" s="71"/>
      <c r="BO55" s="71"/>
      <c r="BP55" s="71"/>
      <c r="BQ55" s="71"/>
      <c r="BR55" s="71"/>
      <c r="BS55" s="71"/>
    </row>
    <row r="56" spans="1:71" s="74" customFormat="1" ht="15" x14ac:dyDescent="0.25">
      <c r="A56" s="71"/>
      <c r="B56" s="71"/>
      <c r="C56" s="71"/>
      <c r="D56" s="71"/>
      <c r="E56" s="71"/>
      <c r="F56" s="36" t="s">
        <v>398</v>
      </c>
      <c r="G56" s="36"/>
      <c r="H56" s="36"/>
      <c r="I56" s="36"/>
      <c r="J56" s="36"/>
      <c r="K56" s="36"/>
      <c r="L56" s="36"/>
      <c r="M56" s="36"/>
      <c r="N56" s="36"/>
      <c r="O56" s="36"/>
      <c r="P56" s="36"/>
      <c r="Q56" s="36"/>
      <c r="R56" s="36"/>
      <c r="S56" s="36"/>
      <c r="T56" s="36"/>
      <c r="U56" s="36"/>
      <c r="V56" s="36"/>
      <c r="W56" s="36"/>
      <c r="X56" s="36"/>
      <c r="Y56" s="36"/>
      <c r="Z56" s="36"/>
      <c r="AA56" s="36"/>
      <c r="AB56" s="36"/>
      <c r="AC56" s="36"/>
      <c r="AD56" s="36"/>
      <c r="AE56" s="36"/>
      <c r="AF56" s="36"/>
      <c r="AG56" s="36"/>
      <c r="AH56" s="36" t="s">
        <v>717</v>
      </c>
      <c r="AI56" s="36"/>
      <c r="AJ56" s="36"/>
      <c r="AK56" s="36"/>
      <c r="AL56" s="36"/>
      <c r="AM56" s="36"/>
      <c r="AN56" s="36"/>
      <c r="AO56" s="36"/>
      <c r="AP56" s="36"/>
      <c r="AQ56" s="36"/>
      <c r="AR56" s="36"/>
      <c r="AS56" s="36"/>
      <c r="AT56" s="36"/>
      <c r="AU56" s="36"/>
      <c r="AV56" s="36"/>
      <c r="AW56" s="36"/>
      <c r="AX56" s="36"/>
      <c r="AY56" s="36"/>
      <c r="AZ56" s="71"/>
      <c r="BA56" s="71"/>
      <c r="BB56" s="71"/>
      <c r="BC56" s="71"/>
      <c r="BD56" s="71"/>
      <c r="BE56" s="71"/>
      <c r="BF56" s="71"/>
      <c r="BG56" s="71"/>
      <c r="BH56" s="71"/>
      <c r="BI56" s="71"/>
      <c r="BJ56" s="71"/>
      <c r="BK56" s="71"/>
      <c r="BL56" s="71"/>
      <c r="BM56" s="71"/>
      <c r="BN56" s="71"/>
      <c r="BO56" s="71"/>
      <c r="BP56" s="71"/>
      <c r="BQ56" s="71"/>
      <c r="BR56" s="71"/>
      <c r="BS56" s="71"/>
    </row>
    <row r="57" spans="1:71" s="74" customFormat="1" ht="15" x14ac:dyDescent="0.25">
      <c r="A57" s="71"/>
      <c r="B57" s="71"/>
      <c r="C57" s="71"/>
      <c r="D57" s="71"/>
      <c r="E57" s="71"/>
      <c r="F57" s="36"/>
      <c r="G57" s="36"/>
      <c r="H57" s="36"/>
      <c r="I57" s="36"/>
      <c r="J57" s="36"/>
      <c r="K57" s="36"/>
      <c r="L57" s="36"/>
      <c r="M57" s="36"/>
      <c r="N57" s="36"/>
      <c r="O57" s="36"/>
      <c r="P57" s="36"/>
      <c r="Q57" s="36"/>
      <c r="R57" s="36"/>
      <c r="S57" s="36"/>
      <c r="T57" s="36"/>
      <c r="U57" s="36"/>
      <c r="V57" s="36"/>
      <c r="W57" s="36"/>
      <c r="X57" s="36"/>
      <c r="Y57" s="36"/>
      <c r="Z57" s="36"/>
      <c r="AA57" s="36"/>
      <c r="AB57" s="36"/>
      <c r="AC57" s="36"/>
      <c r="AD57" s="36"/>
      <c r="AE57" s="36"/>
      <c r="AF57" s="36"/>
      <c r="AG57" s="36"/>
      <c r="AH57" s="36" t="s">
        <v>724</v>
      </c>
      <c r="AI57" s="36"/>
      <c r="AJ57" s="36"/>
      <c r="AK57" s="36"/>
      <c r="AL57" s="36"/>
      <c r="AM57" s="36"/>
      <c r="AN57" s="36"/>
      <c r="AO57" s="36"/>
      <c r="AP57" s="36"/>
      <c r="AQ57" s="36"/>
      <c r="AR57" s="36"/>
      <c r="AS57" s="36"/>
      <c r="AT57" s="36"/>
      <c r="AU57" s="36"/>
      <c r="AV57" s="36"/>
      <c r="AW57" s="36"/>
      <c r="AX57" s="36"/>
      <c r="AY57" s="36"/>
      <c r="AZ57" s="71"/>
      <c r="BA57" s="71"/>
      <c r="BB57" s="71"/>
      <c r="BC57" s="71"/>
      <c r="BD57" s="71"/>
      <c r="BE57" s="71"/>
      <c r="BF57" s="71"/>
      <c r="BG57" s="71"/>
      <c r="BH57" s="71"/>
      <c r="BI57" s="71"/>
      <c r="BJ57" s="71"/>
      <c r="BK57" s="71"/>
      <c r="BL57" s="71"/>
      <c r="BM57" s="71"/>
      <c r="BN57" s="71"/>
      <c r="BO57" s="71"/>
      <c r="BP57" s="71"/>
      <c r="BQ57" s="71"/>
      <c r="BR57" s="71"/>
      <c r="BS57" s="71"/>
    </row>
    <row r="58" spans="1:71" s="74" customFormat="1" ht="15" x14ac:dyDescent="0.25">
      <c r="A58" s="71"/>
      <c r="B58" s="71"/>
      <c r="C58" s="71"/>
      <c r="D58" s="71"/>
      <c r="E58" s="71"/>
      <c r="F58" s="36"/>
      <c r="G58" s="36"/>
      <c r="H58" s="36"/>
      <c r="I58" s="36"/>
      <c r="J58" s="36"/>
      <c r="K58" s="36"/>
      <c r="L58" s="36"/>
      <c r="M58" s="36"/>
      <c r="N58" s="36"/>
      <c r="O58" s="36"/>
      <c r="P58" s="36"/>
      <c r="Q58" s="36"/>
      <c r="R58" s="36"/>
      <c r="S58" s="36"/>
      <c r="T58" s="36"/>
      <c r="U58" s="36"/>
      <c r="V58" s="36"/>
      <c r="W58" s="36"/>
      <c r="X58" s="36"/>
      <c r="Y58" s="36"/>
      <c r="Z58" s="36"/>
      <c r="AA58" s="36"/>
      <c r="AB58" s="36"/>
      <c r="AC58" s="36"/>
      <c r="AD58" s="36"/>
      <c r="AE58" s="36"/>
      <c r="AF58" s="36"/>
      <c r="AG58" s="36"/>
      <c r="AH58" s="36"/>
      <c r="AI58" s="36"/>
      <c r="AJ58" s="36"/>
      <c r="AK58" s="36"/>
      <c r="AL58" s="36"/>
      <c r="AM58" s="36"/>
      <c r="AN58" s="36"/>
      <c r="AO58" s="36"/>
      <c r="AP58" s="36"/>
      <c r="AQ58" s="36"/>
      <c r="AR58" s="36"/>
      <c r="AS58" s="36"/>
      <c r="AT58" s="36"/>
      <c r="AU58" s="36"/>
      <c r="AV58" s="36"/>
      <c r="AW58" s="36"/>
      <c r="AX58" s="36"/>
      <c r="AY58" s="36"/>
      <c r="AZ58" s="71"/>
      <c r="BA58" s="71"/>
      <c r="BB58" s="71"/>
      <c r="BC58" s="71"/>
      <c r="BD58" s="71"/>
      <c r="BE58" s="71"/>
      <c r="BF58" s="71"/>
      <c r="BG58" s="71"/>
      <c r="BH58" s="71"/>
      <c r="BI58" s="71"/>
      <c r="BJ58" s="71"/>
      <c r="BK58" s="71"/>
      <c r="BL58" s="71"/>
      <c r="BM58" s="71"/>
      <c r="BN58" s="71"/>
      <c r="BO58" s="71"/>
      <c r="BP58" s="71"/>
      <c r="BQ58" s="71"/>
      <c r="BR58" s="71"/>
      <c r="BS58" s="71"/>
    </row>
    <row r="59" spans="1:71" ht="15" x14ac:dyDescent="0.25">
      <c r="A59" s="37"/>
      <c r="B59" s="37"/>
      <c r="C59" s="37"/>
      <c r="D59" s="37"/>
      <c r="E59" s="37"/>
      <c r="F59" s="46" t="s">
        <v>399</v>
      </c>
      <c r="G59" s="46"/>
      <c r="H59" s="46"/>
      <c r="I59" s="46"/>
      <c r="J59" s="46"/>
      <c r="K59" s="46"/>
      <c r="L59" s="46"/>
      <c r="M59" s="46"/>
      <c r="N59" s="46"/>
      <c r="O59" s="192"/>
      <c r="P59" s="192"/>
      <c r="Q59" s="192"/>
      <c r="R59" s="192"/>
      <c r="S59" s="192"/>
      <c r="T59" s="192"/>
      <c r="U59" s="192"/>
      <c r="V59" s="192"/>
      <c r="W59" s="192"/>
      <c r="X59" s="192"/>
      <c r="Y59" s="192"/>
      <c r="Z59" s="192"/>
      <c r="AA59" s="192"/>
      <c r="AB59" s="192"/>
      <c r="AC59" s="192"/>
      <c r="AD59" s="192"/>
      <c r="AE59" s="192"/>
      <c r="AF59" s="37"/>
      <c r="AG59" s="37"/>
      <c r="AH59" s="37"/>
      <c r="AI59" s="37"/>
      <c r="AJ59" s="37"/>
      <c r="AK59" s="37"/>
      <c r="AL59" s="37"/>
      <c r="AM59" s="37"/>
      <c r="AN59" s="37"/>
      <c r="AO59" s="37"/>
      <c r="AP59" s="37"/>
      <c r="AQ59" s="37"/>
      <c r="AR59" s="37"/>
      <c r="AS59" s="37"/>
      <c r="AT59" s="37"/>
      <c r="AU59" s="37"/>
      <c r="AV59" s="37"/>
      <c r="AW59" s="37"/>
      <c r="AX59" s="37"/>
      <c r="AY59" s="37"/>
      <c r="AZ59" s="37"/>
      <c r="BA59" s="37"/>
      <c r="BB59" s="37"/>
      <c r="BC59" s="37"/>
      <c r="BD59" s="37"/>
      <c r="BE59" s="37"/>
      <c r="BF59" s="37"/>
      <c r="BG59" s="37"/>
      <c r="BH59" s="37"/>
      <c r="BI59" s="37"/>
      <c r="BJ59" s="37"/>
      <c r="BK59" s="37"/>
      <c r="BL59" s="37"/>
      <c r="BM59" s="37"/>
      <c r="BN59" s="37"/>
      <c r="BO59" s="37"/>
      <c r="BP59" s="37"/>
      <c r="BQ59" s="37"/>
      <c r="BR59" s="37"/>
      <c r="BS59" s="37"/>
    </row>
    <row r="60" spans="1:71" ht="15" x14ac:dyDescent="0.25">
      <c r="A60" s="37"/>
      <c r="B60" s="37"/>
      <c r="C60" s="37"/>
      <c r="D60" s="37"/>
      <c r="E60" s="37"/>
      <c r="F60" s="37"/>
      <c r="G60" s="37"/>
      <c r="H60" s="37"/>
      <c r="I60" s="37"/>
      <c r="J60" s="37"/>
      <c r="K60" s="37"/>
      <c r="L60" s="37"/>
      <c r="M60" s="37"/>
      <c r="N60" s="37"/>
      <c r="O60" s="37"/>
      <c r="P60" s="37"/>
      <c r="Q60" s="37"/>
      <c r="R60" s="37"/>
      <c r="S60" s="37"/>
      <c r="T60" s="37"/>
      <c r="U60" s="37"/>
      <c r="V60" s="37"/>
      <c r="W60" s="37"/>
      <c r="X60" s="37"/>
      <c r="Y60" s="37"/>
      <c r="Z60" s="37"/>
      <c r="AA60" s="37"/>
      <c r="AB60" s="37"/>
      <c r="AC60" s="37"/>
      <c r="AD60" s="37"/>
      <c r="AE60" s="37"/>
      <c r="AF60" s="37"/>
      <c r="AG60" s="37"/>
      <c r="AH60" s="37"/>
      <c r="AI60" s="37"/>
      <c r="AJ60" s="37"/>
      <c r="AK60" s="37"/>
      <c r="AL60" s="37"/>
      <c r="AM60" s="37"/>
      <c r="AN60" s="37"/>
      <c r="AO60" s="37"/>
      <c r="AP60" s="37"/>
      <c r="AQ60" s="37"/>
      <c r="AR60" s="37"/>
      <c r="AS60" s="37"/>
      <c r="AT60" s="37"/>
      <c r="AU60" s="37"/>
      <c r="AV60" s="37"/>
      <c r="AW60" s="37"/>
      <c r="AX60" s="37"/>
      <c r="AY60" s="37"/>
      <c r="AZ60" s="37"/>
      <c r="BA60" s="37"/>
      <c r="BB60" s="37"/>
      <c r="BC60" s="37"/>
      <c r="BD60" s="37"/>
      <c r="BE60" s="37"/>
      <c r="BF60" s="37"/>
      <c r="BG60" s="37"/>
      <c r="BH60" s="37"/>
      <c r="BI60" s="37"/>
      <c r="BJ60" s="37"/>
      <c r="BK60" s="37"/>
      <c r="BL60" s="37"/>
      <c r="BM60" s="37"/>
      <c r="BN60" s="37"/>
      <c r="BO60" s="37"/>
      <c r="BP60" s="37"/>
      <c r="BQ60" s="37"/>
      <c r="BR60" s="37"/>
      <c r="BS60" s="37"/>
    </row>
    <row r="61" spans="1:71" s="187" customFormat="1" ht="15" customHeight="1" x14ac:dyDescent="0.25">
      <c r="A61" s="71"/>
      <c r="B61" s="71"/>
      <c r="C61" s="71"/>
      <c r="D61" s="71"/>
      <c r="E61" s="71"/>
      <c r="F61" s="36" t="s">
        <v>159</v>
      </c>
      <c r="G61" s="36"/>
      <c r="H61" s="36"/>
      <c r="I61" s="36"/>
      <c r="J61" s="36"/>
      <c r="K61" s="36"/>
      <c r="L61" s="36"/>
      <c r="M61" s="36"/>
      <c r="N61" s="36"/>
      <c r="O61" s="36"/>
      <c r="P61" s="36"/>
      <c r="Q61" s="36"/>
      <c r="R61" s="36"/>
      <c r="S61" s="36"/>
      <c r="T61" s="36"/>
      <c r="U61" s="36"/>
      <c r="V61" s="36"/>
      <c r="W61" s="36"/>
      <c r="X61" s="36"/>
      <c r="Y61" s="36"/>
      <c r="Z61" s="36"/>
      <c r="AA61" s="36"/>
      <c r="AB61" s="36"/>
      <c r="AC61" s="36"/>
      <c r="AD61" s="36"/>
      <c r="AE61" s="36"/>
      <c r="AF61" s="36"/>
      <c r="AG61" s="36"/>
      <c r="AH61" s="36" t="s">
        <v>718</v>
      </c>
      <c r="AI61" s="36"/>
      <c r="AJ61" s="36"/>
      <c r="AK61" s="36"/>
      <c r="AL61" s="36"/>
      <c r="AM61" s="36"/>
      <c r="AN61" s="71"/>
      <c r="AO61" s="71"/>
      <c r="AP61" s="71"/>
      <c r="AQ61" s="71"/>
      <c r="AR61" s="71"/>
      <c r="AS61" s="71"/>
      <c r="AT61" s="71"/>
      <c r="AU61" s="71"/>
      <c r="AV61" s="71"/>
      <c r="AW61" s="71"/>
      <c r="AX61" s="71"/>
      <c r="AY61" s="71"/>
      <c r="AZ61" s="71"/>
      <c r="BA61" s="71"/>
      <c r="BB61" s="71"/>
      <c r="BC61" s="71"/>
      <c r="BD61" s="71"/>
      <c r="BE61" s="71"/>
      <c r="BF61" s="71"/>
      <c r="BG61" s="71"/>
      <c r="BH61" s="71"/>
      <c r="BI61" s="71"/>
      <c r="BJ61" s="71"/>
      <c r="BK61" s="71"/>
      <c r="BL61" s="71"/>
      <c r="BM61" s="193"/>
      <c r="BN61" s="71"/>
      <c r="BO61" s="71"/>
      <c r="BP61" s="71"/>
      <c r="BQ61" s="71"/>
      <c r="BR61" s="71"/>
      <c r="BS61" s="71"/>
    </row>
    <row r="62" spans="1:71" s="187" customFormat="1" ht="15" customHeight="1" x14ac:dyDescent="0.25">
      <c r="A62" s="71"/>
      <c r="B62" s="71"/>
      <c r="C62" s="71"/>
      <c r="D62" s="71"/>
      <c r="E62" s="71"/>
      <c r="F62" s="36" t="s">
        <v>42</v>
      </c>
      <c r="G62" s="36"/>
      <c r="H62" s="36"/>
      <c r="I62" s="36"/>
      <c r="J62" s="36"/>
      <c r="K62" s="36"/>
      <c r="L62" s="36"/>
      <c r="M62" s="36"/>
      <c r="N62" s="36"/>
      <c r="O62" s="36"/>
      <c r="P62" s="36"/>
      <c r="Q62" s="36"/>
      <c r="R62" s="36"/>
      <c r="S62" s="36"/>
      <c r="T62" s="36"/>
      <c r="U62" s="36"/>
      <c r="V62" s="36"/>
      <c r="W62" s="36"/>
      <c r="X62" s="36"/>
      <c r="Y62" s="36"/>
      <c r="Z62" s="36"/>
      <c r="AA62" s="36"/>
      <c r="AB62" s="36"/>
      <c r="AC62" s="36"/>
      <c r="AD62" s="36"/>
      <c r="AE62" s="36"/>
      <c r="AF62" s="36"/>
      <c r="AG62" s="36"/>
      <c r="AH62" s="36" t="s">
        <v>719</v>
      </c>
      <c r="AI62" s="36"/>
      <c r="AJ62" s="36"/>
      <c r="AK62" s="36"/>
      <c r="AL62" s="36"/>
      <c r="AM62" s="36"/>
      <c r="AN62" s="71"/>
      <c r="AO62" s="71"/>
      <c r="AP62" s="71"/>
      <c r="AQ62" s="71"/>
      <c r="AR62" s="71"/>
      <c r="AS62" s="71"/>
      <c r="AT62" s="71"/>
      <c r="AU62" s="71"/>
      <c r="AV62" s="71"/>
      <c r="AW62" s="71"/>
      <c r="AX62" s="71"/>
      <c r="AY62" s="71"/>
      <c r="AZ62" s="71"/>
      <c r="BA62" s="71"/>
      <c r="BB62" s="71"/>
      <c r="BC62" s="71"/>
      <c r="BD62" s="71"/>
      <c r="BE62" s="71"/>
      <c r="BF62" s="71"/>
      <c r="BG62" s="71"/>
      <c r="BH62" s="71"/>
      <c r="BI62" s="71"/>
      <c r="BJ62" s="71"/>
      <c r="BK62" s="71"/>
      <c r="BL62" s="71"/>
      <c r="BM62" s="71"/>
      <c r="BN62" s="71"/>
      <c r="BO62" s="71"/>
      <c r="BP62" s="71"/>
      <c r="BQ62" s="71"/>
      <c r="BR62" s="71"/>
      <c r="BS62" s="71"/>
    </row>
    <row r="63" spans="1:71" s="187" customFormat="1" ht="15" customHeight="1" x14ac:dyDescent="0.25">
      <c r="A63" s="71"/>
      <c r="B63" s="71"/>
      <c r="C63" s="71"/>
      <c r="D63" s="71"/>
      <c r="E63" s="71"/>
      <c r="F63" s="36"/>
      <c r="G63" s="36"/>
      <c r="H63" s="36"/>
      <c r="I63" s="36"/>
      <c r="J63" s="36"/>
      <c r="K63" s="36"/>
      <c r="L63" s="36"/>
      <c r="M63" s="36"/>
      <c r="N63" s="36"/>
      <c r="O63" s="36"/>
      <c r="P63" s="36"/>
      <c r="Q63" s="36"/>
      <c r="R63" s="36"/>
      <c r="S63" s="36"/>
      <c r="T63" s="36"/>
      <c r="U63" s="36"/>
      <c r="V63" s="36"/>
      <c r="W63" s="36"/>
      <c r="X63" s="36"/>
      <c r="Y63" s="36"/>
      <c r="Z63" s="36"/>
      <c r="AA63" s="36"/>
      <c r="AB63" s="36"/>
      <c r="AC63" s="36"/>
      <c r="AD63" s="36"/>
      <c r="AE63" s="36"/>
      <c r="AF63" s="36"/>
      <c r="AG63" s="36"/>
      <c r="AH63" s="36"/>
      <c r="AI63" s="36"/>
      <c r="AJ63" s="36"/>
      <c r="AK63" s="36"/>
      <c r="AL63" s="36"/>
      <c r="AM63" s="36"/>
      <c r="AN63" s="71"/>
      <c r="AO63" s="71"/>
      <c r="AP63" s="71"/>
      <c r="AQ63" s="71"/>
      <c r="AR63" s="71"/>
      <c r="AS63" s="71"/>
      <c r="AT63" s="71"/>
      <c r="AU63" s="71"/>
      <c r="AV63" s="71"/>
      <c r="AW63" s="71"/>
      <c r="AX63" s="71"/>
      <c r="AY63" s="71"/>
      <c r="AZ63" s="71"/>
      <c r="BA63" s="71"/>
      <c r="BB63" s="71"/>
      <c r="BC63" s="71"/>
      <c r="BD63" s="71"/>
      <c r="BE63" s="71"/>
      <c r="BF63" s="71"/>
      <c r="BG63" s="71"/>
      <c r="BH63" s="71"/>
      <c r="BI63" s="71"/>
      <c r="BJ63" s="71"/>
      <c r="BK63" s="71"/>
      <c r="BL63" s="71"/>
      <c r="BM63" s="71"/>
      <c r="BN63" s="71"/>
      <c r="BO63" s="71"/>
      <c r="BP63" s="71"/>
      <c r="BQ63" s="71"/>
      <c r="BR63" s="71"/>
      <c r="BS63" s="71"/>
    </row>
    <row r="64" spans="1:71" s="187" customFormat="1" ht="15" customHeight="1" x14ac:dyDescent="0.25">
      <c r="A64" s="71"/>
      <c r="B64" s="71"/>
      <c r="C64" s="71"/>
      <c r="D64" s="71"/>
      <c r="E64" s="71"/>
      <c r="F64" s="36"/>
      <c r="G64" s="36"/>
      <c r="H64" s="36"/>
      <c r="I64" s="36"/>
      <c r="J64" s="36"/>
      <c r="K64" s="36"/>
      <c r="L64" s="36"/>
      <c r="M64" s="36"/>
      <c r="N64" s="36"/>
      <c r="O64" s="36"/>
      <c r="P64" s="36"/>
      <c r="Q64" s="36"/>
      <c r="R64" s="36"/>
      <c r="S64" s="36"/>
      <c r="T64" s="36"/>
      <c r="U64" s="36"/>
      <c r="V64" s="36"/>
      <c r="W64" s="36"/>
      <c r="X64" s="36"/>
      <c r="Y64" s="36"/>
      <c r="Z64" s="36"/>
      <c r="AA64" s="36"/>
      <c r="AB64" s="36"/>
      <c r="AC64" s="36"/>
      <c r="AD64" s="36"/>
      <c r="AE64" s="36"/>
      <c r="AF64" s="36"/>
      <c r="AG64" s="36"/>
      <c r="AH64" s="36"/>
      <c r="AI64" s="36"/>
      <c r="AJ64" s="36"/>
      <c r="AK64" s="36"/>
      <c r="AL64" s="36"/>
      <c r="AM64" s="36"/>
      <c r="AN64" s="71"/>
      <c r="AO64" s="71"/>
      <c r="AP64" s="71"/>
      <c r="AQ64" s="71"/>
      <c r="AR64" s="71"/>
      <c r="AS64" s="71"/>
      <c r="AT64" s="71"/>
      <c r="AU64" s="71"/>
      <c r="AV64" s="71"/>
      <c r="AW64" s="71"/>
      <c r="AX64" s="71"/>
      <c r="AY64" s="71"/>
      <c r="AZ64" s="71"/>
      <c r="BA64" s="71"/>
      <c r="BB64" s="71"/>
      <c r="BC64" s="71"/>
      <c r="BD64" s="71"/>
      <c r="BE64" s="71"/>
      <c r="BF64" s="71"/>
      <c r="BG64" s="71"/>
      <c r="BH64" s="71"/>
      <c r="BI64" s="71"/>
      <c r="BJ64" s="71"/>
      <c r="BK64" s="71"/>
      <c r="BL64" s="71"/>
      <c r="BM64" s="71"/>
      <c r="BN64" s="71"/>
      <c r="BO64" s="71"/>
      <c r="BP64" s="71"/>
      <c r="BQ64" s="71"/>
      <c r="BR64" s="71"/>
      <c r="BS64" s="71"/>
    </row>
    <row r="65" spans="1:71" s="187" customFormat="1" ht="15" customHeight="1" x14ac:dyDescent="0.25">
      <c r="A65" s="71"/>
      <c r="B65" s="71"/>
      <c r="C65" s="71"/>
      <c r="D65" s="71"/>
      <c r="E65" s="71"/>
      <c r="F65" s="36"/>
      <c r="G65" s="36"/>
      <c r="H65" s="36"/>
      <c r="I65" s="36"/>
      <c r="J65" s="36"/>
      <c r="K65" s="36"/>
      <c r="L65" s="36"/>
      <c r="M65" s="36"/>
      <c r="N65" s="36"/>
      <c r="O65" s="36"/>
      <c r="P65" s="36"/>
      <c r="Q65" s="36"/>
      <c r="R65" s="36"/>
      <c r="S65" s="36"/>
      <c r="T65" s="36"/>
      <c r="U65" s="36"/>
      <c r="V65" s="36"/>
      <c r="W65" s="36"/>
      <c r="X65" s="36"/>
      <c r="Y65" s="36"/>
      <c r="Z65" s="36"/>
      <c r="AA65" s="36"/>
      <c r="AB65" s="36"/>
      <c r="AC65" s="36"/>
      <c r="AD65" s="36"/>
      <c r="AE65" s="36"/>
      <c r="AF65" s="36"/>
      <c r="AG65" s="36"/>
      <c r="AH65" s="36"/>
      <c r="AI65" s="36"/>
      <c r="AJ65" s="36"/>
      <c r="AK65" s="36"/>
      <c r="AL65" s="36"/>
      <c r="AM65" s="36"/>
      <c r="AN65" s="71"/>
      <c r="AO65" s="71"/>
      <c r="AP65" s="71"/>
      <c r="AQ65" s="71"/>
      <c r="AR65" s="71"/>
      <c r="AS65" s="71"/>
      <c r="AT65" s="71"/>
      <c r="AU65" s="71"/>
      <c r="AV65" s="71"/>
      <c r="AW65" s="71"/>
      <c r="AX65" s="71"/>
      <c r="AY65" s="71"/>
      <c r="AZ65" s="71"/>
      <c r="BA65" s="71"/>
      <c r="BB65" s="71"/>
      <c r="BC65" s="71"/>
      <c r="BD65" s="71"/>
      <c r="BE65" s="71"/>
      <c r="BF65" s="71"/>
      <c r="BG65" s="71"/>
      <c r="BH65" s="71"/>
      <c r="BI65" s="71"/>
      <c r="BJ65" s="71"/>
      <c r="BK65" s="71"/>
      <c r="BL65" s="71"/>
      <c r="BM65" s="71"/>
      <c r="BN65" s="71"/>
      <c r="BO65" s="71"/>
      <c r="BP65" s="71"/>
      <c r="BQ65" s="71"/>
      <c r="BR65" s="71"/>
      <c r="BS65" s="71"/>
    </row>
    <row r="66" spans="1:71" ht="15" x14ac:dyDescent="0.25">
      <c r="A66" s="37"/>
      <c r="B66" s="37"/>
      <c r="C66" s="37"/>
      <c r="D66" s="37"/>
      <c r="E66" s="37"/>
      <c r="F66" s="46" t="s">
        <v>625</v>
      </c>
      <c r="G66" s="46"/>
      <c r="H66" s="46"/>
      <c r="I66" s="46"/>
      <c r="J66" s="46"/>
      <c r="K66" s="46"/>
      <c r="L66" s="46"/>
      <c r="M66" s="46"/>
      <c r="N66" s="46"/>
      <c r="O66" s="192"/>
      <c r="P66" s="192"/>
      <c r="Q66" s="192"/>
      <c r="R66" s="192"/>
      <c r="S66" s="192"/>
      <c r="T66" s="192"/>
      <c r="U66" s="192"/>
      <c r="V66" s="192"/>
      <c r="W66" s="192"/>
      <c r="X66" s="192"/>
      <c r="Y66" s="192"/>
      <c r="Z66" s="192"/>
      <c r="AA66" s="192"/>
      <c r="AB66" s="192"/>
      <c r="AC66" s="192"/>
      <c r="AD66" s="192"/>
      <c r="AE66" s="192"/>
      <c r="AF66" s="37"/>
      <c r="AG66" s="37"/>
      <c r="AH66" s="37"/>
      <c r="AI66" s="37"/>
      <c r="AJ66" s="37"/>
      <c r="AK66" s="37"/>
      <c r="AL66" s="37"/>
      <c r="AM66" s="37"/>
      <c r="AN66" s="37"/>
      <c r="AO66" s="37"/>
      <c r="AP66" s="37"/>
      <c r="AQ66" s="37"/>
      <c r="AR66" s="37"/>
      <c r="AS66" s="37"/>
      <c r="AT66" s="37"/>
      <c r="AU66" s="37"/>
      <c r="AV66" s="37"/>
      <c r="AW66" s="37"/>
      <c r="AX66" s="37"/>
      <c r="AY66" s="37"/>
      <c r="AZ66" s="37"/>
      <c r="BA66" s="37"/>
      <c r="BB66" s="37"/>
      <c r="BC66" s="37"/>
      <c r="BD66" s="37"/>
      <c r="BE66" s="37"/>
      <c r="BF66" s="37"/>
      <c r="BG66" s="37"/>
      <c r="BH66" s="37"/>
      <c r="BI66" s="37"/>
      <c r="BJ66" s="37"/>
      <c r="BK66" s="37"/>
      <c r="BL66" s="37"/>
      <c r="BM66" s="37"/>
      <c r="BN66" s="37"/>
      <c r="BO66" s="37"/>
      <c r="BP66" s="37"/>
      <c r="BQ66" s="37"/>
      <c r="BR66" s="37"/>
      <c r="BS66" s="37"/>
    </row>
    <row r="67" spans="1:71" ht="15" x14ac:dyDescent="0.25">
      <c r="A67" s="37"/>
      <c r="B67" s="37"/>
      <c r="C67" s="37"/>
      <c r="D67" s="37"/>
      <c r="E67" s="37"/>
      <c r="F67" s="37"/>
      <c r="G67" s="37"/>
      <c r="H67" s="37"/>
      <c r="I67" s="37"/>
      <c r="J67" s="37"/>
      <c r="K67" s="37"/>
      <c r="L67" s="37"/>
      <c r="M67" s="37"/>
      <c r="N67" s="37"/>
      <c r="O67" s="37"/>
      <c r="P67" s="37"/>
      <c r="Q67" s="37"/>
      <c r="R67" s="37"/>
      <c r="S67" s="37"/>
      <c r="T67" s="37"/>
      <c r="U67" s="37"/>
      <c r="V67" s="37"/>
      <c r="W67" s="37"/>
      <c r="X67" s="37"/>
      <c r="Y67" s="37"/>
      <c r="Z67" s="37"/>
      <c r="AA67" s="37"/>
      <c r="AB67" s="37"/>
      <c r="AC67" s="37"/>
      <c r="AD67" s="37"/>
      <c r="AE67" s="37"/>
      <c r="AF67" s="37"/>
      <c r="AG67" s="37"/>
      <c r="AH67" s="37"/>
      <c r="AI67" s="37"/>
      <c r="AJ67" s="37"/>
      <c r="AK67" s="37"/>
      <c r="AL67" s="37"/>
      <c r="AM67" s="37"/>
      <c r="AN67" s="37"/>
      <c r="AO67" s="37"/>
      <c r="AP67" s="37"/>
      <c r="AQ67" s="37"/>
      <c r="AR67" s="37"/>
      <c r="AS67" s="37"/>
      <c r="AT67" s="37"/>
      <c r="AU67" s="37"/>
      <c r="AV67" s="37"/>
      <c r="AW67" s="37"/>
      <c r="AX67" s="37"/>
      <c r="AY67" s="37"/>
      <c r="AZ67" s="37"/>
      <c r="BA67" s="37"/>
      <c r="BB67" s="37"/>
      <c r="BC67" s="37"/>
      <c r="BD67" s="37"/>
      <c r="BE67" s="37"/>
      <c r="BF67" s="37"/>
      <c r="BG67" s="37"/>
      <c r="BH67" s="37"/>
      <c r="BI67" s="37"/>
      <c r="BJ67" s="37"/>
      <c r="BK67" s="37"/>
      <c r="BL67" s="37"/>
      <c r="BM67" s="37"/>
      <c r="BN67" s="37"/>
      <c r="BO67" s="37"/>
      <c r="BP67" s="37"/>
      <c r="BQ67" s="37"/>
      <c r="BR67" s="37"/>
      <c r="BS67" s="37"/>
    </row>
    <row r="68" spans="1:71" s="187" customFormat="1" ht="15" customHeight="1" x14ac:dyDescent="0.25">
      <c r="A68" s="71"/>
      <c r="B68" s="71"/>
      <c r="C68" s="71"/>
      <c r="D68" s="71"/>
      <c r="E68" s="71"/>
      <c r="F68" s="36" t="s">
        <v>626</v>
      </c>
      <c r="G68" s="36"/>
      <c r="H68" s="36"/>
      <c r="I68" s="36"/>
      <c r="J68" s="36"/>
      <c r="K68" s="36"/>
      <c r="L68" s="36"/>
      <c r="M68" s="36"/>
      <c r="N68" s="36"/>
      <c r="O68" s="36"/>
      <c r="P68" s="36"/>
      <c r="Q68" s="36"/>
      <c r="R68" s="36"/>
      <c r="S68" s="36"/>
      <c r="T68" s="36"/>
      <c r="U68" s="36"/>
      <c r="V68" s="36"/>
      <c r="W68" s="36"/>
      <c r="X68" s="36"/>
      <c r="Y68" s="36"/>
      <c r="Z68" s="36"/>
      <c r="AA68" s="36"/>
      <c r="AB68" s="36"/>
      <c r="AC68" s="36"/>
      <c r="AD68" s="36"/>
      <c r="AE68" s="36"/>
      <c r="AF68" s="36"/>
      <c r="AG68" s="36"/>
      <c r="AH68" s="36" t="s">
        <v>720</v>
      </c>
      <c r="AI68" s="36"/>
      <c r="AJ68" s="36"/>
      <c r="AK68" s="36"/>
      <c r="AL68" s="36"/>
      <c r="AM68" s="36"/>
      <c r="AN68" s="71"/>
      <c r="AO68" s="71"/>
      <c r="AP68" s="71"/>
      <c r="AQ68" s="71"/>
      <c r="AR68" s="71"/>
      <c r="AS68" s="71"/>
      <c r="AT68" s="71"/>
      <c r="AU68" s="71"/>
      <c r="AV68" s="71"/>
      <c r="AW68" s="71"/>
      <c r="AX68" s="71"/>
      <c r="AY68" s="71"/>
      <c r="AZ68" s="71"/>
      <c r="BA68" s="71"/>
      <c r="BB68" s="71"/>
      <c r="BC68" s="71"/>
      <c r="BD68" s="71"/>
      <c r="BE68" s="71"/>
      <c r="BF68" s="71"/>
      <c r="BG68" s="71"/>
      <c r="BH68" s="71"/>
      <c r="BI68" s="71"/>
      <c r="BJ68" s="71"/>
      <c r="BK68" s="71"/>
      <c r="BL68" s="71"/>
      <c r="BM68" s="193"/>
      <c r="BN68" s="71"/>
      <c r="BO68" s="71"/>
      <c r="BP68" s="71"/>
      <c r="BQ68" s="71"/>
      <c r="BR68" s="71"/>
      <c r="BS68" s="71"/>
    </row>
    <row r="69" spans="1:71" s="187" customFormat="1" ht="15" customHeight="1" x14ac:dyDescent="0.25">
      <c r="A69" s="71"/>
      <c r="B69" s="71"/>
      <c r="C69" s="71"/>
      <c r="D69" s="71"/>
      <c r="E69" s="71"/>
      <c r="F69" s="36" t="s">
        <v>42</v>
      </c>
      <c r="G69" s="36"/>
      <c r="H69" s="36"/>
      <c r="I69" s="36"/>
      <c r="J69" s="36"/>
      <c r="K69" s="36"/>
      <c r="L69" s="36"/>
      <c r="M69" s="36"/>
      <c r="N69" s="36"/>
      <c r="O69" s="36"/>
      <c r="P69" s="36"/>
      <c r="Q69" s="36"/>
      <c r="R69" s="36"/>
      <c r="S69" s="36"/>
      <c r="T69" s="36"/>
      <c r="U69" s="36"/>
      <c r="V69" s="36"/>
      <c r="W69" s="36"/>
      <c r="X69" s="36"/>
      <c r="Y69" s="36"/>
      <c r="Z69" s="36"/>
      <c r="AA69" s="36"/>
      <c r="AB69" s="36"/>
      <c r="AC69" s="36"/>
      <c r="AD69" s="36"/>
      <c r="AE69" s="36"/>
      <c r="AF69" s="36"/>
      <c r="AG69" s="36"/>
      <c r="AH69" s="36" t="s">
        <v>721</v>
      </c>
      <c r="AI69" s="36"/>
      <c r="AJ69" s="36"/>
      <c r="AK69" s="36"/>
      <c r="AL69" s="36"/>
      <c r="AM69" s="36"/>
      <c r="AN69" s="71"/>
      <c r="AO69" s="71"/>
      <c r="AP69" s="71"/>
      <c r="AQ69" s="71"/>
      <c r="AR69" s="71"/>
      <c r="AS69" s="71"/>
      <c r="AT69" s="71"/>
      <c r="AU69" s="71"/>
      <c r="AV69" s="71"/>
      <c r="AW69" s="71"/>
      <c r="AX69" s="71"/>
      <c r="AY69" s="71"/>
      <c r="AZ69" s="71"/>
      <c r="BA69" s="71"/>
      <c r="BB69" s="71"/>
      <c r="BC69" s="71"/>
      <c r="BD69" s="71"/>
      <c r="BE69" s="71"/>
      <c r="BF69" s="71"/>
      <c r="BG69" s="71"/>
      <c r="BH69" s="71"/>
      <c r="BI69" s="71"/>
      <c r="BJ69" s="71"/>
      <c r="BK69" s="71"/>
      <c r="BL69" s="71"/>
      <c r="BM69" s="71"/>
      <c r="BN69" s="71"/>
      <c r="BO69" s="71"/>
      <c r="BP69" s="71"/>
      <c r="BQ69" s="71"/>
      <c r="BR69" s="71"/>
      <c r="BS69" s="71"/>
    </row>
    <row r="70" spans="1:71" s="187" customFormat="1" ht="15" customHeight="1" x14ac:dyDescent="0.25">
      <c r="A70" s="71"/>
      <c r="B70" s="71"/>
      <c r="C70" s="71"/>
      <c r="D70" s="71"/>
      <c r="E70" s="71"/>
      <c r="F70" s="36"/>
      <c r="G70" s="36"/>
      <c r="H70" s="36"/>
      <c r="I70" s="36"/>
      <c r="J70" s="36"/>
      <c r="K70" s="36"/>
      <c r="L70" s="36"/>
      <c r="M70" s="36"/>
      <c r="N70" s="36"/>
      <c r="O70" s="36"/>
      <c r="P70" s="36"/>
      <c r="Q70" s="36"/>
      <c r="R70" s="36"/>
      <c r="S70" s="36"/>
      <c r="T70" s="36"/>
      <c r="U70" s="36"/>
      <c r="V70" s="36"/>
      <c r="W70" s="36"/>
      <c r="X70" s="36"/>
      <c r="Y70" s="36"/>
      <c r="Z70" s="36"/>
      <c r="AA70" s="36"/>
      <c r="AB70" s="36"/>
      <c r="AC70" s="36"/>
      <c r="AD70" s="36"/>
      <c r="AE70" s="36"/>
      <c r="AF70" s="36"/>
      <c r="AG70" s="36"/>
      <c r="AH70" s="36"/>
      <c r="AI70" s="36"/>
      <c r="AJ70" s="36"/>
      <c r="AK70" s="36"/>
      <c r="AL70" s="36"/>
      <c r="AM70" s="36"/>
      <c r="AN70" s="71"/>
      <c r="AO70" s="71"/>
      <c r="AP70" s="71"/>
      <c r="AQ70" s="71"/>
      <c r="AR70" s="71"/>
      <c r="AS70" s="71"/>
      <c r="AT70" s="71"/>
      <c r="AU70" s="71"/>
      <c r="AV70" s="71"/>
      <c r="AW70" s="71"/>
      <c r="AX70" s="71"/>
      <c r="AY70" s="71"/>
      <c r="AZ70" s="71"/>
      <c r="BA70" s="71"/>
      <c r="BB70" s="71"/>
      <c r="BC70" s="71"/>
      <c r="BD70" s="71"/>
      <c r="BE70" s="71"/>
      <c r="BF70" s="71"/>
      <c r="BG70" s="71"/>
      <c r="BH70" s="71"/>
      <c r="BI70" s="71"/>
      <c r="BJ70" s="71"/>
      <c r="BK70" s="71"/>
      <c r="BL70" s="71"/>
      <c r="BM70" s="71"/>
      <c r="BN70" s="71"/>
      <c r="BO70" s="71"/>
      <c r="BP70" s="71"/>
      <c r="BQ70" s="71"/>
      <c r="BR70" s="71"/>
      <c r="BS70" s="71"/>
    </row>
    <row r="71" spans="1:71" s="187" customFormat="1" ht="15" customHeight="1" x14ac:dyDescent="0.25">
      <c r="A71" s="71"/>
      <c r="B71" s="71"/>
      <c r="C71" s="71"/>
      <c r="D71" s="71"/>
      <c r="E71" s="71"/>
      <c r="F71" s="36"/>
      <c r="G71" s="36"/>
      <c r="H71" s="36"/>
      <c r="I71" s="36"/>
      <c r="J71" s="36"/>
      <c r="K71" s="36"/>
      <c r="L71" s="36"/>
      <c r="M71" s="36"/>
      <c r="N71" s="36"/>
      <c r="O71" s="36"/>
      <c r="P71" s="36"/>
      <c r="Q71" s="36"/>
      <c r="R71" s="36"/>
      <c r="S71" s="36"/>
      <c r="T71" s="36"/>
      <c r="U71" s="36"/>
      <c r="V71" s="36"/>
      <c r="W71" s="36"/>
      <c r="X71" s="36"/>
      <c r="Y71" s="36"/>
      <c r="Z71" s="36"/>
      <c r="AA71" s="36"/>
      <c r="AB71" s="36"/>
      <c r="AC71" s="36"/>
      <c r="AD71" s="36"/>
      <c r="AE71" s="36"/>
      <c r="AF71" s="36"/>
      <c r="AG71" s="36"/>
      <c r="AH71" s="36"/>
      <c r="AI71" s="36"/>
      <c r="AJ71" s="36"/>
      <c r="AK71" s="36"/>
      <c r="AL71" s="36"/>
      <c r="AM71" s="36"/>
      <c r="AN71" s="71"/>
      <c r="AO71" s="71"/>
      <c r="AP71" s="71"/>
      <c r="AQ71" s="71"/>
      <c r="AR71" s="71"/>
      <c r="AS71" s="71"/>
      <c r="AT71" s="71"/>
      <c r="AU71" s="71"/>
      <c r="AV71" s="71"/>
      <c r="AW71" s="71"/>
      <c r="AX71" s="71"/>
      <c r="AY71" s="71"/>
      <c r="AZ71" s="71"/>
      <c r="BA71" s="71"/>
      <c r="BB71" s="71"/>
      <c r="BC71" s="71"/>
      <c r="BD71" s="71"/>
      <c r="BE71" s="71"/>
      <c r="BF71" s="71"/>
      <c r="BG71" s="71"/>
      <c r="BH71" s="71"/>
      <c r="BI71" s="71"/>
      <c r="BJ71" s="71"/>
      <c r="BK71" s="71"/>
      <c r="BL71" s="71"/>
      <c r="BM71" s="71"/>
      <c r="BN71" s="71"/>
      <c r="BO71" s="71"/>
      <c r="BP71" s="71"/>
      <c r="BQ71" s="71"/>
      <c r="BR71" s="71"/>
      <c r="BS71" s="71"/>
    </row>
    <row r="72" spans="1:71" s="187" customFormat="1" ht="15" customHeight="1" x14ac:dyDescent="0.25">
      <c r="A72" s="71"/>
      <c r="B72" s="71"/>
      <c r="C72" s="71"/>
      <c r="D72" s="71"/>
      <c r="E72" s="71"/>
      <c r="F72" s="36"/>
      <c r="G72" s="36"/>
      <c r="H72" s="36"/>
      <c r="I72" s="36"/>
      <c r="J72" s="36"/>
      <c r="K72" s="36"/>
      <c r="L72" s="36"/>
      <c r="M72" s="36"/>
      <c r="N72" s="36"/>
      <c r="O72" s="36"/>
      <c r="P72" s="36"/>
      <c r="Q72" s="36"/>
      <c r="R72" s="36"/>
      <c r="S72" s="36"/>
      <c r="T72" s="36"/>
      <c r="U72" s="36"/>
      <c r="V72" s="36"/>
      <c r="W72" s="36"/>
      <c r="X72" s="36"/>
      <c r="Y72" s="36"/>
      <c r="Z72" s="36"/>
      <c r="AA72" s="36"/>
      <c r="AB72" s="36"/>
      <c r="AC72" s="36"/>
      <c r="AD72" s="36"/>
      <c r="AE72" s="36"/>
      <c r="AF72" s="36"/>
      <c r="AG72" s="36"/>
      <c r="AH72" s="36"/>
      <c r="AI72" s="36"/>
      <c r="AJ72" s="36"/>
      <c r="AK72" s="36"/>
      <c r="AL72" s="36"/>
      <c r="AM72" s="36"/>
      <c r="AN72" s="71"/>
      <c r="AO72" s="71"/>
      <c r="AP72" s="71"/>
      <c r="AQ72" s="71"/>
      <c r="AR72" s="71"/>
      <c r="AS72" s="71"/>
      <c r="AT72" s="71"/>
      <c r="AU72" s="71"/>
      <c r="AV72" s="71"/>
      <c r="AW72" s="71"/>
      <c r="AX72" s="71"/>
      <c r="AY72" s="71"/>
      <c r="AZ72" s="71"/>
      <c r="BA72" s="71"/>
      <c r="BB72" s="71"/>
      <c r="BC72" s="71"/>
      <c r="BD72" s="71"/>
      <c r="BE72" s="71"/>
      <c r="BF72" s="71"/>
      <c r="BG72" s="71"/>
      <c r="BH72" s="71"/>
      <c r="BI72" s="71"/>
      <c r="BJ72" s="71"/>
      <c r="BK72" s="71"/>
      <c r="BL72" s="71"/>
      <c r="BM72" s="71"/>
      <c r="BN72" s="71"/>
      <c r="BO72" s="71"/>
      <c r="BP72" s="71"/>
      <c r="BQ72" s="71"/>
      <c r="BR72" s="71"/>
      <c r="BS72" s="71"/>
    </row>
    <row r="73" spans="1:71" s="187" customFormat="1" ht="15" customHeight="1" x14ac:dyDescent="0.25">
      <c r="A73" s="71"/>
      <c r="B73" s="71"/>
      <c r="C73" s="71"/>
      <c r="D73" s="71"/>
      <c r="E73" s="71"/>
      <c r="F73" s="36"/>
      <c r="G73" s="36"/>
      <c r="H73" s="36"/>
      <c r="I73" s="36"/>
      <c r="J73" s="36"/>
      <c r="K73" s="36"/>
      <c r="L73" s="36"/>
      <c r="M73" s="36"/>
      <c r="N73" s="36"/>
      <c r="O73" s="36"/>
      <c r="P73" s="36"/>
      <c r="Q73" s="36"/>
      <c r="R73" s="36"/>
      <c r="S73" s="36"/>
      <c r="T73" s="36"/>
      <c r="U73" s="36"/>
      <c r="V73" s="36"/>
      <c r="W73" s="36"/>
      <c r="X73" s="36"/>
      <c r="Y73" s="36"/>
      <c r="Z73" s="36"/>
      <c r="AA73" s="36"/>
      <c r="AB73" s="36"/>
      <c r="AC73" s="36"/>
      <c r="AD73" s="36"/>
      <c r="AE73" s="36"/>
      <c r="AF73" s="36"/>
      <c r="AG73" s="36"/>
      <c r="AH73" s="36"/>
      <c r="AI73" s="36"/>
      <c r="AJ73" s="36"/>
      <c r="AK73" s="36"/>
      <c r="AL73" s="36"/>
      <c r="AM73" s="36"/>
      <c r="AN73" s="71"/>
      <c r="AO73" s="71"/>
      <c r="AP73" s="71"/>
      <c r="AQ73" s="71"/>
      <c r="AR73" s="71"/>
      <c r="AS73" s="71"/>
      <c r="AT73" s="71"/>
      <c r="AU73" s="71"/>
      <c r="AV73" s="71"/>
      <c r="AW73" s="71"/>
      <c r="AX73" s="71"/>
      <c r="AY73" s="71"/>
      <c r="AZ73" s="71"/>
      <c r="BA73" s="71"/>
      <c r="BB73" s="71"/>
      <c r="BC73" s="71"/>
      <c r="BD73" s="71"/>
      <c r="BE73" s="71"/>
      <c r="BF73" s="71"/>
      <c r="BG73" s="71"/>
      <c r="BH73" s="71"/>
      <c r="BI73" s="71"/>
      <c r="BJ73" s="71"/>
      <c r="BK73" s="71"/>
      <c r="BL73" s="71"/>
      <c r="BM73" s="71"/>
      <c r="BN73" s="71"/>
      <c r="BO73" s="71"/>
      <c r="BP73" s="71"/>
      <c r="BQ73" s="71"/>
      <c r="BR73" s="71"/>
      <c r="BS73" s="71"/>
    </row>
    <row r="74" spans="1:71" ht="15" x14ac:dyDescent="0.25">
      <c r="A74" s="37"/>
      <c r="B74" s="37"/>
      <c r="C74" s="37"/>
      <c r="D74" s="37"/>
      <c r="E74" s="37"/>
      <c r="F74" s="46" t="s">
        <v>343</v>
      </c>
      <c r="G74" s="46"/>
      <c r="H74" s="46"/>
      <c r="I74" s="46"/>
      <c r="J74" s="46"/>
      <c r="K74" s="46"/>
      <c r="L74" s="46"/>
      <c r="M74" s="46"/>
      <c r="N74" s="46"/>
      <c r="O74" s="192"/>
      <c r="P74" s="192"/>
      <c r="Q74" s="192"/>
      <c r="R74" s="192"/>
      <c r="S74" s="192"/>
      <c r="T74" s="192"/>
      <c r="U74" s="192"/>
      <c r="V74" s="192"/>
      <c r="W74" s="192"/>
      <c r="X74" s="192"/>
      <c r="Y74" s="192"/>
      <c r="Z74" s="192"/>
      <c r="AA74" s="192"/>
      <c r="AB74" s="192"/>
      <c r="AC74" s="192"/>
      <c r="AD74" s="192"/>
      <c r="AE74" s="192"/>
      <c r="AF74" s="37"/>
      <c r="AG74" s="37"/>
      <c r="AH74" s="37"/>
      <c r="AI74" s="37"/>
      <c r="AJ74" s="37"/>
      <c r="AK74" s="37"/>
      <c r="AL74" s="37"/>
      <c r="AM74" s="37"/>
      <c r="AN74" s="37"/>
      <c r="AO74" s="37"/>
      <c r="AP74" s="37"/>
      <c r="AQ74" s="37"/>
      <c r="AR74" s="37"/>
      <c r="AS74" s="37"/>
      <c r="AT74" s="37"/>
      <c r="AU74" s="37"/>
      <c r="AV74" s="37"/>
      <c r="AW74" s="37"/>
      <c r="AX74" s="37"/>
      <c r="AY74" s="37"/>
      <c r="AZ74" s="37"/>
      <c r="BA74" s="37"/>
      <c r="BB74" s="37"/>
      <c r="BC74" s="37"/>
      <c r="BD74" s="37"/>
      <c r="BE74" s="37"/>
      <c r="BF74" s="37"/>
      <c r="BG74" s="37"/>
      <c r="BH74" s="37"/>
      <c r="BI74" s="37"/>
      <c r="BJ74" s="37"/>
      <c r="BK74" s="37"/>
      <c r="BL74" s="37"/>
      <c r="BM74" s="37"/>
      <c r="BN74" s="37"/>
      <c r="BO74" s="37"/>
      <c r="BP74" s="37"/>
      <c r="BQ74" s="37"/>
      <c r="BR74" s="37"/>
      <c r="BS74" s="37"/>
    </row>
    <row r="75" spans="1:71" ht="15" x14ac:dyDescent="0.25">
      <c r="A75" s="37"/>
      <c r="B75" s="37"/>
      <c r="C75" s="37"/>
      <c r="D75" s="3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c r="BJ75" s="37"/>
      <c r="BK75" s="37"/>
      <c r="BL75" s="37"/>
      <c r="BM75" s="37"/>
      <c r="BN75" s="37"/>
      <c r="BO75" s="37"/>
      <c r="BP75" s="37"/>
      <c r="BQ75" s="37"/>
      <c r="BR75" s="37"/>
      <c r="BS75" s="37"/>
    </row>
    <row r="76" spans="1:71" ht="15" x14ac:dyDescent="0.25">
      <c r="A76" s="37"/>
      <c r="B76" s="37"/>
      <c r="C76" s="37"/>
      <c r="D76" s="37"/>
      <c r="E76" s="37"/>
      <c r="F76" s="37" t="s">
        <v>160</v>
      </c>
      <c r="G76" s="37"/>
      <c r="H76" s="37"/>
      <c r="I76" s="37"/>
      <c r="J76" s="37"/>
      <c r="K76" s="37"/>
      <c r="L76" s="37"/>
      <c r="M76" s="37"/>
      <c r="N76" s="37"/>
      <c r="O76" s="37"/>
      <c r="P76" s="37"/>
      <c r="Q76" s="37"/>
      <c r="R76" s="37"/>
      <c r="S76" s="37"/>
      <c r="T76" s="37"/>
      <c r="U76" s="37"/>
      <c r="V76" s="37"/>
      <c r="W76" s="37"/>
      <c r="X76" s="37"/>
      <c r="Y76" s="37"/>
      <c r="Z76" s="37"/>
      <c r="AA76" s="37"/>
      <c r="AB76" s="37"/>
      <c r="AC76" s="37"/>
      <c r="AD76" s="37"/>
      <c r="AE76" s="37"/>
      <c r="AF76" s="37"/>
      <c r="AG76" s="37"/>
      <c r="AH76" s="37" t="s">
        <v>401</v>
      </c>
      <c r="AI76" s="37"/>
      <c r="AJ76" s="37"/>
      <c r="AK76" s="37"/>
      <c r="AL76" s="37"/>
      <c r="AM76" s="37"/>
      <c r="AN76" s="37"/>
      <c r="AO76" s="37"/>
      <c r="AP76" s="37"/>
      <c r="AQ76" s="37"/>
      <c r="AR76" s="37"/>
      <c r="AS76" s="37"/>
      <c r="AT76" s="37"/>
      <c r="AU76" s="37"/>
      <c r="AV76" s="37"/>
      <c r="AW76" s="37"/>
      <c r="AX76" s="37"/>
      <c r="AY76" s="37"/>
      <c r="AZ76" s="37"/>
      <c r="BA76" s="37"/>
      <c r="BB76" s="37"/>
      <c r="BC76" s="37"/>
      <c r="BD76" s="37"/>
      <c r="BE76" s="37"/>
      <c r="BF76" s="37"/>
      <c r="BG76" s="37"/>
      <c r="BH76" s="37"/>
      <c r="BI76" s="37"/>
      <c r="BJ76" s="37"/>
      <c r="BK76" s="37"/>
      <c r="BL76" s="37"/>
      <c r="BM76" s="37"/>
      <c r="BN76" s="37"/>
      <c r="BO76" s="37"/>
      <c r="BP76" s="37"/>
      <c r="BQ76" s="37"/>
      <c r="BR76" s="37"/>
      <c r="BS76" s="37"/>
    </row>
    <row r="77" spans="1:71" ht="15" x14ac:dyDescent="0.25">
      <c r="A77" s="37"/>
      <c r="B77" s="37"/>
      <c r="C77" s="37"/>
      <c r="D77" s="37"/>
      <c r="E77" s="37"/>
      <c r="F77" s="37" t="s">
        <v>42</v>
      </c>
      <c r="G77" s="37"/>
      <c r="H77" s="37"/>
      <c r="I77" s="37"/>
      <c r="J77" s="37"/>
      <c r="K77" s="37"/>
      <c r="L77" s="37"/>
      <c r="M77" s="37"/>
      <c r="N77" s="37"/>
      <c r="O77" s="37"/>
      <c r="P77" s="37"/>
      <c r="Q77" s="37"/>
      <c r="R77" s="37"/>
      <c r="S77" s="37"/>
      <c r="T77" s="37"/>
      <c r="U77" s="37"/>
      <c r="V77" s="37"/>
      <c r="W77" s="37"/>
      <c r="X77" s="37"/>
      <c r="Y77" s="37"/>
      <c r="Z77" s="37"/>
      <c r="AA77" s="37"/>
      <c r="AB77" s="37"/>
      <c r="AC77" s="37"/>
      <c r="AD77" s="37"/>
      <c r="AE77" s="37"/>
      <c r="AF77" s="37"/>
      <c r="AG77" s="37"/>
      <c r="AH77" s="37" t="s">
        <v>722</v>
      </c>
      <c r="AI77" s="37"/>
      <c r="AJ77" s="37"/>
      <c r="AK77" s="37"/>
      <c r="AL77" s="37"/>
      <c r="AM77" s="37"/>
      <c r="AN77" s="36"/>
      <c r="AO77" s="36"/>
      <c r="AP77" s="36"/>
      <c r="AQ77" s="36"/>
      <c r="AR77" s="36"/>
      <c r="AS77" s="37"/>
      <c r="AT77" s="37"/>
      <c r="AU77" s="37"/>
      <c r="AV77" s="37"/>
      <c r="AW77" s="37"/>
      <c r="AX77" s="37"/>
      <c r="AY77" s="37"/>
      <c r="AZ77" s="37"/>
      <c r="BA77" s="37"/>
      <c r="BB77" s="37"/>
      <c r="BC77" s="37"/>
      <c r="BD77" s="37"/>
      <c r="BE77" s="37"/>
      <c r="BF77" s="37"/>
      <c r="BG77" s="37"/>
      <c r="BH77" s="37"/>
      <c r="BI77" s="37"/>
      <c r="BJ77" s="37"/>
      <c r="BK77" s="37"/>
      <c r="BL77" s="37"/>
      <c r="BM77" s="37"/>
      <c r="BN77" s="37"/>
      <c r="BO77" s="37"/>
      <c r="BP77" s="37"/>
      <c r="BQ77" s="37"/>
      <c r="BR77" s="37"/>
      <c r="BS77" s="37"/>
    </row>
    <row r="78" spans="1:71" ht="15" x14ac:dyDescent="0.25">
      <c r="A78" s="37"/>
      <c r="B78" s="37"/>
      <c r="C78" s="37"/>
      <c r="D78" s="37"/>
      <c r="E78" s="37"/>
      <c r="F78" s="37"/>
      <c r="G78" s="37"/>
      <c r="H78" s="37"/>
      <c r="I78" s="37"/>
      <c r="J78" s="37"/>
      <c r="K78" s="37"/>
      <c r="L78" s="37"/>
      <c r="M78" s="37"/>
      <c r="N78" s="37"/>
      <c r="O78" s="37"/>
      <c r="P78" s="37"/>
      <c r="Q78" s="37"/>
      <c r="R78" s="37"/>
      <c r="S78" s="37"/>
      <c r="T78" s="37"/>
      <c r="U78" s="37"/>
      <c r="V78" s="37"/>
      <c r="W78" s="37"/>
      <c r="X78" s="37"/>
      <c r="Y78" s="37"/>
      <c r="Z78" s="37"/>
      <c r="AA78" s="37"/>
      <c r="AB78" s="37"/>
      <c r="AC78" s="37"/>
      <c r="AD78" s="37"/>
      <c r="AE78" s="37"/>
      <c r="AF78" s="37"/>
      <c r="AG78" s="37"/>
      <c r="AH78" s="37"/>
      <c r="AI78" s="37"/>
      <c r="AJ78" s="37"/>
      <c r="AK78" s="37"/>
      <c r="AL78" s="37"/>
      <c r="AM78" s="37"/>
      <c r="AN78" s="37"/>
      <c r="AO78" s="37"/>
      <c r="AP78" s="37"/>
      <c r="AQ78" s="37"/>
      <c r="AR78" s="37"/>
      <c r="AS78" s="37"/>
      <c r="AT78" s="37"/>
      <c r="AU78" s="37"/>
      <c r="AV78" s="37"/>
      <c r="AW78" s="37"/>
      <c r="AX78" s="37"/>
      <c r="AY78" s="37"/>
      <c r="AZ78" s="37"/>
      <c r="BA78" s="37"/>
      <c r="BB78" s="37"/>
      <c r="BC78" s="37"/>
      <c r="BD78" s="37"/>
      <c r="BE78" s="37"/>
      <c r="BF78" s="37"/>
      <c r="BG78" s="37"/>
      <c r="BH78" s="37"/>
      <c r="BI78" s="37"/>
      <c r="BJ78" s="37"/>
      <c r="BK78" s="37"/>
      <c r="BL78" s="37"/>
      <c r="BM78" s="37"/>
      <c r="BN78" s="37"/>
      <c r="BO78" s="37"/>
      <c r="BP78" s="37"/>
      <c r="BQ78" s="37"/>
      <c r="BR78" s="37"/>
      <c r="BS78" s="37"/>
    </row>
    <row r="79" spans="1:71" ht="15" x14ac:dyDescent="0.25">
      <c r="A79" s="37"/>
      <c r="B79" s="37"/>
      <c r="C79" s="37"/>
      <c r="D79" s="37"/>
      <c r="E79" s="37"/>
      <c r="F79" s="37"/>
      <c r="G79" s="37"/>
      <c r="H79" s="37"/>
      <c r="I79" s="37"/>
      <c r="J79" s="37"/>
      <c r="K79" s="37"/>
      <c r="L79" s="37"/>
      <c r="M79" s="37"/>
      <c r="N79" s="37"/>
      <c r="O79" s="37"/>
      <c r="P79" s="37"/>
      <c r="Q79" s="37"/>
      <c r="R79" s="37"/>
      <c r="S79" s="37"/>
      <c r="T79" s="37"/>
      <c r="U79" s="37"/>
      <c r="V79" s="37"/>
      <c r="W79" s="37"/>
      <c r="X79" s="37"/>
      <c r="Y79" s="37"/>
      <c r="Z79" s="37"/>
      <c r="AA79" s="37"/>
      <c r="AB79" s="37"/>
      <c r="AC79" s="37"/>
      <c r="AD79" s="37"/>
      <c r="AE79" s="37"/>
      <c r="AF79" s="37"/>
      <c r="AG79" s="37"/>
      <c r="AI79" s="37"/>
      <c r="AJ79" s="37"/>
      <c r="AK79" s="37"/>
      <c r="AL79" s="37"/>
      <c r="AM79" s="37"/>
      <c r="AN79" s="37"/>
      <c r="AO79" s="37"/>
      <c r="AP79" s="37"/>
      <c r="AQ79" s="37"/>
      <c r="AR79" s="37"/>
      <c r="AS79" s="37"/>
      <c r="AT79" s="37"/>
      <c r="AU79" s="37"/>
      <c r="AV79" s="37"/>
      <c r="AW79" s="37"/>
      <c r="AX79" s="37"/>
      <c r="AY79" s="37"/>
      <c r="AZ79" s="37"/>
      <c r="BA79" s="37"/>
      <c r="BB79" s="37"/>
      <c r="BC79" s="37"/>
      <c r="BD79" s="37"/>
      <c r="BE79" s="37"/>
      <c r="BF79" s="37"/>
      <c r="BG79" s="37"/>
      <c r="BH79" s="37"/>
      <c r="BI79" s="37"/>
      <c r="BJ79" s="37"/>
      <c r="BK79" s="37"/>
      <c r="BL79" s="37"/>
      <c r="BM79" s="37"/>
      <c r="BN79" s="37"/>
      <c r="BO79" s="37"/>
      <c r="BP79" s="37"/>
      <c r="BQ79" s="37"/>
      <c r="BR79" s="37"/>
      <c r="BS79" s="37"/>
    </row>
    <row r="80" spans="1:71" ht="15" x14ac:dyDescent="0.25">
      <c r="A80" s="37"/>
      <c r="B80" s="37"/>
      <c r="C80" s="37"/>
      <c r="D80" s="37"/>
      <c r="E80" s="37"/>
      <c r="F80" s="37"/>
      <c r="G80" s="37"/>
      <c r="H80" s="37"/>
      <c r="I80" s="37"/>
      <c r="J80" s="37"/>
      <c r="K80" s="37"/>
      <c r="L80" s="37"/>
      <c r="M80" s="37"/>
      <c r="N80" s="37"/>
      <c r="O80" s="37"/>
      <c r="P80" s="37"/>
      <c r="Q80" s="37"/>
      <c r="R80" s="37"/>
      <c r="S80" s="37"/>
      <c r="T80" s="37"/>
      <c r="U80" s="37"/>
      <c r="V80" s="37"/>
      <c r="W80" s="37"/>
      <c r="X80" s="37"/>
      <c r="Y80" s="37"/>
      <c r="Z80" s="37"/>
      <c r="AA80" s="37"/>
      <c r="AB80" s="37"/>
      <c r="AC80" s="37"/>
      <c r="AD80" s="37"/>
      <c r="AE80" s="37"/>
      <c r="AF80" s="37"/>
      <c r="AG80" s="37"/>
      <c r="AH80" s="37"/>
      <c r="AI80" s="37"/>
      <c r="AJ80" s="37"/>
      <c r="AK80" s="37"/>
      <c r="AL80" s="37"/>
      <c r="AM80" s="37"/>
      <c r="AN80" s="37"/>
      <c r="AO80" s="37"/>
      <c r="AP80" s="37"/>
      <c r="AQ80" s="37"/>
      <c r="AR80" s="37"/>
      <c r="AS80" s="37"/>
      <c r="AT80" s="37"/>
      <c r="AU80" s="37"/>
      <c r="AV80" s="37"/>
      <c r="AW80" s="37"/>
      <c r="AX80" s="37"/>
      <c r="AY80" s="37"/>
      <c r="AZ80" s="37"/>
      <c r="BA80" s="37"/>
      <c r="BB80" s="37"/>
      <c r="BC80" s="37"/>
      <c r="BD80" s="37"/>
      <c r="BE80" s="37"/>
      <c r="BF80" s="37"/>
      <c r="BG80" s="37"/>
      <c r="BH80" s="37"/>
      <c r="BI80" s="37"/>
      <c r="BJ80" s="37"/>
      <c r="BK80" s="37"/>
      <c r="BL80" s="37"/>
      <c r="BM80" s="37"/>
      <c r="BN80" s="37"/>
      <c r="BO80" s="37"/>
      <c r="BP80" s="37"/>
      <c r="BQ80" s="37"/>
      <c r="BR80" s="37"/>
      <c r="BS80" s="37"/>
    </row>
    <row r="81" spans="1:71" ht="15" x14ac:dyDescent="0.25">
      <c r="A81" s="37"/>
      <c r="B81" s="37"/>
      <c r="C81" s="37"/>
      <c r="D81" s="37"/>
      <c r="E81" s="37"/>
      <c r="F81" s="37"/>
      <c r="G81" s="37"/>
      <c r="H81" s="37"/>
      <c r="I81" s="37"/>
      <c r="J81" s="37"/>
      <c r="K81" s="37"/>
      <c r="L81" s="37"/>
      <c r="M81" s="37"/>
      <c r="N81" s="37"/>
      <c r="O81" s="37"/>
      <c r="P81" s="37"/>
      <c r="Q81" s="37"/>
      <c r="R81" s="37"/>
      <c r="S81" s="37"/>
      <c r="T81" s="37"/>
      <c r="U81" s="37"/>
      <c r="V81" s="37"/>
      <c r="W81" s="37"/>
      <c r="X81" s="37"/>
      <c r="Y81" s="37"/>
      <c r="Z81" s="37"/>
      <c r="AA81" s="37"/>
      <c r="AB81" s="37"/>
      <c r="AC81" s="37"/>
      <c r="AD81" s="37"/>
      <c r="AE81" s="37"/>
      <c r="AF81" s="37"/>
      <c r="AG81" s="37"/>
      <c r="AH81" s="37"/>
      <c r="AI81" s="37"/>
      <c r="AJ81" s="37"/>
      <c r="AK81" s="37"/>
      <c r="AL81" s="37"/>
      <c r="AM81" s="37"/>
      <c r="AN81" s="37"/>
      <c r="AO81" s="37"/>
      <c r="AP81" s="37"/>
      <c r="AQ81" s="37"/>
      <c r="AR81" s="37"/>
      <c r="AS81" s="37"/>
      <c r="AT81" s="37"/>
      <c r="AU81" s="37"/>
      <c r="AV81" s="37"/>
      <c r="AW81" s="37"/>
      <c r="AX81" s="37"/>
      <c r="AY81" s="37"/>
      <c r="AZ81" s="37"/>
      <c r="BA81" s="37"/>
      <c r="BB81" s="37"/>
      <c r="BC81" s="37"/>
      <c r="BD81" s="37"/>
      <c r="BE81" s="37"/>
      <c r="BF81" s="37"/>
      <c r="BG81" s="37"/>
      <c r="BH81" s="37"/>
      <c r="BI81" s="37"/>
      <c r="BJ81" s="37"/>
      <c r="BK81" s="37"/>
      <c r="BL81" s="37"/>
      <c r="BM81" s="37"/>
      <c r="BN81" s="37"/>
      <c r="BO81" s="37"/>
      <c r="BP81" s="37"/>
      <c r="BQ81" s="37"/>
      <c r="BR81" s="37"/>
      <c r="BS81" s="37"/>
    </row>
    <row r="82" spans="1:71" ht="15" x14ac:dyDescent="0.25">
      <c r="A82" s="37"/>
      <c r="B82" s="37"/>
      <c r="C82" s="37"/>
      <c r="D82" s="37"/>
      <c r="E82" s="37"/>
      <c r="F82" s="46" t="s">
        <v>627</v>
      </c>
      <c r="G82" s="46"/>
      <c r="H82" s="46"/>
      <c r="I82" s="46"/>
      <c r="J82" s="46"/>
      <c r="K82" s="46"/>
      <c r="L82" s="46"/>
      <c r="M82" s="46"/>
      <c r="N82" s="46"/>
      <c r="O82" s="192"/>
      <c r="P82" s="192"/>
      <c r="Q82" s="192"/>
      <c r="R82" s="192"/>
      <c r="S82" s="192"/>
      <c r="T82" s="192"/>
      <c r="U82" s="192"/>
      <c r="V82" s="192"/>
      <c r="W82" s="192"/>
      <c r="X82" s="192"/>
      <c r="Y82" s="192"/>
      <c r="Z82" s="192"/>
      <c r="AA82" s="192"/>
      <c r="AB82" s="192"/>
      <c r="AC82" s="192"/>
      <c r="AD82" s="192"/>
      <c r="AE82" s="192"/>
      <c r="AF82" s="37"/>
      <c r="AG82" s="37"/>
      <c r="AH82" s="37"/>
      <c r="AI82" s="37"/>
      <c r="AJ82" s="37"/>
      <c r="AK82" s="37"/>
      <c r="AL82" s="37"/>
      <c r="AM82" s="37"/>
      <c r="AN82" s="37"/>
      <c r="AO82" s="37"/>
      <c r="AP82" s="37"/>
      <c r="AQ82" s="37"/>
      <c r="AR82" s="37"/>
      <c r="AS82" s="37"/>
      <c r="AT82" s="37"/>
      <c r="AU82" s="37"/>
      <c r="AV82" s="37"/>
      <c r="AW82" s="37"/>
      <c r="AX82" s="37"/>
      <c r="AY82" s="37"/>
      <c r="AZ82" s="37"/>
      <c r="BA82" s="37"/>
      <c r="BB82" s="37"/>
      <c r="BC82" s="37"/>
      <c r="BD82" s="37"/>
      <c r="BE82" s="37"/>
      <c r="BF82" s="37"/>
      <c r="BG82" s="37"/>
      <c r="BH82" s="37"/>
      <c r="BI82" s="37"/>
      <c r="BJ82" s="37"/>
      <c r="BK82" s="37"/>
      <c r="BL82" s="37"/>
      <c r="BM82" s="37"/>
      <c r="BN82" s="37"/>
      <c r="BO82" s="37"/>
      <c r="BP82" s="37"/>
      <c r="BQ82" s="37"/>
      <c r="BR82" s="37"/>
      <c r="BS82" s="37"/>
    </row>
    <row r="83" spans="1:71" ht="15" x14ac:dyDescent="0.25">
      <c r="A83" s="37"/>
      <c r="B83" s="37"/>
      <c r="C83" s="37"/>
      <c r="D83" s="37"/>
      <c r="E83" s="37"/>
      <c r="F83" s="37"/>
      <c r="G83" s="37"/>
      <c r="H83" s="37"/>
      <c r="I83" s="37"/>
      <c r="J83" s="37"/>
      <c r="K83" s="37"/>
      <c r="L83" s="37"/>
      <c r="M83" s="37"/>
      <c r="N83" s="37"/>
      <c r="O83" s="37"/>
      <c r="P83" s="37"/>
      <c r="Q83" s="37"/>
      <c r="R83" s="37"/>
      <c r="S83" s="37"/>
      <c r="T83" s="37"/>
      <c r="U83" s="37"/>
      <c r="V83" s="37"/>
      <c r="W83" s="37"/>
      <c r="X83" s="37"/>
      <c r="Y83" s="37"/>
      <c r="Z83" s="37"/>
      <c r="AA83" s="37"/>
      <c r="AB83" s="37"/>
      <c r="AC83" s="37"/>
      <c r="AD83" s="37"/>
      <c r="AE83" s="37"/>
      <c r="AF83" s="37"/>
      <c r="AG83" s="37"/>
      <c r="AH83" s="37"/>
      <c r="AI83" s="37"/>
      <c r="AJ83" s="37"/>
      <c r="AK83" s="37"/>
      <c r="AL83" s="37"/>
      <c r="AM83" s="37"/>
      <c r="AN83" s="37"/>
      <c r="AO83" s="37"/>
      <c r="AP83" s="37"/>
      <c r="AQ83" s="37"/>
      <c r="AR83" s="37"/>
      <c r="AS83" s="37"/>
      <c r="AT83" s="37"/>
      <c r="AU83" s="37"/>
      <c r="AV83" s="37"/>
      <c r="AW83" s="37"/>
      <c r="AX83" s="37"/>
      <c r="AY83" s="37"/>
      <c r="AZ83" s="37"/>
      <c r="BA83" s="37"/>
      <c r="BB83" s="37"/>
      <c r="BC83" s="37"/>
      <c r="BD83" s="37"/>
      <c r="BE83" s="37"/>
      <c r="BF83" s="37"/>
      <c r="BG83" s="37"/>
      <c r="BH83" s="37"/>
      <c r="BI83" s="37"/>
      <c r="BJ83" s="37"/>
      <c r="BK83" s="37"/>
      <c r="BL83" s="37"/>
      <c r="BM83" s="37"/>
      <c r="BN83" s="37"/>
      <c r="BO83" s="37"/>
      <c r="BP83" s="37"/>
      <c r="BQ83" s="37"/>
      <c r="BR83" s="37"/>
      <c r="BS83" s="37"/>
    </row>
    <row r="84" spans="1:71" ht="15" x14ac:dyDescent="0.25">
      <c r="A84" s="37"/>
      <c r="B84" s="37"/>
      <c r="C84" s="37"/>
      <c r="D84" s="37"/>
      <c r="E84" s="37"/>
      <c r="F84" s="37" t="s">
        <v>628</v>
      </c>
      <c r="G84" s="37"/>
      <c r="H84" s="37"/>
      <c r="I84" s="37"/>
      <c r="J84" s="37"/>
      <c r="K84" s="37"/>
      <c r="L84" s="37"/>
      <c r="M84" s="37"/>
      <c r="N84" s="37"/>
      <c r="O84" s="37"/>
      <c r="P84" s="37"/>
      <c r="Q84" s="37"/>
      <c r="R84" s="37"/>
      <c r="S84" s="37"/>
      <c r="T84" s="37"/>
      <c r="U84" s="37"/>
      <c r="V84" s="37"/>
      <c r="W84" s="37"/>
      <c r="X84" s="37"/>
      <c r="Y84" s="37"/>
      <c r="Z84" s="37"/>
      <c r="AA84" s="37"/>
      <c r="AB84" s="37"/>
      <c r="AC84" s="37"/>
      <c r="AD84" s="37"/>
      <c r="AE84" s="37"/>
      <c r="AF84" s="37"/>
      <c r="AG84" s="37"/>
      <c r="AH84" s="37" t="s">
        <v>629</v>
      </c>
      <c r="AI84" s="37"/>
      <c r="AJ84" s="37"/>
      <c r="AK84" s="37"/>
      <c r="AL84" s="37"/>
      <c r="AM84" s="37"/>
      <c r="AN84" s="37"/>
      <c r="AO84" s="37"/>
      <c r="AP84" s="37"/>
      <c r="AQ84" s="37"/>
      <c r="AR84" s="37"/>
      <c r="AS84" s="37"/>
      <c r="AT84" s="37"/>
      <c r="AU84" s="37"/>
      <c r="AV84" s="37"/>
      <c r="AW84" s="37"/>
      <c r="AX84" s="37"/>
      <c r="AY84" s="37"/>
      <c r="AZ84" s="37"/>
      <c r="BA84" s="37"/>
      <c r="BB84" s="37"/>
      <c r="BC84" s="37"/>
      <c r="BD84" s="37"/>
      <c r="BE84" s="37"/>
      <c r="BF84" s="37"/>
      <c r="BG84" s="37"/>
      <c r="BH84" s="37"/>
      <c r="BI84" s="37"/>
      <c r="BJ84" s="37"/>
      <c r="BK84" s="37"/>
      <c r="BL84" s="37"/>
      <c r="BM84" s="37"/>
      <c r="BN84" s="37"/>
      <c r="BO84" s="37"/>
      <c r="BP84" s="37"/>
      <c r="BQ84" s="37"/>
      <c r="BR84" s="37"/>
      <c r="BS84" s="37"/>
    </row>
    <row r="85" spans="1:71" ht="15" x14ac:dyDescent="0.25">
      <c r="A85" s="37"/>
      <c r="B85" s="37"/>
      <c r="C85" s="37"/>
      <c r="D85" s="37"/>
      <c r="E85" s="37"/>
      <c r="F85" s="37" t="s">
        <v>42</v>
      </c>
      <c r="G85" s="37"/>
      <c r="H85" s="37"/>
      <c r="I85" s="37"/>
      <c r="J85" s="37"/>
      <c r="K85" s="37"/>
      <c r="L85" s="37"/>
      <c r="M85" s="37"/>
      <c r="N85" s="37"/>
      <c r="O85" s="37"/>
      <c r="P85" s="37"/>
      <c r="Q85" s="37"/>
      <c r="R85" s="37"/>
      <c r="S85" s="37"/>
      <c r="T85" s="37"/>
      <c r="U85" s="37"/>
      <c r="V85" s="37"/>
      <c r="W85" s="37"/>
      <c r="X85" s="37"/>
      <c r="Y85" s="37"/>
      <c r="Z85" s="37"/>
      <c r="AA85" s="37"/>
      <c r="AB85" s="37"/>
      <c r="AC85" s="37"/>
      <c r="AD85" s="37"/>
      <c r="AE85" s="37"/>
      <c r="AF85" s="37"/>
      <c r="AG85" s="37"/>
      <c r="AH85" s="37" t="s">
        <v>630</v>
      </c>
      <c r="AI85" s="37"/>
      <c r="AJ85" s="37"/>
      <c r="AK85" s="37"/>
      <c r="AL85" s="37"/>
      <c r="AM85" s="37"/>
      <c r="AN85" s="37"/>
      <c r="AO85" s="37"/>
      <c r="AP85" s="37"/>
      <c r="AQ85" s="37"/>
      <c r="AR85" s="37"/>
      <c r="AS85" s="37"/>
      <c r="AT85" s="37"/>
      <c r="AU85" s="37"/>
      <c r="AV85" s="37"/>
      <c r="AW85" s="37"/>
      <c r="AX85" s="37"/>
      <c r="AY85" s="37"/>
      <c r="AZ85" s="37"/>
      <c r="BA85" s="37"/>
      <c r="BB85" s="37"/>
      <c r="BC85" s="37"/>
      <c r="BD85" s="37"/>
      <c r="BE85" s="37"/>
      <c r="BF85" s="37"/>
      <c r="BG85" s="37"/>
      <c r="BH85" s="37"/>
      <c r="BI85" s="37"/>
      <c r="BJ85" s="37"/>
      <c r="BK85" s="37"/>
      <c r="BL85" s="37"/>
      <c r="BM85" s="37"/>
      <c r="BN85" s="37"/>
      <c r="BO85" s="37"/>
      <c r="BP85" s="37"/>
      <c r="BQ85" s="37"/>
      <c r="BR85" s="37"/>
      <c r="BS85" s="37"/>
    </row>
    <row r="86" spans="1:71" ht="15" x14ac:dyDescent="0.25">
      <c r="A86" s="37"/>
      <c r="B86" s="37"/>
      <c r="C86" s="37"/>
      <c r="D86" s="37"/>
      <c r="E86" s="37"/>
      <c r="F86" s="37"/>
      <c r="G86" s="37"/>
      <c r="H86" s="37"/>
      <c r="I86" s="37"/>
      <c r="J86" s="37"/>
      <c r="K86" s="37"/>
      <c r="L86" s="37"/>
      <c r="M86" s="37"/>
      <c r="N86" s="37"/>
      <c r="O86" s="37"/>
      <c r="P86" s="37"/>
      <c r="Q86" s="37"/>
      <c r="R86" s="37"/>
      <c r="S86" s="37"/>
      <c r="T86" s="37"/>
      <c r="U86" s="37"/>
      <c r="V86" s="37"/>
      <c r="W86" s="37"/>
      <c r="X86" s="37"/>
      <c r="Y86" s="37"/>
      <c r="Z86" s="37"/>
      <c r="AA86" s="37"/>
      <c r="AB86" s="37"/>
      <c r="AC86" s="37"/>
      <c r="AD86" s="37"/>
      <c r="AE86" s="37"/>
      <c r="AF86" s="37"/>
      <c r="AG86" s="37"/>
      <c r="AH86" s="37"/>
      <c r="AI86" s="37"/>
      <c r="AJ86" s="37"/>
      <c r="AK86" s="37"/>
      <c r="AL86" s="37"/>
      <c r="AM86" s="37"/>
      <c r="AN86" s="37"/>
      <c r="AO86" s="37"/>
      <c r="AP86" s="37"/>
      <c r="AQ86" s="37"/>
      <c r="AR86" s="37"/>
      <c r="AS86" s="37"/>
      <c r="AT86" s="37"/>
      <c r="AU86" s="37"/>
      <c r="AV86" s="37"/>
      <c r="AW86" s="37"/>
      <c r="AX86" s="37"/>
      <c r="AY86" s="37"/>
      <c r="AZ86" s="37"/>
      <c r="BA86" s="37"/>
      <c r="BB86" s="37"/>
      <c r="BC86" s="37"/>
      <c r="BD86" s="37"/>
      <c r="BE86" s="37"/>
      <c r="BF86" s="37"/>
      <c r="BG86" s="37"/>
      <c r="BH86" s="37"/>
      <c r="BI86" s="37"/>
      <c r="BJ86" s="37"/>
      <c r="BK86" s="37"/>
      <c r="BL86" s="37"/>
      <c r="BM86" s="37"/>
      <c r="BN86" s="37"/>
      <c r="BO86" s="37"/>
      <c r="BP86" s="37"/>
      <c r="BQ86" s="37"/>
      <c r="BR86" s="37"/>
      <c r="BS86" s="37"/>
    </row>
    <row r="87" spans="1:71" ht="15" x14ac:dyDescent="0.25">
      <c r="A87" s="37"/>
      <c r="B87" s="37"/>
      <c r="C87" s="37"/>
      <c r="D87" s="37"/>
      <c r="E87" s="37"/>
      <c r="F87" s="37" t="s">
        <v>631</v>
      </c>
      <c r="G87" s="37"/>
      <c r="H87" s="37"/>
      <c r="I87" s="37"/>
      <c r="J87" s="37"/>
      <c r="K87" s="37"/>
      <c r="L87" s="37"/>
      <c r="M87" s="37"/>
      <c r="N87" s="37"/>
      <c r="O87" s="37"/>
      <c r="P87" s="37"/>
      <c r="Q87" s="37"/>
      <c r="R87" s="37"/>
      <c r="S87" s="37"/>
      <c r="T87" s="37"/>
      <c r="U87" s="37"/>
      <c r="V87" s="37"/>
      <c r="W87" s="37"/>
      <c r="X87" s="37"/>
      <c r="Y87" s="37"/>
      <c r="Z87" s="37"/>
      <c r="AA87" s="37"/>
      <c r="AB87" s="37"/>
      <c r="AC87" s="37"/>
      <c r="AD87" s="37"/>
      <c r="AE87" s="37"/>
      <c r="AF87" s="37"/>
      <c r="AG87" s="37"/>
      <c r="AH87" s="37"/>
      <c r="AI87" s="37"/>
      <c r="AJ87" s="37"/>
      <c r="AK87" s="37"/>
      <c r="AL87" s="37"/>
      <c r="AM87" s="37"/>
      <c r="AN87" s="37"/>
      <c r="AO87" s="37"/>
      <c r="AP87" s="37"/>
      <c r="AQ87" s="37"/>
      <c r="AR87" s="37"/>
      <c r="AS87" s="37"/>
      <c r="AT87" s="37"/>
      <c r="AU87" s="37"/>
      <c r="AV87" s="37"/>
      <c r="AW87" s="37"/>
      <c r="AX87" s="37"/>
      <c r="AY87" s="37"/>
      <c r="AZ87" s="37"/>
      <c r="BA87" s="37"/>
      <c r="BB87" s="37"/>
      <c r="BC87" s="37"/>
      <c r="BD87" s="37"/>
      <c r="BE87" s="37"/>
      <c r="BF87" s="37"/>
      <c r="BG87" s="37"/>
      <c r="BH87" s="37"/>
      <c r="BI87" s="37"/>
      <c r="BJ87" s="37"/>
      <c r="BK87" s="37"/>
      <c r="BL87" s="37"/>
      <c r="BM87" s="37"/>
      <c r="BN87" s="37"/>
      <c r="BO87" s="37"/>
      <c r="BP87" s="37"/>
      <c r="BQ87" s="37"/>
      <c r="BR87" s="37"/>
      <c r="BS87" s="37"/>
    </row>
    <row r="88" spans="1:71" ht="15" x14ac:dyDescent="0.25">
      <c r="A88" s="37"/>
      <c r="B88" s="37"/>
      <c r="C88" s="37"/>
      <c r="D88" s="37"/>
      <c r="E88" s="37"/>
      <c r="F88" s="37" t="s">
        <v>162</v>
      </c>
      <c r="G88" s="37"/>
      <c r="H88" s="37"/>
      <c r="I88" s="37"/>
      <c r="J88" s="37"/>
      <c r="K88" s="37"/>
      <c r="L88" s="37"/>
      <c r="M88" s="37"/>
      <c r="N88" s="37"/>
      <c r="O88" s="37"/>
      <c r="P88" s="37"/>
      <c r="Q88" s="37"/>
      <c r="R88" s="37"/>
      <c r="S88" s="37"/>
      <c r="T88" s="37"/>
      <c r="U88" s="37"/>
      <c r="V88" s="37"/>
      <c r="W88" s="37"/>
      <c r="X88" s="37"/>
      <c r="Y88" s="37"/>
      <c r="Z88" s="37"/>
      <c r="AA88" s="37"/>
      <c r="AB88" s="37"/>
      <c r="AC88" s="37"/>
      <c r="AD88" s="37"/>
      <c r="AE88" s="37"/>
      <c r="AF88" s="37"/>
      <c r="AG88" s="37"/>
      <c r="AH88" s="37" t="s">
        <v>400</v>
      </c>
      <c r="AI88" s="37"/>
      <c r="AJ88" s="37"/>
      <c r="AK88" s="37"/>
      <c r="AL88" s="37"/>
      <c r="AM88" s="37"/>
      <c r="AN88" s="37"/>
      <c r="AO88" s="37"/>
      <c r="AP88" s="37"/>
      <c r="AQ88" s="37"/>
      <c r="AR88" s="37"/>
      <c r="AS88" s="37"/>
      <c r="AT88" s="37"/>
      <c r="AU88" s="37"/>
      <c r="AV88" s="37"/>
      <c r="AW88" s="37"/>
      <c r="AX88" s="37"/>
      <c r="AY88" s="37"/>
      <c r="AZ88" s="37"/>
      <c r="BA88" s="37"/>
      <c r="BB88" s="37"/>
      <c r="BC88" s="37"/>
      <c r="BD88" s="37"/>
      <c r="BE88" s="37"/>
      <c r="BF88" s="37"/>
      <c r="BG88" s="37"/>
      <c r="BH88" s="37"/>
      <c r="BI88" s="37"/>
      <c r="BJ88" s="37"/>
      <c r="BK88" s="37"/>
      <c r="BL88" s="37"/>
      <c r="BM88" s="37"/>
      <c r="BN88" s="37"/>
      <c r="BO88" s="37"/>
      <c r="BP88" s="37"/>
      <c r="BQ88" s="37"/>
      <c r="BR88" s="37"/>
      <c r="BS88" s="37"/>
    </row>
    <row r="89" spans="1:71" ht="15" x14ac:dyDescent="0.25">
      <c r="A89" s="37"/>
      <c r="B89" s="37"/>
      <c r="C89" s="37"/>
      <c r="D89" s="37"/>
      <c r="E89" s="37"/>
      <c r="F89" s="37" t="s">
        <v>42</v>
      </c>
      <c r="G89" s="37"/>
      <c r="H89" s="37"/>
      <c r="I89" s="37"/>
      <c r="J89" s="37"/>
      <c r="K89" s="37"/>
      <c r="L89" s="37"/>
      <c r="M89" s="37"/>
      <c r="N89" s="37"/>
      <c r="O89" s="37"/>
      <c r="P89" s="37"/>
      <c r="Q89" s="37"/>
      <c r="R89" s="37"/>
      <c r="S89" s="37"/>
      <c r="T89" s="37"/>
      <c r="U89" s="37"/>
      <c r="V89" s="37"/>
      <c r="W89" s="37"/>
      <c r="X89" s="37"/>
      <c r="Y89" s="37"/>
      <c r="Z89" s="37"/>
      <c r="AA89" s="37"/>
      <c r="AB89" s="37"/>
      <c r="AC89" s="37"/>
      <c r="AD89" s="37"/>
      <c r="AE89" s="37"/>
      <c r="AF89" s="37"/>
      <c r="AG89" s="37"/>
      <c r="AH89" s="37" t="s">
        <v>741</v>
      </c>
      <c r="AI89" s="37"/>
      <c r="AJ89" s="37"/>
      <c r="AK89" s="37"/>
      <c r="AL89" s="37"/>
      <c r="AM89" s="37"/>
      <c r="AN89" s="37"/>
      <c r="AO89" s="37"/>
      <c r="AP89" s="37"/>
      <c r="AQ89" s="37"/>
      <c r="AR89" s="37"/>
      <c r="AS89" s="37"/>
      <c r="AT89" s="37"/>
      <c r="AU89" s="37"/>
      <c r="AV89" s="37"/>
      <c r="AW89" s="37"/>
      <c r="AX89" s="37"/>
      <c r="AY89" s="37"/>
      <c r="AZ89" s="37"/>
      <c r="BA89" s="37"/>
      <c r="BB89" s="37"/>
      <c r="BC89" s="37"/>
      <c r="BD89" s="37"/>
      <c r="BE89" s="37"/>
      <c r="BF89" s="37"/>
      <c r="BG89" s="37"/>
      <c r="BH89" s="37"/>
      <c r="BI89" s="37"/>
      <c r="BJ89" s="37"/>
      <c r="BK89" s="37"/>
      <c r="BL89" s="37"/>
      <c r="BM89" s="37"/>
      <c r="BN89" s="37"/>
      <c r="BO89" s="37"/>
      <c r="BP89" s="37"/>
      <c r="BQ89" s="37"/>
      <c r="BR89" s="37"/>
      <c r="BS89" s="37"/>
    </row>
    <row r="90" spans="1:71" ht="15" x14ac:dyDescent="0.25">
      <c r="A90" s="37"/>
      <c r="B90" s="37"/>
      <c r="C90" s="37"/>
      <c r="D90" s="37"/>
      <c r="E90" s="37"/>
      <c r="F90" s="37"/>
      <c r="G90" s="37"/>
      <c r="H90" s="37"/>
      <c r="I90" s="37"/>
      <c r="J90" s="37"/>
      <c r="K90" s="37"/>
      <c r="L90" s="37"/>
      <c r="M90" s="37"/>
      <c r="N90" s="37"/>
      <c r="O90" s="37"/>
      <c r="P90" s="37"/>
      <c r="Q90" s="37"/>
      <c r="R90" s="37"/>
      <c r="S90" s="37"/>
      <c r="T90" s="37"/>
      <c r="U90" s="37"/>
      <c r="V90" s="37"/>
      <c r="W90" s="37"/>
      <c r="X90" s="37"/>
      <c r="Y90" s="37"/>
      <c r="Z90" s="37"/>
      <c r="AA90" s="37"/>
      <c r="AB90" s="37"/>
      <c r="AC90" s="37"/>
      <c r="AD90" s="37"/>
      <c r="AE90" s="37"/>
      <c r="AF90" s="37"/>
      <c r="AG90" s="37"/>
      <c r="AH90" s="37" t="s">
        <v>723</v>
      </c>
      <c r="AI90" s="37"/>
      <c r="AJ90" s="37"/>
      <c r="AK90" s="37"/>
      <c r="AL90" s="37"/>
      <c r="AM90" s="37"/>
      <c r="AN90" s="37"/>
      <c r="AO90" s="37"/>
      <c r="AP90" s="37"/>
      <c r="AQ90" s="37"/>
      <c r="AR90" s="37"/>
      <c r="AS90" s="37"/>
      <c r="AT90" s="37"/>
      <c r="AU90" s="37"/>
      <c r="AV90" s="37"/>
      <c r="AW90" s="37"/>
      <c r="AX90" s="37"/>
      <c r="AY90" s="37"/>
      <c r="AZ90" s="37"/>
      <c r="BA90" s="37"/>
      <c r="BB90" s="37"/>
      <c r="BC90" s="37"/>
      <c r="BD90" s="37"/>
      <c r="BE90" s="37"/>
      <c r="BF90" s="37"/>
      <c r="BG90" s="37"/>
      <c r="BH90" s="37"/>
      <c r="BI90" s="37"/>
      <c r="BJ90" s="37"/>
      <c r="BK90" s="37"/>
      <c r="BL90" s="37"/>
      <c r="BM90" s="37"/>
      <c r="BN90" s="37"/>
      <c r="BO90" s="37"/>
      <c r="BP90" s="37"/>
      <c r="BQ90" s="37"/>
      <c r="BR90" s="37"/>
      <c r="BS90" s="37"/>
    </row>
    <row r="91" spans="1:71" ht="15" x14ac:dyDescent="0.25">
      <c r="A91" s="37"/>
      <c r="B91" s="37"/>
      <c r="C91" s="37"/>
      <c r="D91" s="37"/>
      <c r="E91" s="37"/>
      <c r="F91" s="46"/>
      <c r="G91" s="46"/>
      <c r="H91" s="46"/>
      <c r="I91" s="46"/>
      <c r="J91" s="46"/>
      <c r="K91" s="46"/>
      <c r="L91" s="46"/>
      <c r="M91" s="46"/>
      <c r="N91" s="46"/>
      <c r="O91" s="192"/>
      <c r="P91" s="192"/>
      <c r="Q91" s="192"/>
      <c r="R91" s="192"/>
      <c r="S91" s="192"/>
      <c r="T91" s="192"/>
      <c r="U91" s="192"/>
      <c r="V91" s="192"/>
      <c r="W91" s="192"/>
      <c r="X91" s="192"/>
      <c r="Y91" s="192"/>
      <c r="Z91" s="192"/>
      <c r="AA91" s="192"/>
      <c r="AB91" s="192"/>
      <c r="AC91" s="192"/>
      <c r="AD91" s="192"/>
      <c r="AE91" s="192"/>
      <c r="AF91" s="37"/>
      <c r="AG91" s="37"/>
      <c r="AH91" s="37"/>
      <c r="AI91" s="37"/>
      <c r="AJ91" s="37"/>
      <c r="AK91" s="37"/>
      <c r="AL91" s="37"/>
      <c r="AM91" s="37"/>
      <c r="AN91" s="37"/>
      <c r="AO91" s="37"/>
      <c r="AP91" s="37"/>
      <c r="AQ91" s="37"/>
      <c r="AR91" s="37"/>
      <c r="AS91" s="37"/>
      <c r="AT91" s="37"/>
      <c r="AU91" s="37"/>
      <c r="AV91" s="37"/>
      <c r="AW91" s="37"/>
      <c r="AX91" s="37"/>
      <c r="AY91" s="37"/>
      <c r="AZ91" s="37"/>
      <c r="BA91" s="37"/>
      <c r="BB91" s="37"/>
      <c r="BC91" s="37"/>
      <c r="BD91" s="37"/>
      <c r="BE91" s="37"/>
      <c r="BF91" s="37"/>
      <c r="BG91" s="37"/>
      <c r="BH91" s="37"/>
      <c r="BI91" s="37"/>
      <c r="BJ91" s="37"/>
      <c r="BK91" s="37"/>
      <c r="BL91" s="37"/>
      <c r="BM91" s="37"/>
      <c r="BN91" s="37"/>
      <c r="BO91" s="37"/>
      <c r="BP91" s="37"/>
      <c r="BQ91" s="37"/>
      <c r="BR91" s="37"/>
      <c r="BS91" s="37"/>
    </row>
    <row r="92" spans="1:71" ht="15" x14ac:dyDescent="0.25">
      <c r="A92" s="37"/>
      <c r="B92" s="37"/>
      <c r="C92" s="37"/>
      <c r="D92" s="37"/>
      <c r="E92" s="37"/>
      <c r="F92" s="37"/>
      <c r="G92" s="37"/>
      <c r="H92" s="37"/>
      <c r="I92" s="37"/>
      <c r="J92" s="37"/>
      <c r="K92" s="37"/>
      <c r="L92" s="37"/>
      <c r="M92" s="37"/>
      <c r="N92" s="37"/>
      <c r="O92" s="37"/>
      <c r="P92" s="37"/>
      <c r="Q92" s="37"/>
      <c r="R92" s="37"/>
      <c r="S92" s="37"/>
      <c r="T92" s="37"/>
      <c r="U92" s="37"/>
      <c r="V92" s="37"/>
      <c r="W92" s="37"/>
      <c r="X92" s="37"/>
      <c r="Y92" s="37"/>
      <c r="Z92" s="37"/>
      <c r="AA92" s="37"/>
      <c r="AB92" s="37"/>
      <c r="AC92" s="37"/>
      <c r="AD92" s="37"/>
      <c r="AE92" s="37"/>
      <c r="AF92" s="37"/>
      <c r="AG92" s="37"/>
      <c r="AH92" s="37"/>
      <c r="AI92" s="37"/>
      <c r="AJ92" s="37"/>
      <c r="AK92" s="37"/>
      <c r="AL92" s="37"/>
      <c r="AM92" s="37"/>
      <c r="AN92" s="37"/>
      <c r="AO92" s="37"/>
      <c r="AP92" s="37"/>
      <c r="AQ92" s="37"/>
      <c r="AR92" s="37"/>
      <c r="AS92" s="37"/>
      <c r="AT92" s="37"/>
      <c r="AU92" s="37"/>
      <c r="AV92" s="37"/>
      <c r="AW92" s="37"/>
      <c r="AX92" s="37"/>
      <c r="AY92" s="37"/>
      <c r="AZ92" s="37"/>
      <c r="BA92" s="37"/>
      <c r="BB92" s="37"/>
      <c r="BC92" s="37"/>
      <c r="BD92" s="37"/>
      <c r="BE92" s="37"/>
      <c r="BF92" s="37"/>
      <c r="BG92" s="37"/>
      <c r="BH92" s="37"/>
      <c r="BI92" s="37"/>
      <c r="BJ92" s="37"/>
      <c r="BK92" s="37"/>
      <c r="BL92" s="37"/>
      <c r="BM92" s="37"/>
      <c r="BN92" s="37"/>
      <c r="BO92" s="37"/>
      <c r="BP92" s="37"/>
      <c r="BQ92" s="37"/>
      <c r="BR92" s="37"/>
      <c r="BS92" s="37"/>
    </row>
    <row r="93" spans="1:71" ht="15" x14ac:dyDescent="0.25">
      <c r="A93" s="37"/>
      <c r="B93" s="37"/>
      <c r="C93" s="37"/>
      <c r="D93" s="37"/>
      <c r="E93" s="37"/>
      <c r="F93" s="37" t="s">
        <v>165</v>
      </c>
      <c r="G93" s="37"/>
      <c r="H93" s="37"/>
      <c r="I93" s="37"/>
      <c r="J93" s="37"/>
      <c r="K93" s="37"/>
      <c r="L93" s="37"/>
      <c r="M93" s="37"/>
      <c r="N93" s="37"/>
      <c r="O93" s="37"/>
      <c r="P93" s="37"/>
      <c r="Q93" s="37"/>
      <c r="R93" s="37"/>
      <c r="S93" s="37"/>
      <c r="T93" s="37"/>
      <c r="U93" s="37"/>
      <c r="V93" s="37"/>
      <c r="W93" s="37"/>
      <c r="X93" s="37"/>
      <c r="Y93" s="37"/>
      <c r="Z93" s="37"/>
      <c r="AA93" s="37"/>
      <c r="AB93" s="37"/>
      <c r="AC93" s="37"/>
      <c r="AD93" s="37"/>
      <c r="AE93" s="37"/>
      <c r="AF93" s="37"/>
      <c r="AG93" s="37"/>
      <c r="AH93" s="37"/>
      <c r="AI93" s="37"/>
      <c r="AJ93" s="37"/>
      <c r="AK93" s="37"/>
      <c r="AL93" s="37"/>
      <c r="AM93" s="37"/>
      <c r="AN93" s="37"/>
      <c r="AO93" s="37"/>
      <c r="AP93" s="37"/>
      <c r="AQ93" s="37"/>
      <c r="AR93" s="37"/>
      <c r="AS93" s="37"/>
      <c r="AT93" s="37"/>
      <c r="AU93" s="37"/>
      <c r="AV93" s="37"/>
      <c r="AW93" s="37"/>
      <c r="AX93" s="37"/>
      <c r="AY93" s="37"/>
      <c r="AZ93" s="37"/>
      <c r="BA93" s="37"/>
      <c r="BB93" s="37"/>
      <c r="BC93" s="37"/>
      <c r="BD93" s="37"/>
      <c r="BE93" s="37"/>
      <c r="BF93" s="37"/>
      <c r="BG93" s="37"/>
      <c r="BH93" s="37"/>
      <c r="BI93" s="37"/>
      <c r="BJ93" s="37"/>
      <c r="BK93" s="37"/>
      <c r="BL93" s="37"/>
      <c r="BM93" s="37"/>
      <c r="BN93" s="37"/>
      <c r="BO93" s="37"/>
      <c r="BP93" s="37"/>
      <c r="BQ93" s="37"/>
      <c r="BR93" s="37"/>
      <c r="BS93" s="37"/>
    </row>
    <row r="94" spans="1:71" ht="15" x14ac:dyDescent="0.25">
      <c r="A94" s="37"/>
      <c r="B94" s="37"/>
      <c r="C94" s="37"/>
      <c r="D94" s="37"/>
      <c r="E94" s="37"/>
      <c r="F94" s="37" t="s">
        <v>42</v>
      </c>
      <c r="G94" s="37"/>
      <c r="H94" s="37"/>
      <c r="I94" s="37"/>
      <c r="J94" s="37"/>
      <c r="K94" s="37"/>
      <c r="L94" s="37"/>
      <c r="M94" s="37"/>
      <c r="N94" s="37"/>
      <c r="O94" s="37"/>
      <c r="P94" s="37"/>
      <c r="Q94" s="37"/>
      <c r="R94" s="37"/>
      <c r="S94" s="37"/>
      <c r="T94" s="37"/>
      <c r="U94" s="37"/>
      <c r="V94" s="37"/>
      <c r="W94" s="37"/>
      <c r="X94" s="37"/>
      <c r="Y94" s="37"/>
      <c r="Z94" s="37"/>
      <c r="AA94" s="37"/>
      <c r="AB94" s="37"/>
      <c r="AC94" s="37"/>
      <c r="AD94" s="37"/>
      <c r="AE94" s="37"/>
      <c r="AF94" s="37"/>
      <c r="AG94" s="37"/>
      <c r="AH94" s="37"/>
      <c r="AI94" s="37"/>
      <c r="AJ94" s="37"/>
      <c r="AK94" s="37"/>
      <c r="AL94" s="37"/>
      <c r="AM94" s="37"/>
      <c r="AN94" s="37"/>
      <c r="AO94" s="37"/>
      <c r="AP94" s="37"/>
      <c r="AQ94" s="37"/>
      <c r="AR94" s="37"/>
      <c r="AS94" s="37"/>
      <c r="AT94" s="37"/>
      <c r="AU94" s="37"/>
      <c r="AV94" s="37"/>
      <c r="AW94" s="37"/>
      <c r="AX94" s="37"/>
      <c r="AY94" s="37"/>
      <c r="AZ94" s="37"/>
      <c r="BA94" s="37"/>
      <c r="BB94" s="37"/>
      <c r="BC94" s="37"/>
      <c r="BD94" s="37"/>
      <c r="BE94" s="37"/>
      <c r="BF94" s="37"/>
      <c r="BG94" s="37"/>
      <c r="BH94" s="37"/>
      <c r="BI94" s="37"/>
      <c r="BJ94" s="37"/>
      <c r="BK94" s="37"/>
      <c r="BL94" s="37"/>
      <c r="BM94" s="37"/>
      <c r="BN94" s="37"/>
      <c r="BO94" s="37"/>
      <c r="BP94" s="37"/>
      <c r="BQ94" s="37"/>
      <c r="BR94" s="37"/>
      <c r="BS94" s="37"/>
    </row>
    <row r="95" spans="1:71" ht="15" x14ac:dyDescent="0.25">
      <c r="A95" s="37"/>
      <c r="B95" s="37"/>
      <c r="C95" s="37"/>
      <c r="D95" s="37"/>
      <c r="E95" s="37"/>
      <c r="F95" s="37"/>
      <c r="G95" s="37"/>
      <c r="H95" s="37"/>
      <c r="I95" s="37"/>
      <c r="J95" s="37"/>
      <c r="K95" s="37"/>
      <c r="L95" s="37"/>
      <c r="M95" s="37"/>
      <c r="N95" s="37"/>
      <c r="O95" s="37"/>
      <c r="P95" s="37"/>
      <c r="Q95" s="37"/>
      <c r="R95" s="37"/>
      <c r="S95" s="37"/>
      <c r="T95" s="37"/>
      <c r="U95" s="37"/>
      <c r="V95" s="37"/>
      <c r="W95" s="37"/>
      <c r="X95" s="37"/>
      <c r="Y95" s="37"/>
      <c r="Z95" s="37"/>
      <c r="AA95" s="37"/>
      <c r="AB95" s="37"/>
      <c r="AC95" s="37"/>
      <c r="AD95" s="37"/>
      <c r="AE95" s="37"/>
      <c r="AF95" s="37"/>
      <c r="AG95" s="37"/>
      <c r="AH95" s="37"/>
      <c r="AI95" s="37"/>
      <c r="AJ95" s="37"/>
      <c r="AK95" s="37"/>
      <c r="AL95" s="37"/>
      <c r="AM95" s="37"/>
      <c r="AN95" s="37"/>
      <c r="AO95" s="37"/>
      <c r="AP95" s="37"/>
      <c r="AQ95" s="37"/>
      <c r="AR95" s="37"/>
      <c r="AS95" s="37"/>
      <c r="AT95" s="37"/>
      <c r="AU95" s="37"/>
      <c r="AV95" s="37"/>
      <c r="AW95" s="37"/>
      <c r="AX95" s="37"/>
      <c r="AY95" s="37"/>
      <c r="AZ95" s="37"/>
      <c r="BA95" s="37"/>
      <c r="BB95" s="37"/>
      <c r="BC95" s="37"/>
      <c r="BD95" s="37"/>
      <c r="BE95" s="37"/>
      <c r="BF95" s="37"/>
      <c r="BG95" s="37"/>
      <c r="BH95" s="37"/>
      <c r="BI95" s="37"/>
      <c r="BJ95" s="37"/>
      <c r="BK95" s="37"/>
      <c r="BL95" s="37"/>
      <c r="BM95" s="37"/>
      <c r="BN95" s="37"/>
      <c r="BO95" s="37"/>
      <c r="BP95" s="37"/>
      <c r="BQ95" s="37"/>
      <c r="BR95" s="37"/>
      <c r="BS95" s="37"/>
    </row>
    <row r="96" spans="1:71" ht="15" x14ac:dyDescent="0.25">
      <c r="A96" s="37"/>
      <c r="B96" s="37"/>
      <c r="C96" s="37"/>
      <c r="D96" s="37"/>
      <c r="E96" s="37"/>
      <c r="F96" s="37"/>
      <c r="G96" s="37"/>
      <c r="H96" s="37"/>
      <c r="I96" s="37"/>
      <c r="J96" s="37"/>
      <c r="K96" s="37"/>
      <c r="L96" s="37"/>
      <c r="M96" s="37"/>
      <c r="N96" s="37"/>
      <c r="O96" s="37"/>
      <c r="P96" s="37"/>
      <c r="Q96" s="37"/>
      <c r="R96" s="37"/>
      <c r="S96" s="37"/>
      <c r="T96" s="37"/>
      <c r="U96" s="37"/>
      <c r="V96" s="37"/>
      <c r="W96" s="37"/>
      <c r="X96" s="37"/>
      <c r="Y96" s="37"/>
      <c r="Z96" s="37"/>
      <c r="AA96" s="37"/>
      <c r="AB96" s="37"/>
      <c r="AC96" s="37"/>
      <c r="AD96" s="37"/>
      <c r="AE96" s="37"/>
      <c r="AF96" s="37"/>
      <c r="AG96" s="37"/>
      <c r="AH96" s="37"/>
      <c r="AI96" s="37"/>
      <c r="AJ96" s="37"/>
      <c r="AK96" s="37"/>
      <c r="AL96" s="37"/>
      <c r="AM96" s="37"/>
      <c r="AN96" s="37"/>
      <c r="AO96" s="37"/>
      <c r="AP96" s="37"/>
      <c r="AQ96" s="37"/>
      <c r="AR96" s="37"/>
      <c r="AS96" s="37"/>
      <c r="AT96" s="37"/>
      <c r="AU96" s="37"/>
      <c r="AV96" s="37"/>
      <c r="AW96" s="37"/>
      <c r="AX96" s="37"/>
      <c r="AY96" s="37"/>
      <c r="AZ96" s="37"/>
      <c r="BA96" s="37"/>
      <c r="BB96" s="37"/>
      <c r="BC96" s="37"/>
      <c r="BD96" s="37"/>
      <c r="BE96" s="37"/>
      <c r="BF96" s="37"/>
      <c r="BG96" s="37"/>
      <c r="BH96" s="37"/>
      <c r="BI96" s="37"/>
      <c r="BJ96" s="37"/>
      <c r="BK96" s="37"/>
      <c r="BL96" s="37"/>
      <c r="BM96" s="37"/>
      <c r="BN96" s="37"/>
      <c r="BO96" s="37"/>
      <c r="BP96" s="37"/>
      <c r="BQ96" s="37"/>
      <c r="BR96" s="37"/>
      <c r="BS96" s="37"/>
    </row>
    <row r="97" spans="1:71" ht="15" x14ac:dyDescent="0.25">
      <c r="A97" s="37"/>
      <c r="B97" s="37"/>
      <c r="C97" s="37"/>
      <c r="D97" s="37"/>
      <c r="E97" s="37"/>
      <c r="F97" s="46" t="s">
        <v>403</v>
      </c>
      <c r="G97" s="46"/>
      <c r="H97" s="46"/>
      <c r="I97" s="46"/>
      <c r="J97" s="46"/>
      <c r="K97" s="46"/>
      <c r="L97" s="46"/>
      <c r="M97" s="46"/>
      <c r="N97" s="46"/>
      <c r="O97" s="192"/>
      <c r="P97" s="192"/>
      <c r="Q97" s="192"/>
      <c r="R97" s="192"/>
      <c r="S97" s="192"/>
      <c r="T97" s="192"/>
      <c r="U97" s="192"/>
      <c r="V97" s="192"/>
      <c r="W97" s="192"/>
      <c r="X97" s="192"/>
      <c r="Y97" s="192"/>
      <c r="Z97" s="192"/>
      <c r="AA97" s="192"/>
      <c r="AB97" s="192"/>
      <c r="AC97" s="192"/>
      <c r="AD97" s="192"/>
      <c r="AE97" s="192"/>
      <c r="AF97" s="37"/>
      <c r="AG97" s="37"/>
      <c r="AH97" s="37"/>
      <c r="AI97" s="37"/>
      <c r="AJ97" s="37"/>
      <c r="AK97" s="37"/>
      <c r="AL97" s="37"/>
      <c r="AM97" s="37"/>
      <c r="AN97" s="37"/>
      <c r="AO97" s="37"/>
      <c r="AP97" s="37"/>
      <c r="AQ97" s="37"/>
      <c r="AR97" s="37"/>
      <c r="AS97" s="37"/>
      <c r="AT97" s="37"/>
      <c r="AU97" s="37"/>
      <c r="AV97" s="37"/>
      <c r="AW97" s="37"/>
      <c r="AX97" s="37"/>
      <c r="AY97" s="37"/>
      <c r="AZ97" s="37"/>
      <c r="BA97" s="37"/>
      <c r="BB97" s="37"/>
      <c r="BC97" s="37"/>
      <c r="BD97" s="37"/>
      <c r="BE97" s="37"/>
      <c r="BF97" s="37"/>
      <c r="BG97" s="37"/>
      <c r="BH97" s="37"/>
      <c r="BI97" s="37"/>
      <c r="BJ97" s="37"/>
      <c r="BK97" s="37"/>
      <c r="BL97" s="37"/>
      <c r="BM97" s="37"/>
      <c r="BN97" s="37"/>
      <c r="BO97" s="37"/>
      <c r="BP97" s="37"/>
      <c r="BQ97" s="37"/>
      <c r="BR97" s="37"/>
      <c r="BS97" s="37"/>
    </row>
    <row r="98" spans="1:71" ht="15" x14ac:dyDescent="0.25">
      <c r="A98" s="37"/>
      <c r="B98" s="37"/>
      <c r="C98" s="37"/>
      <c r="D98" s="37"/>
      <c r="E98" s="37"/>
      <c r="F98" s="37"/>
      <c r="G98" s="37"/>
      <c r="H98" s="37"/>
      <c r="I98" s="37"/>
      <c r="J98" s="37"/>
      <c r="K98" s="37"/>
      <c r="L98" s="37"/>
      <c r="M98" s="37"/>
      <c r="N98" s="37"/>
      <c r="O98" s="37"/>
      <c r="P98" s="37"/>
      <c r="Q98" s="37"/>
      <c r="R98" s="37"/>
      <c r="S98" s="37"/>
      <c r="T98" s="37"/>
      <c r="U98" s="37"/>
      <c r="V98" s="37"/>
      <c r="W98" s="37"/>
      <c r="X98" s="37"/>
      <c r="Y98" s="37"/>
      <c r="Z98" s="37"/>
      <c r="AA98" s="37"/>
      <c r="AB98" s="37"/>
      <c r="AC98" s="37"/>
      <c r="AD98" s="37"/>
      <c r="AE98" s="37"/>
      <c r="AF98" s="37"/>
      <c r="AG98" s="37"/>
      <c r="AH98" s="37"/>
      <c r="AI98" s="37"/>
      <c r="AJ98" s="37"/>
      <c r="AK98" s="37"/>
      <c r="AL98" s="37"/>
      <c r="AM98" s="37"/>
      <c r="AN98" s="37"/>
      <c r="AO98" s="37"/>
      <c r="AP98" s="37"/>
      <c r="AQ98" s="37"/>
      <c r="AR98" s="37"/>
      <c r="AS98" s="37"/>
      <c r="AT98" s="37"/>
      <c r="AU98" s="37"/>
      <c r="AV98" s="37"/>
      <c r="AW98" s="37"/>
      <c r="AX98" s="37"/>
      <c r="AY98" s="37"/>
      <c r="AZ98" s="37"/>
      <c r="BA98" s="37"/>
      <c r="BB98" s="37"/>
      <c r="BC98" s="37"/>
      <c r="BD98" s="37"/>
      <c r="BE98" s="37"/>
      <c r="BF98" s="37"/>
      <c r="BG98" s="37"/>
      <c r="BH98" s="37"/>
      <c r="BI98" s="37"/>
      <c r="BJ98" s="37"/>
      <c r="BK98" s="37"/>
      <c r="BL98" s="37"/>
      <c r="BM98" s="37"/>
      <c r="BN98" s="37"/>
      <c r="BO98" s="37"/>
      <c r="BP98" s="37"/>
      <c r="BQ98" s="37"/>
      <c r="BR98" s="37"/>
      <c r="BS98" s="37"/>
    </row>
    <row r="99" spans="1:71" ht="15" x14ac:dyDescent="0.25">
      <c r="A99" s="37"/>
      <c r="B99" s="37"/>
      <c r="C99" s="37"/>
      <c r="D99" s="37"/>
      <c r="E99" s="37"/>
      <c r="F99" s="36" t="s">
        <v>164</v>
      </c>
      <c r="G99" s="36"/>
      <c r="H99" s="36"/>
      <c r="I99" s="36"/>
      <c r="J99" s="36"/>
      <c r="K99" s="36"/>
      <c r="L99" s="36"/>
      <c r="M99" s="36"/>
      <c r="N99" s="36"/>
      <c r="O99" s="36"/>
      <c r="P99" s="36"/>
      <c r="Q99" s="36"/>
      <c r="R99" s="36"/>
      <c r="S99" s="36"/>
      <c r="T99" s="36"/>
      <c r="U99" s="36"/>
      <c r="V99" s="36"/>
      <c r="W99" s="36"/>
      <c r="X99" s="36"/>
      <c r="Y99" s="36"/>
      <c r="Z99" s="36"/>
      <c r="AA99" s="36"/>
      <c r="AB99" s="36"/>
      <c r="AC99" s="36"/>
      <c r="AD99" s="36"/>
      <c r="AE99" s="36"/>
      <c r="AF99" s="36"/>
      <c r="AG99" s="36"/>
      <c r="AH99" s="36" t="s">
        <v>632</v>
      </c>
      <c r="AI99" s="36"/>
      <c r="AJ99" s="36"/>
      <c r="AK99" s="36"/>
      <c r="AL99" s="36"/>
      <c r="AM99" s="36"/>
      <c r="AN99" s="37"/>
      <c r="AO99" s="37"/>
      <c r="AP99" s="37"/>
      <c r="AQ99" s="37"/>
      <c r="AR99" s="37"/>
      <c r="AS99" s="37"/>
      <c r="AT99" s="37"/>
      <c r="AU99" s="37"/>
      <c r="AV99" s="37"/>
      <c r="AW99" s="37"/>
      <c r="AX99" s="37"/>
      <c r="AY99" s="37"/>
      <c r="AZ99" s="37"/>
      <c r="BA99" s="37"/>
      <c r="BB99" s="37"/>
      <c r="BC99" s="37"/>
      <c r="BD99" s="37"/>
      <c r="BE99" s="37"/>
      <c r="BF99" s="37"/>
      <c r="BG99" s="37"/>
      <c r="BH99" s="37"/>
      <c r="BI99" s="37"/>
      <c r="BJ99" s="37"/>
      <c r="BK99" s="37"/>
      <c r="BL99" s="37"/>
      <c r="BM99" s="37"/>
      <c r="BN99" s="37"/>
      <c r="BO99" s="37"/>
      <c r="BP99" s="37"/>
      <c r="BQ99" s="37"/>
      <c r="BR99" s="37"/>
      <c r="BS99" s="37"/>
    </row>
    <row r="100" spans="1:71" ht="15" x14ac:dyDescent="0.25">
      <c r="A100" s="37"/>
      <c r="B100" s="37"/>
      <c r="C100" s="37"/>
      <c r="D100" s="37"/>
      <c r="E100" s="37"/>
      <c r="F100" s="36" t="s">
        <v>42</v>
      </c>
      <c r="G100" s="36"/>
      <c r="H100" s="36"/>
      <c r="I100" s="36"/>
      <c r="J100" s="36"/>
      <c r="K100" s="36"/>
      <c r="L100" s="36"/>
      <c r="M100" s="36"/>
      <c r="N100" s="36"/>
      <c r="O100" s="36"/>
      <c r="P100" s="36"/>
      <c r="Q100" s="36"/>
      <c r="R100" s="36"/>
      <c r="S100" s="36"/>
      <c r="T100" s="36"/>
      <c r="U100" s="36"/>
      <c r="V100" s="36"/>
      <c r="W100" s="36"/>
      <c r="X100" s="36"/>
      <c r="Y100" s="36"/>
      <c r="Z100" s="36"/>
      <c r="AA100" s="36"/>
      <c r="AB100" s="36"/>
      <c r="AC100" s="36"/>
      <c r="AD100" s="36"/>
      <c r="AE100" s="36"/>
      <c r="AF100" s="36"/>
      <c r="AG100" s="36"/>
      <c r="AH100" s="36" t="s">
        <v>405</v>
      </c>
      <c r="AI100" s="36"/>
      <c r="AJ100" s="36"/>
      <c r="AK100" s="36"/>
      <c r="AL100" s="36"/>
      <c r="AM100" s="36"/>
      <c r="AN100" s="37"/>
      <c r="AO100" s="37"/>
      <c r="AP100" s="37"/>
      <c r="AQ100" s="37"/>
      <c r="AR100" s="37"/>
      <c r="AS100" s="37"/>
      <c r="AT100" s="37"/>
      <c r="AU100" s="37"/>
      <c r="AV100" s="37"/>
      <c r="AW100" s="37"/>
      <c r="AX100" s="37"/>
      <c r="AY100" s="37"/>
      <c r="AZ100" s="37"/>
      <c r="BA100" s="37"/>
      <c r="BB100" s="37"/>
      <c r="BC100" s="37"/>
      <c r="BD100" s="37"/>
      <c r="BE100" s="37"/>
      <c r="BF100" s="37"/>
      <c r="BG100" s="37"/>
      <c r="BH100" s="37"/>
      <c r="BI100" s="37"/>
      <c r="BJ100" s="37"/>
      <c r="BK100" s="37"/>
      <c r="BL100" s="37"/>
      <c r="BM100" s="37"/>
      <c r="BN100" s="37"/>
      <c r="BO100" s="37"/>
      <c r="BP100" s="37"/>
      <c r="BQ100" s="37"/>
      <c r="BR100" s="37"/>
      <c r="BS100" s="37"/>
    </row>
    <row r="101" spans="1:71" ht="15" x14ac:dyDescent="0.25">
      <c r="A101" s="37"/>
      <c r="B101" s="37"/>
      <c r="C101" s="37"/>
      <c r="D101" s="37"/>
      <c r="E101" s="37"/>
      <c r="F101" s="36"/>
      <c r="G101" s="36"/>
      <c r="H101" s="36"/>
      <c r="I101" s="36"/>
      <c r="J101" s="36"/>
      <c r="K101" s="36"/>
      <c r="L101" s="36"/>
      <c r="M101" s="36"/>
      <c r="N101" s="36"/>
      <c r="O101" s="36"/>
      <c r="P101" s="36"/>
      <c r="Q101" s="36"/>
      <c r="R101" s="36"/>
      <c r="S101" s="36"/>
      <c r="T101" s="36"/>
      <c r="U101" s="36"/>
      <c r="V101" s="36"/>
      <c r="W101" s="36"/>
      <c r="X101" s="36"/>
      <c r="Y101" s="36"/>
      <c r="Z101" s="36"/>
      <c r="AA101" s="36"/>
      <c r="AB101" s="36"/>
      <c r="AC101" s="36"/>
      <c r="AD101" s="36"/>
      <c r="AE101" s="36"/>
      <c r="AF101" s="36"/>
      <c r="AG101" s="36"/>
      <c r="AH101" s="36" t="s">
        <v>406</v>
      </c>
      <c r="AI101" s="36"/>
      <c r="AJ101" s="36"/>
      <c r="AK101" s="36"/>
      <c r="AL101" s="36"/>
      <c r="AM101" s="36"/>
      <c r="AN101" s="37"/>
      <c r="AO101" s="37"/>
      <c r="AP101" s="37"/>
      <c r="AQ101" s="37"/>
      <c r="AR101" s="37"/>
      <c r="AS101" s="37"/>
      <c r="AT101" s="37"/>
      <c r="AU101" s="37"/>
      <c r="AV101" s="37"/>
      <c r="AW101" s="37"/>
      <c r="AX101" s="37"/>
      <c r="AY101" s="37"/>
      <c r="AZ101" s="37"/>
      <c r="BA101" s="37"/>
      <c r="BB101" s="37"/>
      <c r="BC101" s="37"/>
      <c r="BD101" s="37"/>
      <c r="BE101" s="37"/>
      <c r="BF101" s="37"/>
      <c r="BG101" s="37"/>
      <c r="BH101" s="37"/>
      <c r="BI101" s="37"/>
      <c r="BJ101" s="37"/>
      <c r="BK101" s="37"/>
      <c r="BL101" s="37"/>
      <c r="BM101" s="37"/>
      <c r="BN101" s="37"/>
      <c r="BO101" s="37"/>
      <c r="BP101" s="37"/>
      <c r="BQ101" s="37"/>
      <c r="BR101" s="37"/>
      <c r="BS101" s="37"/>
    </row>
    <row r="102" spans="1:71" ht="15" x14ac:dyDescent="0.25">
      <c r="A102" s="37"/>
      <c r="B102" s="37"/>
      <c r="C102" s="37"/>
      <c r="D102" s="37"/>
      <c r="E102" s="37"/>
      <c r="F102" s="36"/>
      <c r="G102" s="36"/>
      <c r="H102" s="36"/>
      <c r="I102" s="36"/>
      <c r="J102" s="36"/>
      <c r="K102" s="36"/>
      <c r="L102" s="36"/>
      <c r="M102" s="36"/>
      <c r="N102" s="36"/>
      <c r="O102" s="36"/>
      <c r="P102" s="36"/>
      <c r="Q102" s="36"/>
      <c r="R102" s="36"/>
      <c r="S102" s="36"/>
      <c r="T102" s="36"/>
      <c r="U102" s="36"/>
      <c r="V102" s="36"/>
      <c r="W102" s="36"/>
      <c r="X102" s="36"/>
      <c r="Y102" s="36"/>
      <c r="Z102" s="36"/>
      <c r="AA102" s="36"/>
      <c r="AB102" s="36"/>
      <c r="AC102" s="36"/>
      <c r="AD102" s="36"/>
      <c r="AE102" s="36"/>
      <c r="AF102" s="36"/>
      <c r="AG102" s="36"/>
      <c r="AH102" s="36"/>
      <c r="AI102" s="36"/>
      <c r="AJ102" s="36"/>
      <c r="AK102" s="36"/>
      <c r="AL102" s="36"/>
      <c r="AM102" s="36"/>
      <c r="AN102" s="37"/>
      <c r="AO102" s="37"/>
      <c r="AP102" s="37"/>
      <c r="AQ102" s="37"/>
      <c r="AR102" s="37"/>
      <c r="AS102" s="37"/>
      <c r="AT102" s="37"/>
      <c r="AU102" s="37"/>
      <c r="AV102" s="37"/>
      <c r="AW102" s="37"/>
      <c r="AX102" s="37"/>
      <c r="AY102" s="37"/>
      <c r="AZ102" s="37"/>
      <c r="BA102" s="37"/>
      <c r="BB102" s="37"/>
      <c r="BC102" s="37"/>
      <c r="BD102" s="37"/>
      <c r="BE102" s="37"/>
      <c r="BF102" s="37"/>
      <c r="BG102" s="37"/>
      <c r="BH102" s="37"/>
      <c r="BI102" s="37"/>
      <c r="BJ102" s="37"/>
      <c r="BK102" s="37"/>
      <c r="BL102" s="37"/>
      <c r="BM102" s="37"/>
      <c r="BN102" s="37"/>
      <c r="BO102" s="37"/>
      <c r="BP102" s="37"/>
      <c r="BQ102" s="37"/>
      <c r="BR102" s="37"/>
      <c r="BS102" s="37"/>
    </row>
    <row r="103" spans="1:71" s="187" customFormat="1" ht="15" customHeight="1" x14ac:dyDescent="0.25">
      <c r="A103" s="71"/>
      <c r="B103" s="71"/>
      <c r="C103" s="71"/>
      <c r="D103" s="71"/>
      <c r="E103" s="71"/>
      <c r="F103" s="37"/>
      <c r="G103" s="37"/>
      <c r="H103" s="37"/>
      <c r="I103" s="37"/>
      <c r="J103" s="37"/>
      <c r="K103" s="37"/>
      <c r="L103" s="37"/>
      <c r="M103" s="37"/>
      <c r="N103" s="37"/>
      <c r="O103" s="37"/>
      <c r="P103" s="37"/>
      <c r="Q103" s="37"/>
      <c r="R103" s="37"/>
      <c r="S103" s="37"/>
      <c r="T103" s="37"/>
      <c r="U103" s="37"/>
      <c r="V103" s="37"/>
      <c r="W103" s="37"/>
      <c r="X103" s="37"/>
      <c r="Y103" s="37"/>
      <c r="Z103" s="37"/>
      <c r="AA103" s="37"/>
      <c r="AB103" s="37"/>
      <c r="AC103" s="37"/>
      <c r="AD103" s="37"/>
      <c r="AE103" s="37"/>
      <c r="AF103" s="37"/>
      <c r="AG103" s="37"/>
      <c r="AH103" s="37"/>
      <c r="AI103" s="37"/>
      <c r="AJ103" s="37"/>
      <c r="AK103" s="37"/>
      <c r="AL103" s="37"/>
      <c r="AM103" s="37"/>
      <c r="AN103" s="37"/>
      <c r="AO103" s="37"/>
      <c r="AP103" s="37"/>
      <c r="AQ103" s="37"/>
      <c r="AR103" s="37"/>
      <c r="AS103" s="37"/>
      <c r="AT103" s="37"/>
      <c r="AU103" s="71"/>
      <c r="AV103" s="71"/>
      <c r="AW103" s="71"/>
      <c r="AX103" s="71"/>
      <c r="AY103" s="71"/>
      <c r="AZ103" s="71"/>
      <c r="BA103" s="71"/>
      <c r="BB103" s="71"/>
      <c r="BC103" s="71"/>
      <c r="BD103" s="71"/>
      <c r="BE103" s="71"/>
      <c r="BF103" s="71"/>
      <c r="BG103" s="71"/>
      <c r="BH103" s="71"/>
      <c r="BI103" s="71"/>
      <c r="BJ103" s="71"/>
      <c r="BK103" s="71"/>
      <c r="BL103" s="71"/>
      <c r="BM103" s="71"/>
      <c r="BN103" s="71"/>
      <c r="BO103" s="71"/>
      <c r="BP103" s="71"/>
      <c r="BQ103" s="71"/>
      <c r="BR103" s="71"/>
      <c r="BS103" s="71"/>
    </row>
    <row r="104" spans="1:71" ht="15" x14ac:dyDescent="0.25">
      <c r="A104" s="37"/>
      <c r="B104" s="37"/>
      <c r="C104" s="37"/>
      <c r="D104" s="37"/>
      <c r="E104" s="37"/>
      <c r="F104" s="46" t="s">
        <v>407</v>
      </c>
      <c r="G104" s="46"/>
      <c r="H104" s="46"/>
      <c r="I104" s="46"/>
      <c r="J104" s="46"/>
      <c r="K104" s="46"/>
      <c r="L104" s="46"/>
      <c r="M104" s="46"/>
      <c r="N104" s="46"/>
      <c r="O104" s="192"/>
      <c r="P104" s="192"/>
      <c r="Q104" s="192"/>
      <c r="R104" s="192"/>
      <c r="S104" s="192"/>
      <c r="T104" s="192"/>
      <c r="U104" s="192"/>
      <c r="V104" s="192"/>
      <c r="W104" s="192"/>
      <c r="X104" s="192"/>
      <c r="Y104" s="192"/>
      <c r="Z104" s="192"/>
      <c r="AA104" s="192"/>
      <c r="AB104" s="192"/>
      <c r="AC104" s="192"/>
      <c r="AD104" s="192"/>
      <c r="AE104" s="192"/>
      <c r="AF104" s="37"/>
      <c r="AG104" s="37"/>
      <c r="AH104" s="37"/>
      <c r="AI104" s="37"/>
      <c r="AJ104" s="37"/>
      <c r="AK104" s="37"/>
      <c r="AL104" s="37"/>
      <c r="AM104" s="37"/>
      <c r="AN104" s="37"/>
      <c r="AO104" s="37"/>
      <c r="AP104" s="37"/>
      <c r="AQ104" s="37"/>
      <c r="AR104" s="37"/>
      <c r="AS104" s="37"/>
      <c r="AT104" s="37"/>
      <c r="AU104" s="37"/>
      <c r="AV104" s="37"/>
      <c r="AW104" s="37"/>
      <c r="AX104" s="37"/>
      <c r="AY104" s="37"/>
      <c r="AZ104" s="37"/>
      <c r="BA104" s="37"/>
      <c r="BB104" s="37"/>
      <c r="BC104" s="37"/>
      <c r="BD104" s="37"/>
      <c r="BE104" s="37"/>
      <c r="BF104" s="37"/>
      <c r="BG104" s="37"/>
      <c r="BH104" s="37"/>
      <c r="BI104" s="37"/>
      <c r="BJ104" s="37"/>
      <c r="BK104" s="37"/>
      <c r="BL104" s="37"/>
      <c r="BM104" s="37"/>
      <c r="BN104" s="37"/>
      <c r="BO104" s="37"/>
      <c r="BP104" s="37"/>
      <c r="BQ104" s="37"/>
      <c r="BR104" s="37"/>
      <c r="BS104" s="37"/>
    </row>
    <row r="105" spans="1:71" ht="15" x14ac:dyDescent="0.25">
      <c r="A105" s="37"/>
      <c r="B105" s="37"/>
      <c r="C105" s="37"/>
      <c r="D105" s="37"/>
      <c r="E105" s="37"/>
      <c r="F105" s="37"/>
      <c r="G105" s="37"/>
      <c r="H105" s="37"/>
      <c r="I105" s="37"/>
      <c r="J105" s="37"/>
      <c r="K105" s="37"/>
      <c r="L105" s="37"/>
      <c r="M105" s="37"/>
      <c r="N105" s="37"/>
      <c r="O105" s="37"/>
      <c r="P105" s="37"/>
      <c r="Q105" s="37"/>
      <c r="R105" s="37"/>
      <c r="S105" s="37"/>
      <c r="T105" s="37"/>
      <c r="U105" s="37"/>
      <c r="V105" s="37"/>
      <c r="W105" s="37"/>
      <c r="X105" s="37"/>
      <c r="Y105" s="37"/>
      <c r="Z105" s="37"/>
      <c r="AA105" s="37"/>
      <c r="AB105" s="37"/>
      <c r="AC105" s="37"/>
      <c r="AD105" s="37"/>
      <c r="AE105" s="37"/>
      <c r="AF105" s="37"/>
      <c r="AG105" s="37"/>
      <c r="AH105" s="37"/>
      <c r="AI105" s="37"/>
      <c r="AJ105" s="37"/>
      <c r="AK105" s="37"/>
      <c r="AL105" s="37"/>
      <c r="AM105" s="37"/>
      <c r="AN105" s="37"/>
      <c r="AO105" s="37"/>
      <c r="AP105" s="37"/>
      <c r="AQ105" s="37"/>
      <c r="AR105" s="37"/>
      <c r="AS105" s="37"/>
      <c r="AT105" s="37"/>
      <c r="AU105" s="37"/>
      <c r="AV105" s="37"/>
      <c r="AW105" s="37"/>
      <c r="AX105" s="37"/>
      <c r="AY105" s="37"/>
      <c r="AZ105" s="37"/>
      <c r="BA105" s="37"/>
      <c r="BB105" s="37"/>
      <c r="BC105" s="37"/>
      <c r="BD105" s="37"/>
      <c r="BE105" s="37"/>
      <c r="BF105" s="37"/>
      <c r="BG105" s="37"/>
      <c r="BH105" s="37"/>
      <c r="BI105" s="37"/>
      <c r="BJ105" s="37"/>
      <c r="BK105" s="37"/>
      <c r="BL105" s="37"/>
      <c r="BM105" s="37"/>
      <c r="BN105" s="37"/>
      <c r="BO105" s="37"/>
      <c r="BP105" s="37"/>
      <c r="BQ105" s="37"/>
      <c r="BR105" s="37"/>
      <c r="BS105" s="37"/>
    </row>
    <row r="106" spans="1:71" ht="15" x14ac:dyDescent="0.25">
      <c r="A106" s="37"/>
      <c r="B106" s="37"/>
      <c r="C106" s="37"/>
      <c r="D106" s="37"/>
      <c r="E106" s="37"/>
      <c r="F106" s="36" t="s">
        <v>168</v>
      </c>
      <c r="G106" s="36"/>
      <c r="H106" s="36"/>
      <c r="I106" s="36"/>
      <c r="J106" s="36"/>
      <c r="K106" s="36"/>
      <c r="L106" s="36"/>
      <c r="M106" s="36"/>
      <c r="N106" s="36"/>
      <c r="O106" s="36"/>
      <c r="P106" s="36"/>
      <c r="Q106" s="36"/>
      <c r="R106" s="36"/>
      <c r="S106" s="36"/>
      <c r="T106" s="36"/>
      <c r="U106" s="36"/>
      <c r="V106" s="36"/>
      <c r="W106" s="36"/>
      <c r="X106" s="36"/>
      <c r="Y106" s="36"/>
      <c r="Z106" s="36"/>
      <c r="AA106" s="36"/>
      <c r="AB106" s="36"/>
      <c r="AC106" s="36"/>
      <c r="AD106" s="36"/>
      <c r="AE106" s="36"/>
      <c r="AF106" s="36"/>
      <c r="AG106" s="36"/>
      <c r="AH106" s="36" t="s">
        <v>710</v>
      </c>
      <c r="AI106" s="36"/>
      <c r="AJ106" s="36"/>
      <c r="AK106" s="36"/>
      <c r="AL106" s="36"/>
      <c r="AM106" s="36"/>
      <c r="AN106" s="37"/>
      <c r="AO106" s="37"/>
      <c r="AP106" s="37"/>
      <c r="AQ106" s="37"/>
      <c r="AR106" s="37"/>
      <c r="AS106" s="37"/>
      <c r="AT106" s="37"/>
      <c r="AU106" s="37"/>
      <c r="AV106" s="37"/>
      <c r="AW106" s="37"/>
      <c r="AX106" s="37"/>
      <c r="AY106" s="37"/>
      <c r="AZ106" s="37"/>
      <c r="BA106" s="37"/>
      <c r="BB106" s="37"/>
      <c r="BC106" s="37"/>
      <c r="BD106" s="37"/>
      <c r="BE106" s="37"/>
      <c r="BF106" s="37"/>
      <c r="BG106" s="37"/>
      <c r="BH106" s="37"/>
      <c r="BI106" s="37"/>
      <c r="BJ106" s="37"/>
      <c r="BK106" s="37"/>
      <c r="BL106" s="37"/>
      <c r="BM106" s="37"/>
      <c r="BN106" s="37"/>
      <c r="BO106" s="37"/>
      <c r="BP106" s="37"/>
      <c r="BQ106" s="37"/>
      <c r="BR106" s="37"/>
      <c r="BS106" s="37"/>
    </row>
    <row r="107" spans="1:71" ht="15" x14ac:dyDescent="0.25">
      <c r="A107" s="37"/>
      <c r="B107" s="37"/>
      <c r="C107" s="37"/>
      <c r="D107" s="37"/>
      <c r="E107" s="37"/>
      <c r="F107" s="36" t="s">
        <v>42</v>
      </c>
      <c r="G107" s="36"/>
      <c r="H107" s="36"/>
      <c r="I107" s="36"/>
      <c r="J107" s="36"/>
      <c r="K107" s="36"/>
      <c r="L107" s="36"/>
      <c r="M107" s="36"/>
      <c r="N107" s="36"/>
      <c r="O107" s="36"/>
      <c r="P107" s="36"/>
      <c r="Q107" s="36"/>
      <c r="R107" s="36"/>
      <c r="S107" s="36"/>
      <c r="T107" s="36"/>
      <c r="U107" s="36"/>
      <c r="V107" s="36"/>
      <c r="W107" s="36"/>
      <c r="X107" s="36"/>
      <c r="Y107" s="36"/>
      <c r="Z107" s="36"/>
      <c r="AA107" s="36"/>
      <c r="AB107" s="36"/>
      <c r="AC107" s="36"/>
      <c r="AD107" s="36"/>
      <c r="AE107" s="36"/>
      <c r="AF107" s="36"/>
      <c r="AG107" s="36"/>
      <c r="AH107" s="36" t="s">
        <v>711</v>
      </c>
      <c r="AI107" s="36"/>
      <c r="AJ107" s="36"/>
      <c r="AK107" s="36"/>
      <c r="AL107" s="36"/>
      <c r="AM107" s="36"/>
      <c r="AN107" s="37"/>
      <c r="AO107" s="37"/>
      <c r="AP107" s="37"/>
      <c r="AQ107" s="37"/>
      <c r="AR107" s="37"/>
      <c r="AS107" s="37"/>
      <c r="AT107" s="37"/>
      <c r="AU107" s="37"/>
      <c r="AV107" s="37"/>
      <c r="AW107" s="37"/>
      <c r="AX107" s="37"/>
      <c r="AY107" s="37"/>
      <c r="AZ107" s="37"/>
      <c r="BA107" s="37"/>
      <c r="BB107" s="37"/>
      <c r="BC107" s="37"/>
      <c r="BD107" s="37"/>
      <c r="BE107" s="37"/>
      <c r="BF107" s="37"/>
      <c r="BG107" s="37"/>
      <c r="BH107" s="37"/>
      <c r="BI107" s="37"/>
      <c r="BJ107" s="37"/>
      <c r="BK107" s="37"/>
      <c r="BL107" s="37"/>
      <c r="BM107" s="37"/>
      <c r="BN107" s="37"/>
      <c r="BO107" s="37"/>
      <c r="BP107" s="37"/>
      <c r="BQ107" s="37"/>
      <c r="BR107" s="37"/>
      <c r="BS107" s="37"/>
    </row>
    <row r="108" spans="1:71" ht="15" x14ac:dyDescent="0.25">
      <c r="A108" s="37"/>
      <c r="B108" s="37"/>
      <c r="C108" s="37"/>
      <c r="D108" s="37"/>
      <c r="E108" s="37"/>
      <c r="F108" s="36"/>
      <c r="G108" s="36"/>
      <c r="H108" s="36"/>
      <c r="I108" s="36"/>
      <c r="J108" s="36"/>
      <c r="K108" s="36"/>
      <c r="L108" s="36"/>
      <c r="M108" s="36"/>
      <c r="N108" s="36"/>
      <c r="O108" s="36"/>
      <c r="P108" s="36"/>
      <c r="Q108" s="36"/>
      <c r="R108" s="36"/>
      <c r="S108" s="36"/>
      <c r="T108" s="36"/>
      <c r="U108" s="36"/>
      <c r="V108" s="36"/>
      <c r="W108" s="36"/>
      <c r="X108" s="36"/>
      <c r="Y108" s="36"/>
      <c r="Z108" s="36"/>
      <c r="AA108" s="36"/>
      <c r="AB108" s="36"/>
      <c r="AC108" s="36"/>
      <c r="AD108" s="36"/>
      <c r="AE108" s="36"/>
      <c r="AF108" s="36"/>
      <c r="AG108" s="36"/>
      <c r="AH108" s="36"/>
      <c r="AI108" s="36"/>
      <c r="AJ108" s="36"/>
      <c r="AK108" s="36"/>
      <c r="AL108" s="36"/>
      <c r="AM108" s="36"/>
      <c r="AN108" s="37"/>
      <c r="AO108" s="37"/>
      <c r="AP108" s="37"/>
      <c r="AQ108" s="37"/>
      <c r="AR108" s="37"/>
      <c r="AS108" s="37"/>
      <c r="AT108" s="37"/>
      <c r="AU108" s="37"/>
      <c r="AV108" s="37"/>
      <c r="AW108" s="37"/>
      <c r="AX108" s="37"/>
      <c r="AY108" s="37"/>
      <c r="AZ108" s="37"/>
      <c r="BA108" s="37"/>
      <c r="BB108" s="37"/>
      <c r="BC108" s="37"/>
      <c r="BD108" s="37"/>
      <c r="BE108" s="37"/>
      <c r="BF108" s="37"/>
      <c r="BG108" s="37"/>
      <c r="BH108" s="37"/>
      <c r="BI108" s="37"/>
      <c r="BJ108" s="37"/>
      <c r="BK108" s="37"/>
      <c r="BL108" s="37"/>
      <c r="BM108" s="37"/>
      <c r="BN108" s="37"/>
      <c r="BO108" s="37"/>
      <c r="BP108" s="37"/>
      <c r="BQ108" s="37"/>
      <c r="BR108" s="37"/>
      <c r="BS108" s="37"/>
    </row>
    <row r="109" spans="1:71" s="187" customFormat="1" ht="15" customHeight="1" x14ac:dyDescent="0.25">
      <c r="A109" s="71"/>
      <c r="B109" s="71"/>
      <c r="C109" s="71"/>
      <c r="D109" s="71"/>
      <c r="E109" s="71"/>
      <c r="F109" s="37"/>
      <c r="G109" s="37"/>
      <c r="H109" s="37"/>
      <c r="I109" s="37"/>
      <c r="J109" s="37"/>
      <c r="K109" s="37"/>
      <c r="L109" s="37"/>
      <c r="M109" s="37"/>
      <c r="N109" s="37"/>
      <c r="O109" s="37"/>
      <c r="P109" s="37"/>
      <c r="Q109" s="37"/>
      <c r="R109" s="37"/>
      <c r="S109" s="37"/>
      <c r="T109" s="37"/>
      <c r="U109" s="37"/>
      <c r="V109" s="37"/>
      <c r="W109" s="37"/>
      <c r="X109" s="37"/>
      <c r="Y109" s="37"/>
      <c r="Z109" s="37"/>
      <c r="AA109" s="37"/>
      <c r="AB109" s="37"/>
      <c r="AC109" s="37"/>
      <c r="AD109" s="37"/>
      <c r="AE109" s="37"/>
      <c r="AF109" s="37"/>
      <c r="AG109" s="37"/>
      <c r="AH109" s="37"/>
      <c r="AI109" s="37"/>
      <c r="AJ109" s="37"/>
      <c r="AK109" s="37"/>
      <c r="AL109" s="37"/>
      <c r="AM109" s="37"/>
      <c r="AN109" s="37"/>
      <c r="AO109" s="37"/>
      <c r="AP109" s="37"/>
      <c r="AQ109" s="37"/>
      <c r="AR109" s="37"/>
      <c r="AS109" s="37"/>
      <c r="AT109" s="37"/>
      <c r="AU109" s="71"/>
      <c r="AV109" s="71"/>
      <c r="AW109" s="71"/>
      <c r="AX109" s="71"/>
      <c r="AY109" s="71"/>
      <c r="AZ109" s="71"/>
      <c r="BA109" s="71"/>
      <c r="BB109" s="71"/>
      <c r="BC109" s="71"/>
      <c r="BD109" s="71"/>
      <c r="BE109" s="71"/>
      <c r="BF109" s="71"/>
      <c r="BG109" s="71"/>
      <c r="BH109" s="71"/>
      <c r="BI109" s="71"/>
      <c r="BJ109" s="71"/>
      <c r="BK109" s="71"/>
      <c r="BL109" s="71"/>
      <c r="BM109" s="71"/>
      <c r="BN109" s="71"/>
      <c r="BO109" s="71"/>
      <c r="BP109" s="71"/>
      <c r="BQ109" s="71"/>
      <c r="BR109" s="71"/>
      <c r="BS109" s="71"/>
    </row>
    <row r="110" spans="1:71" ht="15" x14ac:dyDescent="0.25">
      <c r="A110" s="37"/>
      <c r="B110" s="37"/>
      <c r="C110" s="37"/>
      <c r="D110" s="37"/>
      <c r="E110" s="37"/>
      <c r="F110" s="46" t="s">
        <v>408</v>
      </c>
      <c r="G110" s="46"/>
      <c r="H110" s="46"/>
      <c r="I110" s="46"/>
      <c r="J110" s="46"/>
      <c r="K110" s="46"/>
      <c r="L110" s="46"/>
      <c r="M110" s="46"/>
      <c r="N110" s="46"/>
      <c r="O110" s="192"/>
      <c r="P110" s="192"/>
      <c r="Q110" s="192"/>
      <c r="R110" s="192"/>
      <c r="S110" s="192"/>
      <c r="T110" s="192"/>
      <c r="U110" s="192"/>
      <c r="V110" s="192"/>
      <c r="W110" s="192"/>
      <c r="X110" s="192"/>
      <c r="Y110" s="192"/>
      <c r="Z110" s="192"/>
      <c r="AA110" s="192"/>
      <c r="AB110" s="192"/>
      <c r="AC110" s="192"/>
      <c r="AD110" s="192"/>
      <c r="AE110" s="192"/>
      <c r="AF110" s="37"/>
      <c r="AG110" s="37"/>
      <c r="AH110" s="37"/>
      <c r="AI110" s="37"/>
      <c r="AJ110" s="37"/>
      <c r="AK110" s="37"/>
      <c r="AL110" s="37"/>
      <c r="AM110" s="37"/>
      <c r="AN110" s="37"/>
      <c r="AO110" s="37"/>
      <c r="AP110" s="37"/>
      <c r="AQ110" s="37"/>
      <c r="AR110" s="37"/>
      <c r="AS110" s="37"/>
      <c r="AT110" s="37"/>
      <c r="AU110" s="37"/>
      <c r="AV110" s="37"/>
      <c r="AW110" s="37"/>
      <c r="AX110" s="37"/>
      <c r="AY110" s="37"/>
      <c r="AZ110" s="37"/>
      <c r="BA110" s="37"/>
      <c r="BB110" s="37"/>
      <c r="BC110" s="37"/>
      <c r="BD110" s="37"/>
      <c r="BE110" s="37"/>
      <c r="BF110" s="37"/>
      <c r="BG110" s="37"/>
      <c r="BH110" s="37"/>
      <c r="BI110" s="37"/>
      <c r="BJ110" s="37"/>
      <c r="BK110" s="37"/>
      <c r="BL110" s="37"/>
      <c r="BM110" s="37"/>
      <c r="BN110" s="37"/>
      <c r="BO110" s="37"/>
      <c r="BP110" s="37"/>
      <c r="BQ110" s="37"/>
      <c r="BR110" s="37"/>
      <c r="BS110" s="37"/>
    </row>
    <row r="111" spans="1:71" ht="15" x14ac:dyDescent="0.25">
      <c r="A111" s="37"/>
      <c r="B111" s="37"/>
      <c r="C111" s="37"/>
      <c r="D111" s="37"/>
      <c r="E111" s="37"/>
      <c r="F111" s="37"/>
      <c r="G111" s="37"/>
      <c r="H111" s="37"/>
      <c r="I111" s="37"/>
      <c r="J111" s="37"/>
      <c r="K111" s="37"/>
      <c r="L111" s="37"/>
      <c r="M111" s="37"/>
      <c r="N111" s="37"/>
      <c r="O111" s="37"/>
      <c r="P111" s="37"/>
      <c r="Q111" s="37"/>
      <c r="R111" s="37"/>
      <c r="S111" s="37"/>
      <c r="T111" s="37"/>
      <c r="U111" s="37"/>
      <c r="V111" s="37"/>
      <c r="W111" s="37"/>
      <c r="X111" s="37"/>
      <c r="Y111" s="37"/>
      <c r="Z111" s="37"/>
      <c r="AA111" s="37"/>
      <c r="AB111" s="37"/>
      <c r="AC111" s="37"/>
      <c r="AD111" s="37"/>
      <c r="AE111" s="37"/>
      <c r="AF111" s="37"/>
      <c r="AG111" s="37"/>
      <c r="AH111" s="37"/>
      <c r="AI111" s="37"/>
      <c r="AJ111" s="37"/>
      <c r="AK111" s="37"/>
      <c r="AL111" s="37"/>
      <c r="AM111" s="37"/>
      <c r="AN111" s="37"/>
      <c r="AO111" s="37"/>
      <c r="AP111" s="37"/>
      <c r="AQ111" s="37"/>
      <c r="AR111" s="37"/>
      <c r="AS111" s="37"/>
      <c r="AT111" s="37"/>
      <c r="AU111" s="37"/>
      <c r="AV111" s="37"/>
      <c r="AW111" s="37"/>
      <c r="AX111" s="37"/>
      <c r="AY111" s="37"/>
      <c r="AZ111" s="37"/>
      <c r="BA111" s="37"/>
      <c r="BB111" s="37"/>
      <c r="BC111" s="37"/>
      <c r="BD111" s="37"/>
      <c r="BE111" s="37"/>
      <c r="BF111" s="37"/>
      <c r="BG111" s="37"/>
      <c r="BH111" s="37"/>
      <c r="BI111" s="37"/>
      <c r="BJ111" s="37"/>
      <c r="BK111" s="37"/>
      <c r="BL111" s="37"/>
      <c r="BM111" s="37"/>
      <c r="BN111" s="37"/>
      <c r="BO111" s="37"/>
      <c r="BP111" s="37"/>
      <c r="BQ111" s="37"/>
      <c r="BR111" s="37"/>
      <c r="BS111" s="37"/>
    </row>
    <row r="112" spans="1:71" s="677" customFormat="1" ht="15" x14ac:dyDescent="0.25">
      <c r="A112" s="675"/>
      <c r="B112" s="675"/>
      <c r="C112" s="675"/>
      <c r="D112" s="675"/>
      <c r="E112" s="675"/>
      <c r="F112" s="676" t="s">
        <v>168</v>
      </c>
      <c r="G112" s="676"/>
      <c r="H112" s="676"/>
      <c r="I112" s="676"/>
      <c r="J112" s="676"/>
      <c r="K112" s="676"/>
      <c r="L112" s="676"/>
      <c r="M112" s="676"/>
      <c r="N112" s="676"/>
      <c r="O112" s="676"/>
      <c r="P112" s="676"/>
      <c r="Q112" s="676"/>
      <c r="R112" s="676"/>
      <c r="S112" s="676"/>
      <c r="T112" s="676"/>
      <c r="U112" s="676"/>
      <c r="V112" s="676"/>
      <c r="W112" s="676"/>
      <c r="X112" s="676"/>
      <c r="Y112" s="676"/>
      <c r="Z112" s="676"/>
      <c r="AA112" s="676"/>
      <c r="AB112" s="676"/>
      <c r="AC112" s="676"/>
      <c r="AD112" s="676"/>
      <c r="AE112" s="676"/>
      <c r="AF112" s="676"/>
      <c r="AG112" s="676"/>
      <c r="AH112" s="676" t="s">
        <v>633</v>
      </c>
      <c r="AI112" s="676"/>
      <c r="AJ112" s="676"/>
      <c r="AK112" s="676"/>
      <c r="AL112" s="676"/>
      <c r="AM112" s="676"/>
      <c r="AN112" s="675"/>
      <c r="AO112" s="675"/>
      <c r="AP112" s="675"/>
      <c r="AQ112" s="675"/>
      <c r="AR112" s="675"/>
      <c r="AS112" s="675"/>
      <c r="AT112" s="675"/>
      <c r="AU112" s="675"/>
      <c r="AV112" s="675"/>
      <c r="AW112" s="675"/>
      <c r="AX112" s="675"/>
      <c r="AY112" s="675"/>
      <c r="AZ112" s="675"/>
      <c r="BA112" s="675"/>
      <c r="BB112" s="675"/>
      <c r="BC112" s="675"/>
      <c r="BD112" s="675"/>
      <c r="BE112" s="675"/>
      <c r="BF112" s="675"/>
      <c r="BG112" s="675"/>
      <c r="BH112" s="675"/>
      <c r="BI112" s="675"/>
      <c r="BJ112" s="675"/>
      <c r="BK112" s="675"/>
      <c r="BL112" s="675"/>
      <c r="BM112" s="675"/>
      <c r="BN112" s="675"/>
      <c r="BO112" s="675"/>
      <c r="BP112" s="675"/>
      <c r="BQ112" s="675"/>
      <c r="BR112" s="675"/>
      <c r="BS112" s="675"/>
    </row>
    <row r="113" spans="1:71" s="677" customFormat="1" ht="15" x14ac:dyDescent="0.25">
      <c r="A113" s="675"/>
      <c r="B113" s="675"/>
      <c r="C113" s="675"/>
      <c r="D113" s="675"/>
      <c r="E113" s="675"/>
      <c r="F113" s="676" t="s">
        <v>42</v>
      </c>
      <c r="G113" s="676"/>
      <c r="H113" s="676"/>
      <c r="I113" s="676"/>
      <c r="J113" s="676"/>
      <c r="K113" s="676"/>
      <c r="L113" s="676"/>
      <c r="M113" s="676"/>
      <c r="N113" s="676"/>
      <c r="O113" s="676"/>
      <c r="P113" s="676"/>
      <c r="Q113" s="676"/>
      <c r="R113" s="676"/>
      <c r="S113" s="676"/>
      <c r="T113" s="676"/>
      <c r="U113" s="676"/>
      <c r="V113" s="676"/>
      <c r="W113" s="676"/>
      <c r="X113" s="676"/>
      <c r="Y113" s="676"/>
      <c r="Z113" s="676"/>
      <c r="AA113" s="676"/>
      <c r="AB113" s="676"/>
      <c r="AC113" s="676"/>
      <c r="AD113" s="676"/>
      <c r="AE113" s="676"/>
      <c r="AF113" s="676"/>
      <c r="AG113" s="676"/>
      <c r="AH113" s="676" t="s">
        <v>634</v>
      </c>
      <c r="AI113" s="676"/>
      <c r="AJ113" s="676"/>
      <c r="AK113" s="676"/>
      <c r="AL113" s="676"/>
      <c r="AM113" s="676"/>
      <c r="AN113" s="675"/>
      <c r="AO113" s="675"/>
      <c r="AP113" s="675"/>
      <c r="AQ113" s="675"/>
      <c r="AR113" s="675"/>
      <c r="AS113" s="675"/>
      <c r="AT113" s="675"/>
      <c r="AU113" s="675"/>
      <c r="AV113" s="675"/>
      <c r="AW113" s="675"/>
      <c r="AX113" s="675"/>
      <c r="AY113" s="675"/>
      <c r="AZ113" s="675"/>
      <c r="BA113" s="675"/>
      <c r="BB113" s="675"/>
      <c r="BC113" s="675"/>
      <c r="BD113" s="675"/>
      <c r="BE113" s="675"/>
      <c r="BF113" s="675"/>
      <c r="BG113" s="675"/>
      <c r="BH113" s="675"/>
      <c r="BI113" s="675"/>
      <c r="BJ113" s="675"/>
      <c r="BK113" s="675"/>
      <c r="BL113" s="675"/>
      <c r="BM113" s="675"/>
      <c r="BN113" s="675"/>
      <c r="BO113" s="675"/>
      <c r="BP113" s="675"/>
      <c r="BQ113" s="675"/>
      <c r="BR113" s="675"/>
      <c r="BS113" s="675"/>
    </row>
    <row r="114" spans="1:71" s="677" customFormat="1" ht="15" x14ac:dyDescent="0.25">
      <c r="A114" s="675"/>
      <c r="B114" s="675"/>
      <c r="C114" s="675"/>
      <c r="D114" s="675"/>
      <c r="E114" s="675"/>
      <c r="F114" s="676"/>
      <c r="G114" s="676"/>
      <c r="H114" s="676"/>
      <c r="I114" s="676"/>
      <c r="J114" s="676"/>
      <c r="K114" s="676"/>
      <c r="L114" s="676"/>
      <c r="M114" s="676"/>
      <c r="N114" s="676"/>
      <c r="O114" s="676"/>
      <c r="P114" s="676"/>
      <c r="Q114" s="676"/>
      <c r="R114" s="676"/>
      <c r="S114" s="676"/>
      <c r="T114" s="676"/>
      <c r="U114" s="676"/>
      <c r="V114" s="676"/>
      <c r="W114" s="676"/>
      <c r="X114" s="676"/>
      <c r="Y114" s="676"/>
      <c r="Z114" s="676"/>
      <c r="AA114" s="676"/>
      <c r="AB114" s="676"/>
      <c r="AC114" s="676"/>
      <c r="AD114" s="676"/>
      <c r="AE114" s="676"/>
      <c r="AF114" s="676"/>
      <c r="AG114" s="676"/>
      <c r="AH114" s="676" t="s">
        <v>635</v>
      </c>
      <c r="AI114" s="676"/>
      <c r="AJ114" s="676"/>
      <c r="AK114" s="676"/>
      <c r="AL114" s="676"/>
      <c r="AM114" s="676"/>
      <c r="AN114" s="675"/>
      <c r="AO114" s="675"/>
      <c r="AP114" s="675"/>
      <c r="AQ114" s="675"/>
      <c r="AR114" s="675"/>
      <c r="AS114" s="675"/>
      <c r="AT114" s="675"/>
      <c r="AU114" s="675"/>
      <c r="AV114" s="675"/>
      <c r="AW114" s="675"/>
      <c r="AX114" s="675"/>
      <c r="AY114" s="675"/>
      <c r="AZ114" s="675"/>
      <c r="BA114" s="675"/>
      <c r="BB114" s="675"/>
      <c r="BC114" s="675"/>
      <c r="BD114" s="675"/>
      <c r="BE114" s="675"/>
      <c r="BF114" s="675"/>
      <c r="BG114" s="675"/>
      <c r="BH114" s="675"/>
      <c r="BI114" s="675"/>
      <c r="BJ114" s="675"/>
      <c r="BK114" s="675"/>
      <c r="BL114" s="675"/>
      <c r="BM114" s="675"/>
      <c r="BN114" s="675"/>
      <c r="BO114" s="675"/>
      <c r="BP114" s="675"/>
      <c r="BQ114" s="675"/>
      <c r="BR114" s="675"/>
      <c r="BS114" s="675"/>
    </row>
    <row r="115" spans="1:71" s="187" customFormat="1" ht="15" customHeight="1" x14ac:dyDescent="0.25">
      <c r="A115" s="71"/>
      <c r="B115" s="71"/>
      <c r="C115" s="71"/>
      <c r="D115" s="71"/>
      <c r="E115" s="71"/>
      <c r="F115" s="37"/>
      <c r="G115" s="37"/>
      <c r="H115" s="37"/>
      <c r="I115" s="37"/>
      <c r="J115" s="37"/>
      <c r="K115" s="37"/>
      <c r="L115" s="37"/>
      <c r="M115" s="37"/>
      <c r="N115" s="37"/>
      <c r="O115" s="37"/>
      <c r="P115" s="37"/>
      <c r="Q115" s="37"/>
      <c r="R115" s="37"/>
      <c r="S115" s="37"/>
      <c r="T115" s="37"/>
      <c r="U115" s="37"/>
      <c r="V115" s="37"/>
      <c r="W115" s="37"/>
      <c r="X115" s="37"/>
      <c r="Y115" s="37"/>
      <c r="Z115" s="37"/>
      <c r="AA115" s="37"/>
      <c r="AB115" s="37"/>
      <c r="AC115" s="37"/>
      <c r="AD115" s="37"/>
      <c r="AE115" s="37"/>
      <c r="AF115" s="37"/>
      <c r="AG115" s="37"/>
      <c r="AH115" s="37"/>
      <c r="AI115" s="37"/>
      <c r="AJ115" s="37"/>
      <c r="AK115" s="37"/>
      <c r="AL115" s="37"/>
      <c r="AM115" s="37"/>
      <c r="AN115" s="37"/>
      <c r="AO115" s="37"/>
      <c r="AP115" s="37"/>
      <c r="AQ115" s="37"/>
      <c r="AR115" s="37"/>
      <c r="AS115" s="37"/>
      <c r="AT115" s="37"/>
      <c r="AU115" s="71"/>
      <c r="AV115" s="71"/>
      <c r="AW115" s="71"/>
      <c r="AX115" s="71"/>
      <c r="AY115" s="71"/>
      <c r="AZ115" s="71"/>
      <c r="BA115" s="71"/>
      <c r="BB115" s="71"/>
      <c r="BC115" s="71"/>
      <c r="BD115" s="71"/>
      <c r="BE115" s="71"/>
      <c r="BF115" s="71"/>
      <c r="BG115" s="71"/>
      <c r="BH115" s="71"/>
      <c r="BI115" s="71"/>
      <c r="BJ115" s="71"/>
      <c r="BK115" s="71"/>
      <c r="BL115" s="71"/>
      <c r="BM115" s="71"/>
      <c r="BN115" s="71"/>
      <c r="BO115" s="71"/>
      <c r="BP115" s="71"/>
      <c r="BQ115" s="71"/>
      <c r="BR115" s="71"/>
      <c r="BS115" s="71"/>
    </row>
    <row r="116" spans="1:71" ht="15" x14ac:dyDescent="0.25">
      <c r="A116" s="37"/>
      <c r="B116" s="37"/>
      <c r="C116" s="37"/>
      <c r="D116" s="37"/>
      <c r="E116" s="37"/>
      <c r="F116" s="46" t="s">
        <v>409</v>
      </c>
      <c r="G116" s="46"/>
      <c r="H116" s="46"/>
      <c r="I116" s="46"/>
      <c r="J116" s="46"/>
      <c r="K116" s="46"/>
      <c r="L116" s="46"/>
      <c r="M116" s="46"/>
      <c r="N116" s="46"/>
      <c r="O116" s="192"/>
      <c r="P116" s="192"/>
      <c r="Q116" s="192"/>
      <c r="R116" s="192"/>
      <c r="S116" s="192"/>
      <c r="T116" s="192"/>
      <c r="U116" s="192"/>
      <c r="V116" s="192"/>
      <c r="W116" s="192"/>
      <c r="X116" s="192"/>
      <c r="Y116" s="192"/>
      <c r="Z116" s="192"/>
      <c r="AA116" s="192"/>
      <c r="AB116" s="192"/>
      <c r="AC116" s="192"/>
      <c r="AD116" s="192"/>
      <c r="AE116" s="192"/>
      <c r="AF116" s="37"/>
      <c r="AG116" s="37"/>
      <c r="AH116" s="37"/>
      <c r="AI116" s="37"/>
      <c r="AJ116" s="37"/>
      <c r="AK116" s="37"/>
      <c r="AL116" s="37"/>
      <c r="AM116" s="37"/>
      <c r="AN116" s="37"/>
      <c r="AO116" s="37"/>
      <c r="AP116" s="37"/>
      <c r="AQ116" s="37"/>
      <c r="AR116" s="37"/>
      <c r="AS116" s="37"/>
      <c r="AT116" s="37"/>
      <c r="AU116" s="37"/>
      <c r="AV116" s="37"/>
      <c r="AW116" s="37"/>
      <c r="AX116" s="37"/>
      <c r="AY116" s="37"/>
      <c r="AZ116" s="37"/>
      <c r="BA116" s="37"/>
      <c r="BB116" s="37"/>
      <c r="BC116" s="37"/>
      <c r="BD116" s="37"/>
      <c r="BE116" s="37"/>
      <c r="BF116" s="37"/>
      <c r="BG116" s="37"/>
      <c r="BH116" s="37"/>
      <c r="BI116" s="37"/>
      <c r="BJ116" s="37"/>
      <c r="BK116" s="37"/>
      <c r="BL116" s="37"/>
      <c r="BM116" s="37"/>
      <c r="BN116" s="37"/>
      <c r="BO116" s="37"/>
      <c r="BP116" s="37"/>
      <c r="BQ116" s="37"/>
      <c r="BR116" s="37"/>
      <c r="BS116" s="37"/>
    </row>
    <row r="117" spans="1:71" ht="15" x14ac:dyDescent="0.25">
      <c r="A117" s="37"/>
      <c r="B117" s="37"/>
      <c r="C117" s="37"/>
      <c r="D117" s="37"/>
      <c r="E117" s="37"/>
      <c r="F117" s="37"/>
      <c r="G117" s="37"/>
      <c r="H117" s="37"/>
      <c r="I117" s="37"/>
      <c r="J117" s="37"/>
      <c r="K117" s="37"/>
      <c r="L117" s="37"/>
      <c r="M117" s="37"/>
      <c r="N117" s="37"/>
      <c r="O117" s="37"/>
      <c r="P117" s="37"/>
      <c r="Q117" s="37"/>
      <c r="R117" s="37"/>
      <c r="S117" s="37"/>
      <c r="T117" s="37"/>
      <c r="U117" s="37"/>
      <c r="V117" s="37"/>
      <c r="W117" s="37"/>
      <c r="X117" s="37"/>
      <c r="Y117" s="37"/>
      <c r="Z117" s="37"/>
      <c r="AA117" s="37"/>
      <c r="AB117" s="37"/>
      <c r="AC117" s="37"/>
      <c r="AD117" s="37"/>
      <c r="AE117" s="37"/>
      <c r="AF117" s="37"/>
      <c r="AG117" s="37"/>
      <c r="AH117" s="37"/>
      <c r="AI117" s="37"/>
      <c r="AJ117" s="37"/>
      <c r="AK117" s="37"/>
      <c r="AL117" s="37"/>
      <c r="AM117" s="37"/>
      <c r="AN117" s="37"/>
      <c r="AO117" s="37"/>
      <c r="AP117" s="37"/>
      <c r="AQ117" s="37"/>
      <c r="AR117" s="37"/>
      <c r="AS117" s="37"/>
      <c r="AT117" s="37"/>
      <c r="AU117" s="37"/>
      <c r="AV117" s="37"/>
      <c r="AW117" s="37"/>
      <c r="AX117" s="37"/>
      <c r="AY117" s="37"/>
      <c r="AZ117" s="37"/>
      <c r="BA117" s="37"/>
      <c r="BB117" s="37"/>
      <c r="BC117" s="37"/>
      <c r="BD117" s="37"/>
      <c r="BE117" s="37"/>
      <c r="BF117" s="37"/>
      <c r="BG117" s="37"/>
      <c r="BH117" s="37"/>
      <c r="BI117" s="37"/>
      <c r="BJ117" s="37"/>
      <c r="BK117" s="37"/>
      <c r="BL117" s="37"/>
      <c r="BM117" s="37"/>
      <c r="BN117" s="37"/>
      <c r="BO117" s="37"/>
      <c r="BP117" s="37"/>
      <c r="BQ117" s="37"/>
      <c r="BR117" s="37"/>
      <c r="BS117" s="37"/>
    </row>
    <row r="118" spans="1:71" ht="15" x14ac:dyDescent="0.25">
      <c r="A118" s="37"/>
      <c r="B118" s="37"/>
      <c r="C118" s="37"/>
      <c r="D118" s="37"/>
      <c r="E118" s="37"/>
      <c r="F118" s="36" t="s">
        <v>166</v>
      </c>
      <c r="G118" s="36"/>
      <c r="H118" s="36"/>
      <c r="I118" s="36"/>
      <c r="J118" s="36"/>
      <c r="K118" s="36"/>
      <c r="L118" s="36"/>
      <c r="M118" s="36"/>
      <c r="N118" s="36"/>
      <c r="O118" s="36"/>
      <c r="P118" s="36"/>
      <c r="Q118" s="36"/>
      <c r="R118" s="36"/>
      <c r="S118" s="36"/>
      <c r="T118" s="36"/>
      <c r="U118" s="36"/>
      <c r="V118" s="36"/>
      <c r="W118" s="36"/>
      <c r="X118" s="36"/>
      <c r="Y118" s="36"/>
      <c r="Z118" s="36"/>
      <c r="AA118" s="36"/>
      <c r="AB118" s="36"/>
      <c r="AC118" s="36"/>
      <c r="AD118" s="36"/>
      <c r="AE118" s="36"/>
      <c r="AF118" s="36"/>
      <c r="AG118" s="36"/>
      <c r="AH118" s="36" t="s">
        <v>410</v>
      </c>
      <c r="AI118" s="36"/>
      <c r="AJ118" s="36"/>
      <c r="AK118" s="36"/>
      <c r="AL118" s="71"/>
      <c r="AM118" s="71"/>
      <c r="AN118" s="36"/>
      <c r="AO118" s="36"/>
      <c r="AP118" s="36"/>
      <c r="AQ118" s="36"/>
      <c r="AR118" s="36"/>
      <c r="AS118" s="36"/>
      <c r="AT118" s="36"/>
      <c r="AU118" s="36"/>
      <c r="AV118" s="36"/>
      <c r="AW118" s="37"/>
      <c r="AX118" s="37"/>
      <c r="AY118" s="37"/>
      <c r="AZ118" s="37"/>
      <c r="BA118" s="37"/>
      <c r="BB118" s="37"/>
      <c r="BC118" s="37"/>
      <c r="BD118" s="37"/>
      <c r="BE118" s="37"/>
      <c r="BF118" s="37"/>
      <c r="BG118" s="37"/>
      <c r="BH118" s="37"/>
      <c r="BI118" s="37"/>
      <c r="BJ118" s="37"/>
      <c r="BK118" s="37"/>
      <c r="BL118" s="37"/>
      <c r="BM118" s="37"/>
      <c r="BN118" s="37"/>
      <c r="BO118" s="37"/>
      <c r="BP118" s="37"/>
      <c r="BQ118" s="37"/>
      <c r="BR118" s="37"/>
      <c r="BS118" s="37"/>
    </row>
    <row r="119" spans="1:71" ht="15" x14ac:dyDescent="0.25">
      <c r="A119" s="37"/>
      <c r="B119" s="37"/>
      <c r="C119" s="37"/>
      <c r="D119" s="37"/>
      <c r="E119" s="37"/>
      <c r="F119" s="36" t="s">
        <v>42</v>
      </c>
      <c r="G119" s="36"/>
      <c r="H119" s="36"/>
      <c r="I119" s="36"/>
      <c r="J119" s="36"/>
      <c r="K119" s="36"/>
      <c r="L119" s="36"/>
      <c r="M119" s="36"/>
      <c r="N119" s="36"/>
      <c r="O119" s="36"/>
      <c r="P119" s="36"/>
      <c r="Q119" s="36"/>
      <c r="R119" s="36"/>
      <c r="S119" s="36"/>
      <c r="T119" s="36"/>
      <c r="U119" s="36"/>
      <c r="V119" s="36"/>
      <c r="W119" s="36"/>
      <c r="X119" s="36"/>
      <c r="Y119" s="36"/>
      <c r="Z119" s="36"/>
      <c r="AA119" s="36"/>
      <c r="AB119" s="36"/>
      <c r="AC119" s="36"/>
      <c r="AD119" s="36"/>
      <c r="AE119" s="36"/>
      <c r="AF119" s="36"/>
      <c r="AG119" s="36"/>
      <c r="AH119" s="36" t="s">
        <v>411</v>
      </c>
      <c r="AI119" s="36"/>
      <c r="AJ119" s="36"/>
      <c r="AK119" s="36"/>
      <c r="AL119" s="71"/>
      <c r="AM119" s="71"/>
      <c r="AN119" s="36"/>
      <c r="AO119" s="36"/>
      <c r="AP119" s="36"/>
      <c r="AQ119" s="36"/>
      <c r="AR119" s="36"/>
      <c r="AS119" s="36"/>
      <c r="AT119" s="36"/>
      <c r="AU119" s="37"/>
      <c r="AV119" s="37"/>
      <c r="AW119" s="37"/>
      <c r="AX119" s="37"/>
      <c r="AY119" s="37"/>
      <c r="AZ119" s="37"/>
      <c r="BA119" s="37"/>
      <c r="BB119" s="37"/>
      <c r="BC119" s="37"/>
      <c r="BD119" s="37"/>
      <c r="BE119" s="37"/>
      <c r="BF119" s="37"/>
      <c r="BG119" s="37"/>
      <c r="BH119" s="37"/>
      <c r="BI119" s="37"/>
      <c r="BJ119" s="37"/>
      <c r="BK119" s="37"/>
      <c r="BL119" s="37"/>
      <c r="BM119" s="37"/>
      <c r="BN119" s="37"/>
      <c r="BO119" s="37"/>
      <c r="BP119" s="37"/>
      <c r="BQ119" s="37"/>
      <c r="BR119" s="37"/>
      <c r="BS119" s="37"/>
    </row>
    <row r="120" spans="1:71" ht="15" x14ac:dyDescent="0.25">
      <c r="A120" s="37"/>
      <c r="B120" s="37"/>
      <c r="C120" s="37"/>
      <c r="D120" s="37"/>
      <c r="E120" s="37"/>
      <c r="F120" s="37"/>
      <c r="G120" s="37"/>
      <c r="H120" s="37"/>
      <c r="I120" s="37"/>
      <c r="J120" s="37"/>
      <c r="K120" s="37"/>
      <c r="L120" s="37"/>
      <c r="M120" s="36"/>
      <c r="N120" s="36"/>
      <c r="O120" s="36"/>
      <c r="P120" s="36"/>
      <c r="Q120" s="36"/>
      <c r="R120" s="36"/>
      <c r="S120" s="36"/>
      <c r="T120" s="36"/>
      <c r="U120" s="36"/>
      <c r="V120" s="36"/>
      <c r="W120" s="36"/>
      <c r="X120" s="36"/>
      <c r="Y120" s="36"/>
      <c r="Z120" s="36"/>
      <c r="AA120" s="36"/>
      <c r="AB120" s="36"/>
      <c r="AC120" s="36"/>
      <c r="AD120" s="36"/>
      <c r="AE120" s="36"/>
      <c r="AF120" s="36"/>
      <c r="AG120" s="36"/>
      <c r="AH120" s="36" t="s">
        <v>412</v>
      </c>
      <c r="AI120" s="36"/>
      <c r="AJ120" s="36"/>
      <c r="AK120" s="36"/>
      <c r="AL120" s="36"/>
      <c r="AM120" s="36"/>
      <c r="AN120" s="36"/>
      <c r="AO120" s="36"/>
      <c r="AP120" s="36"/>
      <c r="AQ120" s="36"/>
      <c r="AR120" s="36"/>
      <c r="AS120" s="36"/>
      <c r="AT120" s="37"/>
      <c r="AU120" s="37"/>
      <c r="AV120" s="37"/>
      <c r="AW120" s="37"/>
      <c r="AX120" s="37"/>
      <c r="AY120" s="37"/>
      <c r="AZ120" s="37"/>
      <c r="BA120" s="37"/>
      <c r="BB120" s="37"/>
      <c r="BC120" s="37"/>
      <c r="BD120" s="37"/>
      <c r="BE120" s="37"/>
      <c r="BF120" s="37"/>
      <c r="BG120" s="37"/>
      <c r="BH120" s="37"/>
      <c r="BI120" s="37"/>
      <c r="BJ120" s="37"/>
      <c r="BK120" s="37"/>
      <c r="BL120" s="37"/>
      <c r="BM120" s="37"/>
      <c r="BN120" s="37"/>
      <c r="BO120" s="37"/>
      <c r="BP120" s="37"/>
      <c r="BQ120" s="37"/>
      <c r="BR120" s="37"/>
      <c r="BS120" s="37"/>
    </row>
    <row r="121" spans="1:71" ht="15" x14ac:dyDescent="0.25">
      <c r="A121" s="37"/>
      <c r="B121" s="37"/>
      <c r="C121" s="37"/>
      <c r="D121" s="37"/>
      <c r="E121" s="37"/>
      <c r="F121" s="37"/>
      <c r="G121" s="37"/>
      <c r="H121" s="37"/>
      <c r="I121" s="37"/>
      <c r="J121" s="37"/>
      <c r="K121" s="37"/>
      <c r="L121" s="37"/>
      <c r="M121" s="36"/>
      <c r="N121" s="36"/>
      <c r="O121" s="36"/>
      <c r="P121" s="36"/>
      <c r="Q121" s="36"/>
      <c r="R121" s="36"/>
      <c r="S121" s="36"/>
      <c r="T121" s="36"/>
      <c r="U121" s="36"/>
      <c r="V121" s="36"/>
      <c r="W121" s="36"/>
      <c r="X121" s="36"/>
      <c r="Y121" s="36"/>
      <c r="Z121" s="36"/>
      <c r="AA121" s="36"/>
      <c r="AB121" s="36"/>
      <c r="AC121" s="36"/>
      <c r="AD121" s="36"/>
      <c r="AE121" s="36"/>
      <c r="AF121" s="36"/>
      <c r="AG121" s="36"/>
      <c r="AH121" s="36" t="s">
        <v>413</v>
      </c>
      <c r="AI121" s="36"/>
      <c r="AJ121" s="36"/>
      <c r="AK121" s="36"/>
      <c r="AL121" s="36"/>
      <c r="AM121" s="36"/>
      <c r="AN121" s="36"/>
      <c r="AO121" s="36"/>
      <c r="AP121" s="36"/>
      <c r="AQ121" s="36"/>
      <c r="AR121" s="36"/>
      <c r="AS121" s="36"/>
      <c r="AT121" s="37"/>
      <c r="AU121" s="37"/>
      <c r="AV121" s="37"/>
      <c r="AW121" s="37"/>
      <c r="AX121" s="37"/>
      <c r="AY121" s="37"/>
      <c r="AZ121" s="37"/>
      <c r="BA121" s="37"/>
      <c r="BB121" s="37"/>
      <c r="BC121" s="37"/>
      <c r="BD121" s="37"/>
      <c r="BE121" s="37"/>
      <c r="BF121" s="37"/>
      <c r="BG121" s="37"/>
      <c r="BH121" s="37"/>
      <c r="BI121" s="37"/>
      <c r="BJ121" s="37"/>
      <c r="BK121" s="37"/>
      <c r="BL121" s="37"/>
      <c r="BM121" s="37"/>
      <c r="BN121" s="37"/>
      <c r="BO121" s="37"/>
      <c r="BP121" s="37"/>
      <c r="BQ121" s="37"/>
      <c r="BR121" s="37"/>
      <c r="BS121" s="37"/>
    </row>
    <row r="122" spans="1:71" ht="15" x14ac:dyDescent="0.25">
      <c r="A122" s="37"/>
      <c r="B122" s="37"/>
      <c r="C122" s="37"/>
      <c r="D122" s="37"/>
      <c r="E122" s="37"/>
      <c r="F122" s="37"/>
      <c r="G122" s="37"/>
      <c r="H122" s="37"/>
      <c r="I122" s="37"/>
      <c r="J122" s="37"/>
      <c r="K122" s="37"/>
      <c r="L122" s="37"/>
      <c r="M122" s="36"/>
      <c r="N122" s="36"/>
      <c r="O122" s="36"/>
      <c r="P122" s="36"/>
      <c r="Q122" s="36"/>
      <c r="R122" s="36"/>
      <c r="S122" s="36"/>
      <c r="T122" s="36"/>
      <c r="U122" s="36"/>
      <c r="V122" s="36"/>
      <c r="W122" s="36"/>
      <c r="X122" s="36"/>
      <c r="Y122" s="36"/>
      <c r="Z122" s="36"/>
      <c r="AA122" s="36"/>
      <c r="AB122" s="36"/>
      <c r="AC122" s="36"/>
      <c r="AD122" s="36"/>
      <c r="AE122" s="36"/>
      <c r="AF122" s="36"/>
      <c r="AG122" s="36"/>
      <c r="AH122" s="36"/>
      <c r="AI122" s="36"/>
      <c r="AJ122" s="36"/>
      <c r="AK122" s="36"/>
      <c r="AL122" s="36"/>
      <c r="AM122" s="36"/>
      <c r="AN122" s="36"/>
      <c r="AO122" s="36"/>
      <c r="AP122" s="36"/>
      <c r="AQ122" s="36"/>
      <c r="AR122" s="36"/>
      <c r="AS122" s="36"/>
      <c r="AT122" s="37"/>
      <c r="AU122" s="37"/>
      <c r="AV122" s="37"/>
      <c r="AW122" s="37"/>
      <c r="AX122" s="37"/>
      <c r="AY122" s="37"/>
      <c r="AZ122" s="37"/>
      <c r="BA122" s="37"/>
      <c r="BB122" s="37"/>
      <c r="BC122" s="37"/>
      <c r="BD122" s="37"/>
      <c r="BE122" s="37"/>
      <c r="BF122" s="37"/>
      <c r="BG122" s="37"/>
      <c r="BH122" s="37"/>
      <c r="BI122" s="37"/>
      <c r="BJ122" s="37"/>
      <c r="BK122" s="37"/>
      <c r="BL122" s="37"/>
      <c r="BM122" s="37"/>
      <c r="BN122" s="37"/>
      <c r="BO122" s="37"/>
      <c r="BP122" s="37"/>
      <c r="BQ122" s="37"/>
      <c r="BR122" s="37"/>
      <c r="BS122" s="37"/>
    </row>
    <row r="123" spans="1:71" ht="15" x14ac:dyDescent="0.25">
      <c r="A123" s="37"/>
      <c r="B123" s="37"/>
      <c r="C123" s="37"/>
      <c r="D123" s="37"/>
      <c r="E123" s="37"/>
      <c r="F123" s="36"/>
      <c r="G123" s="36"/>
      <c r="H123" s="36"/>
      <c r="I123" s="36"/>
      <c r="J123" s="36"/>
      <c r="K123" s="36"/>
      <c r="L123" s="36"/>
      <c r="M123" s="36"/>
      <c r="N123" s="36"/>
      <c r="O123" s="36"/>
      <c r="P123" s="36"/>
      <c r="Q123" s="36"/>
      <c r="R123" s="36"/>
      <c r="S123" s="36"/>
      <c r="T123" s="36"/>
      <c r="U123" s="36"/>
      <c r="V123" s="36"/>
      <c r="W123" s="36"/>
      <c r="X123" s="36"/>
      <c r="Y123" s="36"/>
      <c r="Z123" s="36"/>
      <c r="AA123" s="36"/>
      <c r="AB123" s="36"/>
      <c r="AC123" s="36"/>
      <c r="AD123" s="36"/>
      <c r="AE123" s="36"/>
      <c r="AF123" s="36"/>
      <c r="AG123" s="36"/>
      <c r="AH123" s="36"/>
      <c r="AI123" s="36"/>
      <c r="AJ123" s="36"/>
      <c r="AK123" s="36"/>
      <c r="AL123" s="36"/>
      <c r="AM123" s="36"/>
      <c r="AN123" s="36"/>
      <c r="AO123" s="36"/>
      <c r="AP123" s="36"/>
      <c r="AQ123" s="36"/>
      <c r="AR123" s="36"/>
      <c r="AS123" s="36"/>
      <c r="AT123" s="37"/>
      <c r="AU123" s="37"/>
      <c r="AV123" s="37"/>
      <c r="AW123" s="37"/>
      <c r="AX123" s="37"/>
      <c r="AY123" s="37"/>
      <c r="AZ123" s="37"/>
      <c r="BA123" s="37"/>
      <c r="BB123" s="37"/>
      <c r="BC123" s="37"/>
      <c r="BD123" s="37"/>
      <c r="BE123" s="37"/>
      <c r="BF123" s="37"/>
      <c r="BG123" s="37"/>
      <c r="BH123" s="37"/>
      <c r="BI123" s="37"/>
      <c r="BJ123" s="37"/>
      <c r="BK123" s="37"/>
      <c r="BL123" s="37"/>
      <c r="BM123" s="37"/>
      <c r="BN123" s="37"/>
      <c r="BO123" s="37"/>
      <c r="BP123" s="37"/>
      <c r="BQ123" s="37"/>
      <c r="BR123" s="37"/>
      <c r="BS123" s="37"/>
    </row>
    <row r="124" spans="1:71" ht="15" x14ac:dyDescent="0.25">
      <c r="A124" s="37"/>
      <c r="B124" s="37"/>
      <c r="C124" s="37"/>
      <c r="D124" s="37"/>
      <c r="E124" s="37"/>
      <c r="F124" s="46" t="s">
        <v>414</v>
      </c>
      <c r="G124" s="46"/>
      <c r="H124" s="46"/>
      <c r="I124" s="46"/>
      <c r="J124" s="46"/>
      <c r="K124" s="46"/>
      <c r="L124" s="46"/>
      <c r="M124" s="46"/>
      <c r="N124" s="46"/>
      <c r="O124" s="192"/>
      <c r="P124" s="192"/>
      <c r="Q124" s="192"/>
      <c r="R124" s="192"/>
      <c r="S124" s="192"/>
      <c r="T124" s="192"/>
      <c r="U124" s="192"/>
      <c r="V124" s="192"/>
      <c r="W124" s="192"/>
      <c r="X124" s="192"/>
      <c r="Y124" s="192"/>
      <c r="Z124" s="192"/>
      <c r="AA124" s="192"/>
      <c r="AB124" s="192"/>
      <c r="AC124" s="192"/>
      <c r="AD124" s="192"/>
      <c r="AE124" s="192"/>
      <c r="AF124" s="37"/>
      <c r="AG124" s="37"/>
      <c r="AH124" s="37"/>
      <c r="AI124" s="37"/>
      <c r="AJ124" s="37"/>
      <c r="AK124" s="37"/>
      <c r="AL124" s="37"/>
      <c r="AM124" s="37"/>
      <c r="AN124" s="37"/>
      <c r="AO124" s="37"/>
      <c r="AP124" s="37"/>
      <c r="AQ124" s="37"/>
      <c r="AR124" s="37"/>
      <c r="AS124" s="37"/>
      <c r="AT124" s="37"/>
      <c r="AU124" s="37"/>
      <c r="AV124" s="37"/>
      <c r="AW124" s="37"/>
      <c r="AX124" s="37"/>
      <c r="AY124" s="37"/>
      <c r="AZ124" s="37"/>
      <c r="BA124" s="37"/>
      <c r="BB124" s="37"/>
      <c r="BC124" s="37"/>
      <c r="BD124" s="37"/>
      <c r="BE124" s="37"/>
      <c r="BF124" s="37"/>
      <c r="BG124" s="37"/>
      <c r="BH124" s="37"/>
      <c r="BI124" s="37"/>
      <c r="BJ124" s="37"/>
      <c r="BK124" s="37"/>
      <c r="BL124" s="37"/>
      <c r="BM124" s="37"/>
      <c r="BN124" s="37"/>
      <c r="BO124" s="37"/>
      <c r="BP124" s="37"/>
      <c r="BQ124" s="37"/>
      <c r="BR124" s="37"/>
      <c r="BS124" s="37"/>
    </row>
    <row r="125" spans="1:71" ht="15" x14ac:dyDescent="0.25">
      <c r="A125" s="37"/>
      <c r="B125" s="37"/>
      <c r="C125" s="37"/>
      <c r="D125" s="37"/>
      <c r="E125" s="37"/>
      <c r="F125" s="37"/>
      <c r="G125" s="37"/>
      <c r="H125" s="37"/>
      <c r="I125" s="37"/>
      <c r="J125" s="37"/>
      <c r="K125" s="37"/>
      <c r="L125" s="37"/>
      <c r="M125" s="37"/>
      <c r="N125" s="37"/>
      <c r="O125" s="37"/>
      <c r="P125" s="37"/>
      <c r="Q125" s="37"/>
      <c r="R125" s="37"/>
      <c r="S125" s="37"/>
      <c r="T125" s="37"/>
      <c r="U125" s="37"/>
      <c r="V125" s="37"/>
      <c r="W125" s="37"/>
      <c r="X125" s="37"/>
      <c r="Y125" s="37"/>
      <c r="Z125" s="37"/>
      <c r="AA125" s="37"/>
      <c r="AB125" s="37"/>
      <c r="AC125" s="37"/>
      <c r="AD125" s="37"/>
      <c r="AE125" s="37"/>
      <c r="AF125" s="37"/>
      <c r="AG125" s="37"/>
      <c r="AH125" s="37"/>
      <c r="AI125" s="37"/>
      <c r="AJ125" s="37"/>
      <c r="AK125" s="37"/>
      <c r="AL125" s="37"/>
      <c r="AM125" s="37"/>
      <c r="AN125" s="37"/>
      <c r="AO125" s="37"/>
      <c r="AP125" s="37"/>
      <c r="AQ125" s="37"/>
      <c r="AR125" s="37"/>
      <c r="AS125" s="37"/>
      <c r="AT125" s="37"/>
      <c r="AU125" s="37"/>
      <c r="AV125" s="37"/>
      <c r="AW125" s="37"/>
      <c r="AX125" s="37"/>
      <c r="AY125" s="37"/>
      <c r="AZ125" s="37"/>
      <c r="BA125" s="37"/>
      <c r="BB125" s="37"/>
      <c r="BC125" s="37"/>
      <c r="BD125" s="37"/>
      <c r="BE125" s="37"/>
      <c r="BF125" s="37"/>
      <c r="BG125" s="37"/>
      <c r="BH125" s="37"/>
      <c r="BI125" s="37"/>
      <c r="BJ125" s="37"/>
      <c r="BK125" s="37"/>
      <c r="BL125" s="37"/>
      <c r="BM125" s="37"/>
      <c r="BN125" s="37"/>
      <c r="BO125" s="37"/>
      <c r="BP125" s="37"/>
      <c r="BQ125" s="37"/>
      <c r="BR125" s="37"/>
      <c r="BS125" s="37"/>
    </row>
    <row r="126" spans="1:71" ht="15" x14ac:dyDescent="0.25">
      <c r="A126" s="37"/>
      <c r="B126" s="37"/>
      <c r="C126" s="37"/>
      <c r="D126" s="37"/>
      <c r="E126" s="37"/>
      <c r="F126" s="37" t="s">
        <v>170</v>
      </c>
      <c r="G126" s="37"/>
      <c r="H126" s="37"/>
      <c r="I126" s="37"/>
      <c r="J126" s="37"/>
      <c r="K126" s="37"/>
      <c r="L126" s="37"/>
      <c r="M126" s="37"/>
      <c r="N126" s="37"/>
      <c r="O126" s="37"/>
      <c r="P126" s="37"/>
      <c r="Q126" s="37"/>
      <c r="R126" s="37"/>
      <c r="S126" s="37"/>
      <c r="T126" s="37"/>
      <c r="U126" s="37"/>
      <c r="V126" s="37"/>
      <c r="W126" s="37"/>
      <c r="X126" s="37"/>
      <c r="Y126" s="37"/>
      <c r="Z126" s="37"/>
      <c r="AA126" s="37"/>
      <c r="AB126" s="37"/>
      <c r="AC126" s="37"/>
      <c r="AD126" s="37"/>
      <c r="AE126" s="37"/>
      <c r="AF126" s="37"/>
      <c r="AG126" s="37"/>
      <c r="AH126" s="37" t="s">
        <v>415</v>
      </c>
      <c r="AI126" s="37"/>
      <c r="AJ126" s="37"/>
      <c r="AK126" s="37"/>
      <c r="AL126" s="37"/>
      <c r="AM126" s="37"/>
      <c r="AN126" s="37"/>
      <c r="AO126" s="37"/>
      <c r="AP126" s="37"/>
      <c r="AQ126" s="37"/>
      <c r="AR126" s="37"/>
      <c r="AS126" s="37"/>
      <c r="AT126" s="37"/>
      <c r="AU126" s="37"/>
      <c r="AV126" s="37"/>
      <c r="AW126" s="37"/>
      <c r="AX126" s="37"/>
      <c r="AY126" s="37"/>
      <c r="AZ126" s="37"/>
      <c r="BA126" s="37"/>
      <c r="BB126" s="37"/>
      <c r="BC126" s="37"/>
      <c r="BD126" s="37"/>
      <c r="BE126" s="37"/>
      <c r="BF126" s="37"/>
      <c r="BG126" s="37"/>
      <c r="BH126" s="37"/>
      <c r="BI126" s="37"/>
      <c r="BJ126" s="37"/>
      <c r="BK126" s="37"/>
      <c r="BL126" s="37"/>
      <c r="BM126" s="37"/>
      <c r="BN126" s="37"/>
      <c r="BO126" s="37"/>
      <c r="BP126" s="37"/>
      <c r="BQ126" s="37"/>
      <c r="BR126" s="37"/>
      <c r="BS126" s="37"/>
    </row>
    <row r="127" spans="1:71" ht="15" x14ac:dyDescent="0.25">
      <c r="A127" s="37"/>
      <c r="B127" s="37"/>
      <c r="C127" s="37"/>
      <c r="D127" s="37"/>
      <c r="E127" s="37"/>
      <c r="F127" s="37" t="s">
        <v>42</v>
      </c>
      <c r="G127" s="37"/>
      <c r="H127" s="37"/>
      <c r="I127" s="37"/>
      <c r="J127" s="37"/>
      <c r="K127" s="37"/>
      <c r="L127" s="37"/>
      <c r="M127" s="37"/>
      <c r="N127" s="37"/>
      <c r="O127" s="37"/>
      <c r="P127" s="37"/>
      <c r="Q127" s="37"/>
      <c r="R127" s="37"/>
      <c r="S127" s="37"/>
      <c r="T127" s="37"/>
      <c r="U127" s="37"/>
      <c r="V127" s="37"/>
      <c r="W127" s="37"/>
      <c r="X127" s="37"/>
      <c r="Y127" s="37"/>
      <c r="Z127" s="37"/>
      <c r="AA127" s="37"/>
      <c r="AB127" s="37"/>
      <c r="AC127" s="37"/>
      <c r="AD127" s="37"/>
      <c r="AE127" s="37"/>
      <c r="AF127" s="37"/>
      <c r="AG127" s="37"/>
      <c r="AH127" s="37" t="s">
        <v>712</v>
      </c>
      <c r="AI127" s="37"/>
      <c r="AJ127" s="37"/>
      <c r="AK127" s="37"/>
      <c r="AL127" s="37"/>
      <c r="AM127" s="37"/>
      <c r="AN127" s="37"/>
      <c r="AO127" s="37"/>
      <c r="AP127" s="37"/>
      <c r="AQ127" s="37"/>
      <c r="AR127" s="37"/>
      <c r="AS127" s="37"/>
      <c r="AT127" s="37"/>
      <c r="AU127" s="37"/>
      <c r="AV127" s="37"/>
      <c r="AW127" s="37"/>
      <c r="AX127" s="37"/>
      <c r="AY127" s="37"/>
      <c r="AZ127" s="37"/>
      <c r="BA127" s="37"/>
      <c r="BB127" s="37"/>
      <c r="BC127" s="37"/>
      <c r="BD127" s="37"/>
      <c r="BE127" s="37"/>
      <c r="BF127" s="37"/>
      <c r="BG127" s="37"/>
      <c r="BH127" s="37"/>
      <c r="BI127" s="37"/>
      <c r="BJ127" s="37"/>
      <c r="BK127" s="37"/>
      <c r="BL127" s="37"/>
      <c r="BM127" s="37"/>
      <c r="BN127" s="37"/>
      <c r="BO127" s="37"/>
      <c r="BP127" s="37"/>
      <c r="BQ127" s="37"/>
      <c r="BR127" s="37"/>
      <c r="BS127" s="37"/>
    </row>
    <row r="128" spans="1:71" ht="15" x14ac:dyDescent="0.25">
      <c r="A128" s="37"/>
      <c r="B128" s="37"/>
      <c r="C128" s="37"/>
      <c r="D128" s="37"/>
      <c r="E128" s="37"/>
      <c r="F128" s="37"/>
      <c r="G128" s="37"/>
      <c r="H128" s="37"/>
      <c r="I128" s="37"/>
      <c r="J128" s="37"/>
      <c r="K128" s="37"/>
      <c r="L128" s="37"/>
      <c r="M128" s="37"/>
      <c r="N128" s="37"/>
      <c r="O128" s="37"/>
      <c r="P128" s="37"/>
      <c r="Q128" s="37"/>
      <c r="R128" s="37"/>
      <c r="S128" s="37"/>
      <c r="T128" s="37"/>
      <c r="U128" s="37"/>
      <c r="V128" s="37"/>
      <c r="W128" s="37"/>
      <c r="X128" s="37"/>
      <c r="Y128" s="37"/>
      <c r="Z128" s="37"/>
      <c r="AA128" s="37"/>
      <c r="AB128" s="37"/>
      <c r="AC128" s="37"/>
      <c r="AD128" s="37"/>
      <c r="AE128" s="37"/>
      <c r="AF128" s="37"/>
      <c r="AG128" s="37"/>
      <c r="AH128" s="37"/>
      <c r="AI128" s="37"/>
      <c r="AJ128" s="37"/>
      <c r="AK128" s="37"/>
      <c r="AL128" s="37"/>
      <c r="AM128" s="37"/>
      <c r="AN128" s="37"/>
      <c r="AO128" s="37"/>
      <c r="AP128" s="37"/>
      <c r="AQ128" s="37"/>
      <c r="AR128" s="37"/>
      <c r="AS128" s="37"/>
      <c r="AT128" s="37"/>
      <c r="AU128" s="37"/>
      <c r="AV128" s="37"/>
      <c r="AW128" s="37"/>
      <c r="AX128" s="37"/>
      <c r="AY128" s="37"/>
      <c r="AZ128" s="37"/>
      <c r="BA128" s="37"/>
      <c r="BB128" s="37"/>
      <c r="BC128" s="37"/>
      <c r="BD128" s="37"/>
      <c r="BE128" s="37"/>
      <c r="BF128" s="37"/>
      <c r="BG128" s="37"/>
      <c r="BH128" s="37"/>
      <c r="BI128" s="37"/>
      <c r="BJ128" s="37"/>
      <c r="BK128" s="37"/>
      <c r="BL128" s="37"/>
      <c r="BM128" s="37"/>
      <c r="BN128" s="37"/>
      <c r="BO128" s="37"/>
      <c r="BP128" s="37"/>
      <c r="BQ128" s="37"/>
      <c r="BR128" s="37"/>
      <c r="BS128" s="37"/>
    </row>
    <row r="129" spans="1:71" ht="15" x14ac:dyDescent="0.25">
      <c r="A129" s="37"/>
      <c r="B129" s="37"/>
      <c r="C129" s="37"/>
      <c r="D129" s="37"/>
      <c r="E129" s="37"/>
      <c r="F129" s="37"/>
      <c r="G129" s="37"/>
      <c r="H129" s="37"/>
      <c r="I129" s="37"/>
      <c r="J129" s="37"/>
      <c r="K129" s="37"/>
      <c r="L129" s="37"/>
      <c r="M129" s="37"/>
      <c r="N129" s="37"/>
      <c r="O129" s="37"/>
      <c r="P129" s="37"/>
      <c r="Q129" s="37"/>
      <c r="R129" s="37"/>
      <c r="S129" s="37"/>
      <c r="T129" s="37"/>
      <c r="U129" s="37"/>
      <c r="V129" s="37"/>
      <c r="W129" s="37"/>
      <c r="X129" s="37"/>
      <c r="Y129" s="37"/>
      <c r="Z129" s="37"/>
      <c r="AA129" s="37"/>
      <c r="AB129" s="37"/>
      <c r="AC129" s="37"/>
      <c r="AD129" s="37"/>
      <c r="AE129" s="37"/>
      <c r="AF129" s="37"/>
      <c r="AG129" s="37"/>
      <c r="AH129" s="37"/>
      <c r="AI129" s="37"/>
      <c r="AJ129" s="37"/>
      <c r="AK129" s="37"/>
      <c r="AL129" s="37"/>
      <c r="AM129" s="37"/>
      <c r="AN129" s="37"/>
      <c r="AO129" s="37"/>
      <c r="AP129" s="37"/>
      <c r="AQ129" s="37"/>
      <c r="AR129" s="37"/>
      <c r="AS129" s="37"/>
      <c r="AT129" s="37"/>
      <c r="AU129" s="37"/>
      <c r="AV129" s="37"/>
      <c r="AW129" s="37"/>
      <c r="AX129" s="37"/>
      <c r="AY129" s="37"/>
      <c r="AZ129" s="37"/>
      <c r="BA129" s="37"/>
      <c r="BB129" s="37"/>
      <c r="BC129" s="37"/>
      <c r="BD129" s="37"/>
      <c r="BE129" s="37"/>
      <c r="BF129" s="37"/>
      <c r="BG129" s="37"/>
      <c r="BH129" s="37"/>
      <c r="BI129" s="37"/>
      <c r="BJ129" s="37"/>
      <c r="BK129" s="37"/>
      <c r="BL129" s="37"/>
      <c r="BM129" s="37"/>
      <c r="BN129" s="37"/>
      <c r="BO129" s="37"/>
      <c r="BP129" s="37"/>
      <c r="BQ129" s="37"/>
      <c r="BR129" s="37"/>
      <c r="BS129" s="37"/>
    </row>
    <row r="130" spans="1:71" ht="15" x14ac:dyDescent="0.25">
      <c r="A130" s="37"/>
      <c r="B130" s="37"/>
      <c r="C130" s="37"/>
      <c r="D130" s="37"/>
      <c r="E130" s="37"/>
      <c r="F130" s="46" t="s">
        <v>416</v>
      </c>
      <c r="G130" s="46"/>
      <c r="H130" s="46"/>
      <c r="I130" s="46"/>
      <c r="J130" s="46"/>
      <c r="K130" s="46"/>
      <c r="L130" s="46"/>
      <c r="M130" s="46"/>
      <c r="N130" s="46"/>
      <c r="O130" s="192"/>
      <c r="P130" s="192"/>
      <c r="Q130" s="192"/>
      <c r="R130" s="192"/>
      <c r="S130" s="192"/>
      <c r="T130" s="192"/>
      <c r="U130" s="192"/>
      <c r="V130" s="192"/>
      <c r="W130" s="192"/>
      <c r="X130" s="192"/>
      <c r="Y130" s="192"/>
      <c r="Z130" s="192"/>
      <c r="AA130" s="192"/>
      <c r="AB130" s="192"/>
      <c r="AC130" s="192"/>
      <c r="AD130" s="192"/>
      <c r="AE130" s="192"/>
      <c r="AF130" s="37"/>
      <c r="AG130" s="37"/>
      <c r="AH130" s="37"/>
      <c r="AI130" s="37"/>
      <c r="AJ130" s="37"/>
      <c r="AK130" s="37"/>
      <c r="AL130" s="37"/>
      <c r="AM130" s="37"/>
      <c r="AN130" s="37"/>
      <c r="AO130" s="37"/>
      <c r="AP130" s="37"/>
      <c r="AQ130" s="37"/>
      <c r="AR130" s="37"/>
      <c r="AS130" s="37"/>
      <c r="AT130" s="37"/>
      <c r="AU130" s="37"/>
      <c r="AV130" s="37"/>
      <c r="AW130" s="37"/>
      <c r="AX130" s="37"/>
      <c r="AY130" s="37"/>
      <c r="AZ130" s="37"/>
      <c r="BA130" s="37"/>
      <c r="BB130" s="37"/>
      <c r="BC130" s="37"/>
      <c r="BD130" s="37"/>
      <c r="BE130" s="37"/>
      <c r="BF130" s="37"/>
      <c r="BG130" s="37"/>
      <c r="BH130" s="37"/>
      <c r="BI130" s="37"/>
      <c r="BJ130" s="37"/>
      <c r="BK130" s="37"/>
      <c r="BL130" s="37"/>
      <c r="BM130" s="37"/>
      <c r="BN130" s="37"/>
      <c r="BO130" s="37"/>
      <c r="BP130" s="37"/>
      <c r="BQ130" s="37"/>
      <c r="BR130" s="37"/>
      <c r="BS130" s="37"/>
    </row>
    <row r="131" spans="1:71" ht="15" x14ac:dyDescent="0.25">
      <c r="A131" s="37"/>
      <c r="B131" s="37"/>
      <c r="C131" s="37"/>
      <c r="D131" s="37"/>
      <c r="E131" s="37"/>
      <c r="F131" s="37"/>
      <c r="G131" s="37"/>
      <c r="H131" s="37"/>
      <c r="I131" s="37"/>
      <c r="J131" s="37"/>
      <c r="K131" s="37"/>
      <c r="L131" s="37"/>
      <c r="M131" s="37"/>
      <c r="N131" s="37"/>
      <c r="O131" s="37"/>
      <c r="P131" s="37"/>
      <c r="Q131" s="37"/>
      <c r="R131" s="37"/>
      <c r="S131" s="37"/>
      <c r="T131" s="37"/>
      <c r="U131" s="37"/>
      <c r="V131" s="37"/>
      <c r="W131" s="37"/>
      <c r="X131" s="37"/>
      <c r="Y131" s="37"/>
      <c r="Z131" s="37"/>
      <c r="AA131" s="37"/>
      <c r="AB131" s="37"/>
      <c r="AC131" s="37"/>
      <c r="AD131" s="37"/>
      <c r="AE131" s="37"/>
      <c r="AF131" s="37"/>
      <c r="AG131" s="37"/>
      <c r="AH131" s="37"/>
      <c r="AI131" s="37"/>
      <c r="AJ131" s="37"/>
      <c r="AK131" s="37"/>
      <c r="AL131" s="37"/>
      <c r="AM131" s="37"/>
      <c r="AN131" s="37"/>
      <c r="AO131" s="37"/>
      <c r="AP131" s="37"/>
      <c r="AQ131" s="37"/>
      <c r="AR131" s="37"/>
      <c r="AS131" s="37"/>
      <c r="AT131" s="37"/>
      <c r="AU131" s="37"/>
      <c r="AV131" s="37"/>
      <c r="AW131" s="37"/>
      <c r="AX131" s="37"/>
      <c r="AY131" s="37"/>
      <c r="AZ131" s="37"/>
      <c r="BA131" s="37"/>
      <c r="BB131" s="37"/>
      <c r="BC131" s="37"/>
      <c r="BD131" s="37"/>
      <c r="BE131" s="37"/>
      <c r="BF131" s="37"/>
      <c r="BG131" s="37"/>
      <c r="BH131" s="37"/>
      <c r="BI131" s="37"/>
      <c r="BJ131" s="37"/>
      <c r="BK131" s="37"/>
      <c r="BL131" s="37"/>
      <c r="BM131" s="37"/>
      <c r="BN131" s="37"/>
      <c r="BO131" s="37"/>
      <c r="BP131" s="37"/>
      <c r="BQ131" s="37"/>
      <c r="BR131" s="37"/>
      <c r="BS131" s="37"/>
    </row>
    <row r="132" spans="1:71" ht="15" x14ac:dyDescent="0.25">
      <c r="A132" s="37"/>
      <c r="B132" s="37"/>
      <c r="C132" s="37"/>
      <c r="D132" s="37"/>
      <c r="E132" s="37"/>
      <c r="F132" s="36" t="s">
        <v>171</v>
      </c>
      <c r="G132" s="36"/>
      <c r="H132" s="36"/>
      <c r="I132" s="36"/>
      <c r="J132" s="36"/>
      <c r="K132" s="36"/>
      <c r="L132" s="36"/>
      <c r="M132" s="36"/>
      <c r="N132" s="36"/>
      <c r="O132" s="36"/>
      <c r="P132" s="36"/>
      <c r="Q132" s="36"/>
      <c r="R132" s="36"/>
      <c r="S132" s="36"/>
      <c r="T132" s="36"/>
      <c r="U132" s="36"/>
      <c r="V132" s="36"/>
      <c r="W132" s="36"/>
      <c r="X132" s="36"/>
      <c r="Y132" s="36"/>
      <c r="Z132" s="36"/>
      <c r="AA132" s="36"/>
      <c r="AB132" s="36"/>
      <c r="AC132" s="36"/>
      <c r="AD132" s="36"/>
      <c r="AE132" s="36"/>
      <c r="AF132" s="36"/>
      <c r="AG132" s="36"/>
      <c r="AH132" s="36" t="s">
        <v>713</v>
      </c>
      <c r="AI132" s="36"/>
      <c r="AJ132" s="36"/>
      <c r="AK132" s="36"/>
      <c r="AL132" s="71"/>
      <c r="AM132" s="71"/>
      <c r="AN132" s="37"/>
      <c r="AO132" s="36"/>
      <c r="AP132" s="36"/>
      <c r="AQ132" s="36"/>
      <c r="AR132" s="36"/>
      <c r="AS132" s="36"/>
      <c r="AT132" s="36"/>
      <c r="AU132" s="37"/>
      <c r="AV132" s="37"/>
      <c r="AW132" s="37"/>
      <c r="AX132" s="37"/>
      <c r="AY132" s="37"/>
      <c r="AZ132" s="37"/>
      <c r="BA132" s="37"/>
      <c r="BB132" s="37"/>
      <c r="BC132" s="37"/>
      <c r="BD132" s="37"/>
      <c r="BE132" s="37"/>
      <c r="BF132" s="37"/>
      <c r="BG132" s="37"/>
      <c r="BH132" s="37"/>
      <c r="BI132" s="37"/>
      <c r="BJ132" s="37"/>
      <c r="BK132" s="37"/>
      <c r="BL132" s="37"/>
      <c r="BM132" s="37"/>
      <c r="BN132" s="37"/>
      <c r="BO132" s="37"/>
      <c r="BP132" s="37"/>
      <c r="BQ132" s="37"/>
      <c r="BR132" s="37"/>
      <c r="BS132" s="37"/>
    </row>
    <row r="133" spans="1:71" ht="15" x14ac:dyDescent="0.25">
      <c r="A133" s="37"/>
      <c r="B133" s="37"/>
      <c r="C133" s="37"/>
      <c r="D133" s="37"/>
      <c r="E133" s="37"/>
      <c r="F133" s="37" t="s">
        <v>42</v>
      </c>
      <c r="G133" s="37"/>
      <c r="H133" s="37"/>
      <c r="I133" s="37"/>
      <c r="J133" s="37"/>
      <c r="K133" s="37"/>
      <c r="L133" s="37"/>
      <c r="M133" s="37"/>
      <c r="N133" s="37"/>
      <c r="O133" s="37"/>
      <c r="P133" s="37"/>
      <c r="Q133" s="37"/>
      <c r="R133" s="37"/>
      <c r="S133" s="37"/>
      <c r="T133" s="37"/>
      <c r="U133" s="37"/>
      <c r="V133" s="37"/>
      <c r="W133" s="37"/>
      <c r="X133" s="37"/>
      <c r="Y133" s="37"/>
      <c r="Z133" s="37"/>
      <c r="AA133" s="37"/>
      <c r="AB133" s="37"/>
      <c r="AC133" s="37"/>
      <c r="AD133" s="37"/>
      <c r="AE133" s="37"/>
      <c r="AF133" s="37"/>
      <c r="AG133" s="37"/>
      <c r="AH133" s="36" t="s">
        <v>725</v>
      </c>
      <c r="AI133" s="37"/>
      <c r="AJ133" s="37"/>
      <c r="AK133" s="37"/>
      <c r="AL133" s="37"/>
      <c r="AM133" s="37"/>
      <c r="AN133" s="37"/>
      <c r="AO133" s="37"/>
      <c r="AP133" s="37"/>
      <c r="AQ133" s="37"/>
      <c r="AR133" s="37"/>
      <c r="AS133" s="37"/>
      <c r="AT133" s="37"/>
      <c r="AU133" s="37"/>
      <c r="AV133" s="37"/>
      <c r="AW133" s="37"/>
      <c r="AX133" s="37"/>
      <c r="AY133" s="37"/>
      <c r="AZ133" s="37"/>
      <c r="BA133" s="37"/>
      <c r="BB133" s="37"/>
      <c r="BC133" s="37"/>
      <c r="BD133" s="37"/>
      <c r="BE133" s="37"/>
      <c r="BF133" s="37"/>
      <c r="BG133" s="37"/>
      <c r="BH133" s="37"/>
      <c r="BI133" s="37"/>
      <c r="BJ133" s="37"/>
      <c r="BK133" s="37"/>
      <c r="BL133" s="37"/>
      <c r="BM133" s="37"/>
      <c r="BN133" s="37"/>
      <c r="BO133" s="37"/>
      <c r="BP133" s="37"/>
      <c r="BQ133" s="37"/>
      <c r="BR133" s="37"/>
      <c r="BS133" s="37"/>
    </row>
    <row r="134" spans="1:71" ht="15" x14ac:dyDescent="0.25">
      <c r="A134" s="37"/>
      <c r="B134" s="37"/>
      <c r="C134" s="37"/>
      <c r="D134" s="37"/>
      <c r="E134" s="37"/>
      <c r="F134" s="37"/>
      <c r="G134" s="37"/>
      <c r="H134" s="37"/>
      <c r="I134" s="37"/>
      <c r="J134" s="37"/>
      <c r="K134" s="37"/>
      <c r="L134" s="37"/>
      <c r="M134" s="37"/>
      <c r="N134" s="37"/>
      <c r="O134" s="37"/>
      <c r="P134" s="37"/>
      <c r="Q134" s="37"/>
      <c r="R134" s="37"/>
      <c r="S134" s="37"/>
      <c r="T134" s="37"/>
      <c r="U134" s="37"/>
      <c r="V134" s="37"/>
      <c r="W134" s="37"/>
      <c r="X134" s="37"/>
      <c r="Y134" s="37"/>
      <c r="Z134" s="37"/>
      <c r="AA134" s="37"/>
      <c r="AB134" s="37"/>
      <c r="AC134" s="37"/>
      <c r="AD134" s="37"/>
      <c r="AE134" s="37"/>
      <c r="AF134" s="37"/>
      <c r="AG134" s="37"/>
      <c r="AH134" s="36" t="s">
        <v>726</v>
      </c>
      <c r="AI134" s="37"/>
      <c r="AJ134" s="37"/>
      <c r="AK134" s="37"/>
      <c r="AL134" s="37"/>
      <c r="AM134" s="37"/>
      <c r="AN134" s="37"/>
      <c r="AO134" s="37"/>
      <c r="AP134" s="37"/>
      <c r="AQ134" s="37"/>
      <c r="AR134" s="37"/>
      <c r="AS134" s="37"/>
      <c r="AT134" s="37"/>
      <c r="AU134" s="71"/>
      <c r="AV134" s="71"/>
      <c r="AW134" s="37"/>
      <c r="AX134" s="37"/>
      <c r="AY134" s="37"/>
      <c r="AZ134" s="37"/>
      <c r="BA134" s="37"/>
      <c r="BB134" s="37"/>
      <c r="BC134" s="37"/>
      <c r="BD134" s="37"/>
      <c r="BE134" s="37"/>
      <c r="BF134" s="37"/>
      <c r="BG134" s="37"/>
      <c r="BH134" s="37"/>
      <c r="BI134" s="37"/>
      <c r="BJ134" s="37"/>
      <c r="BK134" s="37"/>
      <c r="BL134" s="37"/>
      <c r="BM134" s="37"/>
      <c r="BN134" s="37"/>
      <c r="BO134" s="37"/>
      <c r="BP134" s="37"/>
      <c r="BQ134" s="37"/>
      <c r="BR134" s="37"/>
      <c r="BS134" s="37"/>
    </row>
    <row r="135" spans="1:71" ht="15" x14ac:dyDescent="0.25">
      <c r="A135" s="37"/>
      <c r="B135" s="37"/>
      <c r="C135" s="37"/>
      <c r="D135" s="37"/>
      <c r="E135" s="37"/>
      <c r="F135" s="36"/>
      <c r="G135" s="36"/>
      <c r="H135" s="36"/>
      <c r="I135" s="36"/>
      <c r="J135" s="36"/>
      <c r="K135" s="36"/>
      <c r="L135" s="36"/>
      <c r="M135" s="36"/>
      <c r="N135" s="36"/>
      <c r="O135" s="36"/>
      <c r="P135" s="36"/>
      <c r="Q135" s="36"/>
      <c r="R135" s="36"/>
      <c r="S135" s="36"/>
      <c r="T135" s="36"/>
      <c r="U135" s="36"/>
      <c r="V135" s="36"/>
      <c r="W135" s="36"/>
      <c r="X135" s="36"/>
      <c r="Y135" s="36"/>
      <c r="Z135" s="36"/>
      <c r="AA135" s="36"/>
      <c r="AB135" s="36"/>
      <c r="AC135" s="36"/>
      <c r="AD135" s="36"/>
      <c r="AE135" s="36"/>
      <c r="AF135" s="36"/>
      <c r="AG135" s="36"/>
      <c r="AH135" s="36" t="s">
        <v>727</v>
      </c>
      <c r="AI135" s="36"/>
      <c r="AJ135" s="36"/>
      <c r="AK135" s="36"/>
      <c r="AL135" s="36"/>
      <c r="AM135" s="36"/>
      <c r="AN135" s="71"/>
      <c r="AO135" s="71"/>
      <c r="AP135" s="71"/>
      <c r="AQ135" s="71"/>
      <c r="AR135" s="71"/>
      <c r="AS135" s="71"/>
      <c r="AT135" s="71"/>
      <c r="AU135" s="71"/>
      <c r="AV135" s="71"/>
      <c r="AW135" s="37"/>
      <c r="AX135" s="37"/>
      <c r="AY135" s="37"/>
      <c r="AZ135" s="37"/>
      <c r="BA135" s="37"/>
      <c r="BB135" s="37"/>
      <c r="BC135" s="37"/>
      <c r="BD135" s="37"/>
      <c r="BE135" s="37"/>
      <c r="BF135" s="37"/>
      <c r="BG135" s="37"/>
      <c r="BH135" s="37"/>
      <c r="BI135" s="37"/>
      <c r="BJ135" s="37"/>
      <c r="BK135" s="37"/>
      <c r="BL135" s="37"/>
      <c r="BM135" s="37"/>
      <c r="BN135" s="37"/>
      <c r="BO135" s="37"/>
      <c r="BP135" s="37"/>
      <c r="BQ135" s="37"/>
      <c r="BR135" s="37"/>
      <c r="BS135" s="37"/>
    </row>
    <row r="136" spans="1:71" ht="15" x14ac:dyDescent="0.25">
      <c r="A136" s="37"/>
      <c r="B136" s="37"/>
      <c r="C136" s="37"/>
      <c r="D136" s="37"/>
      <c r="E136" s="37"/>
      <c r="F136" s="37"/>
      <c r="G136" s="37"/>
      <c r="H136" s="37"/>
      <c r="I136" s="37"/>
      <c r="J136" s="37"/>
      <c r="K136" s="37"/>
      <c r="L136" s="37"/>
      <c r="M136" s="37"/>
      <c r="N136" s="37"/>
      <c r="O136" s="37"/>
      <c r="P136" s="37"/>
      <c r="Q136" s="37"/>
      <c r="R136" s="37"/>
      <c r="S136" s="37"/>
      <c r="T136" s="37"/>
      <c r="U136" s="37"/>
      <c r="V136" s="37"/>
      <c r="W136" s="37"/>
      <c r="X136" s="37"/>
      <c r="Y136" s="37"/>
      <c r="Z136" s="37"/>
      <c r="AA136" s="37"/>
      <c r="AB136" s="37"/>
      <c r="AC136" s="37"/>
      <c r="AD136" s="37"/>
      <c r="AE136" s="37"/>
      <c r="AF136" s="37"/>
      <c r="AG136" s="37"/>
      <c r="AH136" s="36"/>
      <c r="AI136" s="37"/>
      <c r="AJ136" s="37"/>
      <c r="AK136" s="37"/>
      <c r="AL136" s="37"/>
      <c r="AM136" s="37"/>
      <c r="AN136" s="71"/>
      <c r="AO136" s="71"/>
      <c r="AP136" s="71"/>
      <c r="AQ136" s="71"/>
      <c r="AR136" s="71"/>
      <c r="AS136" s="71"/>
      <c r="AT136" s="71"/>
      <c r="AU136" s="71"/>
      <c r="AV136" s="71"/>
      <c r="AW136" s="37"/>
      <c r="AX136" s="37"/>
      <c r="AY136" s="37"/>
      <c r="AZ136" s="37"/>
      <c r="BA136" s="37"/>
      <c r="BB136" s="37"/>
      <c r="BC136" s="37"/>
      <c r="BD136" s="37"/>
      <c r="BE136" s="37"/>
      <c r="BF136" s="37"/>
      <c r="BG136" s="37"/>
      <c r="BH136" s="37"/>
      <c r="BI136" s="37"/>
      <c r="BJ136" s="37"/>
      <c r="BK136" s="37"/>
      <c r="BL136" s="37"/>
      <c r="BM136" s="37"/>
      <c r="BN136" s="37"/>
      <c r="BO136" s="37"/>
      <c r="BP136" s="37"/>
      <c r="BQ136" s="37"/>
      <c r="BR136" s="37"/>
      <c r="BS136" s="37"/>
    </row>
    <row r="137" spans="1:71" ht="15" x14ac:dyDescent="0.25">
      <c r="A137" s="37"/>
      <c r="B137" s="37"/>
      <c r="C137" s="37"/>
      <c r="D137" s="37"/>
      <c r="E137" s="37"/>
      <c r="F137" s="37"/>
      <c r="G137" s="37"/>
      <c r="H137" s="37"/>
      <c r="I137" s="37"/>
      <c r="J137" s="37"/>
      <c r="K137" s="37"/>
      <c r="L137" s="37"/>
      <c r="M137" s="37"/>
      <c r="N137" s="37"/>
      <c r="O137" s="37"/>
      <c r="P137" s="37"/>
      <c r="Q137" s="37"/>
      <c r="R137" s="37"/>
      <c r="S137" s="37"/>
      <c r="T137" s="37"/>
      <c r="U137" s="37"/>
      <c r="V137" s="37"/>
      <c r="W137" s="37"/>
      <c r="X137" s="37"/>
      <c r="Y137" s="37"/>
      <c r="Z137" s="37"/>
      <c r="AA137" s="37"/>
      <c r="AB137" s="37"/>
      <c r="AC137" s="37"/>
      <c r="AD137" s="37"/>
      <c r="AE137" s="37"/>
      <c r="AF137" s="37"/>
      <c r="AG137" s="37"/>
      <c r="AH137" s="36"/>
      <c r="AI137" s="37"/>
      <c r="AJ137" s="37"/>
      <c r="AK137" s="37"/>
      <c r="AL137" s="37"/>
      <c r="AM137" s="37"/>
      <c r="AN137" s="71"/>
      <c r="AO137" s="71"/>
      <c r="AP137" s="71"/>
      <c r="AQ137" s="71"/>
      <c r="AR137" s="71"/>
      <c r="AS137" s="71"/>
      <c r="AT137" s="71"/>
      <c r="AU137" s="36"/>
      <c r="AV137" s="36"/>
      <c r="AW137" s="37"/>
      <c r="AX137" s="37"/>
      <c r="AY137" s="37"/>
      <c r="AZ137" s="37"/>
      <c r="BA137" s="37"/>
      <c r="BB137" s="37"/>
      <c r="BC137" s="37"/>
      <c r="BD137" s="37"/>
      <c r="BE137" s="37"/>
      <c r="BF137" s="37"/>
      <c r="BG137" s="37"/>
      <c r="BH137" s="37"/>
      <c r="BI137" s="37"/>
      <c r="BJ137" s="37"/>
      <c r="BK137" s="37"/>
      <c r="BL137" s="37"/>
      <c r="BM137" s="37"/>
      <c r="BN137" s="37"/>
      <c r="BO137" s="37"/>
      <c r="BP137" s="37"/>
      <c r="BQ137" s="37"/>
      <c r="BR137" s="37"/>
      <c r="BS137" s="37"/>
    </row>
    <row r="138" spans="1:71" ht="15" x14ac:dyDescent="0.25">
      <c r="A138" s="37"/>
      <c r="B138" s="37"/>
      <c r="C138" s="37"/>
      <c r="D138" s="37"/>
      <c r="E138" s="37"/>
      <c r="F138" s="37"/>
      <c r="G138" s="37"/>
      <c r="H138" s="37"/>
      <c r="I138" s="37"/>
      <c r="J138" s="37"/>
      <c r="K138" s="37"/>
      <c r="L138" s="37"/>
      <c r="M138" s="37"/>
      <c r="N138" s="37"/>
      <c r="O138" s="37"/>
      <c r="P138" s="37"/>
      <c r="Q138" s="37"/>
      <c r="R138" s="37"/>
      <c r="S138" s="37"/>
      <c r="T138" s="37"/>
      <c r="U138" s="37"/>
      <c r="V138" s="37"/>
      <c r="W138" s="37"/>
      <c r="X138" s="37"/>
      <c r="Y138" s="37"/>
      <c r="Z138" s="37"/>
      <c r="AA138" s="37"/>
      <c r="AB138" s="37"/>
      <c r="AC138" s="37"/>
      <c r="AD138" s="37"/>
      <c r="AE138" s="37"/>
      <c r="AF138" s="37"/>
      <c r="AG138" s="37"/>
      <c r="AH138" s="36"/>
      <c r="AI138" s="37"/>
      <c r="AJ138" s="37"/>
      <c r="AK138" s="37"/>
      <c r="AL138" s="37"/>
      <c r="AM138" s="37"/>
      <c r="AN138" s="71"/>
      <c r="AO138" s="71"/>
      <c r="AP138" s="71"/>
      <c r="AQ138" s="71"/>
      <c r="AR138" s="71"/>
      <c r="AS138" s="71"/>
      <c r="AT138" s="71"/>
      <c r="AU138" s="36"/>
      <c r="AV138" s="36"/>
      <c r="AW138" s="37"/>
      <c r="AX138" s="37"/>
      <c r="AY138" s="37"/>
      <c r="AZ138" s="37"/>
      <c r="BA138" s="37"/>
      <c r="BB138" s="37"/>
      <c r="BC138" s="37"/>
      <c r="BD138" s="37"/>
      <c r="BE138" s="37"/>
      <c r="BF138" s="37"/>
      <c r="BG138" s="37"/>
      <c r="BH138" s="37"/>
      <c r="BI138" s="37"/>
      <c r="BJ138" s="37"/>
      <c r="BK138" s="37"/>
      <c r="BL138" s="37"/>
      <c r="BM138" s="37"/>
      <c r="BN138" s="37"/>
      <c r="BO138" s="37"/>
      <c r="BP138" s="37"/>
      <c r="BQ138" s="37"/>
      <c r="BR138" s="37"/>
      <c r="BS138" s="37"/>
    </row>
    <row r="139" spans="1:71" ht="15" x14ac:dyDescent="0.25">
      <c r="A139" s="37"/>
      <c r="B139" s="37"/>
      <c r="C139" s="37"/>
      <c r="D139" s="37"/>
      <c r="E139" s="37"/>
      <c r="F139" s="37"/>
      <c r="G139" s="37"/>
      <c r="H139" s="37"/>
      <c r="I139" s="37"/>
      <c r="J139" s="37"/>
      <c r="K139" s="37"/>
      <c r="L139" s="37"/>
      <c r="M139" s="37"/>
      <c r="N139" s="37"/>
      <c r="O139" s="37"/>
      <c r="P139" s="37"/>
      <c r="Q139" s="37"/>
      <c r="R139" s="37"/>
      <c r="S139" s="37"/>
      <c r="T139" s="37"/>
      <c r="U139" s="37"/>
      <c r="V139" s="37"/>
      <c r="W139" s="37"/>
      <c r="X139" s="37"/>
      <c r="Y139" s="37"/>
      <c r="Z139" s="37"/>
      <c r="AA139" s="37"/>
      <c r="AB139" s="37"/>
      <c r="AC139" s="37"/>
      <c r="AD139" s="37"/>
      <c r="AE139" s="37"/>
      <c r="AF139" s="37"/>
      <c r="AG139" s="37"/>
      <c r="AH139" s="37"/>
      <c r="AI139" s="37"/>
      <c r="AJ139" s="37"/>
      <c r="AK139" s="37"/>
      <c r="AL139" s="37"/>
      <c r="AM139" s="37"/>
      <c r="AN139" s="36"/>
      <c r="AO139" s="36"/>
      <c r="AP139" s="36"/>
      <c r="AQ139" s="36"/>
      <c r="AR139" s="36"/>
      <c r="AS139" s="36"/>
      <c r="AT139" s="36"/>
      <c r="AU139" s="36"/>
      <c r="AV139" s="36"/>
      <c r="AW139" s="37"/>
      <c r="AX139" s="37"/>
      <c r="AY139" s="37"/>
      <c r="AZ139" s="37"/>
      <c r="BA139" s="37"/>
      <c r="BB139" s="37"/>
      <c r="BC139" s="37"/>
      <c r="BD139" s="37"/>
      <c r="BE139" s="37"/>
      <c r="BF139" s="37"/>
      <c r="BG139" s="37"/>
      <c r="BH139" s="37"/>
      <c r="BI139" s="37"/>
      <c r="BJ139" s="37"/>
      <c r="BK139" s="37"/>
      <c r="BL139" s="37"/>
      <c r="BM139" s="37"/>
      <c r="BN139" s="37"/>
      <c r="BO139" s="37"/>
      <c r="BP139" s="37"/>
      <c r="BQ139" s="37"/>
      <c r="BR139" s="37"/>
      <c r="BS139" s="37"/>
    </row>
    <row r="140" spans="1:71" ht="15" x14ac:dyDescent="0.25">
      <c r="A140" s="37"/>
      <c r="B140" s="37"/>
      <c r="C140" s="37"/>
      <c r="D140" s="37"/>
      <c r="E140" s="37"/>
      <c r="F140" s="46" t="s">
        <v>417</v>
      </c>
      <c r="G140" s="46"/>
      <c r="H140" s="46"/>
      <c r="I140" s="46"/>
      <c r="J140" s="46"/>
      <c r="K140" s="46"/>
      <c r="L140" s="46"/>
      <c r="M140" s="46"/>
      <c r="N140" s="46"/>
      <c r="O140" s="192"/>
      <c r="P140" s="192"/>
      <c r="Q140" s="192"/>
      <c r="R140" s="192"/>
      <c r="S140" s="192"/>
      <c r="T140" s="192"/>
      <c r="U140" s="192"/>
      <c r="V140" s="192"/>
      <c r="W140" s="192"/>
      <c r="X140" s="192"/>
      <c r="Y140" s="192"/>
      <c r="Z140" s="192"/>
      <c r="AA140" s="192"/>
      <c r="AB140" s="192"/>
      <c r="AC140" s="192"/>
      <c r="AD140" s="192"/>
      <c r="AE140" s="192"/>
      <c r="AF140" s="37"/>
      <c r="AG140" s="37"/>
      <c r="AH140" s="37"/>
      <c r="AI140" s="37"/>
      <c r="AJ140" s="37"/>
      <c r="AK140" s="37"/>
      <c r="AL140" s="37"/>
      <c r="AM140" s="37"/>
      <c r="AN140" s="37"/>
      <c r="AO140" s="37"/>
      <c r="AP140" s="37"/>
      <c r="AQ140" s="37"/>
      <c r="AR140" s="37"/>
      <c r="AS140" s="37"/>
      <c r="AT140" s="37"/>
      <c r="AU140" s="37"/>
      <c r="AV140" s="37"/>
      <c r="AW140" s="37"/>
      <c r="AX140" s="37"/>
      <c r="AY140" s="37"/>
      <c r="AZ140" s="37"/>
      <c r="BA140" s="37"/>
      <c r="BB140" s="37"/>
      <c r="BC140" s="37"/>
      <c r="BD140" s="37"/>
      <c r="BE140" s="37"/>
      <c r="BF140" s="37"/>
      <c r="BG140" s="37"/>
      <c r="BH140" s="37"/>
      <c r="BI140" s="37"/>
      <c r="BJ140" s="37"/>
      <c r="BK140" s="37"/>
      <c r="BL140" s="37"/>
      <c r="BM140" s="37"/>
      <c r="BN140" s="37"/>
      <c r="BO140" s="37"/>
      <c r="BP140" s="37"/>
      <c r="BQ140" s="37"/>
      <c r="BR140" s="37"/>
      <c r="BS140" s="37"/>
    </row>
    <row r="141" spans="1:71" ht="15" x14ac:dyDescent="0.25">
      <c r="A141" s="37"/>
      <c r="B141" s="37"/>
      <c r="C141" s="37"/>
      <c r="D141" s="37"/>
      <c r="E141" s="37"/>
      <c r="F141" s="37"/>
      <c r="G141" s="37"/>
      <c r="H141" s="37"/>
      <c r="I141" s="37"/>
      <c r="J141" s="37"/>
      <c r="K141" s="37"/>
      <c r="L141" s="37"/>
      <c r="M141" s="37"/>
      <c r="N141" s="37"/>
      <c r="O141" s="37"/>
      <c r="P141" s="37"/>
      <c r="Q141" s="37"/>
      <c r="R141" s="37"/>
      <c r="S141" s="37"/>
      <c r="T141" s="37"/>
      <c r="U141" s="37"/>
      <c r="V141" s="37"/>
      <c r="W141" s="37"/>
      <c r="X141" s="37"/>
      <c r="Y141" s="37"/>
      <c r="Z141" s="37"/>
      <c r="AA141" s="37"/>
      <c r="AB141" s="37"/>
      <c r="AC141" s="37"/>
      <c r="AD141" s="37"/>
      <c r="AE141" s="37"/>
      <c r="AF141" s="37"/>
      <c r="AG141" s="37"/>
      <c r="AH141" s="37"/>
      <c r="AI141" s="37"/>
      <c r="AJ141" s="37"/>
      <c r="AK141" s="37"/>
      <c r="AL141" s="37"/>
      <c r="AM141" s="37"/>
      <c r="AN141" s="37"/>
      <c r="AO141" s="37"/>
      <c r="AP141" s="37"/>
      <c r="AQ141" s="37"/>
      <c r="AR141" s="37"/>
      <c r="AS141" s="37"/>
      <c r="AT141" s="37"/>
      <c r="AU141" s="37"/>
      <c r="AV141" s="37"/>
      <c r="AW141" s="37"/>
      <c r="AX141" s="37"/>
      <c r="AY141" s="37"/>
      <c r="AZ141" s="37"/>
      <c r="BA141" s="37"/>
      <c r="BB141" s="37"/>
      <c r="BC141" s="37"/>
      <c r="BD141" s="37"/>
      <c r="BE141" s="37"/>
      <c r="BF141" s="37"/>
      <c r="BG141" s="37"/>
      <c r="BH141" s="37"/>
      <c r="BI141" s="37"/>
      <c r="BJ141" s="37"/>
      <c r="BK141" s="37"/>
      <c r="BL141" s="37"/>
      <c r="BM141" s="37"/>
      <c r="BN141" s="37"/>
      <c r="BO141" s="37"/>
      <c r="BP141" s="37"/>
      <c r="BQ141" s="37"/>
      <c r="BR141" s="37"/>
      <c r="BS141" s="37"/>
    </row>
    <row r="142" spans="1:71" ht="15" x14ac:dyDescent="0.25">
      <c r="A142" s="37"/>
      <c r="B142" s="37"/>
      <c r="C142" s="37"/>
      <c r="D142" s="37"/>
      <c r="E142" s="37"/>
      <c r="F142" s="36" t="s">
        <v>173</v>
      </c>
      <c r="G142" s="36"/>
      <c r="H142" s="36"/>
      <c r="I142" s="36"/>
      <c r="J142" s="36"/>
      <c r="K142" s="36"/>
      <c r="L142" s="36"/>
      <c r="M142" s="36"/>
      <c r="N142" s="36"/>
      <c r="O142" s="36"/>
      <c r="P142" s="36"/>
      <c r="Q142" s="36"/>
      <c r="R142" s="36"/>
      <c r="S142" s="36"/>
      <c r="T142" s="36"/>
      <c r="U142" s="36"/>
      <c r="V142" s="36"/>
      <c r="W142" s="36"/>
      <c r="X142" s="36"/>
      <c r="Y142" s="36"/>
      <c r="Z142" s="36"/>
      <c r="AA142" s="36"/>
      <c r="AB142" s="36"/>
      <c r="AC142" s="36"/>
      <c r="AD142" s="36"/>
      <c r="AE142" s="36"/>
      <c r="AF142" s="36"/>
      <c r="AG142" s="36"/>
      <c r="AH142" s="36" t="s">
        <v>418</v>
      </c>
      <c r="AI142" s="36"/>
      <c r="AJ142" s="36"/>
      <c r="AK142" s="36"/>
      <c r="AL142" s="36"/>
      <c r="AM142" s="36"/>
      <c r="AN142" s="37"/>
      <c r="AO142" s="37"/>
      <c r="AP142" s="37"/>
      <c r="AQ142" s="37"/>
      <c r="AR142" s="37"/>
      <c r="AS142" s="37"/>
      <c r="AT142" s="37"/>
      <c r="AU142" s="37"/>
      <c r="AV142" s="37"/>
      <c r="AW142" s="37"/>
      <c r="AX142" s="37"/>
      <c r="AY142" s="37"/>
      <c r="AZ142" s="37"/>
      <c r="BA142" s="37"/>
      <c r="BB142" s="37"/>
      <c r="BC142" s="37"/>
      <c r="BD142" s="37"/>
      <c r="BE142" s="37"/>
      <c r="BF142" s="37"/>
      <c r="BG142" s="37"/>
      <c r="BH142" s="37"/>
      <c r="BI142" s="37"/>
      <c r="BJ142" s="37"/>
      <c r="BK142" s="37"/>
      <c r="BL142" s="37"/>
      <c r="BM142" s="37"/>
      <c r="BN142" s="37"/>
      <c r="BO142" s="37"/>
      <c r="BP142" s="37"/>
      <c r="BQ142" s="37"/>
      <c r="BR142" s="37"/>
      <c r="BS142" s="37"/>
    </row>
    <row r="143" spans="1:71" ht="15" x14ac:dyDescent="0.25">
      <c r="A143" s="37"/>
      <c r="B143" s="37"/>
      <c r="C143" s="37"/>
      <c r="D143" s="37"/>
      <c r="E143" s="37"/>
      <c r="F143" s="36" t="s">
        <v>42</v>
      </c>
      <c r="G143" s="36"/>
      <c r="H143" s="36"/>
      <c r="I143" s="36"/>
      <c r="J143" s="36"/>
      <c r="K143" s="36"/>
      <c r="L143" s="36"/>
      <c r="M143" s="36"/>
      <c r="N143" s="36"/>
      <c r="O143" s="36"/>
      <c r="P143" s="36"/>
      <c r="Q143" s="36"/>
      <c r="R143" s="36"/>
      <c r="S143" s="36"/>
      <c r="T143" s="36"/>
      <c r="U143" s="36"/>
      <c r="V143" s="36"/>
      <c r="W143" s="36"/>
      <c r="X143" s="36"/>
      <c r="Y143" s="36"/>
      <c r="Z143" s="36"/>
      <c r="AA143" s="36"/>
      <c r="AB143" s="36"/>
      <c r="AC143" s="36"/>
      <c r="AD143" s="36"/>
      <c r="AE143" s="36"/>
      <c r="AF143" s="36"/>
      <c r="AG143" s="36"/>
      <c r="AH143" s="36" t="s">
        <v>728</v>
      </c>
      <c r="AI143" s="36"/>
      <c r="AJ143" s="36"/>
      <c r="AK143" s="36"/>
      <c r="AL143" s="36"/>
      <c r="AM143" s="36"/>
      <c r="AN143" s="37"/>
      <c r="AO143" s="37"/>
      <c r="AP143" s="37"/>
      <c r="AQ143" s="37"/>
      <c r="AR143" s="37"/>
      <c r="AS143" s="37"/>
      <c r="AT143" s="37"/>
      <c r="AU143" s="71"/>
      <c r="AV143" s="37"/>
      <c r="AW143" s="37"/>
      <c r="AX143" s="37"/>
      <c r="AY143" s="37"/>
      <c r="AZ143" s="37"/>
      <c r="BA143" s="37"/>
      <c r="BB143" s="37"/>
      <c r="BC143" s="37"/>
      <c r="BD143" s="37"/>
      <c r="BE143" s="37"/>
      <c r="BF143" s="37"/>
      <c r="BG143" s="37"/>
      <c r="BH143" s="37"/>
      <c r="BI143" s="37"/>
      <c r="BJ143" s="37"/>
      <c r="BK143" s="37"/>
      <c r="BL143" s="37"/>
      <c r="BM143" s="37"/>
      <c r="BN143" s="37"/>
      <c r="BO143" s="37"/>
      <c r="BP143" s="37"/>
      <c r="BQ143" s="37"/>
      <c r="BR143" s="37"/>
      <c r="BS143" s="37"/>
    </row>
    <row r="144" spans="1:71" ht="15" x14ac:dyDescent="0.25">
      <c r="A144" s="37"/>
      <c r="B144" s="37"/>
      <c r="C144" s="37"/>
      <c r="D144" s="37"/>
      <c r="E144" s="37"/>
      <c r="F144" s="36"/>
      <c r="G144" s="37"/>
      <c r="H144" s="37"/>
      <c r="I144" s="37"/>
      <c r="J144" s="37"/>
      <c r="K144" s="37"/>
      <c r="L144" s="37"/>
      <c r="M144" s="37"/>
      <c r="N144" s="37"/>
      <c r="O144" s="37"/>
      <c r="P144" s="37"/>
      <c r="Q144" s="37"/>
      <c r="R144" s="37"/>
      <c r="S144" s="37"/>
      <c r="T144" s="37"/>
      <c r="U144" s="37"/>
      <c r="V144" s="37"/>
      <c r="W144" s="37"/>
      <c r="X144" s="37"/>
      <c r="Y144" s="37"/>
      <c r="Z144" s="37"/>
      <c r="AA144" s="37"/>
      <c r="AB144" s="37"/>
      <c r="AC144" s="37"/>
      <c r="AD144" s="37"/>
      <c r="AE144" s="37"/>
      <c r="AF144" s="37"/>
      <c r="AG144" s="37"/>
      <c r="AH144" s="71"/>
      <c r="AI144" s="37"/>
      <c r="AJ144" s="37"/>
      <c r="AK144" s="37"/>
      <c r="AL144" s="37"/>
      <c r="AM144" s="37"/>
      <c r="AN144" s="71"/>
      <c r="AO144" s="71"/>
      <c r="AP144" s="71"/>
      <c r="AQ144" s="71"/>
      <c r="AR144" s="71"/>
      <c r="AS144" s="71"/>
      <c r="AT144" s="71"/>
      <c r="AU144" s="71"/>
      <c r="AV144" s="37"/>
      <c r="AW144" s="37"/>
      <c r="AX144" s="37"/>
      <c r="AY144" s="37"/>
      <c r="AZ144" s="37"/>
      <c r="BA144" s="37"/>
      <c r="BB144" s="37"/>
      <c r="BC144" s="37"/>
      <c r="BD144" s="37"/>
      <c r="BE144" s="37"/>
      <c r="BF144" s="37"/>
      <c r="BG144" s="37"/>
      <c r="BH144" s="37"/>
      <c r="BI144" s="37"/>
      <c r="BJ144" s="37"/>
      <c r="BK144" s="37"/>
      <c r="BL144" s="37"/>
      <c r="BM144" s="37"/>
      <c r="BN144" s="37"/>
      <c r="BO144" s="37"/>
      <c r="BP144" s="37"/>
      <c r="BQ144" s="37"/>
      <c r="BR144" s="37"/>
      <c r="BS144" s="37"/>
    </row>
    <row r="145" spans="1:71" ht="15" x14ac:dyDescent="0.25">
      <c r="A145" s="37"/>
      <c r="B145" s="37"/>
      <c r="C145" s="37"/>
      <c r="D145" s="37"/>
      <c r="E145" s="37"/>
      <c r="F145" s="36"/>
      <c r="G145" s="37"/>
      <c r="H145" s="37"/>
      <c r="I145" s="37"/>
      <c r="J145" s="37"/>
      <c r="K145" s="37"/>
      <c r="L145" s="37"/>
      <c r="M145" s="37"/>
      <c r="N145" s="37"/>
      <c r="O145" s="37"/>
      <c r="P145" s="37"/>
      <c r="Q145" s="37"/>
      <c r="R145" s="37"/>
      <c r="S145" s="37"/>
      <c r="T145" s="37"/>
      <c r="U145" s="37"/>
      <c r="V145" s="37"/>
      <c r="W145" s="37"/>
      <c r="X145" s="37"/>
      <c r="Y145" s="37"/>
      <c r="Z145" s="37"/>
      <c r="AA145" s="37"/>
      <c r="AB145" s="37"/>
      <c r="AC145" s="37"/>
      <c r="AD145" s="37"/>
      <c r="AE145" s="37"/>
      <c r="AF145" s="37"/>
      <c r="AG145" s="37"/>
      <c r="AH145" s="37"/>
      <c r="AI145" s="37"/>
      <c r="AJ145" s="37"/>
      <c r="AK145" s="37"/>
      <c r="AL145" s="37"/>
      <c r="AM145" s="37"/>
      <c r="AN145" s="37"/>
      <c r="AO145" s="37"/>
      <c r="AP145" s="37"/>
      <c r="AQ145" s="37"/>
      <c r="AR145" s="37"/>
      <c r="AS145" s="37"/>
      <c r="AT145" s="37"/>
      <c r="AU145" s="37"/>
      <c r="AV145" s="37"/>
      <c r="AW145" s="37"/>
      <c r="AX145" s="37"/>
      <c r="AY145" s="37"/>
      <c r="AZ145" s="37"/>
      <c r="BA145" s="37"/>
      <c r="BB145" s="37"/>
      <c r="BC145" s="37"/>
      <c r="BD145" s="37"/>
      <c r="BE145" s="37"/>
      <c r="BF145" s="37"/>
      <c r="BG145" s="37"/>
      <c r="BH145" s="37"/>
      <c r="BI145" s="37"/>
      <c r="BJ145" s="37"/>
      <c r="BK145" s="37"/>
      <c r="BL145" s="37"/>
      <c r="BM145" s="37"/>
      <c r="BN145" s="37"/>
      <c r="BO145" s="37"/>
      <c r="BP145" s="37"/>
      <c r="BQ145" s="37"/>
      <c r="BR145" s="37"/>
      <c r="BS145" s="37"/>
    </row>
    <row r="146" spans="1:71" ht="15" x14ac:dyDescent="0.25">
      <c r="A146" s="37"/>
      <c r="B146" s="37"/>
      <c r="C146" s="37"/>
      <c r="D146" s="37"/>
      <c r="E146" s="37"/>
      <c r="F146" s="46" t="s">
        <v>419</v>
      </c>
      <c r="G146" s="46"/>
      <c r="H146" s="46"/>
      <c r="I146" s="46"/>
      <c r="J146" s="46"/>
      <c r="K146" s="46"/>
      <c r="L146" s="46"/>
      <c r="M146" s="46"/>
      <c r="N146" s="46"/>
      <c r="O146" s="192"/>
      <c r="P146" s="192"/>
      <c r="Q146" s="192"/>
      <c r="R146" s="192"/>
      <c r="S146" s="192"/>
      <c r="T146" s="192"/>
      <c r="U146" s="192"/>
      <c r="V146" s="192"/>
      <c r="W146" s="192"/>
      <c r="X146" s="192"/>
      <c r="Y146" s="192"/>
      <c r="Z146" s="192"/>
      <c r="AA146" s="192"/>
      <c r="AB146" s="192"/>
      <c r="AC146" s="192"/>
      <c r="AD146" s="192"/>
      <c r="AE146" s="192"/>
      <c r="AF146" s="37"/>
      <c r="AG146" s="37"/>
      <c r="AH146" s="37"/>
      <c r="AI146" s="37"/>
      <c r="AJ146" s="37"/>
      <c r="AK146" s="37"/>
      <c r="AL146" s="37"/>
      <c r="AM146" s="37"/>
      <c r="AN146" s="37"/>
      <c r="AO146" s="37"/>
      <c r="AP146" s="37"/>
      <c r="AQ146" s="37"/>
      <c r="AR146" s="37"/>
      <c r="AS146" s="37"/>
      <c r="AT146" s="37"/>
      <c r="AU146" s="37"/>
      <c r="AV146" s="37"/>
      <c r="AW146" s="37"/>
      <c r="AX146" s="37"/>
      <c r="AY146" s="37"/>
      <c r="AZ146" s="37"/>
      <c r="BA146" s="37"/>
      <c r="BB146" s="37"/>
      <c r="BC146" s="37"/>
      <c r="BD146" s="37"/>
      <c r="BE146" s="37"/>
      <c r="BF146" s="37"/>
      <c r="BG146" s="37"/>
      <c r="BH146" s="37"/>
      <c r="BI146" s="37"/>
      <c r="BJ146" s="37"/>
      <c r="BK146" s="37"/>
      <c r="BL146" s="37"/>
      <c r="BM146" s="37"/>
      <c r="BN146" s="37"/>
      <c r="BO146" s="37"/>
      <c r="BP146" s="37"/>
      <c r="BQ146" s="37"/>
      <c r="BR146" s="37"/>
      <c r="BS146" s="37"/>
    </row>
    <row r="147" spans="1:71" ht="15" x14ac:dyDescent="0.25">
      <c r="A147" s="37"/>
      <c r="B147" s="37"/>
      <c r="C147" s="37"/>
      <c r="D147" s="37"/>
      <c r="E147" s="37"/>
      <c r="F147" s="37"/>
      <c r="G147" s="37"/>
      <c r="H147" s="37"/>
      <c r="I147" s="37"/>
      <c r="J147" s="37"/>
      <c r="K147" s="37"/>
      <c r="L147" s="37"/>
      <c r="M147" s="37"/>
      <c r="N147" s="37"/>
      <c r="O147" s="37"/>
      <c r="P147" s="37"/>
      <c r="Q147" s="37"/>
      <c r="R147" s="37"/>
      <c r="S147" s="37"/>
      <c r="T147" s="37"/>
      <c r="U147" s="37"/>
      <c r="V147" s="37"/>
      <c r="W147" s="37"/>
      <c r="X147" s="37"/>
      <c r="Y147" s="37"/>
      <c r="Z147" s="37"/>
      <c r="AA147" s="37"/>
      <c r="AB147" s="37"/>
      <c r="AC147" s="37"/>
      <c r="AD147" s="37"/>
      <c r="AE147" s="37"/>
      <c r="AF147" s="37"/>
      <c r="AG147" s="37"/>
      <c r="AH147" s="37"/>
      <c r="AI147" s="37"/>
      <c r="AJ147" s="37"/>
      <c r="AK147" s="37"/>
      <c r="AL147" s="37"/>
      <c r="AM147" s="37"/>
      <c r="AN147" s="37"/>
      <c r="AO147" s="37"/>
      <c r="AP147" s="37"/>
      <c r="AQ147" s="37"/>
      <c r="AR147" s="37"/>
      <c r="AS147" s="37"/>
      <c r="AT147" s="37"/>
      <c r="AU147" s="37"/>
      <c r="AV147" s="37"/>
      <c r="AW147" s="37"/>
      <c r="AX147" s="37"/>
      <c r="AY147" s="37"/>
      <c r="AZ147" s="37"/>
      <c r="BA147" s="37"/>
      <c r="BB147" s="37"/>
      <c r="BC147" s="37"/>
      <c r="BD147" s="37"/>
      <c r="BE147" s="37"/>
      <c r="BF147" s="37"/>
      <c r="BG147" s="37"/>
      <c r="BH147" s="37"/>
      <c r="BI147" s="37"/>
      <c r="BJ147" s="37"/>
      <c r="BK147" s="37"/>
      <c r="BL147" s="37"/>
      <c r="BM147" s="37"/>
      <c r="BN147" s="37"/>
      <c r="BO147" s="37"/>
      <c r="BP147" s="37"/>
      <c r="BQ147" s="37"/>
      <c r="BR147" s="37"/>
      <c r="BS147" s="37"/>
    </row>
    <row r="148" spans="1:71" ht="15" x14ac:dyDescent="0.25">
      <c r="A148" s="37"/>
      <c r="B148" s="37"/>
      <c r="C148" s="37"/>
      <c r="D148" s="37"/>
      <c r="E148" s="37"/>
      <c r="F148" s="36" t="s">
        <v>169</v>
      </c>
      <c r="G148" s="36"/>
      <c r="H148" s="36"/>
      <c r="I148" s="36"/>
      <c r="J148" s="36"/>
      <c r="K148" s="36"/>
      <c r="L148" s="36"/>
      <c r="M148" s="36"/>
      <c r="N148" s="36"/>
      <c r="O148" s="36"/>
      <c r="P148" s="36"/>
      <c r="Q148" s="36"/>
      <c r="R148" s="36"/>
      <c r="S148" s="36"/>
      <c r="T148" s="36"/>
      <c r="U148" s="36"/>
      <c r="V148" s="36"/>
      <c r="W148" s="36"/>
      <c r="X148" s="36"/>
      <c r="Y148" s="36"/>
      <c r="Z148" s="36"/>
      <c r="AA148" s="36"/>
      <c r="AB148" s="36"/>
      <c r="AC148" s="36"/>
      <c r="AD148" s="36"/>
      <c r="AE148" s="36"/>
      <c r="AF148" s="36"/>
      <c r="AG148" s="36"/>
      <c r="AH148" s="36" t="s">
        <v>420</v>
      </c>
      <c r="AI148" s="36"/>
      <c r="AJ148" s="36"/>
      <c r="AK148" s="36"/>
      <c r="AL148" s="36"/>
      <c r="AM148" s="36"/>
      <c r="AN148" s="36"/>
      <c r="AO148" s="37"/>
      <c r="AP148" s="37"/>
      <c r="AQ148" s="37"/>
      <c r="AR148" s="37"/>
      <c r="AS148" s="37"/>
      <c r="AT148" s="37"/>
      <c r="AU148" s="37"/>
      <c r="AV148" s="37"/>
      <c r="AW148" s="37"/>
      <c r="AX148" s="37"/>
      <c r="AY148" s="37"/>
      <c r="AZ148" s="37"/>
      <c r="BA148" s="37"/>
      <c r="BB148" s="37"/>
      <c r="BC148" s="37"/>
      <c r="BD148" s="37"/>
      <c r="BE148" s="37"/>
      <c r="BF148" s="37"/>
      <c r="BG148" s="37"/>
      <c r="BH148" s="37"/>
      <c r="BI148" s="37"/>
      <c r="BJ148" s="37"/>
      <c r="BK148" s="37"/>
      <c r="BL148" s="37"/>
      <c r="BM148" s="37"/>
      <c r="BN148" s="37"/>
      <c r="BO148" s="37"/>
      <c r="BP148" s="37"/>
      <c r="BQ148" s="37"/>
      <c r="BR148" s="37"/>
      <c r="BS148" s="37"/>
    </row>
    <row r="149" spans="1:71" ht="15" x14ac:dyDescent="0.25">
      <c r="A149" s="37"/>
      <c r="B149" s="37"/>
      <c r="C149" s="37"/>
      <c r="D149" s="37"/>
      <c r="E149" s="37"/>
      <c r="F149" s="36" t="s">
        <v>42</v>
      </c>
      <c r="G149" s="36"/>
      <c r="H149" s="36"/>
      <c r="I149" s="36"/>
      <c r="J149" s="36"/>
      <c r="K149" s="36"/>
      <c r="L149" s="36"/>
      <c r="M149" s="36"/>
      <c r="N149" s="36"/>
      <c r="O149" s="36"/>
      <c r="P149" s="36"/>
      <c r="Q149" s="36"/>
      <c r="R149" s="36"/>
      <c r="S149" s="36"/>
      <c r="T149" s="36"/>
      <c r="U149" s="36"/>
      <c r="V149" s="36"/>
      <c r="W149" s="36"/>
      <c r="X149" s="36"/>
      <c r="Y149" s="36"/>
      <c r="Z149" s="36"/>
      <c r="AA149" s="36"/>
      <c r="AB149" s="36"/>
      <c r="AC149" s="36"/>
      <c r="AD149" s="36"/>
      <c r="AE149" s="36"/>
      <c r="AF149" s="36"/>
      <c r="AG149" s="36"/>
      <c r="AH149" s="36" t="s">
        <v>421</v>
      </c>
      <c r="AI149" s="36"/>
      <c r="AJ149" s="36"/>
      <c r="AK149" s="36"/>
      <c r="AL149" s="36"/>
      <c r="AM149" s="36"/>
      <c r="AN149" s="36"/>
      <c r="AO149" s="37"/>
      <c r="AP149" s="37"/>
      <c r="AQ149" s="37"/>
      <c r="AR149" s="37"/>
      <c r="AS149" s="37"/>
      <c r="AT149" s="37"/>
      <c r="AU149" s="37"/>
      <c r="AV149" s="37"/>
      <c r="AW149" s="37"/>
      <c r="AX149" s="37"/>
      <c r="AY149" s="37"/>
      <c r="AZ149" s="37"/>
      <c r="BA149" s="37"/>
      <c r="BB149" s="37"/>
      <c r="BC149" s="37"/>
      <c r="BD149" s="37"/>
      <c r="BE149" s="37"/>
      <c r="BF149" s="37"/>
      <c r="BG149" s="37"/>
      <c r="BH149" s="37"/>
      <c r="BI149" s="37"/>
      <c r="BJ149" s="37"/>
      <c r="BK149" s="37"/>
      <c r="BL149" s="37"/>
      <c r="BM149" s="37"/>
      <c r="BN149" s="37"/>
      <c r="BO149" s="37"/>
      <c r="BP149" s="37"/>
      <c r="BQ149" s="37"/>
      <c r="BR149" s="37"/>
      <c r="BS149" s="37"/>
    </row>
    <row r="150" spans="1:71" ht="15" x14ac:dyDescent="0.25">
      <c r="A150" s="37"/>
      <c r="B150" s="37"/>
      <c r="C150" s="37"/>
      <c r="D150" s="37"/>
      <c r="E150" s="37"/>
      <c r="F150" s="37"/>
      <c r="G150" s="37"/>
      <c r="H150" s="37"/>
      <c r="I150" s="37"/>
      <c r="J150" s="37"/>
      <c r="K150" s="37"/>
      <c r="L150" s="37"/>
      <c r="M150" s="37"/>
      <c r="N150" s="37"/>
      <c r="O150" s="37"/>
      <c r="P150" s="37"/>
      <c r="Q150" s="37"/>
      <c r="R150" s="37"/>
      <c r="S150" s="37"/>
      <c r="T150" s="37"/>
      <c r="U150" s="37"/>
      <c r="V150" s="37"/>
      <c r="W150" s="37"/>
      <c r="X150" s="37"/>
      <c r="Y150" s="37"/>
      <c r="Z150" s="37"/>
      <c r="AA150" s="37"/>
      <c r="AB150" s="37"/>
      <c r="AC150" s="37"/>
      <c r="AD150" s="37"/>
      <c r="AE150" s="37"/>
      <c r="AF150" s="37"/>
      <c r="AG150" s="37"/>
      <c r="AH150" s="37"/>
      <c r="AI150" s="37"/>
      <c r="AJ150" s="37"/>
      <c r="AK150" s="37"/>
      <c r="AL150" s="37"/>
      <c r="AM150" s="37"/>
      <c r="AN150" s="37"/>
      <c r="AO150" s="37"/>
      <c r="AP150" s="37"/>
      <c r="AQ150" s="37"/>
      <c r="AR150" s="37"/>
      <c r="AS150" s="37"/>
      <c r="AT150" s="37"/>
      <c r="AU150" s="37"/>
      <c r="AV150" s="37"/>
      <c r="AW150" s="37"/>
      <c r="AX150" s="37"/>
      <c r="AY150" s="37"/>
      <c r="AZ150" s="37"/>
      <c r="BA150" s="37"/>
      <c r="BB150" s="37"/>
      <c r="BC150" s="37"/>
      <c r="BD150" s="37"/>
      <c r="BE150" s="37"/>
      <c r="BF150" s="37"/>
      <c r="BG150" s="37"/>
      <c r="BH150" s="37"/>
      <c r="BI150" s="37"/>
      <c r="BJ150" s="37"/>
      <c r="BK150" s="37"/>
      <c r="BL150" s="37"/>
      <c r="BM150" s="37"/>
      <c r="BN150" s="37"/>
      <c r="BO150" s="37"/>
      <c r="BP150" s="37"/>
      <c r="BQ150" s="37"/>
      <c r="BR150" s="37"/>
      <c r="BS150" s="37"/>
    </row>
    <row r="151" spans="1:71" ht="15" x14ac:dyDescent="0.25">
      <c r="A151" s="37"/>
      <c r="B151" s="37"/>
      <c r="C151" s="37"/>
      <c r="D151" s="37"/>
      <c r="E151" s="37"/>
      <c r="F151" s="37"/>
      <c r="G151" s="37"/>
      <c r="H151" s="37"/>
      <c r="I151" s="37"/>
      <c r="J151" s="37"/>
      <c r="K151" s="37"/>
      <c r="L151" s="37"/>
      <c r="M151" s="37"/>
      <c r="N151" s="37"/>
      <c r="O151" s="37"/>
      <c r="P151" s="37"/>
      <c r="Q151" s="37"/>
      <c r="R151" s="37"/>
      <c r="S151" s="37"/>
      <c r="T151" s="37"/>
      <c r="U151" s="37"/>
      <c r="V151" s="37"/>
      <c r="W151" s="37"/>
      <c r="X151" s="37"/>
      <c r="Y151" s="37"/>
      <c r="Z151" s="37"/>
      <c r="AA151" s="37"/>
      <c r="AB151" s="37"/>
      <c r="AC151" s="37"/>
      <c r="AD151" s="37"/>
      <c r="AE151" s="37"/>
      <c r="AF151" s="37"/>
      <c r="AG151" s="37"/>
      <c r="AH151" s="37"/>
      <c r="AI151" s="37"/>
      <c r="AJ151" s="37"/>
      <c r="AK151" s="37"/>
      <c r="AL151" s="37"/>
      <c r="AM151" s="37"/>
      <c r="AN151" s="37"/>
      <c r="AO151" s="37"/>
      <c r="AP151" s="37"/>
      <c r="AQ151" s="37"/>
      <c r="AR151" s="37"/>
      <c r="AS151" s="37"/>
      <c r="AT151" s="37"/>
      <c r="AU151" s="37"/>
      <c r="AV151" s="37"/>
      <c r="AW151" s="37"/>
      <c r="AX151" s="37"/>
      <c r="AY151" s="37"/>
      <c r="AZ151" s="37"/>
      <c r="BA151" s="37"/>
      <c r="BB151" s="37"/>
      <c r="BC151" s="37"/>
      <c r="BD151" s="37"/>
      <c r="BE151" s="37"/>
      <c r="BF151" s="37"/>
      <c r="BG151" s="37"/>
      <c r="BH151" s="37"/>
      <c r="BI151" s="37"/>
      <c r="BJ151" s="37"/>
      <c r="BK151" s="37"/>
      <c r="BL151" s="37"/>
      <c r="BM151" s="37"/>
      <c r="BN151" s="37"/>
      <c r="BO151" s="37"/>
      <c r="BP151" s="37"/>
      <c r="BQ151" s="37"/>
      <c r="BR151" s="37"/>
      <c r="BS151" s="37"/>
    </row>
    <row r="152" spans="1:71" ht="15" x14ac:dyDescent="0.25">
      <c r="A152" s="37"/>
      <c r="B152" s="37"/>
      <c r="C152" s="37"/>
      <c r="D152" s="37"/>
      <c r="E152" s="37"/>
      <c r="F152" s="46" t="s">
        <v>422</v>
      </c>
      <c r="G152" s="46"/>
      <c r="H152" s="46"/>
      <c r="I152" s="46"/>
      <c r="J152" s="46"/>
      <c r="K152" s="46"/>
      <c r="L152" s="46"/>
      <c r="M152" s="46"/>
      <c r="N152" s="46"/>
      <c r="O152" s="192"/>
      <c r="P152" s="192"/>
      <c r="Q152" s="192"/>
      <c r="R152" s="192"/>
      <c r="S152" s="192"/>
      <c r="T152" s="192"/>
      <c r="U152" s="192"/>
      <c r="V152" s="192"/>
      <c r="W152" s="192"/>
      <c r="X152" s="192"/>
      <c r="Y152" s="192"/>
      <c r="Z152" s="192"/>
      <c r="AA152" s="192"/>
      <c r="AB152" s="192"/>
      <c r="AC152" s="192"/>
      <c r="AD152" s="192"/>
      <c r="AE152" s="192"/>
      <c r="AF152" s="37"/>
      <c r="AG152" s="37"/>
      <c r="AH152" s="37"/>
      <c r="AI152" s="37"/>
      <c r="AJ152" s="37"/>
      <c r="AK152" s="37"/>
      <c r="AL152" s="37"/>
      <c r="AM152" s="37"/>
      <c r="AN152" s="37"/>
      <c r="AO152" s="37"/>
      <c r="AP152" s="37"/>
      <c r="AQ152" s="37"/>
      <c r="AR152" s="37"/>
      <c r="AS152" s="37"/>
      <c r="AT152" s="37"/>
      <c r="AU152" s="37"/>
      <c r="AV152" s="37"/>
      <c r="AW152" s="37"/>
      <c r="AX152" s="37"/>
      <c r="AY152" s="37"/>
      <c r="AZ152" s="37"/>
      <c r="BA152" s="37"/>
      <c r="BB152" s="37"/>
      <c r="BC152" s="37"/>
      <c r="BD152" s="37"/>
      <c r="BE152" s="37"/>
      <c r="BF152" s="37"/>
      <c r="BG152" s="37"/>
      <c r="BH152" s="37"/>
      <c r="BI152" s="37"/>
      <c r="BJ152" s="37"/>
      <c r="BK152" s="37"/>
      <c r="BL152" s="37"/>
      <c r="BM152" s="37"/>
      <c r="BN152" s="37"/>
      <c r="BO152" s="37"/>
      <c r="BP152" s="37"/>
      <c r="BQ152" s="37"/>
      <c r="BR152" s="37"/>
      <c r="BS152" s="37"/>
    </row>
    <row r="153" spans="1:71" ht="15" x14ac:dyDescent="0.25">
      <c r="A153" s="37"/>
      <c r="B153" s="37"/>
      <c r="C153" s="37"/>
      <c r="D153" s="37"/>
      <c r="E153" s="37"/>
      <c r="F153" s="37"/>
      <c r="G153" s="37"/>
      <c r="H153" s="37"/>
      <c r="I153" s="37"/>
      <c r="J153" s="37"/>
      <c r="K153" s="37"/>
      <c r="L153" s="37"/>
      <c r="M153" s="37"/>
      <c r="N153" s="37"/>
      <c r="O153" s="37"/>
      <c r="P153" s="37"/>
      <c r="Q153" s="37"/>
      <c r="R153" s="37"/>
      <c r="S153" s="37"/>
      <c r="T153" s="37"/>
      <c r="U153" s="37"/>
      <c r="V153" s="37"/>
      <c r="W153" s="37"/>
      <c r="X153" s="37"/>
      <c r="Y153" s="37"/>
      <c r="Z153" s="37"/>
      <c r="AA153" s="37"/>
      <c r="AB153" s="37"/>
      <c r="AC153" s="37"/>
      <c r="AD153" s="37"/>
      <c r="AE153" s="37"/>
      <c r="AF153" s="37"/>
      <c r="AG153" s="37"/>
      <c r="AH153" s="37"/>
      <c r="AI153" s="37"/>
      <c r="AJ153" s="37"/>
      <c r="AK153" s="37"/>
      <c r="AL153" s="37"/>
      <c r="AM153" s="37"/>
      <c r="AN153" s="37"/>
      <c r="AO153" s="37"/>
      <c r="AP153" s="37"/>
      <c r="AQ153" s="37"/>
      <c r="AR153" s="37"/>
      <c r="AS153" s="37"/>
      <c r="AT153" s="37"/>
      <c r="AU153" s="37"/>
      <c r="AV153" s="37"/>
      <c r="AW153" s="37"/>
      <c r="AX153" s="37"/>
      <c r="AY153" s="37"/>
      <c r="AZ153" s="37"/>
      <c r="BA153" s="37"/>
      <c r="BB153" s="37"/>
      <c r="BC153" s="37"/>
      <c r="BD153" s="37"/>
      <c r="BE153" s="37"/>
      <c r="BF153" s="37"/>
      <c r="BG153" s="37"/>
      <c r="BH153" s="37"/>
      <c r="BI153" s="37"/>
      <c r="BJ153" s="37"/>
      <c r="BK153" s="37"/>
      <c r="BL153" s="37"/>
      <c r="BM153" s="37"/>
      <c r="BN153" s="37"/>
      <c r="BO153" s="37"/>
      <c r="BP153" s="37"/>
      <c r="BQ153" s="37"/>
      <c r="BR153" s="37"/>
      <c r="BS153" s="37"/>
    </row>
    <row r="154" spans="1:71" ht="15" x14ac:dyDescent="0.25">
      <c r="A154" s="37"/>
      <c r="B154" s="37"/>
      <c r="C154" s="37"/>
      <c r="D154" s="37"/>
      <c r="E154" s="37"/>
      <c r="F154" s="36" t="s">
        <v>176</v>
      </c>
      <c r="G154" s="36"/>
      <c r="H154" s="36"/>
      <c r="I154" s="36"/>
      <c r="J154" s="36"/>
      <c r="K154" s="36"/>
      <c r="L154" s="36"/>
      <c r="M154" s="36"/>
      <c r="N154" s="36"/>
      <c r="O154" s="36"/>
      <c r="P154" s="36"/>
      <c r="Q154" s="36"/>
      <c r="R154" s="36"/>
      <c r="S154" s="36"/>
      <c r="T154" s="36"/>
      <c r="U154" s="36"/>
      <c r="V154" s="36"/>
      <c r="W154" s="36"/>
      <c r="X154" s="36"/>
      <c r="Y154" s="36"/>
      <c r="Z154" s="36"/>
      <c r="AA154" s="36"/>
      <c r="AB154" s="36"/>
      <c r="AC154" s="36"/>
      <c r="AD154" s="36"/>
      <c r="AE154" s="36"/>
      <c r="AF154" s="36"/>
      <c r="AG154" s="36"/>
      <c r="AH154" s="36" t="s">
        <v>423</v>
      </c>
      <c r="AI154" s="36"/>
      <c r="AJ154" s="36"/>
      <c r="AK154" s="36"/>
      <c r="AL154" s="36"/>
      <c r="AM154" s="36"/>
      <c r="AN154" s="37"/>
      <c r="AO154" s="37"/>
      <c r="AP154" s="37"/>
      <c r="AQ154" s="37"/>
      <c r="AR154" s="37"/>
      <c r="AS154" s="36"/>
      <c r="AT154" s="36"/>
      <c r="AU154" s="37"/>
      <c r="AV154" s="37"/>
      <c r="AW154" s="37"/>
      <c r="AX154" s="37"/>
      <c r="AY154" s="37"/>
      <c r="AZ154" s="37"/>
      <c r="BA154" s="37"/>
      <c r="BB154" s="37"/>
      <c r="BC154" s="37"/>
      <c r="BD154" s="37"/>
      <c r="BE154" s="37"/>
      <c r="BF154" s="37"/>
      <c r="BG154" s="37"/>
      <c r="BH154" s="37"/>
      <c r="BI154" s="37"/>
      <c r="BJ154" s="37"/>
      <c r="BK154" s="37"/>
      <c r="BL154" s="37"/>
      <c r="BM154" s="37"/>
      <c r="BN154" s="37"/>
      <c r="BO154" s="37"/>
      <c r="BP154" s="37"/>
      <c r="BQ154" s="37"/>
      <c r="BR154" s="37"/>
      <c r="BS154" s="37"/>
    </row>
    <row r="155" spans="1:71" ht="15" x14ac:dyDescent="0.25">
      <c r="A155" s="37"/>
      <c r="B155" s="37"/>
      <c r="C155" s="37"/>
      <c r="D155" s="37"/>
      <c r="E155" s="37"/>
      <c r="F155" s="37" t="s">
        <v>42</v>
      </c>
      <c r="G155" s="37"/>
      <c r="H155" s="37"/>
      <c r="I155" s="37"/>
      <c r="J155" s="37"/>
      <c r="K155" s="37"/>
      <c r="L155" s="37"/>
      <c r="M155" s="37"/>
      <c r="N155" s="37"/>
      <c r="O155" s="37"/>
      <c r="P155" s="37"/>
      <c r="Q155" s="37"/>
      <c r="R155" s="37"/>
      <c r="S155" s="37"/>
      <c r="T155" s="37"/>
      <c r="U155" s="37"/>
      <c r="V155" s="37"/>
      <c r="W155" s="37"/>
      <c r="X155" s="37"/>
      <c r="Y155" s="37"/>
      <c r="Z155" s="37"/>
      <c r="AA155" s="37"/>
      <c r="AB155" s="37"/>
      <c r="AC155" s="37"/>
      <c r="AD155" s="37"/>
      <c r="AE155" s="37"/>
      <c r="AF155" s="37"/>
      <c r="AG155" s="37"/>
      <c r="AH155" s="37" t="s">
        <v>714</v>
      </c>
      <c r="AI155" s="37"/>
      <c r="AJ155" s="37"/>
      <c r="AK155" s="37"/>
      <c r="AL155" s="37"/>
      <c r="AM155" s="37"/>
      <c r="AN155" s="36"/>
      <c r="AO155" s="36"/>
      <c r="AP155" s="36"/>
      <c r="AQ155" s="36"/>
      <c r="AR155" s="36"/>
      <c r="AS155" s="36"/>
      <c r="AT155" s="36"/>
      <c r="AU155" s="37"/>
      <c r="AV155" s="37"/>
      <c r="AW155" s="37"/>
      <c r="AX155" s="37"/>
      <c r="AY155" s="37"/>
      <c r="AZ155" s="37"/>
      <c r="BA155" s="37"/>
      <c r="BB155" s="37"/>
      <c r="BC155" s="37"/>
      <c r="BD155" s="37"/>
      <c r="BE155" s="37"/>
      <c r="BF155" s="37"/>
      <c r="BG155" s="37"/>
      <c r="BH155" s="37"/>
      <c r="BI155" s="37"/>
      <c r="BJ155" s="37"/>
      <c r="BK155" s="37"/>
      <c r="BL155" s="37"/>
      <c r="BM155" s="37"/>
      <c r="BN155" s="37"/>
      <c r="BO155" s="37"/>
      <c r="BP155" s="37"/>
      <c r="BQ155" s="37"/>
      <c r="BR155" s="37"/>
      <c r="BS155" s="37"/>
    </row>
    <row r="156" spans="1:71" ht="15" x14ac:dyDescent="0.25">
      <c r="A156" s="37"/>
      <c r="B156" s="37"/>
      <c r="C156" s="37"/>
      <c r="D156" s="37"/>
      <c r="E156" s="37"/>
      <c r="F156" s="37"/>
      <c r="G156" s="37"/>
      <c r="H156" s="37"/>
      <c r="I156" s="37"/>
      <c r="J156" s="37"/>
      <c r="K156" s="37"/>
      <c r="L156" s="37"/>
      <c r="M156" s="37"/>
      <c r="N156" s="37"/>
      <c r="O156" s="37"/>
      <c r="P156" s="37"/>
      <c r="Q156" s="37"/>
      <c r="R156" s="37"/>
      <c r="S156" s="37"/>
      <c r="T156" s="37"/>
      <c r="U156" s="37"/>
      <c r="V156" s="37"/>
      <c r="W156" s="37"/>
      <c r="X156" s="37"/>
      <c r="Y156" s="37"/>
      <c r="Z156" s="37"/>
      <c r="AA156" s="37"/>
      <c r="AB156" s="37"/>
      <c r="AC156" s="37"/>
      <c r="AD156" s="37"/>
      <c r="AE156" s="37"/>
      <c r="AF156" s="37"/>
      <c r="AG156" s="37"/>
      <c r="AH156" s="37"/>
      <c r="AI156" s="37"/>
      <c r="AJ156" s="37"/>
      <c r="AK156" s="37"/>
      <c r="AL156" s="37"/>
      <c r="AM156" s="37"/>
      <c r="AN156" s="37"/>
      <c r="AO156" s="37"/>
      <c r="AP156" s="37"/>
      <c r="AQ156" s="37"/>
      <c r="AR156" s="37"/>
      <c r="AS156" s="37"/>
      <c r="AT156" s="37"/>
      <c r="AU156" s="37"/>
      <c r="AV156" s="37"/>
      <c r="AW156" s="37"/>
      <c r="AX156" s="37"/>
      <c r="AY156" s="37"/>
      <c r="AZ156" s="37"/>
      <c r="BA156" s="37"/>
      <c r="BB156" s="37"/>
      <c r="BC156" s="37"/>
      <c r="BD156" s="37"/>
      <c r="BE156" s="37"/>
      <c r="BF156" s="37"/>
      <c r="BG156" s="37"/>
      <c r="BH156" s="37"/>
      <c r="BI156" s="37"/>
      <c r="BJ156" s="37"/>
      <c r="BK156" s="37"/>
      <c r="BL156" s="37"/>
      <c r="BM156" s="37"/>
      <c r="BN156" s="37"/>
      <c r="BO156" s="37"/>
      <c r="BP156" s="37"/>
      <c r="BQ156" s="37"/>
      <c r="BR156" s="37"/>
      <c r="BS156" s="37"/>
    </row>
    <row r="157" spans="1:71" ht="15" x14ac:dyDescent="0.25">
      <c r="A157" s="37"/>
      <c r="B157" s="37"/>
      <c r="C157" s="37"/>
      <c r="D157" s="37"/>
      <c r="E157" s="37"/>
      <c r="F157" s="37"/>
      <c r="G157" s="37"/>
      <c r="H157" s="37"/>
      <c r="I157" s="37"/>
      <c r="J157" s="37"/>
      <c r="K157" s="37"/>
      <c r="L157" s="37"/>
      <c r="M157" s="37"/>
      <c r="N157" s="37"/>
      <c r="O157" s="37"/>
      <c r="P157" s="37"/>
      <c r="Q157" s="37"/>
      <c r="R157" s="37"/>
      <c r="S157" s="37"/>
      <c r="T157" s="37"/>
      <c r="U157" s="37"/>
      <c r="V157" s="37"/>
      <c r="W157" s="37"/>
      <c r="X157" s="37"/>
      <c r="Y157" s="37"/>
      <c r="Z157" s="37"/>
      <c r="AA157" s="37"/>
      <c r="AB157" s="37"/>
      <c r="AC157" s="37"/>
      <c r="AD157" s="37"/>
      <c r="AE157" s="37"/>
      <c r="AF157" s="37"/>
      <c r="AG157" s="37"/>
      <c r="AH157" s="37"/>
      <c r="AI157" s="37"/>
      <c r="AJ157" s="37"/>
      <c r="AK157" s="37"/>
      <c r="AL157" s="37"/>
      <c r="AM157" s="37"/>
      <c r="AN157" s="37"/>
      <c r="AO157" s="36"/>
      <c r="AP157" s="36"/>
      <c r="AQ157" s="36"/>
      <c r="AR157" s="36"/>
      <c r="AS157" s="36"/>
      <c r="AT157" s="36"/>
      <c r="AU157" s="37"/>
      <c r="AV157" s="37"/>
      <c r="AW157" s="37"/>
      <c r="AX157" s="37"/>
      <c r="AY157" s="37"/>
      <c r="AZ157" s="37"/>
      <c r="BA157" s="37"/>
      <c r="BB157" s="37"/>
      <c r="BC157" s="37"/>
      <c r="BD157" s="37"/>
      <c r="BE157" s="37"/>
      <c r="BF157" s="37"/>
      <c r="BG157" s="37"/>
      <c r="BH157" s="37"/>
      <c r="BI157" s="37"/>
      <c r="BJ157" s="37"/>
      <c r="BK157" s="37"/>
      <c r="BL157" s="37"/>
      <c r="BM157" s="37"/>
      <c r="BN157" s="37"/>
      <c r="BO157" s="37"/>
      <c r="BP157" s="37"/>
      <c r="BQ157" s="37"/>
      <c r="BR157" s="37"/>
      <c r="BS157" s="37"/>
    </row>
    <row r="158" spans="1:71" ht="15" x14ac:dyDescent="0.25">
      <c r="A158" s="37"/>
      <c r="B158" s="37"/>
      <c r="C158" s="37"/>
      <c r="D158" s="37"/>
      <c r="E158" s="37"/>
      <c r="F158" s="46" t="s">
        <v>424</v>
      </c>
      <c r="G158" s="46"/>
      <c r="H158" s="46"/>
      <c r="I158" s="46"/>
      <c r="J158" s="46"/>
      <c r="K158" s="46"/>
      <c r="L158" s="46"/>
      <c r="M158" s="46"/>
      <c r="N158" s="46"/>
      <c r="O158" s="192"/>
      <c r="P158" s="192"/>
      <c r="Q158" s="192"/>
      <c r="R158" s="192"/>
      <c r="S158" s="192"/>
      <c r="T158" s="192"/>
      <c r="U158" s="192"/>
      <c r="V158" s="192"/>
      <c r="W158" s="192"/>
      <c r="X158" s="192"/>
      <c r="Y158" s="192"/>
      <c r="Z158" s="192"/>
      <c r="AA158" s="192"/>
      <c r="AB158" s="192"/>
      <c r="AC158" s="192"/>
      <c r="AD158" s="192"/>
      <c r="AE158" s="192"/>
      <c r="AF158" s="37"/>
      <c r="AG158" s="37"/>
      <c r="AH158" s="37"/>
      <c r="AI158" s="37"/>
      <c r="AJ158" s="37"/>
      <c r="AK158" s="37"/>
      <c r="AL158" s="37"/>
      <c r="AM158" s="37"/>
      <c r="AN158" s="37"/>
      <c r="AO158" s="37"/>
      <c r="AP158" s="37"/>
      <c r="AQ158" s="37"/>
      <c r="AR158" s="37"/>
      <c r="AS158" s="37"/>
      <c r="AT158" s="37"/>
      <c r="AU158" s="37"/>
      <c r="AV158" s="37"/>
      <c r="AW158" s="37"/>
      <c r="AX158" s="37"/>
      <c r="AY158" s="37"/>
      <c r="AZ158" s="37"/>
      <c r="BA158" s="37"/>
      <c r="BB158" s="37"/>
      <c r="BC158" s="37"/>
      <c r="BD158" s="37"/>
      <c r="BE158" s="37"/>
      <c r="BF158" s="37"/>
      <c r="BG158" s="37"/>
      <c r="BH158" s="37"/>
      <c r="BI158" s="37"/>
      <c r="BJ158" s="37"/>
      <c r="BK158" s="37"/>
      <c r="BL158" s="37"/>
      <c r="BM158" s="37"/>
      <c r="BN158" s="37"/>
      <c r="BO158" s="37"/>
      <c r="BP158" s="37"/>
      <c r="BQ158" s="37"/>
      <c r="BR158" s="37"/>
      <c r="BS158" s="37"/>
    </row>
    <row r="159" spans="1:71" ht="15" x14ac:dyDescent="0.25">
      <c r="A159" s="37"/>
      <c r="B159" s="37"/>
      <c r="C159" s="37"/>
      <c r="D159" s="37"/>
      <c r="E159" s="37"/>
      <c r="F159" s="37"/>
      <c r="G159" s="37"/>
      <c r="H159" s="37"/>
      <c r="I159" s="37"/>
      <c r="J159" s="37"/>
      <c r="K159" s="37"/>
      <c r="L159" s="37"/>
      <c r="M159" s="37"/>
      <c r="N159" s="37"/>
      <c r="O159" s="37"/>
      <c r="P159" s="37"/>
      <c r="Q159" s="37"/>
      <c r="R159" s="37"/>
      <c r="S159" s="37"/>
      <c r="T159" s="37"/>
      <c r="U159" s="37"/>
      <c r="V159" s="37"/>
      <c r="W159" s="37"/>
      <c r="X159" s="37"/>
      <c r="Y159" s="37"/>
      <c r="Z159" s="37"/>
      <c r="AA159" s="37"/>
      <c r="AB159" s="37"/>
      <c r="AC159" s="37"/>
      <c r="AD159" s="37"/>
      <c r="AE159" s="37"/>
      <c r="AF159" s="37"/>
      <c r="AG159" s="37"/>
      <c r="AH159" s="37"/>
      <c r="AI159" s="37"/>
      <c r="AJ159" s="37"/>
      <c r="AK159" s="37"/>
      <c r="AL159" s="37"/>
      <c r="AM159" s="37"/>
      <c r="AN159" s="37"/>
      <c r="AO159" s="37"/>
      <c r="AP159" s="37"/>
      <c r="AQ159" s="37"/>
      <c r="AR159" s="37"/>
      <c r="AS159" s="37"/>
      <c r="AT159" s="37"/>
      <c r="AU159" s="37"/>
      <c r="AV159" s="37"/>
      <c r="AW159" s="37"/>
      <c r="AX159" s="37"/>
      <c r="AY159" s="37"/>
      <c r="AZ159" s="37"/>
      <c r="BA159" s="37"/>
      <c r="BB159" s="37"/>
      <c r="BC159" s="37"/>
      <c r="BD159" s="37"/>
      <c r="BE159" s="37"/>
      <c r="BF159" s="37"/>
      <c r="BG159" s="37"/>
      <c r="BH159" s="37"/>
      <c r="BI159" s="37"/>
      <c r="BJ159" s="37"/>
      <c r="BK159" s="37"/>
      <c r="BL159" s="37"/>
      <c r="BM159" s="37"/>
      <c r="BN159" s="37"/>
      <c r="BO159" s="37"/>
      <c r="BP159" s="37"/>
      <c r="BQ159" s="37"/>
      <c r="BR159" s="37"/>
      <c r="BS159" s="37"/>
    </row>
    <row r="160" spans="1:71" s="71" customFormat="1" ht="15" x14ac:dyDescent="0.25">
      <c r="F160" s="36" t="s">
        <v>178</v>
      </c>
      <c r="G160" s="36"/>
      <c r="H160" s="36"/>
      <c r="I160" s="36"/>
      <c r="J160" s="36"/>
      <c r="K160" s="36"/>
      <c r="L160" s="36"/>
      <c r="M160" s="36"/>
      <c r="N160" s="36"/>
      <c r="O160" s="36"/>
      <c r="P160" s="36"/>
      <c r="Q160" s="36"/>
      <c r="R160" s="36"/>
      <c r="S160" s="36"/>
      <c r="T160" s="36"/>
      <c r="U160" s="36"/>
      <c r="V160" s="36"/>
      <c r="W160" s="36"/>
      <c r="X160" s="36"/>
      <c r="Y160" s="36"/>
      <c r="Z160" s="36"/>
      <c r="AA160" s="36"/>
      <c r="AB160" s="36"/>
      <c r="AC160" s="36"/>
      <c r="AD160" s="36"/>
      <c r="AE160" s="36"/>
      <c r="AF160" s="36"/>
      <c r="AG160" s="36"/>
      <c r="AH160" s="36" t="s">
        <v>425</v>
      </c>
      <c r="AI160" s="36"/>
      <c r="AJ160" s="36"/>
      <c r="AK160" s="36"/>
      <c r="AL160" s="36"/>
      <c r="AM160" s="36"/>
      <c r="AN160" s="36"/>
      <c r="AO160" s="36"/>
      <c r="AP160" s="36"/>
      <c r="AQ160" s="36"/>
      <c r="AR160" s="36"/>
      <c r="AS160" s="36"/>
      <c r="AT160" s="36"/>
      <c r="AU160" s="36"/>
      <c r="AV160" s="36"/>
      <c r="AW160" s="36"/>
      <c r="AX160" s="36"/>
      <c r="AY160" s="36"/>
    </row>
    <row r="161" spans="1:71" s="71" customFormat="1" ht="15" x14ac:dyDescent="0.25">
      <c r="F161" s="36" t="s">
        <v>42</v>
      </c>
      <c r="G161" s="36"/>
      <c r="H161" s="36"/>
      <c r="I161" s="36"/>
      <c r="J161" s="36"/>
      <c r="K161" s="36"/>
      <c r="L161" s="36"/>
      <c r="M161" s="36"/>
      <c r="N161" s="36"/>
      <c r="O161" s="36"/>
      <c r="P161" s="36"/>
      <c r="Q161" s="36"/>
      <c r="R161" s="36"/>
      <c r="S161" s="36"/>
      <c r="T161" s="36"/>
      <c r="U161" s="36"/>
      <c r="V161" s="36"/>
      <c r="W161" s="36"/>
      <c r="X161" s="36"/>
      <c r="Y161" s="36"/>
      <c r="Z161" s="36"/>
      <c r="AA161" s="36"/>
      <c r="AB161" s="36"/>
      <c r="AC161" s="36"/>
      <c r="AD161" s="36"/>
      <c r="AE161" s="36"/>
      <c r="AF161" s="36"/>
      <c r="AG161" s="36"/>
      <c r="AH161" s="36" t="s">
        <v>426</v>
      </c>
      <c r="AI161" s="36"/>
      <c r="AJ161" s="36"/>
      <c r="AK161" s="36"/>
      <c r="AL161" s="36"/>
      <c r="AM161" s="36"/>
      <c r="AN161" s="36"/>
      <c r="AO161" s="36"/>
      <c r="AP161" s="36"/>
      <c r="AQ161" s="36"/>
      <c r="AR161" s="36"/>
      <c r="AS161" s="36"/>
      <c r="AT161" s="36"/>
      <c r="AU161" s="36"/>
      <c r="AV161" s="36"/>
      <c r="AW161" s="36"/>
      <c r="AX161" s="36"/>
      <c r="AY161" s="36"/>
    </row>
    <row r="162" spans="1:71" s="71" customFormat="1" ht="15" x14ac:dyDescent="0.25">
      <c r="F162" s="36"/>
      <c r="G162" s="36"/>
      <c r="H162" s="36"/>
      <c r="I162" s="36"/>
      <c r="J162" s="36"/>
      <c r="K162" s="36"/>
      <c r="L162" s="36"/>
      <c r="M162" s="36"/>
      <c r="N162" s="36"/>
      <c r="O162" s="36"/>
      <c r="P162" s="36"/>
      <c r="Q162" s="36"/>
      <c r="R162" s="36"/>
      <c r="S162" s="36"/>
      <c r="T162" s="36"/>
      <c r="U162" s="36"/>
      <c r="V162" s="36"/>
      <c r="W162" s="36"/>
      <c r="X162" s="36"/>
      <c r="Y162" s="36"/>
      <c r="Z162" s="36"/>
      <c r="AA162" s="36"/>
      <c r="AB162" s="36"/>
      <c r="AC162" s="36"/>
      <c r="AD162" s="36"/>
      <c r="AE162" s="36"/>
      <c r="AF162" s="36"/>
      <c r="AG162" s="36"/>
      <c r="AH162" s="36"/>
      <c r="AI162" s="36"/>
      <c r="AJ162" s="36"/>
      <c r="AK162" s="36"/>
      <c r="AL162" s="36"/>
      <c r="AM162" s="36"/>
      <c r="AN162" s="36"/>
      <c r="AO162" s="36"/>
      <c r="AP162" s="36"/>
      <c r="AQ162" s="36"/>
      <c r="AR162" s="36"/>
      <c r="AS162" s="36"/>
      <c r="AT162" s="36"/>
      <c r="AU162" s="36"/>
      <c r="AV162" s="36"/>
      <c r="AW162" s="36"/>
      <c r="AX162" s="36"/>
      <c r="AY162" s="36"/>
    </row>
    <row r="163" spans="1:71" s="71" customFormat="1" ht="15" x14ac:dyDescent="0.25">
      <c r="F163" s="36"/>
      <c r="G163" s="36"/>
      <c r="H163" s="36"/>
      <c r="I163" s="36"/>
      <c r="J163" s="36"/>
      <c r="K163" s="36"/>
      <c r="L163" s="36"/>
      <c r="M163" s="36"/>
      <c r="N163" s="36"/>
      <c r="O163" s="36"/>
      <c r="P163" s="36"/>
      <c r="Q163" s="36"/>
      <c r="R163" s="36"/>
      <c r="S163" s="36"/>
      <c r="T163" s="36"/>
      <c r="U163" s="36"/>
      <c r="V163" s="36"/>
      <c r="W163" s="36"/>
      <c r="X163" s="36"/>
      <c r="Y163" s="36"/>
      <c r="Z163" s="36"/>
      <c r="AA163" s="36"/>
      <c r="AB163" s="36"/>
      <c r="AC163" s="36"/>
      <c r="AD163" s="36"/>
      <c r="AE163" s="36"/>
      <c r="AF163" s="36"/>
      <c r="AG163" s="36"/>
      <c r="AH163" s="36"/>
      <c r="AI163" s="36"/>
      <c r="AJ163" s="36"/>
      <c r="AK163" s="36"/>
      <c r="AL163" s="36"/>
      <c r="AM163" s="36"/>
      <c r="AN163" s="36"/>
      <c r="AO163" s="36"/>
      <c r="AP163" s="36"/>
      <c r="AQ163" s="36"/>
      <c r="AR163" s="36"/>
      <c r="AS163" s="36"/>
      <c r="AT163" s="36"/>
      <c r="AU163" s="36"/>
      <c r="AV163" s="36"/>
      <c r="AW163" s="36"/>
      <c r="AX163" s="36"/>
      <c r="AY163" s="36"/>
    </row>
    <row r="164" spans="1:71" ht="15" x14ac:dyDescent="0.25">
      <c r="A164" s="37"/>
      <c r="B164" s="37"/>
      <c r="C164" s="37"/>
      <c r="D164" s="37"/>
      <c r="E164" s="37"/>
      <c r="F164" s="46" t="s">
        <v>427</v>
      </c>
      <c r="G164" s="46"/>
      <c r="H164" s="46"/>
      <c r="I164" s="46"/>
      <c r="J164" s="46"/>
      <c r="K164" s="46"/>
      <c r="L164" s="46"/>
      <c r="M164" s="46"/>
      <c r="N164" s="46"/>
      <c r="O164" s="192"/>
      <c r="P164" s="192"/>
      <c r="Q164" s="192"/>
      <c r="R164" s="192"/>
      <c r="S164" s="192"/>
      <c r="T164" s="192"/>
      <c r="U164" s="192"/>
      <c r="V164" s="192"/>
      <c r="W164" s="192"/>
      <c r="X164" s="192"/>
      <c r="Y164" s="192"/>
      <c r="Z164" s="192"/>
      <c r="AA164" s="192"/>
      <c r="AB164" s="192"/>
      <c r="AC164" s="192"/>
      <c r="AD164" s="192"/>
      <c r="AE164" s="192"/>
      <c r="AF164" s="37"/>
      <c r="AG164" s="37"/>
      <c r="AH164" s="37"/>
      <c r="AI164" s="37"/>
      <c r="AJ164" s="37"/>
      <c r="AK164" s="37"/>
      <c r="AL164" s="37"/>
      <c r="AM164" s="37"/>
      <c r="AN164" s="37"/>
      <c r="AO164" s="37"/>
      <c r="AP164" s="37"/>
      <c r="AQ164" s="37"/>
      <c r="AR164" s="37"/>
      <c r="AS164" s="37"/>
      <c r="AT164" s="37"/>
      <c r="AU164" s="37"/>
      <c r="AV164" s="37"/>
      <c r="AW164" s="37"/>
      <c r="AX164" s="37"/>
      <c r="AY164" s="37"/>
      <c r="AZ164" s="37"/>
      <c r="BA164" s="37"/>
      <c r="BB164" s="37"/>
      <c r="BC164" s="37"/>
      <c r="BD164" s="37"/>
      <c r="BE164" s="37"/>
      <c r="BF164" s="37"/>
      <c r="BG164" s="37"/>
      <c r="BH164" s="37"/>
      <c r="BI164" s="37"/>
      <c r="BJ164" s="37"/>
      <c r="BK164" s="37"/>
      <c r="BL164" s="37"/>
      <c r="BM164" s="37"/>
      <c r="BN164" s="37"/>
      <c r="BO164" s="37"/>
      <c r="BP164" s="37"/>
      <c r="BQ164" s="37"/>
      <c r="BR164" s="37"/>
      <c r="BS164" s="37"/>
    </row>
    <row r="165" spans="1:71" ht="15" x14ac:dyDescent="0.25">
      <c r="A165" s="37"/>
      <c r="B165" s="37"/>
      <c r="C165" s="37"/>
      <c r="D165" s="37"/>
      <c r="E165" s="37"/>
      <c r="F165" s="37"/>
      <c r="G165" s="37"/>
      <c r="H165" s="37"/>
      <c r="I165" s="37"/>
      <c r="J165" s="37"/>
      <c r="K165" s="37"/>
      <c r="L165" s="37"/>
      <c r="M165" s="37"/>
      <c r="N165" s="37"/>
      <c r="O165" s="37"/>
      <c r="P165" s="37"/>
      <c r="Q165" s="37"/>
      <c r="R165" s="37"/>
      <c r="S165" s="37"/>
      <c r="T165" s="37"/>
      <c r="U165" s="37"/>
      <c r="V165" s="37"/>
      <c r="W165" s="37"/>
      <c r="X165" s="37"/>
      <c r="Y165" s="37"/>
      <c r="Z165" s="37"/>
      <c r="AA165" s="37"/>
      <c r="AB165" s="37"/>
      <c r="AC165" s="37"/>
      <c r="AD165" s="37"/>
      <c r="AE165" s="37"/>
      <c r="AF165" s="37"/>
      <c r="AG165" s="37"/>
      <c r="AH165" s="37"/>
      <c r="AI165" s="37"/>
      <c r="AJ165" s="37"/>
      <c r="AK165" s="37"/>
      <c r="AL165" s="37"/>
      <c r="AM165" s="37"/>
      <c r="AN165" s="37"/>
      <c r="AO165" s="37"/>
      <c r="AP165" s="37"/>
      <c r="AQ165" s="37"/>
      <c r="AR165" s="37"/>
      <c r="AS165" s="37"/>
      <c r="AT165" s="37"/>
      <c r="AU165" s="37"/>
      <c r="AV165" s="37"/>
      <c r="AW165" s="37"/>
      <c r="AX165" s="37"/>
      <c r="AY165" s="37"/>
      <c r="AZ165" s="37"/>
      <c r="BA165" s="37"/>
      <c r="BB165" s="37"/>
      <c r="BC165" s="37"/>
      <c r="BD165" s="37"/>
      <c r="BE165" s="37"/>
      <c r="BF165" s="37"/>
      <c r="BG165" s="37"/>
      <c r="BH165" s="37"/>
      <c r="BI165" s="37"/>
      <c r="BJ165" s="37"/>
      <c r="BK165" s="37"/>
      <c r="BL165" s="37"/>
      <c r="BM165" s="37"/>
      <c r="BN165" s="37"/>
      <c r="BO165" s="37"/>
      <c r="BP165" s="37"/>
      <c r="BQ165" s="37"/>
      <c r="BR165" s="37"/>
      <c r="BS165" s="37"/>
    </row>
    <row r="166" spans="1:71" s="74" customFormat="1" ht="15" x14ac:dyDescent="0.25">
      <c r="A166" s="71"/>
      <c r="B166" s="71"/>
      <c r="C166" s="71"/>
      <c r="D166" s="71"/>
      <c r="E166" s="71"/>
      <c r="F166" s="36" t="s">
        <v>179</v>
      </c>
      <c r="G166" s="36"/>
      <c r="H166" s="36"/>
      <c r="I166" s="36"/>
      <c r="J166" s="36"/>
      <c r="K166" s="36"/>
      <c r="L166" s="36"/>
      <c r="M166" s="36"/>
      <c r="N166" s="36"/>
      <c r="O166" s="36"/>
      <c r="P166" s="36"/>
      <c r="Q166" s="36"/>
      <c r="R166" s="36"/>
      <c r="S166" s="36"/>
      <c r="T166" s="36"/>
      <c r="U166" s="36"/>
      <c r="V166" s="36"/>
      <c r="W166" s="36"/>
      <c r="X166" s="36"/>
      <c r="Y166" s="36"/>
      <c r="Z166" s="36"/>
      <c r="AA166" s="36"/>
      <c r="AB166" s="36"/>
      <c r="AC166" s="36"/>
      <c r="AD166" s="36"/>
      <c r="AE166" s="36"/>
      <c r="AF166" s="36"/>
      <c r="AG166" s="36"/>
      <c r="AH166" s="36" t="s">
        <v>729</v>
      </c>
      <c r="AI166" s="36"/>
      <c r="AJ166" s="36"/>
      <c r="AK166" s="36"/>
      <c r="AL166" s="36"/>
      <c r="AM166" s="36"/>
      <c r="AN166" s="36"/>
      <c r="AO166" s="36"/>
      <c r="AP166" s="36"/>
      <c r="AQ166" s="36"/>
      <c r="AR166" s="36"/>
      <c r="AS166" s="36"/>
      <c r="AT166" s="36"/>
      <c r="AU166" s="36"/>
      <c r="AV166" s="36"/>
      <c r="AW166" s="36"/>
      <c r="AX166" s="36"/>
      <c r="AY166" s="36"/>
      <c r="AZ166" s="71"/>
      <c r="BA166" s="71"/>
      <c r="BB166" s="71"/>
      <c r="BC166" s="71"/>
      <c r="BD166" s="71"/>
      <c r="BE166" s="71"/>
      <c r="BF166" s="71"/>
      <c r="BG166" s="71"/>
      <c r="BH166" s="71"/>
      <c r="BI166" s="71"/>
      <c r="BJ166" s="71"/>
      <c r="BK166" s="71"/>
      <c r="BL166" s="71"/>
      <c r="BM166" s="71"/>
      <c r="BN166" s="71"/>
      <c r="BO166" s="71"/>
      <c r="BP166" s="71"/>
      <c r="BQ166" s="71"/>
      <c r="BR166" s="71"/>
      <c r="BS166" s="71"/>
    </row>
    <row r="167" spans="1:71" s="74" customFormat="1" ht="15" x14ac:dyDescent="0.25">
      <c r="A167" s="71"/>
      <c r="B167" s="71"/>
      <c r="C167" s="71"/>
      <c r="D167" s="71"/>
      <c r="E167" s="71"/>
      <c r="F167" s="36" t="s">
        <v>428</v>
      </c>
      <c r="G167" s="36"/>
      <c r="H167" s="36"/>
      <c r="I167" s="36"/>
      <c r="J167" s="36"/>
      <c r="K167" s="36"/>
      <c r="L167" s="36"/>
      <c r="M167" s="36"/>
      <c r="N167" s="36"/>
      <c r="O167" s="36"/>
      <c r="P167" s="36"/>
      <c r="Q167" s="36"/>
      <c r="R167" s="36"/>
      <c r="S167" s="36"/>
      <c r="T167" s="36"/>
      <c r="U167" s="36"/>
      <c r="V167" s="36"/>
      <c r="W167" s="36"/>
      <c r="X167" s="36"/>
      <c r="Y167" s="36"/>
      <c r="Z167" s="36"/>
      <c r="AA167" s="36"/>
      <c r="AB167" s="36"/>
      <c r="AC167" s="36"/>
      <c r="AD167" s="36"/>
      <c r="AE167" s="36"/>
      <c r="AF167" s="36"/>
      <c r="AG167" s="36"/>
      <c r="AI167" s="36"/>
      <c r="AJ167" s="36"/>
      <c r="AK167" s="36"/>
      <c r="AL167" s="36"/>
      <c r="AM167" s="36"/>
      <c r="AN167" s="36"/>
      <c r="AO167" s="36"/>
      <c r="AP167" s="36"/>
      <c r="AQ167" s="36"/>
      <c r="AR167" s="36"/>
      <c r="AS167" s="36"/>
      <c r="AT167" s="36"/>
      <c r="AU167" s="36"/>
      <c r="AV167" s="36"/>
      <c r="AW167" s="36"/>
      <c r="AX167" s="36"/>
      <c r="AY167" s="36"/>
      <c r="AZ167" s="71"/>
      <c r="BA167" s="71"/>
      <c r="BB167" s="71"/>
      <c r="BC167" s="71"/>
      <c r="BD167" s="71"/>
      <c r="BE167" s="71"/>
      <c r="BF167" s="71"/>
      <c r="BG167" s="71"/>
      <c r="BH167" s="71"/>
      <c r="BI167" s="71"/>
      <c r="BJ167" s="71"/>
      <c r="BK167" s="71"/>
      <c r="BL167" s="71"/>
      <c r="BM167" s="71"/>
      <c r="BN167" s="71"/>
      <c r="BO167" s="71"/>
      <c r="BP167" s="71"/>
      <c r="BQ167" s="71"/>
      <c r="BR167" s="71"/>
      <c r="BS167" s="71"/>
    </row>
    <row r="168" spans="1:71" s="74" customFormat="1" ht="15" x14ac:dyDescent="0.25">
      <c r="A168" s="71"/>
      <c r="B168" s="71"/>
      <c r="C168" s="71"/>
      <c r="D168" s="71"/>
      <c r="E168" s="71"/>
      <c r="F168" s="36"/>
      <c r="G168" s="36"/>
      <c r="H168" s="36"/>
      <c r="I168" s="36"/>
      <c r="J168" s="36"/>
      <c r="K168" s="36"/>
      <c r="L168" s="36"/>
      <c r="M168" s="36"/>
      <c r="N168" s="36"/>
      <c r="O168" s="36"/>
      <c r="P168" s="36"/>
      <c r="Q168" s="36"/>
      <c r="R168" s="36"/>
      <c r="S168" s="36"/>
      <c r="T168" s="36"/>
      <c r="U168" s="36"/>
      <c r="V168" s="36"/>
      <c r="W168" s="36"/>
      <c r="X168" s="36"/>
      <c r="Y168" s="36"/>
      <c r="Z168" s="36"/>
      <c r="AA168" s="36"/>
      <c r="AB168" s="36"/>
      <c r="AC168" s="36"/>
      <c r="AD168" s="36"/>
      <c r="AE168" s="36"/>
      <c r="AF168" s="36"/>
      <c r="AG168" s="36"/>
      <c r="AH168" s="36"/>
      <c r="AI168" s="36"/>
      <c r="AJ168" s="36"/>
      <c r="AK168" s="36"/>
      <c r="AL168" s="36"/>
      <c r="AM168" s="36"/>
      <c r="AN168" s="36"/>
      <c r="AO168" s="36"/>
      <c r="AP168" s="36"/>
      <c r="AQ168" s="36"/>
      <c r="AR168" s="36"/>
      <c r="AS168" s="36"/>
      <c r="AT168" s="36"/>
      <c r="AU168" s="36"/>
      <c r="AV168" s="36"/>
      <c r="AW168" s="36"/>
      <c r="AX168" s="36"/>
      <c r="AY168" s="36"/>
      <c r="AZ168" s="71"/>
      <c r="BA168" s="71"/>
      <c r="BB168" s="71"/>
      <c r="BC168" s="71"/>
      <c r="BD168" s="71"/>
      <c r="BE168" s="71"/>
      <c r="BF168" s="71"/>
      <c r="BG168" s="71"/>
      <c r="BH168" s="71"/>
      <c r="BI168" s="71"/>
      <c r="BJ168" s="71"/>
      <c r="BK168" s="71"/>
      <c r="BL168" s="71"/>
      <c r="BM168" s="71"/>
      <c r="BN168" s="71"/>
      <c r="BO168" s="71"/>
      <c r="BP168" s="71"/>
      <c r="BQ168" s="71"/>
      <c r="BR168" s="71"/>
      <c r="BS168" s="71"/>
    </row>
    <row r="169" spans="1:71" s="74" customFormat="1" ht="15" x14ac:dyDescent="0.25">
      <c r="A169" s="71"/>
      <c r="B169" s="71"/>
      <c r="C169" s="71"/>
      <c r="D169" s="71"/>
      <c r="E169" s="71"/>
      <c r="F169" s="36"/>
      <c r="G169" s="36"/>
      <c r="H169" s="36"/>
      <c r="I169" s="36"/>
      <c r="J169" s="36"/>
      <c r="K169" s="36"/>
      <c r="L169" s="36"/>
      <c r="M169" s="36"/>
      <c r="N169" s="36"/>
      <c r="O169" s="36"/>
      <c r="P169" s="36"/>
      <c r="Q169" s="36"/>
      <c r="R169" s="36"/>
      <c r="S169" s="36"/>
      <c r="T169" s="36"/>
      <c r="U169" s="36"/>
      <c r="V169" s="36"/>
      <c r="W169" s="36"/>
      <c r="X169" s="36"/>
      <c r="Y169" s="36"/>
      <c r="Z169" s="36"/>
      <c r="AA169" s="36"/>
      <c r="AB169" s="36"/>
      <c r="AC169" s="36"/>
      <c r="AD169" s="36"/>
      <c r="AE169" s="36"/>
      <c r="AF169" s="36"/>
      <c r="AG169" s="36"/>
      <c r="AH169" s="36"/>
      <c r="AI169" s="36"/>
      <c r="AJ169" s="36"/>
      <c r="AK169" s="36"/>
      <c r="AL169" s="36"/>
      <c r="AM169" s="36"/>
      <c r="AN169" s="36"/>
      <c r="AO169" s="36"/>
      <c r="AP169" s="36"/>
      <c r="AQ169" s="36"/>
      <c r="AR169" s="36"/>
      <c r="AS169" s="36"/>
      <c r="AT169" s="36"/>
      <c r="AU169" s="36"/>
      <c r="AV169" s="36"/>
      <c r="AW169" s="36"/>
      <c r="AX169" s="36"/>
      <c r="AY169" s="36"/>
      <c r="AZ169" s="71"/>
      <c r="BA169" s="71"/>
      <c r="BB169" s="71"/>
      <c r="BC169" s="71"/>
      <c r="BD169" s="71"/>
      <c r="BE169" s="71"/>
      <c r="BF169" s="71"/>
      <c r="BG169" s="71"/>
      <c r="BH169" s="71"/>
      <c r="BI169" s="71"/>
      <c r="BJ169" s="71"/>
      <c r="BK169" s="71"/>
      <c r="BL169" s="71"/>
      <c r="BM169" s="71"/>
      <c r="BN169" s="71"/>
      <c r="BO169" s="71"/>
      <c r="BP169" s="71"/>
      <c r="BQ169" s="71"/>
      <c r="BR169" s="71"/>
      <c r="BS169" s="71"/>
    </row>
    <row r="170" spans="1:71" ht="15" x14ac:dyDescent="0.25">
      <c r="A170" s="37"/>
      <c r="B170" s="37"/>
      <c r="C170" s="37"/>
      <c r="D170" s="37"/>
      <c r="E170" s="37"/>
      <c r="F170" s="46" t="s">
        <v>429</v>
      </c>
      <c r="G170" s="46"/>
      <c r="H170" s="46"/>
      <c r="I170" s="46"/>
      <c r="J170" s="46"/>
      <c r="K170" s="46"/>
      <c r="L170" s="46"/>
      <c r="M170" s="46"/>
      <c r="N170" s="46"/>
      <c r="O170" s="192"/>
      <c r="P170" s="192"/>
      <c r="Q170" s="192"/>
      <c r="R170" s="192"/>
      <c r="S170" s="192"/>
      <c r="T170" s="192"/>
      <c r="U170" s="192"/>
      <c r="V170" s="192"/>
      <c r="W170" s="192"/>
      <c r="X170" s="192"/>
      <c r="Y170" s="192"/>
      <c r="Z170" s="192"/>
      <c r="AA170" s="192"/>
      <c r="AB170" s="192"/>
      <c r="AC170" s="192"/>
      <c r="AD170" s="192"/>
      <c r="AE170" s="192"/>
      <c r="AF170" s="37"/>
      <c r="AG170" s="37"/>
      <c r="AH170" s="37"/>
      <c r="AI170" s="37"/>
      <c r="AJ170" s="37"/>
      <c r="AK170" s="37"/>
      <c r="AL170" s="37"/>
      <c r="AM170" s="37"/>
      <c r="AN170" s="37"/>
      <c r="AO170" s="37"/>
      <c r="AP170" s="37"/>
      <c r="AQ170" s="37"/>
      <c r="AR170" s="37"/>
      <c r="AS170" s="37"/>
      <c r="AT170" s="37"/>
      <c r="AU170" s="37"/>
      <c r="AV170" s="37"/>
      <c r="AW170" s="37"/>
      <c r="AX170" s="37"/>
      <c r="AY170" s="37"/>
      <c r="AZ170" s="37"/>
      <c r="BA170" s="37"/>
      <c r="BB170" s="37"/>
      <c r="BC170" s="37"/>
      <c r="BD170" s="37"/>
      <c r="BE170" s="37"/>
      <c r="BF170" s="37"/>
      <c r="BG170" s="37"/>
      <c r="BH170" s="37"/>
      <c r="BI170" s="37"/>
      <c r="BJ170" s="37"/>
      <c r="BK170" s="37"/>
      <c r="BL170" s="37"/>
      <c r="BM170" s="37"/>
      <c r="BN170" s="37"/>
      <c r="BO170" s="37"/>
      <c r="BP170" s="37"/>
      <c r="BQ170" s="37"/>
      <c r="BR170" s="37"/>
      <c r="BS170" s="37"/>
    </row>
    <row r="171" spans="1:71" ht="15" x14ac:dyDescent="0.25">
      <c r="A171" s="37"/>
      <c r="B171" s="37"/>
      <c r="C171" s="37"/>
      <c r="D171" s="37"/>
      <c r="E171" s="37"/>
      <c r="F171" s="37"/>
      <c r="G171" s="37"/>
      <c r="H171" s="37"/>
      <c r="I171" s="37"/>
      <c r="J171" s="37"/>
      <c r="K171" s="37"/>
      <c r="L171" s="37"/>
      <c r="M171" s="37"/>
      <c r="N171" s="37"/>
      <c r="O171" s="37"/>
      <c r="P171" s="37"/>
      <c r="Q171" s="37"/>
      <c r="R171" s="37"/>
      <c r="S171" s="37"/>
      <c r="T171" s="37"/>
      <c r="U171" s="37"/>
      <c r="V171" s="37"/>
      <c r="W171" s="37"/>
      <c r="X171" s="37"/>
      <c r="Y171" s="37"/>
      <c r="Z171" s="37"/>
      <c r="AA171" s="37"/>
      <c r="AB171" s="37"/>
      <c r="AC171" s="37"/>
      <c r="AD171" s="37"/>
      <c r="AE171" s="37"/>
      <c r="AF171" s="37"/>
      <c r="AG171" s="37"/>
      <c r="AH171" s="37"/>
      <c r="AI171" s="37"/>
      <c r="AJ171" s="37"/>
      <c r="AK171" s="37"/>
      <c r="AL171" s="37"/>
      <c r="AM171" s="37"/>
      <c r="AN171" s="37"/>
      <c r="AO171" s="37"/>
      <c r="AP171" s="37"/>
      <c r="AQ171" s="37"/>
      <c r="AR171" s="37"/>
      <c r="AS171" s="37"/>
      <c r="AT171" s="37"/>
      <c r="AU171" s="37"/>
      <c r="AV171" s="37"/>
      <c r="AW171" s="37"/>
      <c r="AX171" s="37"/>
      <c r="AY171" s="37"/>
      <c r="AZ171" s="37"/>
      <c r="BA171" s="37"/>
      <c r="BB171" s="37"/>
      <c r="BC171" s="37"/>
      <c r="BD171" s="37"/>
      <c r="BE171" s="37"/>
      <c r="BF171" s="37"/>
      <c r="BG171" s="37"/>
      <c r="BH171" s="37"/>
      <c r="BI171" s="37"/>
      <c r="BJ171" s="37"/>
      <c r="BK171" s="37"/>
      <c r="BL171" s="37"/>
      <c r="BM171" s="37"/>
      <c r="BN171" s="37"/>
      <c r="BO171" s="37"/>
      <c r="BP171" s="37"/>
      <c r="BQ171" s="37"/>
      <c r="BR171" s="37"/>
      <c r="BS171" s="37"/>
    </row>
    <row r="172" spans="1:71" ht="15" x14ac:dyDescent="0.25">
      <c r="A172" s="37"/>
      <c r="B172" s="37"/>
      <c r="C172" s="37"/>
      <c r="D172" s="37"/>
      <c r="E172" s="37"/>
      <c r="F172" s="37" t="s">
        <v>180</v>
      </c>
      <c r="G172" s="37"/>
      <c r="H172" s="37"/>
      <c r="I172" s="37"/>
      <c r="J172" s="37"/>
      <c r="K172" s="37"/>
      <c r="L172" s="37"/>
      <c r="M172" s="37"/>
      <c r="N172" s="37"/>
      <c r="O172" s="37"/>
      <c r="P172" s="37"/>
      <c r="Q172" s="37"/>
      <c r="R172" s="37"/>
      <c r="S172" s="37"/>
      <c r="T172" s="37"/>
      <c r="U172" s="37"/>
      <c r="V172" s="37"/>
      <c r="W172" s="37"/>
      <c r="X172" s="37"/>
      <c r="Y172" s="37"/>
      <c r="Z172" s="37"/>
      <c r="AA172" s="37"/>
      <c r="AB172" s="37"/>
      <c r="AC172" s="37"/>
      <c r="AD172" s="37"/>
      <c r="AE172" s="37"/>
      <c r="AF172" s="37"/>
      <c r="AG172" s="37"/>
      <c r="AH172" s="37" t="s">
        <v>430</v>
      </c>
      <c r="AI172" s="37"/>
      <c r="AJ172" s="37"/>
      <c r="AK172" s="37"/>
      <c r="AL172" s="37"/>
      <c r="AM172" s="37"/>
      <c r="AN172" s="37"/>
      <c r="AO172" s="37"/>
      <c r="AP172" s="37"/>
      <c r="AQ172" s="37"/>
      <c r="AR172" s="37"/>
      <c r="AS172" s="37"/>
      <c r="AT172" s="37"/>
      <c r="AU172" s="37"/>
      <c r="AV172" s="37"/>
      <c r="AW172" s="37"/>
      <c r="AX172" s="37"/>
      <c r="AY172" s="37"/>
      <c r="AZ172" s="37"/>
      <c r="BA172" s="37"/>
      <c r="BB172" s="37"/>
      <c r="BC172" s="37"/>
      <c r="BD172" s="37"/>
      <c r="BE172" s="37"/>
      <c r="BF172" s="37"/>
      <c r="BG172" s="37"/>
      <c r="BH172" s="37"/>
      <c r="BI172" s="37"/>
      <c r="BJ172" s="37"/>
      <c r="BK172" s="37"/>
      <c r="BL172" s="37"/>
      <c r="BM172" s="37"/>
      <c r="BN172" s="37"/>
      <c r="BO172" s="37"/>
      <c r="BP172" s="37"/>
      <c r="BQ172" s="37"/>
      <c r="BR172" s="37"/>
      <c r="BS172" s="37"/>
    </row>
    <row r="173" spans="1:71" ht="15" x14ac:dyDescent="0.25">
      <c r="A173" s="37"/>
      <c r="B173" s="37"/>
      <c r="C173" s="37"/>
      <c r="D173" s="37"/>
      <c r="E173" s="37"/>
      <c r="F173" s="37" t="s">
        <v>42</v>
      </c>
      <c r="G173" s="37"/>
      <c r="H173" s="37"/>
      <c r="I173" s="37"/>
      <c r="J173" s="37"/>
      <c r="K173" s="37"/>
      <c r="L173" s="37"/>
      <c r="M173" s="37"/>
      <c r="N173" s="37"/>
      <c r="O173" s="37"/>
      <c r="P173" s="37"/>
      <c r="Q173" s="37"/>
      <c r="R173" s="37"/>
      <c r="S173" s="37"/>
      <c r="T173" s="37"/>
      <c r="U173" s="37"/>
      <c r="V173" s="37"/>
      <c r="W173" s="37"/>
      <c r="X173" s="37"/>
      <c r="Y173" s="37"/>
      <c r="Z173" s="37"/>
      <c r="AA173" s="37"/>
      <c r="AB173" s="37"/>
      <c r="AC173" s="37"/>
      <c r="AD173" s="37"/>
      <c r="AE173" s="37"/>
      <c r="AF173" s="37"/>
      <c r="AG173" s="37"/>
      <c r="AH173" s="37" t="s">
        <v>740</v>
      </c>
      <c r="AI173" s="37"/>
      <c r="AJ173" s="37"/>
      <c r="AK173" s="37"/>
      <c r="AL173" s="37"/>
      <c r="AM173" s="37"/>
      <c r="AN173" s="37"/>
      <c r="AO173" s="37"/>
      <c r="AP173" s="37"/>
      <c r="AQ173" s="37"/>
      <c r="AR173" s="37"/>
      <c r="AS173" s="37"/>
      <c r="AT173" s="37"/>
      <c r="AU173" s="37"/>
      <c r="AV173" s="37"/>
      <c r="AW173" s="37"/>
      <c r="AX173" s="37"/>
      <c r="AY173" s="37"/>
      <c r="AZ173" s="37"/>
      <c r="BA173" s="37"/>
      <c r="BB173" s="37"/>
      <c r="BC173" s="37"/>
      <c r="BD173" s="37"/>
      <c r="BE173" s="37"/>
      <c r="BF173" s="37"/>
      <c r="BG173" s="37"/>
      <c r="BH173" s="37"/>
      <c r="BI173" s="37"/>
      <c r="BJ173" s="37"/>
      <c r="BK173" s="37"/>
      <c r="BL173" s="37"/>
      <c r="BM173" s="37"/>
      <c r="BN173" s="37"/>
      <c r="BO173" s="37"/>
      <c r="BP173" s="37"/>
      <c r="BQ173" s="37"/>
      <c r="BR173" s="37"/>
      <c r="BS173" s="37"/>
    </row>
    <row r="174" spans="1:71" ht="15" x14ac:dyDescent="0.25">
      <c r="A174" s="37"/>
      <c r="B174" s="37"/>
      <c r="C174" s="37"/>
      <c r="D174" s="37"/>
      <c r="E174" s="37"/>
      <c r="F174" s="37"/>
      <c r="G174" s="37"/>
      <c r="H174" s="37"/>
      <c r="I174" s="37"/>
      <c r="J174" s="37"/>
      <c r="K174" s="37"/>
      <c r="L174" s="37"/>
      <c r="M174" s="37"/>
      <c r="N174" s="37"/>
      <c r="O174" s="37"/>
      <c r="P174" s="37"/>
      <c r="Q174" s="37"/>
      <c r="R174" s="37"/>
      <c r="S174" s="37"/>
      <c r="T174" s="37"/>
      <c r="U174" s="37"/>
      <c r="V174" s="37"/>
      <c r="W174" s="37"/>
      <c r="X174" s="37"/>
      <c r="Y174" s="37"/>
      <c r="Z174" s="37"/>
      <c r="AA174" s="37"/>
      <c r="AB174" s="37"/>
      <c r="AC174" s="37"/>
      <c r="AD174" s="37"/>
      <c r="AE174" s="37"/>
      <c r="AF174" s="37"/>
      <c r="AG174" s="37"/>
      <c r="AH174" s="37"/>
      <c r="AI174" s="37"/>
      <c r="AJ174" s="37"/>
      <c r="AK174" s="37"/>
      <c r="AL174" s="37"/>
      <c r="AM174" s="37"/>
      <c r="AN174" s="37"/>
      <c r="AO174" s="37"/>
      <c r="AP174" s="37"/>
      <c r="AQ174" s="37"/>
      <c r="AR174" s="37"/>
      <c r="AS174" s="37"/>
      <c r="AT174" s="37"/>
      <c r="AU174" s="37"/>
      <c r="AV174" s="37"/>
      <c r="AW174" s="37"/>
      <c r="AX174" s="37"/>
      <c r="AY174" s="37"/>
      <c r="AZ174" s="37"/>
      <c r="BA174" s="37"/>
      <c r="BB174" s="37"/>
      <c r="BC174" s="37"/>
      <c r="BD174" s="37"/>
      <c r="BE174" s="37"/>
      <c r="BF174" s="37"/>
      <c r="BG174" s="37"/>
      <c r="BH174" s="37"/>
      <c r="BI174" s="37"/>
      <c r="BJ174" s="37"/>
      <c r="BK174" s="37"/>
      <c r="BL174" s="37"/>
      <c r="BM174" s="37"/>
      <c r="BN174" s="37"/>
      <c r="BO174" s="37"/>
      <c r="BP174" s="37"/>
      <c r="BQ174" s="37"/>
      <c r="BR174" s="37"/>
      <c r="BS174" s="37"/>
    </row>
    <row r="175" spans="1:71" ht="15" x14ac:dyDescent="0.25">
      <c r="A175" s="37"/>
      <c r="B175" s="37"/>
      <c r="C175" s="37"/>
      <c r="D175" s="37"/>
      <c r="E175" s="37"/>
      <c r="F175" s="37" t="s">
        <v>739</v>
      </c>
      <c r="G175" s="37"/>
      <c r="H175" s="37"/>
      <c r="I175" s="37"/>
      <c r="J175" s="37"/>
      <c r="K175" s="37"/>
      <c r="L175" s="37"/>
      <c r="M175" s="37"/>
      <c r="N175" s="37"/>
      <c r="O175" s="37"/>
      <c r="P175" s="37"/>
      <c r="Q175" s="37"/>
      <c r="R175" s="37"/>
      <c r="S175" s="37"/>
      <c r="T175" s="37"/>
      <c r="U175" s="37"/>
      <c r="V175" s="37"/>
      <c r="W175" s="37"/>
      <c r="X175" s="37"/>
      <c r="Y175" s="37"/>
      <c r="Z175" s="37"/>
      <c r="AA175" s="37"/>
      <c r="AB175" s="37"/>
      <c r="AC175" s="37"/>
      <c r="AD175" s="37"/>
      <c r="AE175" s="37"/>
      <c r="AF175" s="37"/>
      <c r="AG175" s="37"/>
      <c r="AH175" s="37" t="s">
        <v>737</v>
      </c>
      <c r="AI175" s="37"/>
      <c r="AJ175" s="37"/>
      <c r="AK175" s="37"/>
      <c r="AL175" s="37"/>
      <c r="AM175" s="37"/>
      <c r="AN175" s="37"/>
      <c r="AO175" s="37"/>
      <c r="AP175" s="37"/>
      <c r="AQ175" s="37"/>
      <c r="AR175" s="37"/>
      <c r="AS175" s="37"/>
      <c r="AT175" s="37"/>
      <c r="AU175" s="37"/>
      <c r="AV175" s="37"/>
      <c r="AW175" s="37"/>
      <c r="AX175" s="37"/>
      <c r="AY175" s="37"/>
      <c r="AZ175" s="37"/>
      <c r="BA175" s="37"/>
      <c r="BB175" s="37"/>
      <c r="BC175" s="37"/>
      <c r="BD175" s="37"/>
      <c r="BE175" s="37"/>
      <c r="BF175" s="37"/>
      <c r="BG175" s="37"/>
      <c r="BH175" s="37"/>
      <c r="BI175" s="37"/>
      <c r="BJ175" s="37"/>
      <c r="BK175" s="37"/>
      <c r="BL175" s="37"/>
      <c r="BM175" s="37"/>
      <c r="BN175" s="37"/>
      <c r="BO175" s="37"/>
      <c r="BP175" s="37"/>
      <c r="BQ175" s="37"/>
      <c r="BR175" s="37"/>
      <c r="BS175" s="37"/>
    </row>
    <row r="176" spans="1:71" ht="15" x14ac:dyDescent="0.25">
      <c r="A176" s="37"/>
      <c r="B176" s="37"/>
      <c r="C176" s="37"/>
      <c r="D176" s="37"/>
      <c r="E176" s="37"/>
      <c r="F176" s="37" t="s">
        <v>42</v>
      </c>
      <c r="G176" s="37"/>
      <c r="H176" s="37"/>
      <c r="I176" s="37"/>
      <c r="J176" s="37"/>
      <c r="K176" s="37"/>
      <c r="L176" s="37"/>
      <c r="M176" s="37"/>
      <c r="N176" s="37"/>
      <c r="O176" s="37"/>
      <c r="P176" s="37"/>
      <c r="Q176" s="37"/>
      <c r="R176" s="37"/>
      <c r="S176" s="37"/>
      <c r="T176" s="37"/>
      <c r="U176" s="37"/>
      <c r="V176" s="37"/>
      <c r="W176" s="37"/>
      <c r="X176" s="37"/>
      <c r="Y176" s="37"/>
      <c r="Z176" s="37"/>
      <c r="AA176" s="37"/>
      <c r="AB176" s="37"/>
      <c r="AC176" s="37"/>
      <c r="AD176" s="37"/>
      <c r="AE176" s="37"/>
      <c r="AF176" s="37"/>
      <c r="AG176" s="37"/>
      <c r="AH176" s="37" t="s">
        <v>738</v>
      </c>
      <c r="AI176" s="37"/>
      <c r="AJ176" s="37"/>
      <c r="AK176" s="37"/>
      <c r="AL176" s="37"/>
      <c r="AM176" s="37"/>
      <c r="AN176" s="37"/>
      <c r="AO176" s="37"/>
      <c r="AP176" s="37"/>
      <c r="AQ176" s="37"/>
      <c r="AR176" s="37"/>
      <c r="AS176" s="37"/>
      <c r="AT176" s="37"/>
      <c r="AU176" s="37"/>
      <c r="AV176" s="37"/>
      <c r="AW176" s="37"/>
      <c r="AX176" s="37"/>
      <c r="AY176" s="37"/>
      <c r="AZ176" s="37"/>
      <c r="BA176" s="37"/>
      <c r="BB176" s="37"/>
      <c r="BC176" s="37"/>
      <c r="BD176" s="37"/>
      <c r="BE176" s="37"/>
      <c r="BF176" s="37"/>
      <c r="BG176" s="37"/>
      <c r="BH176" s="37"/>
      <c r="BI176" s="37"/>
      <c r="BJ176" s="37"/>
      <c r="BK176" s="37"/>
      <c r="BL176" s="37"/>
      <c r="BM176" s="37"/>
      <c r="BN176" s="37"/>
      <c r="BO176" s="37"/>
      <c r="BP176" s="37"/>
      <c r="BQ176" s="37"/>
      <c r="BR176" s="37"/>
      <c r="BS176" s="37"/>
    </row>
    <row r="177" spans="1:71" ht="15" x14ac:dyDescent="0.25">
      <c r="A177" s="37"/>
      <c r="B177" s="37"/>
      <c r="C177" s="37"/>
      <c r="D177" s="37"/>
      <c r="E177" s="37"/>
      <c r="F177" s="37"/>
      <c r="G177" s="37"/>
      <c r="H177" s="37"/>
      <c r="I177" s="37"/>
      <c r="J177" s="37"/>
      <c r="K177" s="37"/>
      <c r="L177" s="37"/>
      <c r="M177" s="37"/>
      <c r="N177" s="37"/>
      <c r="O177" s="37"/>
      <c r="P177" s="37"/>
      <c r="Q177" s="37"/>
      <c r="R177" s="37"/>
      <c r="S177" s="37"/>
      <c r="T177" s="37"/>
      <c r="U177" s="37"/>
      <c r="V177" s="37"/>
      <c r="W177" s="37"/>
      <c r="X177" s="37"/>
      <c r="Y177" s="37"/>
      <c r="Z177" s="37"/>
      <c r="AA177" s="37"/>
      <c r="AB177" s="37"/>
      <c r="AC177" s="37"/>
      <c r="AD177" s="37"/>
      <c r="AE177" s="37"/>
      <c r="AF177" s="37"/>
      <c r="AG177" s="37"/>
      <c r="AH177" s="37"/>
      <c r="AI177" s="37"/>
      <c r="AJ177" s="37"/>
      <c r="AK177" s="37"/>
      <c r="AL177" s="37"/>
      <c r="AM177" s="37"/>
      <c r="AN177" s="37"/>
      <c r="AO177" s="37"/>
      <c r="AP177" s="37"/>
      <c r="AQ177" s="37"/>
      <c r="AR177" s="37"/>
      <c r="AS177" s="37"/>
      <c r="AT177" s="37"/>
      <c r="AU177" s="37"/>
      <c r="AV177" s="37"/>
      <c r="AW177" s="37"/>
      <c r="AX177" s="37"/>
      <c r="AY177" s="37"/>
      <c r="AZ177" s="37"/>
      <c r="BA177" s="37"/>
      <c r="BB177" s="37"/>
      <c r="BC177" s="37"/>
      <c r="BD177" s="37"/>
      <c r="BE177" s="37"/>
      <c r="BF177" s="37"/>
      <c r="BG177" s="37"/>
      <c r="BH177" s="37"/>
      <c r="BI177" s="37"/>
      <c r="BJ177" s="37"/>
      <c r="BK177" s="37"/>
      <c r="BL177" s="37"/>
      <c r="BM177" s="37"/>
      <c r="BN177" s="37"/>
      <c r="BO177" s="37"/>
      <c r="BP177" s="37"/>
      <c r="BQ177" s="37"/>
      <c r="BR177" s="37"/>
      <c r="BS177" s="37"/>
    </row>
    <row r="178" spans="1:71" ht="15" x14ac:dyDescent="0.25">
      <c r="A178" s="37"/>
      <c r="B178" s="37"/>
      <c r="C178" s="37"/>
      <c r="D178" s="37"/>
      <c r="E178" s="37"/>
      <c r="F178" s="37"/>
      <c r="G178" s="37"/>
      <c r="H178" s="37"/>
      <c r="I178" s="37"/>
      <c r="J178" s="37"/>
      <c r="K178" s="37"/>
      <c r="L178" s="37"/>
      <c r="M178" s="37"/>
      <c r="N178" s="37"/>
      <c r="O178" s="37"/>
      <c r="P178" s="37"/>
      <c r="Q178" s="37"/>
      <c r="R178" s="37"/>
      <c r="S178" s="37"/>
      <c r="T178" s="37"/>
      <c r="U178" s="37"/>
      <c r="V178" s="37"/>
      <c r="W178" s="37"/>
      <c r="X178" s="37"/>
      <c r="Y178" s="37"/>
      <c r="Z178" s="37"/>
      <c r="AA178" s="37"/>
      <c r="AB178" s="37"/>
      <c r="AC178" s="37"/>
      <c r="AD178" s="37"/>
      <c r="AE178" s="37"/>
      <c r="AF178" s="37"/>
      <c r="AG178" s="37"/>
      <c r="AH178" s="37"/>
      <c r="AI178" s="37"/>
      <c r="AJ178" s="37"/>
      <c r="AK178" s="37"/>
      <c r="AL178" s="37"/>
      <c r="AM178" s="37"/>
      <c r="AN178" s="37"/>
      <c r="AO178" s="37"/>
      <c r="AP178" s="37"/>
      <c r="AQ178" s="37"/>
      <c r="AR178" s="37"/>
      <c r="AS178" s="37"/>
      <c r="AT178" s="37"/>
      <c r="AU178" s="37"/>
      <c r="AV178" s="37"/>
      <c r="AW178" s="37"/>
      <c r="AX178" s="37"/>
      <c r="AY178" s="37"/>
      <c r="AZ178" s="37"/>
      <c r="BA178" s="37"/>
      <c r="BB178" s="37"/>
      <c r="BC178" s="37"/>
      <c r="BD178" s="37"/>
      <c r="BE178" s="37"/>
      <c r="BF178" s="37"/>
      <c r="BG178" s="37"/>
      <c r="BH178" s="37"/>
      <c r="BI178" s="37"/>
      <c r="BJ178" s="37"/>
      <c r="BK178" s="37"/>
      <c r="BL178" s="37"/>
      <c r="BM178" s="37"/>
      <c r="BN178" s="37"/>
      <c r="BO178" s="37"/>
      <c r="BP178" s="37"/>
      <c r="BQ178" s="37"/>
      <c r="BR178" s="37"/>
      <c r="BS178" s="37"/>
    </row>
    <row r="179" spans="1:71" ht="15" x14ac:dyDescent="0.25">
      <c r="A179" s="37"/>
      <c r="B179" s="37"/>
      <c r="C179" s="37"/>
      <c r="D179" s="37"/>
      <c r="E179" s="37"/>
      <c r="F179" s="37"/>
      <c r="G179" s="37"/>
      <c r="H179" s="37"/>
      <c r="I179" s="37"/>
      <c r="J179" s="37"/>
      <c r="K179" s="37"/>
      <c r="L179" s="37"/>
      <c r="M179" s="37"/>
      <c r="N179" s="37"/>
      <c r="O179" s="37"/>
      <c r="P179" s="37"/>
      <c r="Q179" s="37"/>
      <c r="R179" s="37"/>
      <c r="S179" s="37"/>
      <c r="T179" s="37"/>
      <c r="U179" s="37"/>
      <c r="V179" s="37"/>
      <c r="W179" s="37"/>
      <c r="X179" s="37"/>
      <c r="Y179" s="37"/>
      <c r="Z179" s="37"/>
      <c r="AA179" s="37"/>
      <c r="AB179" s="37"/>
      <c r="AC179" s="37"/>
      <c r="AD179" s="37"/>
      <c r="AE179" s="37"/>
      <c r="AF179" s="37"/>
      <c r="AG179" s="37"/>
      <c r="AH179" s="37"/>
      <c r="AI179" s="37"/>
      <c r="AJ179" s="37"/>
      <c r="AK179" s="37"/>
      <c r="AL179" s="37"/>
      <c r="AM179" s="37"/>
      <c r="AN179" s="37"/>
      <c r="AO179" s="37"/>
      <c r="AP179" s="37"/>
      <c r="AQ179" s="37"/>
      <c r="AR179" s="37"/>
      <c r="AS179" s="37"/>
      <c r="AT179" s="37"/>
      <c r="AU179" s="37"/>
      <c r="AV179" s="37"/>
      <c r="AW179" s="37"/>
      <c r="AX179" s="37"/>
      <c r="AY179" s="37"/>
      <c r="AZ179" s="37"/>
      <c r="BA179" s="37"/>
      <c r="BB179" s="37"/>
      <c r="BC179" s="37"/>
      <c r="BD179" s="37"/>
      <c r="BE179" s="37"/>
      <c r="BF179" s="37"/>
      <c r="BG179" s="37"/>
      <c r="BH179" s="37"/>
      <c r="BI179" s="37"/>
      <c r="BJ179" s="37"/>
      <c r="BK179" s="37"/>
      <c r="BL179" s="37"/>
      <c r="BM179" s="37"/>
      <c r="BN179" s="37"/>
      <c r="BO179" s="37"/>
      <c r="BP179" s="37"/>
      <c r="BQ179" s="37"/>
      <c r="BR179" s="37"/>
      <c r="BS179" s="37"/>
    </row>
    <row r="180" spans="1:71" ht="15.75" x14ac:dyDescent="0.25">
      <c r="A180" s="37"/>
      <c r="B180" s="37"/>
      <c r="C180" s="37"/>
      <c r="D180" s="37"/>
      <c r="E180" s="37"/>
      <c r="F180" s="182"/>
      <c r="G180" s="182"/>
      <c r="H180" s="182"/>
      <c r="I180" s="182"/>
      <c r="J180" s="182"/>
      <c r="K180" s="182"/>
      <c r="L180" s="182"/>
      <c r="M180" s="182"/>
      <c r="N180" s="182"/>
      <c r="O180" s="182"/>
      <c r="P180" s="182"/>
      <c r="Q180" s="182"/>
      <c r="R180" s="182"/>
      <c r="S180" s="182"/>
      <c r="T180" s="182"/>
      <c r="U180" s="182"/>
      <c r="V180" s="182"/>
      <c r="W180" s="182"/>
      <c r="X180" s="182"/>
      <c r="Y180" s="182"/>
      <c r="Z180" s="182"/>
      <c r="AA180" s="182"/>
      <c r="AB180" s="182"/>
      <c r="AC180" s="182"/>
      <c r="AD180" s="182"/>
      <c r="AE180" s="182"/>
      <c r="AF180" s="182"/>
      <c r="AG180" s="182"/>
      <c r="AH180" s="182"/>
      <c r="AI180" s="182"/>
      <c r="AJ180" s="182"/>
      <c r="AK180" s="182"/>
      <c r="AL180" s="182"/>
      <c r="AM180" s="182"/>
      <c r="AN180" s="182"/>
      <c r="AO180" s="182"/>
      <c r="AP180" s="182"/>
      <c r="AQ180" s="182"/>
      <c r="AR180" s="182"/>
      <c r="AS180" s="182"/>
      <c r="AT180" s="182"/>
      <c r="AU180" s="182"/>
      <c r="AV180" s="182"/>
      <c r="AW180" s="182"/>
      <c r="AX180" s="182"/>
      <c r="AY180" s="182"/>
      <c r="AZ180" s="182"/>
      <c r="BA180" s="182"/>
      <c r="BB180" s="182"/>
      <c r="BC180" s="182"/>
      <c r="BD180" s="182"/>
      <c r="BE180" s="182"/>
      <c r="BF180" s="182"/>
      <c r="BG180" s="182"/>
      <c r="BH180" s="182"/>
      <c r="BI180" s="182"/>
      <c r="BJ180" s="182"/>
      <c r="BK180" s="182"/>
      <c r="BL180" s="182"/>
      <c r="BM180" s="194"/>
      <c r="BN180" s="194"/>
      <c r="BO180" s="37"/>
      <c r="BP180" s="37"/>
      <c r="BQ180" s="37"/>
      <c r="BR180" s="37"/>
      <c r="BS180" s="37"/>
    </row>
    <row r="181" spans="1:71" ht="15.75" x14ac:dyDescent="0.25">
      <c r="A181" s="37"/>
      <c r="B181" s="37"/>
      <c r="C181" s="37" t="str">
        <f>CAPA!$A$43</f>
        <v>TIBAGI SERVIÇOS MARÍTIMOS LTDA.</v>
      </c>
      <c r="D181" s="37" t="str">
        <f>IFERROR(_xlfn.IFS(C181=F186,AH186,C181=F191,AH191,C181=F199,AH199,C181=F208,AH208,C181=F214,AH214,C181=F221,AH221,C181=F229,AH229,C181=F235,AH235,C181=F241,AH241),"")</f>
        <v>Mr. Antonio Celso Silva</v>
      </c>
      <c r="E181" s="37"/>
      <c r="F181" s="182" t="s">
        <v>431</v>
      </c>
      <c r="G181" s="182"/>
      <c r="H181" s="182"/>
      <c r="I181" s="182"/>
      <c r="J181" s="182"/>
      <c r="K181" s="182"/>
      <c r="L181" s="182"/>
      <c r="M181" s="182"/>
      <c r="N181" s="182"/>
      <c r="O181" s="182"/>
      <c r="P181" s="182"/>
      <c r="Q181" s="182"/>
      <c r="R181" s="182"/>
      <c r="S181" s="182"/>
      <c r="T181" s="182"/>
      <c r="U181" s="182"/>
      <c r="V181" s="182"/>
      <c r="W181" s="182"/>
      <c r="X181" s="182"/>
      <c r="Y181" s="182"/>
      <c r="Z181" s="182"/>
      <c r="AA181" s="182"/>
      <c r="AB181" s="182"/>
      <c r="AC181" s="182"/>
      <c r="AD181" s="182"/>
      <c r="AE181" s="182"/>
      <c r="AF181" s="182"/>
      <c r="AG181" s="182"/>
      <c r="AH181" s="182"/>
      <c r="AI181" s="182"/>
      <c r="AJ181" s="182"/>
      <c r="AK181" s="182"/>
      <c r="AL181" s="182"/>
      <c r="AM181" s="182"/>
      <c r="AN181" s="182"/>
      <c r="AO181" s="182"/>
      <c r="AP181" s="182"/>
      <c r="AQ181" s="182"/>
      <c r="AR181" s="182"/>
      <c r="AS181" s="182"/>
      <c r="AT181" s="182"/>
      <c r="AU181" s="182"/>
      <c r="AV181" s="182"/>
      <c r="AW181" s="182"/>
      <c r="AX181" s="182"/>
      <c r="AY181" s="182"/>
      <c r="AZ181" s="182"/>
      <c r="BA181" s="182"/>
      <c r="BB181" s="182"/>
      <c r="BC181" s="182"/>
      <c r="BD181" s="182"/>
      <c r="BE181" s="182"/>
      <c r="BF181" s="182"/>
      <c r="BG181" s="182"/>
      <c r="BH181" s="182"/>
      <c r="BI181" s="182"/>
      <c r="BJ181" s="182"/>
      <c r="BK181" s="182"/>
      <c r="BL181" s="182"/>
      <c r="BM181" s="194"/>
      <c r="BN181" s="194"/>
      <c r="BO181" s="37"/>
      <c r="BP181" s="37"/>
      <c r="BQ181" s="37"/>
      <c r="BR181" s="37"/>
      <c r="BS181" s="37"/>
    </row>
    <row r="182" spans="1:71" ht="15.75" x14ac:dyDescent="0.25">
      <c r="A182" s="37"/>
      <c r="B182" s="37"/>
      <c r="C182" s="37"/>
      <c r="D182" s="37" t="str">
        <f>IFERROR(_xlfn.IFS(C181=F186,AH187,C181=F191,AH192,C181=F199,AH200,C181=F208,AH209,C181=F214,AH215,C181=F221,AH222,C181=F229,AH230,C181=F235,AH236,C181=F241,AH242)," ")</f>
        <v>Mr. João Victor Lacerda</v>
      </c>
      <c r="E182" s="37"/>
      <c r="F182" s="182"/>
      <c r="G182" s="182"/>
      <c r="H182" s="182"/>
      <c r="I182" s="182"/>
      <c r="J182" s="182"/>
      <c r="K182" s="182"/>
      <c r="L182" s="182"/>
      <c r="M182" s="182"/>
      <c r="N182" s="182"/>
      <c r="O182" s="182"/>
      <c r="P182" s="182"/>
      <c r="Q182" s="182"/>
      <c r="R182" s="182"/>
      <c r="S182" s="182"/>
      <c r="T182" s="182"/>
      <c r="U182" s="182"/>
      <c r="V182" s="182"/>
      <c r="W182" s="182"/>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c r="BH182" s="182"/>
      <c r="BI182" s="182"/>
      <c r="BJ182" s="182"/>
      <c r="BK182" s="182"/>
      <c r="BL182" s="182"/>
      <c r="BM182" s="194"/>
      <c r="BN182" s="194"/>
      <c r="BO182" s="37"/>
      <c r="BP182" s="37"/>
      <c r="BQ182" s="37"/>
      <c r="BR182" s="37"/>
      <c r="BS182" s="37"/>
    </row>
    <row r="183" spans="1:71" ht="15" x14ac:dyDescent="0.25">
      <c r="A183" s="37"/>
      <c r="B183" s="37"/>
      <c r="C183" s="37"/>
      <c r="D183" s="37" t="str">
        <f>IFERROR(_xlfn.IFS(C181=F191,AH193,C181=F199,AH201,C181=F214,AH216,C181=F221,AH223)," ")</f>
        <v xml:space="preserve"> </v>
      </c>
      <c r="E183" s="37"/>
      <c r="F183" s="184"/>
      <c r="G183" s="37"/>
      <c r="H183" s="37"/>
      <c r="I183" s="37"/>
      <c r="J183" s="37"/>
      <c r="K183" s="37"/>
      <c r="L183" s="37"/>
      <c r="M183" s="37"/>
      <c r="N183" s="37"/>
      <c r="O183" s="37"/>
      <c r="P183" s="37"/>
      <c r="Q183" s="37"/>
      <c r="R183" s="37"/>
      <c r="S183" s="37"/>
      <c r="T183" s="37"/>
      <c r="U183" s="37"/>
      <c r="V183" s="37"/>
      <c r="W183" s="37"/>
      <c r="X183" s="37"/>
      <c r="Y183" s="37"/>
      <c r="Z183" s="37"/>
      <c r="AA183" s="37"/>
      <c r="AB183" s="37"/>
      <c r="AC183" s="37"/>
      <c r="AD183" s="37"/>
      <c r="AE183" s="37"/>
      <c r="AF183" s="37"/>
      <c r="AG183" s="37"/>
      <c r="AH183" s="37"/>
      <c r="AI183" s="37"/>
      <c r="AJ183" s="37"/>
      <c r="AK183" s="37"/>
      <c r="AL183" s="37"/>
      <c r="AM183" s="37"/>
      <c r="AN183" s="37"/>
      <c r="AO183" s="37"/>
      <c r="AP183" s="37"/>
      <c r="AQ183" s="37"/>
      <c r="AR183" s="37"/>
      <c r="AS183" s="37"/>
      <c r="AT183" s="37"/>
      <c r="AU183" s="37"/>
      <c r="AV183" s="37"/>
      <c r="AW183" s="37"/>
      <c r="AX183" s="37"/>
      <c r="AY183" s="37"/>
      <c r="AZ183" s="37"/>
      <c r="BA183" s="37"/>
      <c r="BB183" s="37"/>
      <c r="BC183" s="37"/>
      <c r="BD183" s="37"/>
      <c r="BE183" s="37"/>
      <c r="BF183" s="37"/>
      <c r="BG183" s="37"/>
      <c r="BH183" s="37"/>
      <c r="BI183" s="37"/>
      <c r="BJ183" s="37"/>
      <c r="BK183" s="37"/>
      <c r="BL183" s="37"/>
      <c r="BM183" s="37"/>
      <c r="BN183" s="37"/>
      <c r="BO183" s="37"/>
      <c r="BP183" s="37"/>
      <c r="BQ183" s="37"/>
      <c r="BR183" s="37"/>
      <c r="BS183" s="37"/>
    </row>
    <row r="184" spans="1:71" ht="15" x14ac:dyDescent="0.25">
      <c r="A184" s="37"/>
      <c r="B184" s="37"/>
      <c r="C184" s="37"/>
      <c r="D184" s="37" t="str">
        <f>IFERROR(_xlfn.IFS(C181=F199,AH202,C181=F221,AH224)," ")</f>
        <v xml:space="preserve"> </v>
      </c>
      <c r="E184" s="37"/>
      <c r="F184" s="46" t="s">
        <v>397</v>
      </c>
      <c r="G184" s="46"/>
      <c r="H184" s="46"/>
      <c r="I184" s="46"/>
      <c r="J184" s="46"/>
      <c r="K184" s="46"/>
      <c r="L184" s="46"/>
      <c r="M184" s="46"/>
      <c r="N184" s="46"/>
      <c r="O184" s="192"/>
      <c r="P184" s="192"/>
      <c r="Q184" s="192"/>
      <c r="R184" s="192"/>
      <c r="S184" s="192"/>
      <c r="T184" s="192"/>
      <c r="U184" s="192"/>
      <c r="V184" s="192"/>
      <c r="W184" s="192"/>
      <c r="X184" s="192"/>
      <c r="Y184" s="192"/>
      <c r="Z184" s="192"/>
      <c r="AA184" s="192"/>
      <c r="AB184" s="192"/>
      <c r="AC184" s="192"/>
      <c r="AD184" s="192"/>
      <c r="AE184" s="192"/>
      <c r="AF184" s="37"/>
      <c r="AG184" s="37"/>
      <c r="AH184" s="37"/>
      <c r="AI184" s="37"/>
      <c r="AJ184" s="37"/>
      <c r="AK184" s="37"/>
      <c r="AL184" s="37"/>
      <c r="AM184" s="37"/>
      <c r="AN184" s="37"/>
      <c r="AO184" s="37"/>
      <c r="AP184" s="37"/>
      <c r="AQ184" s="37"/>
      <c r="AR184" s="37"/>
      <c r="AS184" s="37"/>
      <c r="AT184" s="37"/>
      <c r="AU184" s="37"/>
      <c r="AV184" s="37"/>
      <c r="AW184" s="37"/>
      <c r="AX184" s="37"/>
      <c r="AY184" s="37"/>
      <c r="AZ184" s="37"/>
      <c r="BA184" s="37"/>
      <c r="BB184" s="37"/>
      <c r="BC184" s="37"/>
      <c r="BD184" s="37"/>
      <c r="BE184" s="37"/>
      <c r="BF184" s="37"/>
      <c r="BG184" s="37"/>
      <c r="BH184" s="37"/>
      <c r="BI184" s="37"/>
      <c r="BJ184" s="37"/>
      <c r="BK184" s="37"/>
      <c r="BL184" s="37"/>
      <c r="BM184" s="37"/>
      <c r="BN184" s="37"/>
      <c r="BO184" s="37"/>
      <c r="BP184" s="37"/>
      <c r="BQ184" s="37"/>
      <c r="BR184" s="37"/>
      <c r="BS184" s="37"/>
    </row>
    <row r="185" spans="1:71" ht="15" x14ac:dyDescent="0.25">
      <c r="A185" s="37"/>
      <c r="B185" s="37"/>
      <c r="C185" s="37"/>
      <c r="D185" s="37" t="str">
        <f>IFERROR(_xlfn.IFS(C181=F199,AH203,C181=F221,AH224)," ")</f>
        <v xml:space="preserve"> </v>
      </c>
      <c r="E185" s="37"/>
      <c r="F185" s="37"/>
      <c r="G185" s="37"/>
      <c r="H185" s="37"/>
      <c r="I185" s="37"/>
      <c r="J185" s="37"/>
      <c r="K185" s="37"/>
      <c r="L185" s="37"/>
      <c r="M185" s="37"/>
      <c r="N185" s="37"/>
      <c r="O185" s="37"/>
      <c r="P185" s="37"/>
      <c r="Q185" s="37"/>
      <c r="R185" s="37"/>
      <c r="S185" s="37"/>
      <c r="T185" s="37"/>
      <c r="U185" s="37"/>
      <c r="V185" s="37"/>
      <c r="W185" s="37"/>
      <c r="X185" s="37"/>
      <c r="Y185" s="37"/>
      <c r="Z185" s="37"/>
      <c r="AA185" s="37"/>
      <c r="AB185" s="37"/>
      <c r="AC185" s="37"/>
      <c r="AD185" s="37"/>
      <c r="AE185" s="37"/>
      <c r="AF185" s="37"/>
      <c r="AG185" s="37"/>
      <c r="AH185" s="37"/>
      <c r="AI185" s="37"/>
      <c r="AJ185" s="37"/>
      <c r="AK185" s="37"/>
      <c r="AL185" s="37"/>
      <c r="AM185" s="37"/>
      <c r="AN185" s="37"/>
      <c r="AO185" s="37"/>
      <c r="AP185" s="37"/>
      <c r="AQ185" s="37"/>
      <c r="AR185" s="37"/>
      <c r="AS185" s="37"/>
      <c r="AT185" s="37"/>
      <c r="AU185" s="37"/>
      <c r="AV185" s="37"/>
      <c r="AW185" s="37"/>
      <c r="AX185" s="37"/>
      <c r="AY185" s="37"/>
      <c r="AZ185" s="37"/>
      <c r="BA185" s="37"/>
      <c r="BB185" s="37"/>
      <c r="BC185" s="37"/>
      <c r="BD185" s="37"/>
      <c r="BE185" s="37"/>
      <c r="BF185" s="37"/>
      <c r="BG185" s="37"/>
      <c r="BH185" s="37"/>
      <c r="BI185" s="37"/>
      <c r="BJ185" s="37"/>
      <c r="BK185" s="37"/>
      <c r="BL185" s="37"/>
      <c r="BM185" s="37"/>
      <c r="BN185" s="37"/>
      <c r="BO185" s="37"/>
      <c r="BP185" s="37"/>
      <c r="BQ185" s="37"/>
      <c r="BR185" s="37"/>
      <c r="BS185" s="37"/>
    </row>
    <row r="186" spans="1:71" s="74" customFormat="1" ht="15.75" x14ac:dyDescent="0.25">
      <c r="A186" s="71"/>
      <c r="B186" s="71"/>
      <c r="C186" s="71"/>
      <c r="D186" s="71"/>
      <c r="E186" s="71"/>
      <c r="F186" s="36" t="s">
        <v>158</v>
      </c>
      <c r="G186" s="36"/>
      <c r="H186" s="36"/>
      <c r="I186" s="36"/>
      <c r="J186" s="36"/>
      <c r="K186" s="36"/>
      <c r="L186" s="36"/>
      <c r="M186" s="36"/>
      <c r="N186" s="36"/>
      <c r="O186" s="36"/>
      <c r="P186" s="36"/>
      <c r="Q186" s="36"/>
      <c r="R186" s="36"/>
      <c r="S186" s="36"/>
      <c r="T186" s="36"/>
      <c r="U186" s="36"/>
      <c r="V186" s="36"/>
      <c r="W186" s="36"/>
      <c r="X186" s="36"/>
      <c r="Y186" s="36"/>
      <c r="Z186" s="36"/>
      <c r="AA186" s="36"/>
      <c r="AB186" s="36"/>
      <c r="AC186" s="36"/>
      <c r="AD186" s="36"/>
      <c r="AE186" s="36"/>
      <c r="AF186" s="36"/>
      <c r="AG186" s="36"/>
      <c r="AH186" s="285" t="s">
        <v>742</v>
      </c>
      <c r="AI186" s="36"/>
      <c r="AJ186" s="36"/>
      <c r="AK186" s="36"/>
      <c r="AL186" s="36"/>
      <c r="AM186" s="36"/>
      <c r="AN186" s="36"/>
      <c r="AO186" s="36"/>
      <c r="AP186" s="36"/>
      <c r="AQ186" s="36"/>
      <c r="AR186" s="36"/>
      <c r="AS186" s="36"/>
      <c r="AT186" s="36"/>
      <c r="AU186" s="36"/>
      <c r="AV186" s="36"/>
      <c r="AW186" s="36"/>
      <c r="AX186" s="36"/>
      <c r="AY186" s="36"/>
      <c r="AZ186" s="71"/>
      <c r="BA186" s="71"/>
      <c r="BB186" s="71"/>
      <c r="BC186" s="71"/>
      <c r="BD186" s="71"/>
      <c r="BE186" s="71"/>
      <c r="BF186" s="71"/>
      <c r="BG186" s="71"/>
      <c r="BH186" s="71"/>
      <c r="BI186" s="71"/>
      <c r="BJ186" s="71"/>
      <c r="BK186" s="71"/>
      <c r="BL186" s="71"/>
      <c r="BM186" s="71"/>
      <c r="BN186" s="71"/>
      <c r="BO186" s="71"/>
      <c r="BP186" s="71"/>
      <c r="BQ186" s="71"/>
      <c r="BR186" s="71"/>
      <c r="BS186" s="71"/>
    </row>
    <row r="187" spans="1:71" s="74" customFormat="1" ht="15" x14ac:dyDescent="0.25">
      <c r="A187" s="71"/>
      <c r="B187" s="71"/>
      <c r="C187" s="71"/>
      <c r="D187" s="71"/>
      <c r="E187" s="71"/>
      <c r="F187" s="36" t="s">
        <v>398</v>
      </c>
      <c r="G187" s="36"/>
      <c r="H187" s="36"/>
      <c r="I187" s="36"/>
      <c r="J187" s="36"/>
      <c r="K187" s="36"/>
      <c r="L187" s="36"/>
      <c r="M187" s="36"/>
      <c r="N187" s="36"/>
      <c r="O187" s="36"/>
      <c r="P187" s="36"/>
      <c r="Q187" s="36"/>
      <c r="R187" s="36"/>
      <c r="S187" s="36"/>
      <c r="T187" s="36"/>
      <c r="U187" s="36"/>
      <c r="V187" s="36"/>
      <c r="W187" s="36"/>
      <c r="X187" s="36"/>
      <c r="Y187" s="36"/>
      <c r="Z187" s="36"/>
      <c r="AA187" s="36"/>
      <c r="AB187" s="36"/>
      <c r="AC187" s="36"/>
      <c r="AD187" s="36"/>
      <c r="AE187" s="36"/>
      <c r="AF187" s="36"/>
      <c r="AG187" s="36"/>
      <c r="AH187" s="36"/>
      <c r="AI187" s="36"/>
      <c r="AJ187" s="36"/>
      <c r="AK187" s="36"/>
      <c r="AL187" s="36"/>
      <c r="AM187" s="36"/>
      <c r="AN187" s="36"/>
      <c r="AO187" s="36"/>
      <c r="AP187" s="36"/>
      <c r="AQ187" s="36"/>
      <c r="AR187" s="36"/>
      <c r="AS187" s="36"/>
      <c r="AT187" s="36"/>
      <c r="AU187" s="36"/>
      <c r="AV187" s="36"/>
      <c r="AW187" s="36"/>
      <c r="AX187" s="36"/>
      <c r="AY187" s="36"/>
      <c r="AZ187" s="71"/>
      <c r="BA187" s="71"/>
      <c r="BB187" s="71"/>
      <c r="BC187" s="71"/>
      <c r="BD187" s="71"/>
      <c r="BE187" s="71"/>
      <c r="BF187" s="71"/>
      <c r="BG187" s="71"/>
      <c r="BH187" s="71"/>
      <c r="BI187" s="71"/>
      <c r="BJ187" s="71"/>
      <c r="BK187" s="71"/>
      <c r="BL187" s="71"/>
      <c r="BM187" s="71"/>
      <c r="BN187" s="71"/>
      <c r="BO187" s="71"/>
      <c r="BP187" s="71"/>
      <c r="BQ187" s="71"/>
      <c r="BR187" s="71"/>
      <c r="BS187" s="71"/>
    </row>
    <row r="188" spans="1:71" s="74" customFormat="1" ht="15" x14ac:dyDescent="0.25">
      <c r="A188" s="71"/>
      <c r="B188" s="71"/>
      <c r="C188" s="71"/>
      <c r="D188" s="71"/>
      <c r="E188" s="71"/>
      <c r="F188" s="36"/>
      <c r="G188" s="36"/>
      <c r="H188" s="36"/>
      <c r="I188" s="36"/>
      <c r="J188" s="36"/>
      <c r="K188" s="36"/>
      <c r="L188" s="36"/>
      <c r="M188" s="36"/>
      <c r="N188" s="36"/>
      <c r="O188" s="36"/>
      <c r="P188" s="36"/>
      <c r="Q188" s="36"/>
      <c r="R188" s="36"/>
      <c r="S188" s="36"/>
      <c r="T188" s="36"/>
      <c r="U188" s="36"/>
      <c r="V188" s="36"/>
      <c r="W188" s="36"/>
      <c r="X188" s="36"/>
      <c r="Y188" s="36"/>
      <c r="Z188" s="36"/>
      <c r="AA188" s="36"/>
      <c r="AB188" s="36"/>
      <c r="AC188" s="36"/>
      <c r="AD188" s="36"/>
      <c r="AE188" s="36"/>
      <c r="AF188" s="36"/>
      <c r="AG188" s="36"/>
      <c r="AH188" s="36"/>
      <c r="AI188" s="36"/>
      <c r="AJ188" s="36"/>
      <c r="AK188" s="36"/>
      <c r="AL188" s="36"/>
      <c r="AM188" s="36"/>
      <c r="AN188" s="36"/>
      <c r="AO188" s="36"/>
      <c r="AP188" s="36"/>
      <c r="AQ188" s="36"/>
      <c r="AR188" s="36"/>
      <c r="AS188" s="36"/>
      <c r="AT188" s="36"/>
      <c r="AU188" s="36"/>
      <c r="AV188" s="36"/>
      <c r="AW188" s="36"/>
      <c r="AX188" s="36"/>
      <c r="AY188" s="36"/>
      <c r="AZ188" s="71"/>
      <c r="BA188" s="71"/>
      <c r="BB188" s="71"/>
      <c r="BC188" s="71"/>
      <c r="BD188" s="71"/>
      <c r="BE188" s="71"/>
      <c r="BF188" s="71"/>
      <c r="BG188" s="71"/>
      <c r="BH188" s="71"/>
      <c r="BI188" s="71"/>
      <c r="BJ188" s="71"/>
      <c r="BK188" s="71"/>
      <c r="BL188" s="71"/>
      <c r="BM188" s="71"/>
      <c r="BN188" s="71"/>
      <c r="BO188" s="71"/>
      <c r="BP188" s="71"/>
      <c r="BQ188" s="71"/>
      <c r="BR188" s="71"/>
      <c r="BS188" s="71"/>
    </row>
    <row r="189" spans="1:71" ht="15" x14ac:dyDescent="0.25">
      <c r="A189" s="37"/>
      <c r="B189" s="37"/>
      <c r="C189" s="37"/>
      <c r="D189" s="37"/>
      <c r="E189" s="37"/>
      <c r="F189" s="46" t="s">
        <v>343</v>
      </c>
      <c r="G189" s="46"/>
      <c r="H189" s="46"/>
      <c r="I189" s="46"/>
      <c r="J189" s="46"/>
      <c r="K189" s="46"/>
      <c r="L189" s="46"/>
      <c r="M189" s="46"/>
      <c r="N189" s="46"/>
      <c r="O189" s="192"/>
      <c r="P189" s="192"/>
      <c r="Q189" s="192"/>
      <c r="R189" s="192"/>
      <c r="S189" s="192"/>
      <c r="T189" s="192"/>
      <c r="U189" s="192"/>
      <c r="V189" s="192"/>
      <c r="W189" s="192"/>
      <c r="X189" s="192"/>
      <c r="Y189" s="192"/>
      <c r="Z189" s="192"/>
      <c r="AA189" s="192"/>
      <c r="AB189" s="192"/>
      <c r="AC189" s="192"/>
      <c r="AD189" s="192"/>
      <c r="AE189" s="192"/>
      <c r="AF189" s="37"/>
      <c r="AG189" s="37"/>
      <c r="AH189" s="37"/>
      <c r="AI189" s="37"/>
      <c r="AJ189" s="37"/>
      <c r="AK189" s="37"/>
      <c r="AL189" s="37"/>
      <c r="AM189" s="37"/>
      <c r="AN189" s="37"/>
      <c r="AO189" s="37"/>
      <c r="AP189" s="37"/>
      <c r="AQ189" s="37"/>
      <c r="AR189" s="37"/>
      <c r="AS189" s="37"/>
      <c r="AT189" s="37"/>
      <c r="AU189" s="37"/>
      <c r="AV189" s="37"/>
      <c r="AW189" s="37"/>
      <c r="AX189" s="37"/>
      <c r="AY189" s="37"/>
      <c r="AZ189" s="37"/>
      <c r="BA189" s="37"/>
      <c r="BB189" s="37"/>
      <c r="BC189" s="37"/>
      <c r="BD189" s="37"/>
      <c r="BE189" s="37"/>
      <c r="BF189" s="37"/>
      <c r="BG189" s="37"/>
      <c r="BH189" s="37"/>
      <c r="BI189" s="37"/>
      <c r="BJ189" s="37"/>
      <c r="BK189" s="37"/>
      <c r="BL189" s="37"/>
      <c r="BM189" s="37"/>
      <c r="BN189" s="37"/>
      <c r="BO189" s="37"/>
      <c r="BP189" s="37"/>
      <c r="BQ189" s="37"/>
      <c r="BR189" s="37"/>
      <c r="BS189" s="37"/>
    </row>
    <row r="190" spans="1:71" ht="15" x14ac:dyDescent="0.25">
      <c r="A190" s="37"/>
      <c r="B190" s="37"/>
      <c r="C190" s="37"/>
      <c r="D190" s="37"/>
      <c r="E190" s="37"/>
      <c r="F190" s="37"/>
      <c r="G190" s="37"/>
      <c r="H190" s="37"/>
      <c r="I190" s="37"/>
      <c r="J190" s="37"/>
      <c r="K190" s="37"/>
      <c r="L190" s="37"/>
      <c r="M190" s="37"/>
      <c r="N190" s="37"/>
      <c r="O190" s="37"/>
      <c r="P190" s="37"/>
      <c r="Q190" s="37"/>
      <c r="R190" s="37"/>
      <c r="S190" s="37"/>
      <c r="T190" s="37"/>
      <c r="U190" s="37"/>
      <c r="V190" s="37"/>
      <c r="W190" s="37"/>
      <c r="X190" s="37"/>
      <c r="Y190" s="37"/>
      <c r="Z190" s="37"/>
      <c r="AA190" s="37"/>
      <c r="AB190" s="37"/>
      <c r="AC190" s="37"/>
      <c r="AD190" s="37"/>
      <c r="AE190" s="37"/>
      <c r="AF190" s="37"/>
      <c r="AG190" s="37"/>
      <c r="AH190" s="37"/>
      <c r="AI190" s="37"/>
      <c r="AJ190" s="37"/>
      <c r="AK190" s="37"/>
      <c r="AL190" s="37"/>
      <c r="AM190" s="37"/>
      <c r="AN190" s="37"/>
      <c r="AO190" s="37"/>
      <c r="AP190" s="37"/>
      <c r="AQ190" s="37"/>
      <c r="AR190" s="37"/>
      <c r="AS190" s="37"/>
      <c r="AT190" s="37"/>
      <c r="AU190" s="37"/>
      <c r="AV190" s="37"/>
      <c r="AW190" s="37"/>
      <c r="AX190" s="37"/>
      <c r="AY190" s="37"/>
      <c r="AZ190" s="37"/>
      <c r="BA190" s="37"/>
      <c r="BB190" s="37"/>
      <c r="BC190" s="37"/>
      <c r="BD190" s="37"/>
      <c r="BE190" s="37"/>
      <c r="BF190" s="37"/>
      <c r="BG190" s="37"/>
      <c r="BH190" s="37"/>
      <c r="BI190" s="37"/>
      <c r="BJ190" s="37"/>
      <c r="BK190" s="37"/>
      <c r="BL190" s="37"/>
      <c r="BM190" s="37"/>
      <c r="BN190" s="37"/>
      <c r="BO190" s="37"/>
      <c r="BP190" s="37"/>
      <c r="BQ190" s="37"/>
      <c r="BR190" s="37"/>
      <c r="BS190" s="37"/>
    </row>
    <row r="191" spans="1:71" ht="15" x14ac:dyDescent="0.25">
      <c r="A191" s="37"/>
      <c r="B191" s="37"/>
      <c r="C191" s="37"/>
      <c r="D191" s="37"/>
      <c r="E191" s="37"/>
      <c r="F191" s="37" t="s">
        <v>160</v>
      </c>
      <c r="G191" s="37"/>
      <c r="H191" s="37"/>
      <c r="I191" s="37"/>
      <c r="J191" s="37"/>
      <c r="K191" s="37"/>
      <c r="L191" s="37"/>
      <c r="M191" s="37"/>
      <c r="N191" s="37"/>
      <c r="O191" s="37"/>
      <c r="P191" s="37"/>
      <c r="Q191" s="37"/>
      <c r="R191" s="37"/>
      <c r="S191" s="37"/>
      <c r="T191" s="37"/>
      <c r="U191" s="37"/>
      <c r="V191" s="37"/>
      <c r="W191" s="37"/>
      <c r="X191" s="37"/>
      <c r="Y191" s="37"/>
      <c r="Z191" s="37"/>
      <c r="AA191" s="37"/>
      <c r="AB191" s="37"/>
      <c r="AC191" s="37"/>
      <c r="AD191" s="37"/>
      <c r="AE191" s="37"/>
      <c r="AF191" s="37"/>
      <c r="AG191" s="37"/>
      <c r="AH191" s="37" t="s">
        <v>401</v>
      </c>
      <c r="AI191" s="37"/>
      <c r="AJ191" s="37"/>
      <c r="AK191" s="37"/>
      <c r="AL191" s="37"/>
      <c r="AM191" s="37"/>
      <c r="AN191" s="37"/>
      <c r="AO191" s="37"/>
      <c r="AP191" s="37"/>
      <c r="AQ191" s="37"/>
      <c r="AR191" s="37"/>
      <c r="AS191" s="37"/>
      <c r="AT191" s="37"/>
      <c r="AU191" s="37"/>
      <c r="AV191" s="37"/>
      <c r="AW191" s="37"/>
      <c r="AX191" s="37"/>
      <c r="AY191" s="37"/>
      <c r="AZ191" s="37"/>
      <c r="BA191" s="37"/>
      <c r="BB191" s="37"/>
      <c r="BC191" s="37"/>
      <c r="BD191" s="37"/>
      <c r="BE191" s="37"/>
      <c r="BF191" s="37"/>
      <c r="BG191" s="37"/>
      <c r="BH191" s="37"/>
      <c r="BI191" s="37"/>
      <c r="BJ191" s="37"/>
      <c r="BK191" s="37"/>
      <c r="BL191" s="37"/>
      <c r="BM191" s="37"/>
      <c r="BN191" s="37"/>
      <c r="BO191" s="37"/>
      <c r="BP191" s="37"/>
      <c r="BQ191" s="37"/>
      <c r="BR191" s="37"/>
      <c r="BS191" s="37"/>
    </row>
    <row r="192" spans="1:71" ht="15" x14ac:dyDescent="0.25">
      <c r="A192" s="37"/>
      <c r="B192" s="37"/>
      <c r="C192" s="37"/>
      <c r="D192" s="37"/>
      <c r="E192" s="37"/>
      <c r="F192" s="37" t="s">
        <v>41</v>
      </c>
      <c r="G192" s="37"/>
      <c r="H192" s="37"/>
      <c r="I192" s="37"/>
      <c r="J192" s="37"/>
      <c r="K192" s="37"/>
      <c r="L192" s="37"/>
      <c r="M192" s="37"/>
      <c r="N192" s="37"/>
      <c r="O192" s="37"/>
      <c r="P192" s="37"/>
      <c r="Q192" s="37"/>
      <c r="R192" s="37"/>
      <c r="S192" s="37"/>
      <c r="T192" s="37"/>
      <c r="U192" s="37"/>
      <c r="V192" s="37"/>
      <c r="W192" s="37"/>
      <c r="X192" s="37"/>
      <c r="Y192" s="37"/>
      <c r="Z192" s="37"/>
      <c r="AA192" s="37"/>
      <c r="AB192" s="37"/>
      <c r="AC192" s="37"/>
      <c r="AD192" s="37"/>
      <c r="AE192" s="37"/>
      <c r="AF192" s="37"/>
      <c r="AG192" s="37"/>
      <c r="AH192" s="37" t="s">
        <v>722</v>
      </c>
      <c r="AI192" s="37"/>
      <c r="AJ192" s="37"/>
      <c r="AK192" s="37"/>
      <c r="AL192" s="37"/>
      <c r="AM192" s="37"/>
      <c r="AN192" s="36"/>
      <c r="AO192" s="36"/>
      <c r="AP192" s="36"/>
      <c r="AQ192" s="36"/>
      <c r="AR192" s="36"/>
      <c r="AS192" s="37"/>
      <c r="AT192" s="37"/>
      <c r="AU192" s="37"/>
      <c r="AV192" s="37"/>
      <c r="AW192" s="37"/>
      <c r="AX192" s="37"/>
      <c r="AY192" s="37"/>
      <c r="AZ192" s="37"/>
      <c r="BA192" s="37"/>
      <c r="BB192" s="37"/>
      <c r="BC192" s="37"/>
      <c r="BD192" s="37"/>
      <c r="BE192" s="37"/>
      <c r="BF192" s="37"/>
      <c r="BG192" s="37"/>
      <c r="BH192" s="37"/>
      <c r="BI192" s="37"/>
      <c r="BJ192" s="37"/>
      <c r="BK192" s="37"/>
      <c r="BL192" s="37"/>
      <c r="BM192" s="37"/>
      <c r="BN192" s="37"/>
      <c r="BO192" s="37"/>
      <c r="BP192" s="37"/>
      <c r="BQ192" s="37"/>
      <c r="BR192" s="37"/>
      <c r="BS192" s="37"/>
    </row>
    <row r="193" spans="1:71" ht="15" x14ac:dyDescent="0.25">
      <c r="A193" s="37"/>
      <c r="B193" s="37"/>
      <c r="C193" s="37"/>
      <c r="D193" s="37"/>
      <c r="E193" s="37"/>
      <c r="F193" s="37"/>
      <c r="G193" s="37"/>
      <c r="H193" s="37"/>
      <c r="I193" s="37"/>
      <c r="J193" s="37"/>
      <c r="K193" s="37"/>
      <c r="L193" s="37"/>
      <c r="M193" s="37"/>
      <c r="N193" s="37"/>
      <c r="O193" s="37"/>
      <c r="P193" s="37"/>
      <c r="Q193" s="37"/>
      <c r="R193" s="37"/>
      <c r="S193" s="37"/>
      <c r="T193" s="37"/>
      <c r="U193" s="37"/>
      <c r="V193" s="37"/>
      <c r="W193" s="37"/>
      <c r="X193" s="37"/>
      <c r="Y193" s="37"/>
      <c r="Z193" s="37"/>
      <c r="AA193" s="37"/>
      <c r="AB193" s="37"/>
      <c r="AC193" s="37"/>
      <c r="AD193" s="37"/>
      <c r="AE193" s="37"/>
      <c r="AF193" s="37"/>
      <c r="AG193" s="37"/>
      <c r="AH193" s="37"/>
      <c r="AI193" s="37"/>
      <c r="AJ193" s="37"/>
      <c r="AK193" s="37"/>
      <c r="AL193" s="37"/>
      <c r="AM193" s="37"/>
      <c r="AN193" s="37"/>
      <c r="AO193" s="37"/>
      <c r="AP193" s="37"/>
      <c r="AQ193" s="37"/>
      <c r="AR193" s="37"/>
      <c r="AS193" s="37"/>
      <c r="AT193" s="37"/>
      <c r="AU193" s="37"/>
      <c r="AV193" s="37"/>
      <c r="AW193" s="37"/>
      <c r="AX193" s="37"/>
      <c r="AY193" s="37"/>
      <c r="AZ193" s="37"/>
      <c r="BA193" s="37"/>
      <c r="BB193" s="37"/>
      <c r="BC193" s="37"/>
      <c r="BD193" s="37"/>
      <c r="BE193" s="37"/>
      <c r="BF193" s="37"/>
      <c r="BG193" s="37"/>
      <c r="BH193" s="37"/>
      <c r="BI193" s="37"/>
      <c r="BJ193" s="37"/>
      <c r="BK193" s="37"/>
      <c r="BL193" s="37"/>
      <c r="BM193" s="37"/>
      <c r="BN193" s="37"/>
      <c r="BO193" s="37"/>
      <c r="BP193" s="37"/>
      <c r="BQ193" s="37"/>
      <c r="BR193" s="37"/>
      <c r="BS193" s="37"/>
    </row>
    <row r="194" spans="1:71" ht="15" x14ac:dyDescent="0.25">
      <c r="A194" s="37"/>
      <c r="B194" s="37"/>
      <c r="C194" s="37"/>
      <c r="D194" s="37"/>
      <c r="E194" s="37"/>
      <c r="F194" s="37"/>
      <c r="G194" s="37"/>
      <c r="H194" s="37"/>
      <c r="I194" s="37"/>
      <c r="J194" s="37"/>
      <c r="K194" s="37"/>
      <c r="L194" s="37"/>
      <c r="M194" s="37"/>
      <c r="N194" s="37"/>
      <c r="O194" s="37"/>
      <c r="P194" s="37"/>
      <c r="Q194" s="37"/>
      <c r="R194" s="37"/>
      <c r="S194" s="37"/>
      <c r="T194" s="37"/>
      <c r="U194" s="37"/>
      <c r="V194" s="37"/>
      <c r="W194" s="37"/>
      <c r="X194" s="37"/>
      <c r="Y194" s="37"/>
      <c r="Z194" s="37"/>
      <c r="AA194" s="37"/>
      <c r="AB194" s="37"/>
      <c r="AC194" s="37"/>
      <c r="AD194" s="37"/>
      <c r="AE194" s="37"/>
      <c r="AF194" s="37"/>
      <c r="AG194" s="37"/>
      <c r="AI194" s="37"/>
      <c r="AJ194" s="37"/>
      <c r="AK194" s="37"/>
      <c r="AL194" s="37"/>
      <c r="AM194" s="37"/>
      <c r="AN194" s="37"/>
      <c r="AO194" s="37"/>
      <c r="AP194" s="37"/>
      <c r="AQ194" s="37"/>
      <c r="AR194" s="37"/>
      <c r="AS194" s="37"/>
      <c r="AT194" s="37"/>
      <c r="AU194" s="37"/>
      <c r="AV194" s="37"/>
      <c r="AW194" s="37"/>
      <c r="AX194" s="37"/>
      <c r="AY194" s="37"/>
      <c r="AZ194" s="37"/>
      <c r="BA194" s="37"/>
      <c r="BB194" s="37"/>
      <c r="BC194" s="37"/>
      <c r="BD194" s="37"/>
      <c r="BE194" s="37"/>
      <c r="BF194" s="37"/>
      <c r="BG194" s="37"/>
      <c r="BH194" s="37"/>
      <c r="BI194" s="37"/>
      <c r="BJ194" s="37"/>
      <c r="BK194" s="37"/>
      <c r="BL194" s="37"/>
      <c r="BM194" s="37"/>
      <c r="BN194" s="37"/>
      <c r="BO194" s="37"/>
      <c r="BP194" s="37"/>
      <c r="BQ194" s="37"/>
      <c r="BR194" s="37"/>
      <c r="BS194" s="37"/>
    </row>
    <row r="195" spans="1:71" ht="15" x14ac:dyDescent="0.25">
      <c r="A195" s="37"/>
      <c r="B195" s="37"/>
      <c r="C195" s="37"/>
      <c r="D195" s="37"/>
      <c r="E195" s="37"/>
      <c r="F195" s="37"/>
      <c r="G195" s="37"/>
      <c r="H195" s="37"/>
      <c r="I195" s="37"/>
      <c r="J195" s="37"/>
      <c r="K195" s="37"/>
      <c r="L195" s="37"/>
      <c r="M195" s="37"/>
      <c r="N195" s="37"/>
      <c r="O195" s="37"/>
      <c r="P195" s="37"/>
      <c r="Q195" s="37"/>
      <c r="R195" s="37"/>
      <c r="S195" s="37"/>
      <c r="T195" s="37"/>
      <c r="U195" s="37"/>
      <c r="V195" s="37"/>
      <c r="W195" s="37"/>
      <c r="X195" s="37"/>
      <c r="Y195" s="37"/>
      <c r="Z195" s="37"/>
      <c r="AA195" s="37"/>
      <c r="AB195" s="37"/>
      <c r="AC195" s="37"/>
      <c r="AD195" s="37"/>
      <c r="AE195" s="37"/>
      <c r="AF195" s="37"/>
      <c r="AG195" s="37"/>
      <c r="AH195" s="37"/>
      <c r="AI195" s="37"/>
      <c r="AJ195" s="37"/>
      <c r="AK195" s="37"/>
      <c r="AL195" s="37"/>
      <c r="AM195" s="37"/>
      <c r="AN195" s="37"/>
      <c r="AO195" s="37"/>
      <c r="AP195" s="37"/>
      <c r="AQ195" s="37"/>
      <c r="AR195" s="37"/>
      <c r="AS195" s="37"/>
      <c r="AT195" s="37"/>
      <c r="AU195" s="37"/>
      <c r="AV195" s="37"/>
      <c r="AW195" s="37"/>
      <c r="AX195" s="37"/>
      <c r="AY195" s="37"/>
      <c r="AZ195" s="37"/>
      <c r="BA195" s="37"/>
      <c r="BB195" s="37"/>
      <c r="BC195" s="37"/>
      <c r="BD195" s="37"/>
      <c r="BE195" s="37"/>
      <c r="BF195" s="37"/>
      <c r="BG195" s="37"/>
      <c r="BH195" s="37"/>
      <c r="BI195" s="37"/>
      <c r="BJ195" s="37"/>
      <c r="BK195" s="37"/>
      <c r="BL195" s="37"/>
      <c r="BM195" s="37"/>
      <c r="BN195" s="37"/>
      <c r="BO195" s="37"/>
      <c r="BP195" s="37"/>
      <c r="BQ195" s="37"/>
      <c r="BR195" s="37"/>
      <c r="BS195" s="37"/>
    </row>
    <row r="196" spans="1:71" ht="15" x14ac:dyDescent="0.25">
      <c r="A196" s="37"/>
      <c r="B196" s="37"/>
      <c r="C196" s="37"/>
      <c r="D196" s="37"/>
      <c r="E196" s="37"/>
      <c r="F196" s="37"/>
      <c r="G196" s="37"/>
      <c r="H196" s="37"/>
      <c r="I196" s="37"/>
      <c r="J196" s="37"/>
      <c r="K196" s="37"/>
      <c r="L196" s="37"/>
      <c r="M196" s="37"/>
      <c r="N196" s="37"/>
      <c r="O196" s="37"/>
      <c r="P196" s="37"/>
      <c r="Q196" s="37"/>
      <c r="R196" s="37"/>
      <c r="S196" s="37"/>
      <c r="T196" s="37"/>
      <c r="U196" s="37"/>
      <c r="V196" s="37"/>
      <c r="W196" s="37"/>
      <c r="X196" s="37"/>
      <c r="Y196" s="37"/>
      <c r="Z196" s="37"/>
      <c r="AA196" s="37"/>
      <c r="AB196" s="37"/>
      <c r="AC196" s="37"/>
      <c r="AD196" s="37"/>
      <c r="AE196" s="37"/>
      <c r="AF196" s="37"/>
      <c r="AG196" s="37"/>
      <c r="AH196" s="37"/>
      <c r="AI196" s="37"/>
      <c r="AJ196" s="37"/>
      <c r="AK196" s="37"/>
      <c r="AL196" s="37"/>
      <c r="AM196" s="37"/>
      <c r="AN196" s="37"/>
      <c r="AO196" s="37"/>
      <c r="AP196" s="37"/>
      <c r="AQ196" s="37"/>
      <c r="AR196" s="37"/>
      <c r="AS196" s="37"/>
      <c r="AT196" s="37"/>
      <c r="AU196" s="37"/>
      <c r="AV196" s="37"/>
      <c r="AW196" s="37"/>
      <c r="AX196" s="37"/>
      <c r="AY196" s="37"/>
      <c r="AZ196" s="37"/>
      <c r="BA196" s="37"/>
      <c r="BB196" s="37"/>
      <c r="BC196" s="37"/>
      <c r="BD196" s="37"/>
      <c r="BE196" s="37"/>
      <c r="BF196" s="37"/>
      <c r="BG196" s="37"/>
      <c r="BH196" s="37"/>
      <c r="BI196" s="37"/>
      <c r="BJ196" s="37"/>
      <c r="BK196" s="37"/>
      <c r="BL196" s="37"/>
      <c r="BM196" s="37"/>
      <c r="BN196" s="37"/>
      <c r="BO196" s="37"/>
      <c r="BP196" s="37"/>
      <c r="BQ196" s="37"/>
      <c r="BR196" s="37"/>
      <c r="BS196" s="37"/>
    </row>
    <row r="197" spans="1:71" ht="15" x14ac:dyDescent="0.25">
      <c r="A197" s="37"/>
      <c r="B197" s="37"/>
      <c r="C197" s="37"/>
      <c r="D197" s="37"/>
      <c r="E197" s="37"/>
      <c r="F197" s="46" t="s">
        <v>402</v>
      </c>
      <c r="G197" s="46"/>
      <c r="H197" s="46"/>
      <c r="I197" s="46"/>
      <c r="J197" s="46"/>
      <c r="K197" s="46"/>
      <c r="L197" s="46"/>
      <c r="M197" s="46"/>
      <c r="N197" s="46"/>
      <c r="O197" s="192"/>
      <c r="P197" s="192"/>
      <c r="Q197" s="192"/>
      <c r="R197" s="192"/>
      <c r="S197" s="192"/>
      <c r="T197" s="192"/>
      <c r="U197" s="192"/>
      <c r="V197" s="192"/>
      <c r="W197" s="192"/>
      <c r="X197" s="192"/>
      <c r="Y197" s="192"/>
      <c r="Z197" s="192"/>
      <c r="AA197" s="192"/>
      <c r="AB197" s="192"/>
      <c r="AC197" s="192"/>
      <c r="AD197" s="192"/>
      <c r="AE197" s="192"/>
      <c r="AF197" s="37"/>
      <c r="AG197" s="37"/>
      <c r="AH197" s="37"/>
      <c r="AI197" s="37"/>
      <c r="AJ197" s="37"/>
      <c r="AK197" s="37"/>
      <c r="AL197" s="37"/>
      <c r="AM197" s="37"/>
      <c r="AN197" s="37"/>
      <c r="AO197" s="37"/>
      <c r="AP197" s="37"/>
      <c r="AQ197" s="37"/>
      <c r="AR197" s="37"/>
      <c r="AS197" s="37"/>
      <c r="AT197" s="37"/>
      <c r="AU197" s="37"/>
      <c r="AV197" s="37"/>
      <c r="AW197" s="37"/>
      <c r="AX197" s="37"/>
      <c r="AY197" s="37"/>
      <c r="AZ197" s="37"/>
      <c r="BA197" s="37"/>
      <c r="BB197" s="37"/>
      <c r="BC197" s="37"/>
      <c r="BD197" s="37"/>
      <c r="BE197" s="37"/>
      <c r="BF197" s="37"/>
      <c r="BG197" s="37"/>
      <c r="BH197" s="37"/>
      <c r="BI197" s="37"/>
      <c r="BJ197" s="37"/>
      <c r="BK197" s="37"/>
      <c r="BL197" s="37"/>
      <c r="BM197" s="37"/>
      <c r="BN197" s="37"/>
      <c r="BO197" s="37"/>
      <c r="BP197" s="37"/>
      <c r="BQ197" s="37"/>
      <c r="BR197" s="37"/>
      <c r="BS197" s="37"/>
    </row>
    <row r="198" spans="1:71" ht="15" x14ac:dyDescent="0.25">
      <c r="A198" s="37"/>
      <c r="B198" s="37"/>
      <c r="C198" s="37"/>
      <c r="D198" s="37"/>
      <c r="E198" s="37"/>
      <c r="F198" s="37"/>
      <c r="G198" s="37"/>
      <c r="H198" s="37"/>
      <c r="I198" s="37"/>
      <c r="J198" s="37"/>
      <c r="K198" s="37"/>
      <c r="L198" s="37"/>
      <c r="M198" s="37"/>
      <c r="N198" s="37"/>
      <c r="O198" s="37"/>
      <c r="P198" s="37"/>
      <c r="Q198" s="37"/>
      <c r="R198" s="37"/>
      <c r="S198" s="37"/>
      <c r="T198" s="37"/>
      <c r="U198" s="37"/>
      <c r="V198" s="37"/>
      <c r="W198" s="37"/>
      <c r="X198" s="37"/>
      <c r="Y198" s="37"/>
      <c r="Z198" s="37"/>
      <c r="AA198" s="37"/>
      <c r="AB198" s="37"/>
      <c r="AC198" s="37"/>
      <c r="AD198" s="37"/>
      <c r="AE198" s="37"/>
      <c r="AF198" s="37"/>
      <c r="AG198" s="37"/>
      <c r="AH198" s="37"/>
      <c r="AI198" s="37"/>
      <c r="AJ198" s="37"/>
      <c r="AK198" s="37"/>
      <c r="AL198" s="37"/>
      <c r="AM198" s="37"/>
      <c r="AN198" s="37"/>
      <c r="AO198" s="37"/>
      <c r="AP198" s="37"/>
      <c r="AQ198" s="37"/>
      <c r="AR198" s="37"/>
      <c r="AS198" s="37"/>
      <c r="AT198" s="37"/>
      <c r="AU198" s="37"/>
      <c r="AV198" s="37"/>
      <c r="AW198" s="37"/>
      <c r="AX198" s="37"/>
      <c r="AY198" s="37"/>
      <c r="AZ198" s="37"/>
      <c r="BA198" s="37"/>
      <c r="BB198" s="37"/>
      <c r="BC198" s="37"/>
      <c r="BD198" s="37"/>
      <c r="BE198" s="37"/>
      <c r="BF198" s="37"/>
      <c r="BG198" s="37"/>
      <c r="BH198" s="37"/>
      <c r="BI198" s="37"/>
      <c r="BJ198" s="37"/>
      <c r="BK198" s="37"/>
      <c r="BL198" s="37"/>
      <c r="BM198" s="37"/>
      <c r="BN198" s="37"/>
      <c r="BO198" s="37"/>
      <c r="BP198" s="37"/>
      <c r="BQ198" s="37"/>
      <c r="BR198" s="37"/>
      <c r="BS198" s="37"/>
    </row>
    <row r="199" spans="1:71" ht="15" x14ac:dyDescent="0.25">
      <c r="A199" s="37"/>
      <c r="B199" s="37"/>
      <c r="C199" s="37"/>
      <c r="D199" s="37"/>
      <c r="E199" s="37"/>
      <c r="F199" s="37" t="s">
        <v>162</v>
      </c>
      <c r="G199" s="37"/>
      <c r="H199" s="37"/>
      <c r="I199" s="37"/>
      <c r="J199" s="37"/>
      <c r="K199" s="37"/>
      <c r="L199" s="37"/>
      <c r="M199" s="37"/>
      <c r="N199" s="37"/>
      <c r="O199" s="37"/>
      <c r="P199" s="37"/>
      <c r="Q199" s="37"/>
      <c r="R199" s="37"/>
      <c r="S199" s="37"/>
      <c r="T199" s="37"/>
      <c r="U199" s="37"/>
      <c r="V199" s="37"/>
      <c r="W199" s="37"/>
      <c r="X199" s="37"/>
      <c r="Y199" s="37"/>
      <c r="Z199" s="37"/>
      <c r="AA199" s="37"/>
      <c r="AB199" s="37"/>
      <c r="AC199" s="37"/>
      <c r="AD199" s="37"/>
      <c r="AE199" s="37"/>
      <c r="AF199" s="37"/>
      <c r="AG199" s="37"/>
      <c r="AH199" s="37" t="s">
        <v>681</v>
      </c>
      <c r="AI199" s="37"/>
      <c r="AJ199" s="37"/>
      <c r="AK199" s="37"/>
      <c r="AL199" s="37"/>
      <c r="AM199" s="37"/>
      <c r="AN199" s="37"/>
      <c r="AO199" s="37"/>
      <c r="AP199" s="37"/>
      <c r="AQ199" s="37"/>
      <c r="AR199" s="37"/>
      <c r="AS199" s="37"/>
      <c r="AT199" s="37"/>
      <c r="AU199" s="37"/>
      <c r="AV199" s="37"/>
      <c r="AW199" s="37"/>
      <c r="AX199" s="37"/>
      <c r="AY199" s="37"/>
      <c r="AZ199" s="37"/>
      <c r="BA199" s="37"/>
      <c r="BB199" s="37"/>
      <c r="BC199" s="37"/>
      <c r="BD199" s="37"/>
      <c r="BE199" s="37"/>
      <c r="BF199" s="37"/>
      <c r="BG199" s="37"/>
      <c r="BH199" s="37"/>
      <c r="BI199" s="37"/>
      <c r="BJ199" s="37"/>
      <c r="BK199" s="37"/>
      <c r="BL199" s="37"/>
      <c r="BM199" s="37"/>
      <c r="BN199" s="37"/>
      <c r="BO199" s="37"/>
      <c r="BP199" s="37"/>
      <c r="BQ199" s="37"/>
      <c r="BR199" s="37"/>
      <c r="BS199" s="37"/>
    </row>
    <row r="200" spans="1:71" ht="15" x14ac:dyDescent="0.25">
      <c r="A200" s="37"/>
      <c r="B200" s="37"/>
      <c r="C200" s="37"/>
      <c r="D200" s="37"/>
      <c r="E200" s="37"/>
      <c r="F200" s="37" t="s">
        <v>41</v>
      </c>
      <c r="G200" s="37"/>
      <c r="H200" s="37"/>
      <c r="I200" s="37"/>
      <c r="J200" s="37"/>
      <c r="K200" s="37"/>
      <c r="L200" s="37"/>
      <c r="M200" s="37"/>
      <c r="N200" s="37"/>
      <c r="O200" s="37"/>
      <c r="P200" s="37"/>
      <c r="Q200" s="37"/>
      <c r="R200" s="37"/>
      <c r="S200" s="37"/>
      <c r="T200" s="37"/>
      <c r="U200" s="37"/>
      <c r="V200" s="37"/>
      <c r="W200" s="37"/>
      <c r="X200" s="37"/>
      <c r="Y200" s="37"/>
      <c r="Z200" s="37"/>
      <c r="AA200" s="37"/>
      <c r="AB200" s="37"/>
      <c r="AC200" s="37"/>
      <c r="AD200" s="37"/>
      <c r="AE200" s="37"/>
      <c r="AF200" s="37"/>
      <c r="AG200" s="37"/>
      <c r="AH200" s="37" t="s">
        <v>682</v>
      </c>
      <c r="AI200" s="37"/>
      <c r="AJ200" s="37"/>
      <c r="AK200" s="37"/>
      <c r="AL200" s="37"/>
      <c r="AM200" s="37"/>
      <c r="AN200" s="37"/>
      <c r="AO200" s="37"/>
      <c r="AP200" s="37"/>
      <c r="AQ200" s="37"/>
      <c r="AR200" s="37"/>
      <c r="AS200" s="37"/>
      <c r="AT200" s="37"/>
      <c r="AU200" s="37"/>
      <c r="AV200" s="37"/>
      <c r="AW200" s="37"/>
      <c r="AX200" s="37"/>
      <c r="AY200" s="37"/>
      <c r="AZ200" s="37"/>
      <c r="BA200" s="37"/>
      <c r="BB200" s="37"/>
      <c r="BC200" s="37"/>
      <c r="BD200" s="37"/>
      <c r="BE200" s="37"/>
      <c r="BF200" s="37"/>
      <c r="BG200" s="37"/>
      <c r="BH200" s="37"/>
      <c r="BI200" s="37"/>
      <c r="BJ200" s="37"/>
      <c r="BK200" s="37"/>
      <c r="BL200" s="37"/>
      <c r="BM200" s="37"/>
      <c r="BN200" s="37"/>
      <c r="BO200" s="37"/>
      <c r="BP200" s="37"/>
      <c r="BQ200" s="37"/>
      <c r="BR200" s="37"/>
      <c r="BS200" s="37"/>
    </row>
    <row r="201" spans="1:71" ht="15" x14ac:dyDescent="0.25">
      <c r="A201" s="37"/>
      <c r="B201" s="37"/>
      <c r="C201" s="37"/>
      <c r="D201" s="37"/>
      <c r="E201" s="37"/>
      <c r="F201" s="37"/>
      <c r="G201" s="37"/>
      <c r="H201" s="37"/>
      <c r="I201" s="37"/>
      <c r="J201" s="37"/>
      <c r="K201" s="37"/>
      <c r="L201" s="37"/>
      <c r="M201" s="37"/>
      <c r="N201" s="37"/>
      <c r="O201" s="37"/>
      <c r="P201" s="37"/>
      <c r="Q201" s="37"/>
      <c r="R201" s="37"/>
      <c r="S201" s="37"/>
      <c r="T201" s="37"/>
      <c r="U201" s="37"/>
      <c r="V201" s="37"/>
      <c r="W201" s="37"/>
      <c r="X201" s="37"/>
      <c r="Y201" s="37"/>
      <c r="Z201" s="37"/>
      <c r="AA201" s="37"/>
      <c r="AB201" s="37"/>
      <c r="AC201" s="37"/>
      <c r="AD201" s="37"/>
      <c r="AE201" s="37"/>
      <c r="AF201" s="37"/>
      <c r="AG201" s="37"/>
      <c r="AH201" s="37"/>
      <c r="AI201" s="37"/>
      <c r="AJ201" s="37"/>
      <c r="AK201" s="37"/>
      <c r="AL201" s="37"/>
      <c r="AM201" s="37"/>
      <c r="AN201" s="37"/>
      <c r="AO201" s="37"/>
      <c r="AP201" s="37"/>
      <c r="AQ201" s="37"/>
      <c r="AR201" s="37"/>
      <c r="AS201" s="37"/>
      <c r="AT201" s="37"/>
      <c r="AU201" s="37"/>
      <c r="AV201" s="37"/>
      <c r="AW201" s="37"/>
      <c r="AX201" s="37"/>
      <c r="AY201" s="37"/>
      <c r="AZ201" s="37"/>
      <c r="BA201" s="37"/>
      <c r="BB201" s="37"/>
      <c r="BC201" s="37"/>
      <c r="BD201" s="37"/>
      <c r="BE201" s="37"/>
      <c r="BF201" s="37"/>
      <c r="BG201" s="37"/>
      <c r="BH201" s="37"/>
      <c r="BI201" s="37"/>
      <c r="BJ201" s="37"/>
      <c r="BK201" s="37"/>
      <c r="BL201" s="37"/>
      <c r="BM201" s="37"/>
      <c r="BN201" s="37"/>
      <c r="BO201" s="37"/>
      <c r="BP201" s="37"/>
      <c r="BQ201" s="37"/>
      <c r="BR201" s="37"/>
      <c r="BS201" s="37"/>
    </row>
    <row r="202" spans="1:71" ht="15" x14ac:dyDescent="0.25">
      <c r="A202" s="37"/>
      <c r="B202" s="37"/>
      <c r="C202" s="37"/>
      <c r="D202" s="37"/>
      <c r="E202" s="37"/>
      <c r="F202" s="37"/>
      <c r="G202" s="37"/>
      <c r="H202" s="37"/>
      <c r="I202" s="37"/>
      <c r="J202" s="37"/>
      <c r="K202" s="37"/>
      <c r="L202" s="37"/>
      <c r="M202" s="37"/>
      <c r="N202" s="37"/>
      <c r="O202" s="37"/>
      <c r="P202" s="37"/>
      <c r="Q202" s="37"/>
      <c r="R202" s="37"/>
      <c r="S202" s="37"/>
      <c r="T202" s="37"/>
      <c r="U202" s="37"/>
      <c r="V202" s="37"/>
      <c r="W202" s="37"/>
      <c r="X202" s="37"/>
      <c r="Y202" s="37"/>
      <c r="Z202" s="37"/>
      <c r="AA202" s="37"/>
      <c r="AB202" s="37"/>
      <c r="AC202" s="37"/>
      <c r="AD202" s="37"/>
      <c r="AE202" s="37"/>
      <c r="AF202" s="37"/>
      <c r="AG202" s="37"/>
      <c r="AH202" s="37"/>
      <c r="AI202" s="37"/>
      <c r="AJ202" s="37"/>
      <c r="AK202" s="37"/>
      <c r="AL202" s="37"/>
      <c r="AM202" s="37"/>
      <c r="AN202" s="37"/>
      <c r="AO202" s="37"/>
      <c r="AP202" s="37"/>
      <c r="AQ202" s="37"/>
      <c r="AR202" s="37"/>
      <c r="AS202" s="37"/>
      <c r="AT202" s="37"/>
      <c r="AU202" s="37"/>
      <c r="AV202" s="37"/>
      <c r="AW202" s="37"/>
      <c r="AX202" s="37"/>
      <c r="AY202" s="37"/>
      <c r="AZ202" s="37"/>
      <c r="BA202" s="37"/>
      <c r="BB202" s="37"/>
      <c r="BC202" s="37"/>
      <c r="BD202" s="37"/>
      <c r="BE202" s="37"/>
      <c r="BF202" s="37"/>
      <c r="BG202" s="37"/>
      <c r="BH202" s="37"/>
      <c r="BI202" s="37"/>
      <c r="BJ202" s="37"/>
      <c r="BK202" s="37"/>
      <c r="BL202" s="37"/>
      <c r="BM202" s="37"/>
      <c r="BN202" s="37"/>
      <c r="BO202" s="37"/>
      <c r="BP202" s="37"/>
      <c r="BQ202" s="37"/>
      <c r="BR202" s="37"/>
      <c r="BS202" s="37"/>
    </row>
    <row r="203" spans="1:71" ht="15" x14ac:dyDescent="0.25">
      <c r="A203" s="37"/>
      <c r="B203" s="37"/>
      <c r="C203" s="37"/>
      <c r="D203" s="37"/>
      <c r="E203" s="37"/>
      <c r="F203" s="37"/>
      <c r="G203" s="37"/>
      <c r="H203" s="37"/>
      <c r="I203" s="37"/>
      <c r="J203" s="37"/>
      <c r="K203" s="37"/>
      <c r="L203" s="37"/>
      <c r="M203" s="37"/>
      <c r="N203" s="37"/>
      <c r="O203" s="37"/>
      <c r="P203" s="37"/>
      <c r="Q203" s="37"/>
      <c r="R203" s="37"/>
      <c r="S203" s="37"/>
      <c r="T203" s="37"/>
      <c r="U203" s="37"/>
      <c r="V203" s="37"/>
      <c r="W203" s="37"/>
      <c r="X203" s="37"/>
      <c r="Y203" s="37"/>
      <c r="Z203" s="37"/>
      <c r="AA203" s="37"/>
      <c r="AB203" s="37"/>
      <c r="AC203" s="37"/>
      <c r="AD203" s="37"/>
      <c r="AE203" s="37"/>
      <c r="AF203" s="37"/>
      <c r="AG203" s="37"/>
      <c r="AH203" s="37"/>
      <c r="AI203" s="37"/>
      <c r="AJ203" s="37"/>
      <c r="AK203" s="37"/>
      <c r="AL203" s="37"/>
      <c r="AM203" s="37"/>
      <c r="AN203" s="37"/>
      <c r="AO203" s="37"/>
      <c r="AP203" s="37"/>
      <c r="AQ203" s="37"/>
      <c r="AR203" s="37"/>
      <c r="AS203" s="37"/>
      <c r="AT203" s="37"/>
      <c r="AU203" s="37"/>
      <c r="AV203" s="37"/>
      <c r="AW203" s="37"/>
      <c r="AX203" s="37"/>
      <c r="AY203" s="37"/>
      <c r="AZ203" s="37"/>
      <c r="BA203" s="37"/>
      <c r="BB203" s="37"/>
      <c r="BC203" s="37"/>
      <c r="BD203" s="37"/>
      <c r="BE203" s="37"/>
      <c r="BF203" s="37"/>
      <c r="BG203" s="37"/>
      <c r="BH203" s="37"/>
      <c r="BI203" s="37"/>
      <c r="BJ203" s="37"/>
      <c r="BK203" s="37"/>
      <c r="BL203" s="37"/>
      <c r="BM203" s="37"/>
      <c r="BN203" s="37"/>
      <c r="BO203" s="37"/>
      <c r="BP203" s="37"/>
      <c r="BQ203" s="37"/>
      <c r="BR203" s="37"/>
      <c r="BS203" s="37"/>
    </row>
    <row r="204" spans="1:71" ht="15" x14ac:dyDescent="0.25">
      <c r="A204" s="37"/>
      <c r="B204" s="37"/>
      <c r="C204" s="37"/>
      <c r="D204" s="37"/>
      <c r="E204" s="37"/>
      <c r="F204" s="37"/>
      <c r="G204" s="37"/>
      <c r="H204" s="37"/>
      <c r="I204" s="37"/>
      <c r="J204" s="37"/>
      <c r="K204" s="37"/>
      <c r="L204" s="37"/>
      <c r="M204" s="37"/>
      <c r="N204" s="37"/>
      <c r="O204" s="37"/>
      <c r="P204" s="37"/>
      <c r="Q204" s="37"/>
      <c r="R204" s="37"/>
      <c r="S204" s="37"/>
      <c r="T204" s="37"/>
      <c r="U204" s="37"/>
      <c r="V204" s="37"/>
      <c r="W204" s="37"/>
      <c r="X204" s="37"/>
      <c r="Y204" s="37"/>
      <c r="Z204" s="37"/>
      <c r="AA204" s="37"/>
      <c r="AB204" s="37"/>
      <c r="AC204" s="37"/>
      <c r="AD204" s="37"/>
      <c r="AE204" s="37"/>
      <c r="AF204" s="37"/>
      <c r="AG204" s="37"/>
      <c r="AH204" s="37"/>
      <c r="AI204" s="37"/>
      <c r="AJ204" s="37"/>
      <c r="AK204" s="37"/>
      <c r="AL204" s="37"/>
      <c r="AM204" s="37"/>
      <c r="AN204" s="37"/>
      <c r="AO204" s="37"/>
      <c r="AP204" s="37"/>
      <c r="AQ204" s="37"/>
      <c r="AR204" s="37"/>
      <c r="AS204" s="37"/>
      <c r="AT204" s="37"/>
      <c r="AU204" s="37"/>
      <c r="AV204" s="37"/>
      <c r="AW204" s="37"/>
      <c r="AX204" s="37"/>
      <c r="AY204" s="37"/>
      <c r="AZ204" s="37"/>
      <c r="BA204" s="37"/>
      <c r="BB204" s="37"/>
      <c r="BC204" s="37"/>
      <c r="BD204" s="37"/>
      <c r="BE204" s="37"/>
      <c r="BF204" s="37"/>
      <c r="BG204" s="37"/>
      <c r="BH204" s="37"/>
      <c r="BI204" s="37"/>
      <c r="BJ204" s="37"/>
      <c r="BK204" s="37"/>
      <c r="BL204" s="37"/>
      <c r="BM204" s="37"/>
      <c r="BN204" s="37"/>
      <c r="BO204" s="37"/>
      <c r="BP204" s="37"/>
      <c r="BQ204" s="37"/>
      <c r="BR204" s="37"/>
      <c r="BS204" s="37"/>
    </row>
    <row r="205" spans="1:71" ht="15" x14ac:dyDescent="0.25">
      <c r="A205" s="37"/>
      <c r="B205" s="37"/>
      <c r="C205" s="37"/>
      <c r="D205" s="37"/>
      <c r="E205" s="37"/>
      <c r="F205" s="37"/>
      <c r="G205" s="37"/>
      <c r="H205" s="37"/>
      <c r="I205" s="37"/>
      <c r="J205" s="37"/>
      <c r="K205" s="37"/>
      <c r="L205" s="37"/>
      <c r="M205" s="37"/>
      <c r="N205" s="37"/>
      <c r="O205" s="37"/>
      <c r="P205" s="37"/>
      <c r="Q205" s="37"/>
      <c r="R205" s="37"/>
      <c r="S205" s="37"/>
      <c r="T205" s="37"/>
      <c r="U205" s="37"/>
      <c r="V205" s="37"/>
      <c r="W205" s="37"/>
      <c r="X205" s="37"/>
      <c r="Y205" s="37"/>
      <c r="Z205" s="37"/>
      <c r="AA205" s="37"/>
      <c r="AB205" s="37"/>
      <c r="AC205" s="37"/>
      <c r="AD205" s="37"/>
      <c r="AE205" s="37"/>
      <c r="AF205" s="37"/>
      <c r="AG205" s="37"/>
      <c r="AH205" s="37"/>
      <c r="AI205" s="37"/>
      <c r="AJ205" s="37"/>
      <c r="AK205" s="37"/>
      <c r="AL205" s="37"/>
      <c r="AM205" s="37"/>
      <c r="AN205" s="37"/>
      <c r="AO205" s="37"/>
      <c r="AP205" s="37"/>
      <c r="AQ205" s="37"/>
      <c r="AR205" s="37"/>
      <c r="AS205" s="37"/>
      <c r="AT205" s="37"/>
      <c r="AU205" s="37"/>
      <c r="AV205" s="37"/>
      <c r="AW205" s="37"/>
      <c r="AX205" s="37"/>
      <c r="AY205" s="37"/>
      <c r="AZ205" s="37"/>
      <c r="BA205" s="37"/>
      <c r="BB205" s="37"/>
      <c r="BC205" s="37"/>
      <c r="BD205" s="37"/>
      <c r="BE205" s="37"/>
      <c r="BF205" s="37"/>
      <c r="BG205" s="37"/>
      <c r="BH205" s="37"/>
      <c r="BI205" s="37"/>
      <c r="BJ205" s="37"/>
      <c r="BK205" s="37"/>
      <c r="BL205" s="37"/>
      <c r="BM205" s="37"/>
      <c r="BN205" s="37"/>
      <c r="BO205" s="37"/>
      <c r="BP205" s="37"/>
      <c r="BQ205" s="37"/>
      <c r="BR205" s="37"/>
      <c r="BS205" s="37"/>
    </row>
    <row r="206" spans="1:71" ht="15" x14ac:dyDescent="0.25">
      <c r="A206" s="37"/>
      <c r="B206" s="37"/>
      <c r="C206" s="37"/>
      <c r="D206" s="37"/>
      <c r="E206" s="37"/>
      <c r="F206" s="46" t="s">
        <v>432</v>
      </c>
      <c r="G206" s="46"/>
      <c r="H206" s="46"/>
      <c r="I206" s="46"/>
      <c r="J206" s="46"/>
      <c r="K206" s="46"/>
      <c r="L206" s="46"/>
      <c r="M206" s="46"/>
      <c r="N206" s="46"/>
      <c r="O206" s="192"/>
      <c r="P206" s="192"/>
      <c r="Q206" s="192"/>
      <c r="R206" s="192"/>
      <c r="S206" s="192"/>
      <c r="T206" s="192"/>
      <c r="U206" s="192"/>
      <c r="V206" s="192"/>
      <c r="W206" s="192"/>
      <c r="X206" s="192"/>
      <c r="Y206" s="192"/>
      <c r="Z206" s="192"/>
      <c r="AA206" s="192"/>
      <c r="AB206" s="192"/>
      <c r="AC206" s="192"/>
      <c r="AD206" s="192"/>
      <c r="AE206" s="192"/>
      <c r="AF206" s="37"/>
      <c r="AG206" s="37"/>
      <c r="AH206" s="37"/>
      <c r="AI206" s="37"/>
      <c r="AJ206" s="37"/>
      <c r="AK206" s="37"/>
      <c r="AL206" s="37"/>
      <c r="AM206" s="37"/>
      <c r="AN206" s="37"/>
      <c r="AO206" s="37"/>
      <c r="AP206" s="37"/>
      <c r="AQ206" s="37"/>
      <c r="AR206" s="37"/>
      <c r="AS206" s="37"/>
      <c r="AT206" s="37"/>
      <c r="AU206" s="37"/>
      <c r="AV206" s="37"/>
      <c r="AW206" s="37"/>
      <c r="AX206" s="37"/>
      <c r="AY206" s="37"/>
      <c r="AZ206" s="37"/>
      <c r="BA206" s="37"/>
      <c r="BB206" s="37"/>
      <c r="BC206" s="37"/>
      <c r="BD206" s="37"/>
      <c r="BE206" s="37"/>
      <c r="BF206" s="37"/>
      <c r="BG206" s="37"/>
      <c r="BH206" s="37"/>
      <c r="BI206" s="37"/>
      <c r="BJ206" s="37"/>
      <c r="BK206" s="37"/>
      <c r="BL206" s="37"/>
      <c r="BM206" s="37"/>
      <c r="BN206" s="37"/>
      <c r="BO206" s="37"/>
      <c r="BP206" s="37"/>
      <c r="BQ206" s="37"/>
      <c r="BR206" s="37"/>
      <c r="BS206" s="37"/>
    </row>
    <row r="207" spans="1:71" ht="15" x14ac:dyDescent="0.25">
      <c r="A207" s="37"/>
      <c r="B207" s="37"/>
      <c r="C207" s="37"/>
      <c r="D207" s="37"/>
      <c r="E207" s="37"/>
      <c r="F207" s="37"/>
      <c r="G207" s="37"/>
      <c r="H207" s="37"/>
      <c r="I207" s="37"/>
      <c r="J207" s="37"/>
      <c r="K207" s="37"/>
      <c r="L207" s="37"/>
      <c r="M207" s="37"/>
      <c r="N207" s="37"/>
      <c r="O207" s="37"/>
      <c r="P207" s="37"/>
      <c r="Q207" s="37"/>
      <c r="R207" s="37"/>
      <c r="S207" s="37"/>
      <c r="T207" s="37"/>
      <c r="U207" s="37"/>
      <c r="V207" s="37"/>
      <c r="W207" s="37"/>
      <c r="X207" s="37"/>
      <c r="Y207" s="37"/>
      <c r="Z207" s="37"/>
      <c r="AA207" s="37"/>
      <c r="AB207" s="37"/>
      <c r="AC207" s="37"/>
      <c r="AD207" s="37"/>
      <c r="AE207" s="37"/>
      <c r="AF207" s="37"/>
      <c r="AG207" s="37"/>
      <c r="AH207" s="37"/>
      <c r="AI207" s="37"/>
      <c r="AJ207" s="37"/>
      <c r="AK207" s="37"/>
      <c r="AL207" s="37"/>
      <c r="AM207" s="37"/>
      <c r="AN207" s="37"/>
      <c r="AO207" s="37"/>
      <c r="AP207" s="37"/>
      <c r="AQ207" s="37"/>
      <c r="AR207" s="37"/>
      <c r="AS207" s="37"/>
      <c r="AT207" s="37"/>
      <c r="AU207" s="37"/>
      <c r="AV207" s="37"/>
      <c r="AW207" s="37"/>
      <c r="AX207" s="37"/>
      <c r="AY207" s="37"/>
      <c r="AZ207" s="37"/>
      <c r="BA207" s="37"/>
      <c r="BB207" s="37"/>
      <c r="BC207" s="37"/>
      <c r="BD207" s="37"/>
      <c r="BE207" s="37"/>
      <c r="BF207" s="37"/>
      <c r="BG207" s="37"/>
      <c r="BH207" s="37"/>
      <c r="BI207" s="37"/>
      <c r="BJ207" s="37"/>
      <c r="BK207" s="37"/>
      <c r="BL207" s="37"/>
      <c r="BM207" s="37"/>
      <c r="BN207" s="37"/>
      <c r="BO207" s="37"/>
      <c r="BP207" s="37"/>
      <c r="BQ207" s="37"/>
      <c r="BR207" s="37"/>
      <c r="BS207" s="37"/>
    </row>
    <row r="208" spans="1:71" ht="15" x14ac:dyDescent="0.25">
      <c r="A208" s="37"/>
      <c r="B208" s="37"/>
      <c r="C208" s="37"/>
      <c r="D208" s="37"/>
      <c r="E208" s="37"/>
      <c r="F208" s="37" t="s">
        <v>163</v>
      </c>
      <c r="G208" s="37"/>
      <c r="H208" s="37"/>
      <c r="I208" s="37"/>
      <c r="J208" s="37"/>
      <c r="K208" s="37"/>
      <c r="L208" s="37"/>
      <c r="M208" s="37"/>
      <c r="N208" s="37"/>
      <c r="O208" s="37"/>
      <c r="P208" s="37"/>
      <c r="Q208" s="37"/>
      <c r="R208" s="37"/>
      <c r="S208" s="37"/>
      <c r="T208" s="37"/>
      <c r="U208" s="37"/>
      <c r="V208" s="37"/>
      <c r="W208" s="37"/>
      <c r="X208" s="37"/>
      <c r="Y208" s="37"/>
      <c r="Z208" s="37"/>
      <c r="AA208" s="37"/>
      <c r="AB208" s="37"/>
      <c r="AC208" s="37"/>
      <c r="AD208" s="37"/>
      <c r="AE208" s="37"/>
      <c r="AF208" s="37"/>
      <c r="AG208" s="37"/>
      <c r="AH208" s="37" t="s">
        <v>433</v>
      </c>
      <c r="AI208" s="37"/>
      <c r="AJ208" s="37"/>
      <c r="AK208" s="37"/>
      <c r="AL208" s="37"/>
      <c r="AM208" s="37"/>
      <c r="AN208" s="37"/>
      <c r="AO208" s="37"/>
      <c r="AP208" s="37"/>
      <c r="AQ208" s="37"/>
      <c r="AR208" s="37"/>
      <c r="AS208" s="37"/>
      <c r="AT208" s="37"/>
      <c r="AU208" s="37"/>
      <c r="AV208" s="37"/>
      <c r="AW208" s="37"/>
      <c r="AX208" s="37"/>
      <c r="AY208" s="37"/>
      <c r="AZ208" s="37"/>
      <c r="BA208" s="37"/>
      <c r="BB208" s="37"/>
      <c r="BC208" s="37"/>
      <c r="BD208" s="37"/>
      <c r="BE208" s="37"/>
      <c r="BF208" s="37"/>
      <c r="BG208" s="37"/>
      <c r="BH208" s="37"/>
      <c r="BI208" s="37"/>
      <c r="BJ208" s="37"/>
      <c r="BK208" s="37"/>
      <c r="BL208" s="37"/>
      <c r="BM208" s="37"/>
      <c r="BN208" s="37"/>
      <c r="BO208" s="37"/>
      <c r="BP208" s="37"/>
      <c r="BQ208" s="37"/>
      <c r="BR208" s="37"/>
      <c r="BS208" s="37"/>
    </row>
    <row r="209" spans="1:71" ht="15" x14ac:dyDescent="0.25">
      <c r="A209" s="37"/>
      <c r="B209" s="37"/>
      <c r="C209" s="37"/>
      <c r="D209" s="37"/>
      <c r="E209" s="37"/>
      <c r="F209" s="37" t="s">
        <v>41</v>
      </c>
      <c r="G209" s="37"/>
      <c r="H209" s="37"/>
      <c r="I209" s="37"/>
      <c r="J209" s="37"/>
      <c r="K209" s="37"/>
      <c r="L209" s="37"/>
      <c r="M209" s="37"/>
      <c r="N209" s="37"/>
      <c r="O209" s="37"/>
      <c r="P209" s="37"/>
      <c r="Q209" s="37"/>
      <c r="R209" s="37"/>
      <c r="S209" s="37"/>
      <c r="T209" s="37"/>
      <c r="U209" s="37"/>
      <c r="V209" s="37"/>
      <c r="W209" s="37"/>
      <c r="X209" s="37"/>
      <c r="Y209" s="37"/>
      <c r="Z209" s="37"/>
      <c r="AA209" s="37"/>
      <c r="AB209" s="37"/>
      <c r="AC209" s="37"/>
      <c r="AD209" s="37"/>
      <c r="AE209" s="37"/>
      <c r="AF209" s="37"/>
      <c r="AG209" s="37"/>
      <c r="AH209" s="37"/>
      <c r="AI209" s="37"/>
      <c r="AJ209" s="37"/>
      <c r="AK209" s="37"/>
      <c r="AL209" s="37"/>
      <c r="AM209" s="37"/>
      <c r="AN209" s="37"/>
      <c r="AO209" s="37"/>
      <c r="AP209" s="37"/>
      <c r="AQ209" s="37"/>
      <c r="AR209" s="37"/>
      <c r="AS209" s="37"/>
      <c r="AT209" s="37"/>
      <c r="AU209" s="37"/>
      <c r="AV209" s="37"/>
      <c r="AW209" s="37"/>
      <c r="AX209" s="37"/>
      <c r="AY209" s="37"/>
      <c r="AZ209" s="37"/>
      <c r="BA209" s="37"/>
      <c r="BB209" s="37"/>
      <c r="BC209" s="37"/>
      <c r="BD209" s="37"/>
      <c r="BE209" s="37"/>
      <c r="BF209" s="37"/>
      <c r="BG209" s="37"/>
      <c r="BH209" s="37"/>
      <c r="BI209" s="37"/>
      <c r="BJ209" s="37"/>
      <c r="BK209" s="37"/>
      <c r="BL209" s="37"/>
      <c r="BM209" s="37"/>
      <c r="BN209" s="37"/>
      <c r="BO209" s="37"/>
      <c r="BP209" s="37"/>
      <c r="BQ209" s="37"/>
      <c r="BR209" s="37"/>
      <c r="BS209" s="37"/>
    </row>
    <row r="210" spans="1:71" ht="15" x14ac:dyDescent="0.25">
      <c r="A210" s="37"/>
      <c r="B210" s="37"/>
      <c r="C210" s="37"/>
      <c r="D210" s="37"/>
      <c r="E210" s="37"/>
      <c r="F210" s="37"/>
      <c r="G210" s="37"/>
      <c r="H210" s="37"/>
      <c r="I210" s="37"/>
      <c r="J210" s="37"/>
      <c r="K210" s="37"/>
      <c r="L210" s="37"/>
      <c r="M210" s="37"/>
      <c r="N210" s="37"/>
      <c r="O210" s="37"/>
      <c r="P210" s="37"/>
      <c r="Q210" s="37"/>
      <c r="R210" s="37"/>
      <c r="S210" s="37"/>
      <c r="T210" s="37"/>
      <c r="U210" s="37"/>
      <c r="V210" s="37"/>
      <c r="W210" s="37"/>
      <c r="X210" s="37"/>
      <c r="Y210" s="37"/>
      <c r="Z210" s="37"/>
      <c r="AA210" s="37"/>
      <c r="AB210" s="37"/>
      <c r="AC210" s="37"/>
      <c r="AD210" s="37"/>
      <c r="AE210" s="37"/>
      <c r="AF210" s="37"/>
      <c r="AG210" s="37"/>
      <c r="AH210" s="37"/>
      <c r="AI210" s="37"/>
      <c r="AJ210" s="37"/>
      <c r="AK210" s="37"/>
      <c r="AL210" s="37"/>
      <c r="AM210" s="37"/>
      <c r="AN210" s="37"/>
      <c r="AO210" s="37"/>
      <c r="AP210" s="37"/>
      <c r="AQ210" s="37"/>
      <c r="AR210" s="37"/>
      <c r="AS210" s="37"/>
      <c r="AT210" s="37"/>
      <c r="AU210" s="37"/>
      <c r="AV210" s="37"/>
      <c r="AW210" s="37"/>
      <c r="AX210" s="37"/>
      <c r="AY210" s="37"/>
      <c r="AZ210" s="37"/>
      <c r="BA210" s="37"/>
      <c r="BB210" s="37"/>
      <c r="BC210" s="37"/>
      <c r="BD210" s="37"/>
      <c r="BE210" s="37"/>
      <c r="BF210" s="37"/>
      <c r="BG210" s="37"/>
      <c r="BH210" s="37"/>
      <c r="BI210" s="37"/>
      <c r="BJ210" s="37"/>
      <c r="BK210" s="37"/>
      <c r="BL210" s="37"/>
      <c r="BM210" s="37"/>
      <c r="BN210" s="37"/>
      <c r="BO210" s="37"/>
      <c r="BP210" s="37"/>
      <c r="BQ210" s="37"/>
      <c r="BR210" s="37"/>
      <c r="BS210" s="37"/>
    </row>
    <row r="211" spans="1:71" ht="15" x14ac:dyDescent="0.25">
      <c r="A211" s="37"/>
      <c r="B211" s="37"/>
      <c r="C211" s="37"/>
      <c r="D211" s="37"/>
      <c r="E211" s="37"/>
      <c r="F211" s="37"/>
      <c r="G211" s="37"/>
      <c r="H211" s="37"/>
      <c r="I211" s="37"/>
      <c r="J211" s="37"/>
      <c r="K211" s="37"/>
      <c r="L211" s="37"/>
      <c r="M211" s="37"/>
      <c r="N211" s="37"/>
      <c r="O211" s="37"/>
      <c r="P211" s="37"/>
      <c r="Q211" s="37"/>
      <c r="R211" s="37"/>
      <c r="S211" s="37"/>
      <c r="T211" s="37"/>
      <c r="U211" s="37"/>
      <c r="V211" s="37"/>
      <c r="W211" s="37"/>
      <c r="X211" s="37"/>
      <c r="Y211" s="37"/>
      <c r="Z211" s="37"/>
      <c r="AA211" s="37"/>
      <c r="AB211" s="37"/>
      <c r="AC211" s="37"/>
      <c r="AD211" s="37"/>
      <c r="AE211" s="37"/>
      <c r="AF211" s="37"/>
      <c r="AG211" s="37"/>
      <c r="AH211" s="37"/>
      <c r="AI211" s="37"/>
      <c r="AJ211" s="37"/>
      <c r="AK211" s="37"/>
      <c r="AL211" s="37"/>
      <c r="AM211" s="37"/>
      <c r="AN211" s="37"/>
      <c r="AO211" s="37"/>
      <c r="AP211" s="37"/>
      <c r="AQ211" s="37"/>
      <c r="AR211" s="37"/>
      <c r="AS211" s="37"/>
      <c r="AT211" s="37"/>
      <c r="AU211" s="37"/>
      <c r="AV211" s="37"/>
      <c r="AW211" s="37"/>
      <c r="AX211" s="37"/>
      <c r="AY211" s="37"/>
      <c r="AZ211" s="37"/>
      <c r="BA211" s="37"/>
      <c r="BB211" s="37"/>
      <c r="BC211" s="37"/>
      <c r="BD211" s="37"/>
      <c r="BE211" s="37"/>
      <c r="BF211" s="37"/>
      <c r="BG211" s="37"/>
      <c r="BH211" s="37"/>
      <c r="BI211" s="37"/>
      <c r="BJ211" s="37"/>
      <c r="BK211" s="37"/>
      <c r="BL211" s="37"/>
      <c r="BM211" s="37"/>
      <c r="BN211" s="37"/>
      <c r="BO211" s="37"/>
      <c r="BP211" s="37"/>
      <c r="BQ211" s="37"/>
      <c r="BR211" s="37"/>
      <c r="BS211" s="37"/>
    </row>
    <row r="212" spans="1:71" ht="15" x14ac:dyDescent="0.25">
      <c r="A212" s="37"/>
      <c r="B212" s="37"/>
      <c r="C212" s="37"/>
      <c r="D212" s="37"/>
      <c r="E212" s="37"/>
      <c r="F212" s="46" t="s">
        <v>403</v>
      </c>
      <c r="G212" s="46"/>
      <c r="H212" s="46"/>
      <c r="I212" s="46"/>
      <c r="J212" s="46"/>
      <c r="K212" s="46"/>
      <c r="L212" s="46"/>
      <c r="M212" s="46"/>
      <c r="N212" s="46"/>
      <c r="O212" s="192"/>
      <c r="P212" s="192"/>
      <c r="Q212" s="192"/>
      <c r="R212" s="192"/>
      <c r="S212" s="192"/>
      <c r="T212" s="192"/>
      <c r="U212" s="192"/>
      <c r="V212" s="192"/>
      <c r="W212" s="192"/>
      <c r="X212" s="192"/>
      <c r="Y212" s="192"/>
      <c r="Z212" s="192"/>
      <c r="AA212" s="192"/>
      <c r="AB212" s="192"/>
      <c r="AC212" s="192"/>
      <c r="AD212" s="192"/>
      <c r="AE212" s="192"/>
      <c r="AF212" s="37"/>
      <c r="AG212" s="37"/>
      <c r="AH212" s="37"/>
      <c r="AI212" s="37"/>
      <c r="AJ212" s="37"/>
      <c r="AK212" s="37"/>
      <c r="AL212" s="37"/>
      <c r="AM212" s="37"/>
      <c r="AN212" s="37"/>
      <c r="AO212" s="37"/>
      <c r="AP212" s="37"/>
      <c r="AQ212" s="37"/>
      <c r="AR212" s="37"/>
      <c r="AS212" s="37"/>
      <c r="AT212" s="37"/>
      <c r="AU212" s="37"/>
      <c r="AV212" s="37"/>
      <c r="AW212" s="37"/>
      <c r="AX212" s="37"/>
      <c r="AY212" s="37"/>
      <c r="AZ212" s="37"/>
      <c r="BA212" s="37"/>
      <c r="BB212" s="37"/>
      <c r="BC212" s="37"/>
      <c r="BD212" s="37"/>
      <c r="BE212" s="37"/>
      <c r="BF212" s="37"/>
      <c r="BG212" s="37"/>
      <c r="BH212" s="37"/>
      <c r="BI212" s="37"/>
      <c r="BJ212" s="37"/>
      <c r="BK212" s="37"/>
      <c r="BL212" s="37"/>
      <c r="BM212" s="37"/>
      <c r="BN212" s="37"/>
      <c r="BO212" s="37"/>
      <c r="BP212" s="37"/>
      <c r="BQ212" s="37"/>
      <c r="BR212" s="37"/>
      <c r="BS212" s="37"/>
    </row>
    <row r="213" spans="1:71" ht="15" x14ac:dyDescent="0.25">
      <c r="A213" s="37"/>
      <c r="B213" s="37"/>
      <c r="C213" s="37"/>
      <c r="D213" s="37"/>
      <c r="E213" s="37"/>
      <c r="F213" s="37"/>
      <c r="G213" s="37"/>
      <c r="H213" s="37"/>
      <c r="I213" s="37"/>
      <c r="J213" s="37"/>
      <c r="K213" s="37"/>
      <c r="L213" s="37"/>
      <c r="M213" s="37"/>
      <c r="N213" s="37"/>
      <c r="O213" s="37"/>
      <c r="P213" s="37"/>
      <c r="Q213" s="37"/>
      <c r="R213" s="37"/>
      <c r="S213" s="37"/>
      <c r="T213" s="37"/>
      <c r="U213" s="37"/>
      <c r="V213" s="37"/>
      <c r="W213" s="37"/>
      <c r="X213" s="37"/>
      <c r="Y213" s="37"/>
      <c r="Z213" s="37"/>
      <c r="AA213" s="37"/>
      <c r="AB213" s="37"/>
      <c r="AC213" s="37"/>
      <c r="AD213" s="37"/>
      <c r="AE213" s="37"/>
      <c r="AF213" s="37"/>
      <c r="AG213" s="37"/>
      <c r="AH213" s="37"/>
      <c r="AI213" s="37"/>
      <c r="AJ213" s="37"/>
      <c r="AK213" s="37"/>
      <c r="AL213" s="37"/>
      <c r="AM213" s="37"/>
      <c r="AN213" s="37"/>
      <c r="AO213" s="37"/>
      <c r="AP213" s="37"/>
      <c r="AQ213" s="37"/>
      <c r="AR213" s="37"/>
      <c r="AS213" s="37"/>
      <c r="AT213" s="37"/>
      <c r="AU213" s="37"/>
      <c r="AV213" s="37"/>
      <c r="AW213" s="37"/>
      <c r="AX213" s="37"/>
      <c r="AY213" s="37"/>
      <c r="AZ213" s="37"/>
      <c r="BA213" s="37"/>
      <c r="BB213" s="37"/>
      <c r="BC213" s="37"/>
      <c r="BD213" s="37"/>
      <c r="BE213" s="37"/>
      <c r="BF213" s="37"/>
      <c r="BG213" s="37"/>
      <c r="BH213" s="37"/>
      <c r="BI213" s="37"/>
      <c r="BJ213" s="37"/>
      <c r="BK213" s="37"/>
      <c r="BL213" s="37"/>
      <c r="BM213" s="37"/>
      <c r="BN213" s="37"/>
      <c r="BO213" s="37"/>
      <c r="BP213" s="37"/>
      <c r="BQ213" s="37"/>
      <c r="BR213" s="37"/>
      <c r="BS213" s="37"/>
    </row>
    <row r="214" spans="1:71" ht="15" x14ac:dyDescent="0.25">
      <c r="A214" s="37"/>
      <c r="B214" s="37"/>
      <c r="C214" s="37"/>
      <c r="D214" s="37"/>
      <c r="E214" s="37"/>
      <c r="F214" s="36" t="s">
        <v>164</v>
      </c>
      <c r="G214" s="36"/>
      <c r="H214" s="36"/>
      <c r="I214" s="36"/>
      <c r="J214" s="36"/>
      <c r="K214" s="36"/>
      <c r="L214" s="36"/>
      <c r="M214" s="36"/>
      <c r="N214" s="36"/>
      <c r="O214" s="36"/>
      <c r="P214" s="36"/>
      <c r="Q214" s="36"/>
      <c r="R214" s="36"/>
      <c r="S214" s="36"/>
      <c r="T214" s="36"/>
      <c r="U214" s="36"/>
      <c r="V214" s="36"/>
      <c r="W214" s="36"/>
      <c r="X214" s="36"/>
      <c r="Y214" s="36"/>
      <c r="Z214" s="36"/>
      <c r="AA214" s="36"/>
      <c r="AB214" s="36"/>
      <c r="AC214" s="36"/>
      <c r="AD214" s="36"/>
      <c r="AE214" s="36"/>
      <c r="AF214" s="36"/>
      <c r="AG214" s="36"/>
      <c r="AH214" s="36" t="s">
        <v>404</v>
      </c>
      <c r="AI214" s="36"/>
      <c r="AJ214" s="36"/>
      <c r="AK214" s="36"/>
      <c r="AL214" s="36"/>
      <c r="AM214" s="36"/>
      <c r="AN214" s="37"/>
      <c r="AO214" s="37"/>
      <c r="AP214" s="37"/>
      <c r="AQ214" s="37"/>
      <c r="AR214" s="37"/>
      <c r="AS214" s="37"/>
      <c r="AT214" s="37"/>
      <c r="AU214" s="37"/>
      <c r="AV214" s="37"/>
      <c r="AW214" s="37"/>
      <c r="AX214" s="37"/>
      <c r="AY214" s="37"/>
      <c r="AZ214" s="37"/>
      <c r="BA214" s="37"/>
      <c r="BB214" s="37"/>
      <c r="BC214" s="37"/>
      <c r="BD214" s="37"/>
      <c r="BE214" s="37"/>
      <c r="BF214" s="37"/>
      <c r="BG214" s="37"/>
      <c r="BH214" s="37"/>
      <c r="BI214" s="37"/>
      <c r="BJ214" s="37"/>
      <c r="BK214" s="37"/>
      <c r="BL214" s="37"/>
      <c r="BM214" s="37"/>
      <c r="BN214" s="37"/>
      <c r="BO214" s="37"/>
      <c r="BP214" s="37"/>
      <c r="BQ214" s="37"/>
      <c r="BR214" s="37"/>
      <c r="BS214" s="37"/>
    </row>
    <row r="215" spans="1:71" ht="15" x14ac:dyDescent="0.25">
      <c r="A215" s="37"/>
      <c r="B215" s="37"/>
      <c r="C215" s="37"/>
      <c r="D215" s="37"/>
      <c r="E215" s="37"/>
      <c r="F215" s="36" t="s">
        <v>42</v>
      </c>
      <c r="G215" s="36"/>
      <c r="H215" s="36"/>
      <c r="I215" s="36"/>
      <c r="J215" s="36"/>
      <c r="K215" s="36"/>
      <c r="L215" s="36"/>
      <c r="M215" s="36"/>
      <c r="N215" s="36"/>
      <c r="O215" s="36"/>
      <c r="P215" s="36"/>
      <c r="Q215" s="36"/>
      <c r="R215" s="36"/>
      <c r="S215" s="36"/>
      <c r="T215" s="36"/>
      <c r="U215" s="36"/>
      <c r="V215" s="36"/>
      <c r="W215" s="36"/>
      <c r="X215" s="36"/>
      <c r="Y215" s="36"/>
      <c r="Z215" s="36"/>
      <c r="AA215" s="36"/>
      <c r="AB215" s="36"/>
      <c r="AC215" s="36"/>
      <c r="AD215" s="36"/>
      <c r="AE215" s="36"/>
      <c r="AF215" s="36"/>
      <c r="AG215" s="36"/>
      <c r="AH215" s="36" t="s">
        <v>405</v>
      </c>
      <c r="AI215" s="36"/>
      <c r="AJ215" s="36"/>
      <c r="AK215" s="36"/>
      <c r="AL215" s="36"/>
      <c r="AM215" s="36"/>
      <c r="AN215" s="37"/>
      <c r="AO215" s="37"/>
      <c r="AP215" s="37"/>
      <c r="AQ215" s="37"/>
      <c r="AR215" s="37"/>
      <c r="AS215" s="37"/>
      <c r="AT215" s="37"/>
      <c r="AU215" s="37"/>
      <c r="AV215" s="37"/>
      <c r="AW215" s="37"/>
      <c r="AX215" s="37"/>
      <c r="AY215" s="37"/>
      <c r="AZ215" s="37"/>
      <c r="BA215" s="37"/>
      <c r="BB215" s="37"/>
      <c r="BC215" s="37"/>
      <c r="BD215" s="37"/>
      <c r="BE215" s="37"/>
      <c r="BF215" s="37"/>
      <c r="BG215" s="37"/>
      <c r="BH215" s="37"/>
      <c r="BI215" s="37"/>
      <c r="BJ215" s="37"/>
      <c r="BK215" s="37"/>
      <c r="BL215" s="37"/>
      <c r="BM215" s="37"/>
      <c r="BN215" s="37"/>
      <c r="BO215" s="37"/>
      <c r="BP215" s="37"/>
      <c r="BQ215" s="37"/>
      <c r="BR215" s="37"/>
      <c r="BS215" s="37"/>
    </row>
    <row r="216" spans="1:71" ht="15" x14ac:dyDescent="0.25">
      <c r="A216" s="37"/>
      <c r="B216" s="37"/>
      <c r="C216" s="37"/>
      <c r="D216" s="37"/>
      <c r="E216" s="37"/>
      <c r="F216" s="36"/>
      <c r="G216" s="36"/>
      <c r="H216" s="36"/>
      <c r="I216" s="36"/>
      <c r="J216" s="36"/>
      <c r="K216" s="36"/>
      <c r="L216" s="36"/>
      <c r="M216" s="36"/>
      <c r="N216" s="36"/>
      <c r="O216" s="36"/>
      <c r="P216" s="36"/>
      <c r="Q216" s="36"/>
      <c r="R216" s="36"/>
      <c r="S216" s="36"/>
      <c r="T216" s="36"/>
      <c r="U216" s="36"/>
      <c r="V216" s="36"/>
      <c r="W216" s="36"/>
      <c r="X216" s="36"/>
      <c r="Y216" s="36"/>
      <c r="Z216" s="36"/>
      <c r="AA216" s="36"/>
      <c r="AB216" s="36"/>
      <c r="AC216" s="36"/>
      <c r="AD216" s="36"/>
      <c r="AE216" s="36"/>
      <c r="AF216" s="36"/>
      <c r="AG216" s="36"/>
      <c r="AH216" s="36" t="s">
        <v>406</v>
      </c>
      <c r="AI216" s="36"/>
      <c r="AJ216" s="36"/>
      <c r="AK216" s="36"/>
      <c r="AL216" s="36"/>
      <c r="AM216" s="36"/>
      <c r="AN216" s="37"/>
      <c r="AO216" s="37"/>
      <c r="AP216" s="37"/>
      <c r="AQ216" s="37"/>
      <c r="AR216" s="37"/>
      <c r="AS216" s="37"/>
      <c r="AT216" s="37"/>
      <c r="AU216" s="37"/>
      <c r="AV216" s="37"/>
      <c r="AW216" s="37"/>
      <c r="AX216" s="37"/>
      <c r="AY216" s="37"/>
      <c r="AZ216" s="37"/>
      <c r="BA216" s="37"/>
      <c r="BB216" s="37"/>
      <c r="BC216" s="37"/>
      <c r="BD216" s="37"/>
      <c r="BE216" s="37"/>
      <c r="BF216" s="37"/>
      <c r="BG216" s="37"/>
      <c r="BH216" s="37"/>
      <c r="BI216" s="37"/>
      <c r="BJ216" s="37"/>
      <c r="BK216" s="37"/>
      <c r="BL216" s="37"/>
      <c r="BM216" s="37"/>
      <c r="BN216" s="37"/>
      <c r="BO216" s="37"/>
      <c r="BP216" s="37"/>
      <c r="BQ216" s="37"/>
      <c r="BR216" s="37"/>
      <c r="BS216" s="37"/>
    </row>
    <row r="217" spans="1:71" ht="15" x14ac:dyDescent="0.25">
      <c r="A217" s="37"/>
      <c r="B217" s="37"/>
      <c r="C217" s="37"/>
      <c r="D217" s="37"/>
      <c r="E217" s="37"/>
      <c r="F217" s="36"/>
      <c r="G217" s="36"/>
      <c r="H217" s="36"/>
      <c r="I217" s="36"/>
      <c r="J217" s="36"/>
      <c r="K217" s="36"/>
      <c r="L217" s="36"/>
      <c r="M217" s="36"/>
      <c r="N217" s="36"/>
      <c r="O217" s="36"/>
      <c r="P217" s="36"/>
      <c r="Q217" s="36"/>
      <c r="R217" s="36"/>
      <c r="S217" s="36"/>
      <c r="T217" s="36"/>
      <c r="U217" s="36"/>
      <c r="V217" s="36"/>
      <c r="W217" s="36"/>
      <c r="X217" s="36"/>
      <c r="Y217" s="36"/>
      <c r="Z217" s="36"/>
      <c r="AA217" s="36"/>
      <c r="AB217" s="36"/>
      <c r="AC217" s="36"/>
      <c r="AD217" s="36"/>
      <c r="AE217" s="36"/>
      <c r="AF217" s="36"/>
      <c r="AG217" s="36"/>
      <c r="AH217" s="36"/>
      <c r="AI217" s="36"/>
      <c r="AJ217" s="36"/>
      <c r="AK217" s="36"/>
      <c r="AL217" s="36"/>
      <c r="AM217" s="36"/>
      <c r="AN217" s="37"/>
      <c r="AO217" s="37"/>
      <c r="AP217" s="37"/>
      <c r="AQ217" s="37"/>
      <c r="AR217" s="37"/>
      <c r="AS217" s="37"/>
      <c r="AT217" s="37"/>
      <c r="AU217" s="37"/>
      <c r="AV217" s="37"/>
      <c r="AW217" s="37"/>
      <c r="AX217" s="37"/>
      <c r="AY217" s="37"/>
      <c r="AZ217" s="37"/>
      <c r="BA217" s="37"/>
      <c r="BB217" s="37"/>
      <c r="BC217" s="37"/>
      <c r="BD217" s="37"/>
      <c r="BE217" s="37"/>
      <c r="BF217" s="37"/>
      <c r="BG217" s="37"/>
      <c r="BH217" s="37"/>
      <c r="BI217" s="37"/>
      <c r="BJ217" s="37"/>
      <c r="BK217" s="37"/>
      <c r="BL217" s="37"/>
      <c r="BM217" s="37"/>
      <c r="BN217" s="37"/>
      <c r="BO217" s="37"/>
      <c r="BP217" s="37"/>
      <c r="BQ217" s="37"/>
      <c r="BR217" s="37"/>
      <c r="BS217" s="37"/>
    </row>
    <row r="218" spans="1:71" s="187" customFormat="1" ht="15" customHeight="1" x14ac:dyDescent="0.25">
      <c r="A218" s="71"/>
      <c r="B218" s="71"/>
      <c r="C218" s="71"/>
      <c r="D218" s="71"/>
      <c r="E218" s="71"/>
      <c r="F218" s="37"/>
      <c r="G218" s="37"/>
      <c r="H218" s="37"/>
      <c r="I218" s="37"/>
      <c r="J218" s="37"/>
      <c r="K218" s="37"/>
      <c r="L218" s="37"/>
      <c r="M218" s="37"/>
      <c r="N218" s="37"/>
      <c r="O218" s="37"/>
      <c r="P218" s="37"/>
      <c r="Q218" s="37"/>
      <c r="R218" s="37"/>
      <c r="S218" s="37"/>
      <c r="T218" s="37"/>
      <c r="U218" s="37"/>
      <c r="V218" s="37"/>
      <c r="W218" s="37"/>
      <c r="X218" s="37"/>
      <c r="Y218" s="37"/>
      <c r="Z218" s="37"/>
      <c r="AA218" s="37"/>
      <c r="AB218" s="37"/>
      <c r="AC218" s="37"/>
      <c r="AD218" s="37"/>
      <c r="AE218" s="37"/>
      <c r="AF218" s="37"/>
      <c r="AG218" s="37"/>
      <c r="AH218" s="37"/>
      <c r="AI218" s="37"/>
      <c r="AJ218" s="37"/>
      <c r="AK218" s="37"/>
      <c r="AL218" s="37"/>
      <c r="AM218" s="37"/>
      <c r="AN218" s="37"/>
      <c r="AO218" s="37"/>
      <c r="AP218" s="37"/>
      <c r="AQ218" s="37"/>
      <c r="AR218" s="37"/>
      <c r="AS218" s="37"/>
      <c r="AT218" s="37"/>
      <c r="AU218" s="71"/>
      <c r="AV218" s="71"/>
      <c r="AW218" s="71"/>
      <c r="AX218" s="71"/>
      <c r="AY218" s="71"/>
      <c r="AZ218" s="71"/>
      <c r="BA218" s="71"/>
      <c r="BB218" s="71"/>
      <c r="BC218" s="71"/>
      <c r="BD218" s="71"/>
      <c r="BE218" s="71"/>
      <c r="BF218" s="71"/>
      <c r="BG218" s="71"/>
      <c r="BH218" s="71"/>
      <c r="BI218" s="71"/>
      <c r="BJ218" s="71"/>
      <c r="BK218" s="71"/>
      <c r="BL218" s="71"/>
      <c r="BM218" s="71"/>
      <c r="BN218" s="71"/>
      <c r="BO218" s="71"/>
      <c r="BP218" s="71"/>
      <c r="BQ218" s="71"/>
      <c r="BR218" s="71"/>
      <c r="BS218" s="71"/>
    </row>
    <row r="219" spans="1:71" ht="15" x14ac:dyDescent="0.25">
      <c r="A219" s="37"/>
      <c r="B219" s="37"/>
      <c r="C219" s="37"/>
      <c r="D219" s="37"/>
      <c r="E219" s="37"/>
      <c r="F219" s="46" t="s">
        <v>409</v>
      </c>
      <c r="G219" s="46"/>
      <c r="H219" s="46"/>
      <c r="I219" s="46"/>
      <c r="J219" s="46"/>
      <c r="K219" s="46"/>
      <c r="L219" s="46"/>
      <c r="M219" s="46"/>
      <c r="N219" s="46"/>
      <c r="O219" s="192"/>
      <c r="P219" s="192"/>
      <c r="Q219" s="192"/>
      <c r="R219" s="192"/>
      <c r="S219" s="192"/>
      <c r="T219" s="192"/>
      <c r="U219" s="192"/>
      <c r="V219" s="192"/>
      <c r="W219" s="192"/>
      <c r="X219" s="192"/>
      <c r="Y219" s="192"/>
      <c r="Z219" s="192"/>
      <c r="AA219" s="192"/>
      <c r="AB219" s="192"/>
      <c r="AC219" s="192"/>
      <c r="AD219" s="192"/>
      <c r="AE219" s="192"/>
      <c r="AF219" s="37"/>
      <c r="AG219" s="37"/>
      <c r="AH219" s="37"/>
      <c r="AI219" s="37"/>
      <c r="AJ219" s="37"/>
      <c r="AK219" s="37"/>
      <c r="AL219" s="37"/>
      <c r="AM219" s="37"/>
      <c r="AN219" s="37"/>
      <c r="AO219" s="37"/>
      <c r="AP219" s="37"/>
      <c r="AQ219" s="37"/>
      <c r="AR219" s="37"/>
      <c r="AS219" s="37"/>
      <c r="AT219" s="37"/>
      <c r="AU219" s="37"/>
      <c r="AV219" s="37"/>
      <c r="AW219" s="37"/>
      <c r="AX219" s="37"/>
      <c r="AY219" s="37"/>
      <c r="AZ219" s="37"/>
      <c r="BA219" s="37"/>
      <c r="BB219" s="37"/>
      <c r="BC219" s="37"/>
      <c r="BD219" s="37"/>
      <c r="BE219" s="37"/>
      <c r="BF219" s="37"/>
      <c r="BG219" s="37"/>
      <c r="BH219" s="37"/>
      <c r="BI219" s="37"/>
      <c r="BJ219" s="37"/>
      <c r="BK219" s="37"/>
      <c r="BL219" s="37"/>
      <c r="BM219" s="37"/>
      <c r="BN219" s="37"/>
      <c r="BO219" s="37"/>
      <c r="BP219" s="37"/>
      <c r="BQ219" s="37"/>
      <c r="BR219" s="37"/>
      <c r="BS219" s="37"/>
    </row>
    <row r="220" spans="1:71" ht="15" x14ac:dyDescent="0.25">
      <c r="A220" s="37"/>
      <c r="B220" s="37"/>
      <c r="C220" s="37"/>
      <c r="D220" s="37"/>
      <c r="E220" s="37"/>
      <c r="F220" s="37"/>
      <c r="G220" s="37"/>
      <c r="H220" s="37"/>
      <c r="I220" s="37"/>
      <c r="J220" s="37"/>
      <c r="K220" s="37"/>
      <c r="L220" s="37"/>
      <c r="M220" s="37"/>
      <c r="N220" s="37"/>
      <c r="O220" s="37"/>
      <c r="P220" s="37"/>
      <c r="Q220" s="37"/>
      <c r="R220" s="37"/>
      <c r="S220" s="37"/>
      <c r="T220" s="37"/>
      <c r="U220" s="37"/>
      <c r="V220" s="37"/>
      <c r="W220" s="37"/>
      <c r="X220" s="37"/>
      <c r="Y220" s="37"/>
      <c r="Z220" s="37"/>
      <c r="AA220" s="37"/>
      <c r="AB220" s="37"/>
      <c r="AC220" s="37"/>
      <c r="AD220" s="37"/>
      <c r="AE220" s="37"/>
      <c r="AF220" s="37"/>
      <c r="AG220" s="37"/>
      <c r="AH220" s="37"/>
      <c r="AI220" s="37"/>
      <c r="AJ220" s="37"/>
      <c r="AK220" s="37"/>
      <c r="AL220" s="37"/>
      <c r="AM220" s="37"/>
      <c r="AN220" s="37"/>
      <c r="AO220" s="37"/>
      <c r="AP220" s="37"/>
      <c r="AQ220" s="37"/>
      <c r="AR220" s="37"/>
      <c r="AS220" s="37"/>
      <c r="AT220" s="37"/>
      <c r="AU220" s="37"/>
      <c r="AV220" s="37"/>
      <c r="AW220" s="37"/>
      <c r="AX220" s="37"/>
      <c r="AY220" s="37"/>
      <c r="AZ220" s="37"/>
      <c r="BA220" s="37"/>
      <c r="BB220" s="37"/>
      <c r="BC220" s="37"/>
      <c r="BD220" s="37"/>
      <c r="BE220" s="37"/>
      <c r="BF220" s="37"/>
      <c r="BG220" s="37"/>
      <c r="BH220" s="37"/>
      <c r="BI220" s="37"/>
      <c r="BJ220" s="37"/>
      <c r="BK220" s="37"/>
      <c r="BL220" s="37"/>
      <c r="BM220" s="37"/>
      <c r="BN220" s="37"/>
      <c r="BO220" s="37"/>
      <c r="BP220" s="37"/>
      <c r="BQ220" s="37"/>
      <c r="BR220" s="37"/>
      <c r="BS220" s="37"/>
    </row>
    <row r="221" spans="1:71" ht="15" x14ac:dyDescent="0.25">
      <c r="A221" s="37"/>
      <c r="B221" s="37"/>
      <c r="C221" s="37"/>
      <c r="D221" s="37"/>
      <c r="E221" s="37"/>
      <c r="F221" s="36" t="s">
        <v>166</v>
      </c>
      <c r="G221" s="36"/>
      <c r="H221" s="36"/>
      <c r="I221" s="36"/>
      <c r="J221" s="36"/>
      <c r="K221" s="36"/>
      <c r="L221" s="36"/>
      <c r="M221" s="36"/>
      <c r="N221" s="36"/>
      <c r="O221" s="36"/>
      <c r="P221" s="36"/>
      <c r="Q221" s="36"/>
      <c r="R221" s="36"/>
      <c r="S221" s="36"/>
      <c r="T221" s="36"/>
      <c r="U221" s="36"/>
      <c r="V221" s="36"/>
      <c r="W221" s="36"/>
      <c r="X221" s="36"/>
      <c r="Y221" s="36"/>
      <c r="Z221" s="36"/>
      <c r="AA221" s="36"/>
      <c r="AB221" s="36"/>
      <c r="AC221" s="36"/>
      <c r="AD221" s="36"/>
      <c r="AE221" s="36"/>
      <c r="AF221" s="36"/>
      <c r="AG221" s="36"/>
      <c r="AH221" s="36" t="s">
        <v>410</v>
      </c>
      <c r="AI221" s="36"/>
      <c r="AJ221" s="36"/>
      <c r="AK221" s="36"/>
      <c r="AL221" s="71"/>
      <c r="AM221" s="71"/>
      <c r="AN221" s="36"/>
      <c r="AO221" s="36"/>
      <c r="AP221" s="36"/>
      <c r="AQ221" s="36"/>
      <c r="AR221" s="36"/>
      <c r="AS221" s="36"/>
      <c r="AT221" s="36"/>
      <c r="AU221" s="36"/>
      <c r="AV221" s="36"/>
      <c r="AW221" s="37"/>
      <c r="AX221" s="37"/>
      <c r="AY221" s="37"/>
      <c r="AZ221" s="37"/>
      <c r="BA221" s="37"/>
      <c r="BB221" s="37"/>
      <c r="BC221" s="37"/>
      <c r="BD221" s="37"/>
      <c r="BE221" s="37"/>
      <c r="BF221" s="37"/>
      <c r="BG221" s="37"/>
      <c r="BH221" s="37"/>
      <c r="BI221" s="37"/>
      <c r="BJ221" s="37"/>
      <c r="BK221" s="37"/>
      <c r="BL221" s="37"/>
      <c r="BM221" s="37"/>
      <c r="BN221" s="37"/>
      <c r="BO221" s="37"/>
      <c r="BP221" s="37"/>
      <c r="BQ221" s="37"/>
      <c r="BR221" s="37"/>
      <c r="BS221" s="37"/>
    </row>
    <row r="222" spans="1:71" ht="15" x14ac:dyDescent="0.25">
      <c r="A222" s="37"/>
      <c r="B222" s="37"/>
      <c r="C222" s="37"/>
      <c r="D222" s="37"/>
      <c r="E222" s="37"/>
      <c r="F222" s="36" t="s">
        <v>41</v>
      </c>
      <c r="G222" s="36"/>
      <c r="H222" s="36"/>
      <c r="I222" s="36"/>
      <c r="J222" s="36"/>
      <c r="K222" s="36"/>
      <c r="L222" s="36"/>
      <c r="M222" s="36"/>
      <c r="N222" s="36"/>
      <c r="O222" s="36"/>
      <c r="P222" s="36"/>
      <c r="Q222" s="36"/>
      <c r="R222" s="36"/>
      <c r="S222" s="36"/>
      <c r="T222" s="36"/>
      <c r="U222" s="36"/>
      <c r="V222" s="36"/>
      <c r="W222" s="36"/>
      <c r="X222" s="36"/>
      <c r="Y222" s="36"/>
      <c r="Z222" s="36"/>
      <c r="AA222" s="36"/>
      <c r="AB222" s="36"/>
      <c r="AC222" s="36"/>
      <c r="AD222" s="36"/>
      <c r="AE222" s="36"/>
      <c r="AF222" s="36"/>
      <c r="AG222" s="36"/>
      <c r="AH222" s="36" t="s">
        <v>411</v>
      </c>
      <c r="AI222" s="36"/>
      <c r="AJ222" s="36"/>
      <c r="AK222" s="36"/>
      <c r="AL222" s="71"/>
      <c r="AM222" s="71"/>
      <c r="AN222" s="36"/>
      <c r="AO222" s="36"/>
      <c r="AP222" s="36"/>
      <c r="AQ222" s="36"/>
      <c r="AR222" s="36"/>
      <c r="AS222" s="36"/>
      <c r="AT222" s="36"/>
      <c r="AU222" s="37"/>
      <c r="AV222" s="37"/>
      <c r="AW222" s="37"/>
      <c r="AX222" s="37"/>
      <c r="AY222" s="37"/>
      <c r="AZ222" s="37"/>
      <c r="BA222" s="37"/>
      <c r="BB222" s="37"/>
      <c r="BC222" s="37"/>
      <c r="BD222" s="37"/>
      <c r="BE222" s="37"/>
      <c r="BF222" s="37"/>
      <c r="BG222" s="37"/>
      <c r="BH222" s="37"/>
      <c r="BI222" s="37"/>
      <c r="BJ222" s="37"/>
      <c r="BK222" s="37"/>
      <c r="BL222" s="37"/>
      <c r="BM222" s="37"/>
      <c r="BN222" s="37"/>
      <c r="BO222" s="37"/>
      <c r="BP222" s="37"/>
      <c r="BQ222" s="37"/>
      <c r="BR222" s="37"/>
      <c r="BS222" s="37"/>
    </row>
    <row r="223" spans="1:71" ht="15" x14ac:dyDescent="0.25">
      <c r="A223" s="37"/>
      <c r="B223" s="37"/>
      <c r="C223" s="37"/>
      <c r="D223" s="37"/>
      <c r="E223" s="37"/>
      <c r="F223" s="37"/>
      <c r="G223" s="37"/>
      <c r="H223" s="37"/>
      <c r="I223" s="37"/>
      <c r="J223" s="37"/>
      <c r="K223" s="37"/>
      <c r="L223" s="37"/>
      <c r="M223" s="36"/>
      <c r="N223" s="36"/>
      <c r="O223" s="36"/>
      <c r="P223" s="36"/>
      <c r="Q223" s="36"/>
      <c r="R223" s="36"/>
      <c r="S223" s="36"/>
      <c r="T223" s="36"/>
      <c r="U223" s="36"/>
      <c r="V223" s="36"/>
      <c r="W223" s="36"/>
      <c r="X223" s="36"/>
      <c r="Y223" s="36"/>
      <c r="Z223" s="36"/>
      <c r="AA223" s="36"/>
      <c r="AB223" s="36"/>
      <c r="AC223" s="36"/>
      <c r="AD223" s="36"/>
      <c r="AE223" s="36"/>
      <c r="AF223" s="36"/>
      <c r="AG223" s="36"/>
      <c r="AH223" s="36" t="s">
        <v>412</v>
      </c>
      <c r="AI223" s="36"/>
      <c r="AJ223" s="36"/>
      <c r="AK223" s="36"/>
      <c r="AL223" s="36"/>
      <c r="AM223" s="36"/>
      <c r="AN223" s="36"/>
      <c r="AO223" s="36"/>
      <c r="AP223" s="36"/>
      <c r="AQ223" s="36"/>
      <c r="AR223" s="36"/>
      <c r="AS223" s="36"/>
      <c r="AT223" s="37"/>
      <c r="AU223" s="37"/>
      <c r="AV223" s="37"/>
      <c r="AW223" s="37"/>
      <c r="AX223" s="37"/>
      <c r="AY223" s="37"/>
      <c r="AZ223" s="37"/>
      <c r="BA223" s="37"/>
      <c r="BB223" s="37"/>
      <c r="BC223" s="37"/>
      <c r="BD223" s="37"/>
      <c r="BE223" s="37"/>
      <c r="BF223" s="37"/>
      <c r="BG223" s="37"/>
      <c r="BH223" s="37"/>
      <c r="BI223" s="37"/>
      <c r="BJ223" s="37"/>
      <c r="BK223" s="37"/>
      <c r="BL223" s="37"/>
      <c r="BM223" s="37"/>
      <c r="BN223" s="37"/>
      <c r="BO223" s="37"/>
      <c r="BP223" s="37"/>
      <c r="BQ223" s="37"/>
      <c r="BR223" s="37"/>
      <c r="BS223" s="37"/>
    </row>
    <row r="224" spans="1:71" ht="15" x14ac:dyDescent="0.25">
      <c r="A224" s="37"/>
      <c r="B224" s="37"/>
      <c r="C224" s="37"/>
      <c r="D224" s="37"/>
      <c r="E224" s="37"/>
      <c r="F224" s="37"/>
      <c r="G224" s="37"/>
      <c r="H224" s="37"/>
      <c r="I224" s="37"/>
      <c r="J224" s="37"/>
      <c r="K224" s="37"/>
      <c r="L224" s="37"/>
      <c r="M224" s="36"/>
      <c r="N224" s="36"/>
      <c r="O224" s="36"/>
      <c r="P224" s="36"/>
      <c r="Q224" s="36"/>
      <c r="R224" s="36"/>
      <c r="S224" s="36"/>
      <c r="T224" s="36"/>
      <c r="U224" s="36"/>
      <c r="V224" s="36"/>
      <c r="W224" s="36"/>
      <c r="X224" s="36"/>
      <c r="Y224" s="36"/>
      <c r="Z224" s="36"/>
      <c r="AA224" s="36"/>
      <c r="AB224" s="36"/>
      <c r="AC224" s="36"/>
      <c r="AD224" s="36"/>
      <c r="AE224" s="36"/>
      <c r="AF224" s="36"/>
      <c r="AG224" s="36"/>
      <c r="AH224" s="36" t="s">
        <v>413</v>
      </c>
      <c r="AI224" s="36"/>
      <c r="AJ224" s="36"/>
      <c r="AK224" s="36"/>
      <c r="AL224" s="36"/>
      <c r="AM224" s="36"/>
      <c r="AN224" s="36"/>
      <c r="AO224" s="36"/>
      <c r="AP224" s="36"/>
      <c r="AQ224" s="36"/>
      <c r="AR224" s="36"/>
      <c r="AS224" s="36"/>
      <c r="AT224" s="37"/>
      <c r="AU224" s="37"/>
      <c r="AV224" s="37"/>
      <c r="AW224" s="37"/>
      <c r="AX224" s="37"/>
      <c r="AY224" s="37"/>
      <c r="AZ224" s="37"/>
      <c r="BA224" s="37"/>
      <c r="BB224" s="37"/>
      <c r="BC224" s="37"/>
      <c r="BD224" s="37"/>
      <c r="BE224" s="37"/>
      <c r="BF224" s="37"/>
      <c r="BG224" s="37"/>
      <c r="BH224" s="37"/>
      <c r="BI224" s="37"/>
      <c r="BJ224" s="37"/>
      <c r="BK224" s="37"/>
      <c r="BL224" s="37"/>
      <c r="BM224" s="37"/>
      <c r="BN224" s="37"/>
      <c r="BO224" s="37"/>
      <c r="BP224" s="37"/>
      <c r="BQ224" s="37"/>
      <c r="BR224" s="37"/>
      <c r="BS224" s="37"/>
    </row>
    <row r="225" spans="1:71" ht="15" x14ac:dyDescent="0.25">
      <c r="A225" s="37"/>
      <c r="B225" s="37"/>
      <c r="C225" s="37"/>
      <c r="D225" s="37"/>
      <c r="E225" s="37"/>
      <c r="F225" s="37"/>
      <c r="G225" s="37"/>
      <c r="H225" s="37"/>
      <c r="I225" s="37"/>
      <c r="J225" s="37"/>
      <c r="K225" s="37"/>
      <c r="L225" s="37"/>
      <c r="M225" s="36"/>
      <c r="N225" s="36"/>
      <c r="O225" s="36"/>
      <c r="P225" s="36"/>
      <c r="Q225" s="36"/>
      <c r="R225" s="36"/>
      <c r="S225" s="36"/>
      <c r="T225" s="36"/>
      <c r="U225" s="36"/>
      <c r="V225" s="36"/>
      <c r="W225" s="36"/>
      <c r="X225" s="36"/>
      <c r="Y225" s="36"/>
      <c r="Z225" s="36"/>
      <c r="AA225" s="36"/>
      <c r="AB225" s="36"/>
      <c r="AC225" s="36"/>
      <c r="AD225" s="36"/>
      <c r="AE225" s="36"/>
      <c r="AF225" s="36"/>
      <c r="AG225" s="36"/>
      <c r="AH225" s="36"/>
      <c r="AI225" s="36"/>
      <c r="AJ225" s="36"/>
      <c r="AK225" s="36"/>
      <c r="AL225" s="36"/>
      <c r="AM225" s="36"/>
      <c r="AN225" s="36"/>
      <c r="AO225" s="36"/>
      <c r="AP225" s="36"/>
      <c r="AQ225" s="36"/>
      <c r="AR225" s="36"/>
      <c r="AS225" s="36"/>
      <c r="AT225" s="37"/>
      <c r="AU225" s="37"/>
      <c r="AV225" s="37"/>
      <c r="AW225" s="37"/>
      <c r="AX225" s="37"/>
      <c r="AY225" s="37"/>
      <c r="AZ225" s="37"/>
      <c r="BA225" s="37"/>
      <c r="BB225" s="37"/>
      <c r="BC225" s="37"/>
      <c r="BD225" s="37"/>
      <c r="BE225" s="37"/>
      <c r="BF225" s="37"/>
      <c r="BG225" s="37"/>
      <c r="BH225" s="37"/>
      <c r="BI225" s="37"/>
      <c r="BJ225" s="37"/>
      <c r="BK225" s="37"/>
      <c r="BL225" s="37"/>
      <c r="BM225" s="37"/>
      <c r="BN225" s="37"/>
      <c r="BO225" s="37"/>
      <c r="BP225" s="37"/>
      <c r="BQ225" s="37"/>
      <c r="BR225" s="37"/>
      <c r="BS225" s="37"/>
    </row>
    <row r="226" spans="1:71" ht="15" x14ac:dyDescent="0.25">
      <c r="A226" s="37"/>
      <c r="B226" s="37"/>
      <c r="C226" s="37"/>
      <c r="D226" s="37"/>
      <c r="E226" s="37"/>
      <c r="F226" s="36"/>
      <c r="G226" s="36"/>
      <c r="H226" s="36"/>
      <c r="I226" s="36"/>
      <c r="J226" s="36"/>
      <c r="K226" s="36"/>
      <c r="L226" s="36"/>
      <c r="M226" s="36"/>
      <c r="N226" s="36"/>
      <c r="O226" s="36"/>
      <c r="P226" s="36"/>
      <c r="Q226" s="36"/>
      <c r="R226" s="36"/>
      <c r="S226" s="36"/>
      <c r="T226" s="36"/>
      <c r="U226" s="36"/>
      <c r="V226" s="36"/>
      <c r="W226" s="36"/>
      <c r="X226" s="36"/>
      <c r="Y226" s="36"/>
      <c r="Z226" s="36"/>
      <c r="AA226" s="36"/>
      <c r="AB226" s="36"/>
      <c r="AC226" s="36"/>
      <c r="AD226" s="36"/>
      <c r="AE226" s="36"/>
      <c r="AF226" s="36"/>
      <c r="AG226" s="36"/>
      <c r="AH226" s="36"/>
      <c r="AI226" s="36"/>
      <c r="AJ226" s="36"/>
      <c r="AK226" s="36"/>
      <c r="AL226" s="36"/>
      <c r="AM226" s="36"/>
      <c r="AN226" s="36"/>
      <c r="AO226" s="36"/>
      <c r="AP226" s="36"/>
      <c r="AQ226" s="36"/>
      <c r="AR226" s="36"/>
      <c r="AS226" s="36"/>
      <c r="AT226" s="37"/>
      <c r="AU226" s="37"/>
      <c r="AV226" s="37"/>
      <c r="AW226" s="37"/>
      <c r="AX226" s="37"/>
      <c r="AY226" s="37"/>
      <c r="AZ226" s="37"/>
      <c r="BA226" s="37"/>
      <c r="BB226" s="37"/>
      <c r="BC226" s="37"/>
      <c r="BD226" s="37"/>
      <c r="BE226" s="37"/>
      <c r="BF226" s="37"/>
      <c r="BG226" s="37"/>
      <c r="BH226" s="37"/>
      <c r="BI226" s="37"/>
      <c r="BJ226" s="37"/>
      <c r="BK226" s="37"/>
      <c r="BL226" s="37"/>
      <c r="BM226" s="37"/>
      <c r="BN226" s="37"/>
      <c r="BO226" s="37"/>
      <c r="BP226" s="37"/>
      <c r="BQ226" s="37"/>
      <c r="BR226" s="37"/>
      <c r="BS226" s="37"/>
    </row>
    <row r="227" spans="1:71" ht="15" x14ac:dyDescent="0.25">
      <c r="A227" s="37"/>
      <c r="B227" s="37"/>
      <c r="C227" s="37"/>
      <c r="D227" s="37"/>
      <c r="E227" s="37"/>
      <c r="F227" s="46" t="s">
        <v>352</v>
      </c>
      <c r="G227" s="46"/>
      <c r="H227" s="46"/>
      <c r="I227" s="46"/>
      <c r="J227" s="46"/>
      <c r="K227" s="46"/>
      <c r="L227" s="46"/>
      <c r="M227" s="46"/>
      <c r="N227" s="46"/>
      <c r="O227" s="192"/>
      <c r="P227" s="192"/>
      <c r="Q227" s="192"/>
      <c r="R227" s="192"/>
      <c r="S227" s="192"/>
      <c r="T227" s="192"/>
      <c r="U227" s="192"/>
      <c r="V227" s="192"/>
      <c r="W227" s="192"/>
      <c r="X227" s="192"/>
      <c r="Y227" s="192"/>
      <c r="Z227" s="192"/>
      <c r="AA227" s="192"/>
      <c r="AB227" s="192"/>
      <c r="AC227" s="192"/>
      <c r="AD227" s="192"/>
      <c r="AE227" s="192"/>
      <c r="AF227" s="37"/>
      <c r="AG227" s="37"/>
      <c r="AH227" s="37"/>
      <c r="AI227" s="37"/>
      <c r="AJ227" s="37"/>
      <c r="AK227" s="37"/>
      <c r="AL227" s="37"/>
      <c r="AM227" s="37"/>
      <c r="AN227" s="37"/>
      <c r="AO227" s="37"/>
      <c r="AP227" s="37"/>
      <c r="AQ227" s="37"/>
      <c r="AR227" s="37"/>
      <c r="AS227" s="37"/>
      <c r="AT227" s="37"/>
      <c r="AU227" s="37"/>
      <c r="AV227" s="37"/>
      <c r="AW227" s="37"/>
      <c r="AX227" s="37"/>
      <c r="AY227" s="37"/>
      <c r="AZ227" s="37"/>
      <c r="BA227" s="37"/>
      <c r="BB227" s="37"/>
      <c r="BC227" s="37"/>
      <c r="BD227" s="37"/>
      <c r="BE227" s="37"/>
      <c r="BF227" s="37"/>
      <c r="BG227" s="37"/>
      <c r="BH227" s="37"/>
      <c r="BI227" s="37"/>
      <c r="BJ227" s="37"/>
      <c r="BK227" s="37"/>
      <c r="BL227" s="37"/>
      <c r="BM227" s="37"/>
      <c r="BN227" s="37"/>
      <c r="BO227" s="37"/>
      <c r="BP227" s="37"/>
      <c r="BQ227" s="37"/>
      <c r="BR227" s="37"/>
      <c r="BS227" s="37"/>
    </row>
    <row r="228" spans="1:71" ht="15" x14ac:dyDescent="0.25">
      <c r="A228" s="37"/>
      <c r="B228" s="37"/>
      <c r="C228" s="37"/>
      <c r="D228" s="37"/>
      <c r="E228" s="37"/>
      <c r="F228" s="37"/>
      <c r="G228" s="37"/>
      <c r="H228" s="37"/>
      <c r="I228" s="37"/>
      <c r="J228" s="37"/>
      <c r="K228" s="37"/>
      <c r="L228" s="37"/>
      <c r="M228" s="37"/>
      <c r="N228" s="37"/>
      <c r="O228" s="37"/>
      <c r="P228" s="37"/>
      <c r="Q228" s="37"/>
      <c r="R228" s="37"/>
      <c r="S228" s="37"/>
      <c r="T228" s="37"/>
      <c r="U228" s="37"/>
      <c r="V228" s="37"/>
      <c r="W228" s="37"/>
      <c r="X228" s="37"/>
      <c r="Y228" s="37"/>
      <c r="Z228" s="37"/>
      <c r="AA228" s="37"/>
      <c r="AB228" s="37"/>
      <c r="AC228" s="37"/>
      <c r="AD228" s="37"/>
      <c r="AE228" s="37"/>
      <c r="AF228" s="37"/>
      <c r="AG228" s="37"/>
      <c r="AH228" s="37"/>
      <c r="AI228" s="37"/>
      <c r="AJ228" s="37"/>
      <c r="AK228" s="37"/>
      <c r="AL228" s="37"/>
      <c r="AM228" s="37"/>
      <c r="AN228" s="37"/>
      <c r="AO228" s="37"/>
      <c r="AP228" s="37"/>
      <c r="AQ228" s="37"/>
      <c r="AR228" s="37"/>
      <c r="AS228" s="37"/>
      <c r="AT228" s="37"/>
      <c r="AU228" s="37"/>
      <c r="AV228" s="37"/>
      <c r="AW228" s="37"/>
      <c r="AX228" s="37"/>
      <c r="AY228" s="37"/>
      <c r="AZ228" s="37"/>
      <c r="BA228" s="37"/>
      <c r="BB228" s="37"/>
      <c r="BC228" s="37"/>
      <c r="BD228" s="37"/>
      <c r="BE228" s="37"/>
      <c r="BF228" s="37"/>
      <c r="BG228" s="37"/>
      <c r="BH228" s="37"/>
      <c r="BI228" s="37"/>
      <c r="BJ228" s="37"/>
      <c r="BK228" s="37"/>
      <c r="BL228" s="37"/>
      <c r="BM228" s="37"/>
      <c r="BN228" s="37"/>
      <c r="BO228" s="37"/>
      <c r="BP228" s="37"/>
      <c r="BQ228" s="37"/>
      <c r="BR228" s="37"/>
      <c r="BS228" s="37"/>
    </row>
    <row r="229" spans="1:71" ht="15" x14ac:dyDescent="0.25">
      <c r="A229" s="37"/>
      <c r="B229" s="37"/>
      <c r="C229" s="37"/>
      <c r="D229" s="37"/>
      <c r="E229" s="37"/>
      <c r="F229" s="36" t="s">
        <v>167</v>
      </c>
      <c r="G229" s="36"/>
      <c r="H229" s="36"/>
      <c r="I229" s="36"/>
      <c r="J229" s="36"/>
      <c r="K229" s="36"/>
      <c r="L229" s="36"/>
      <c r="M229" s="36"/>
      <c r="N229" s="36"/>
      <c r="O229" s="36"/>
      <c r="P229" s="36"/>
      <c r="Q229" s="36"/>
      <c r="R229" s="36"/>
      <c r="S229" s="36"/>
      <c r="T229" s="36"/>
      <c r="U229" s="36"/>
      <c r="V229" s="36"/>
      <c r="W229" s="36"/>
      <c r="X229" s="36"/>
      <c r="Y229" s="36"/>
      <c r="Z229" s="36"/>
      <c r="AA229" s="36"/>
      <c r="AB229" s="36"/>
      <c r="AC229" s="36"/>
      <c r="AD229" s="36"/>
      <c r="AE229" s="36"/>
      <c r="AF229" s="36"/>
      <c r="AG229" s="36"/>
      <c r="AH229" s="36" t="s">
        <v>434</v>
      </c>
      <c r="AI229" s="36"/>
      <c r="AJ229" s="36"/>
      <c r="AK229" s="36"/>
      <c r="AL229" s="36"/>
      <c r="AM229" s="36"/>
      <c r="AN229" s="37"/>
      <c r="AO229" s="37"/>
      <c r="AP229" s="37"/>
      <c r="AQ229" s="37"/>
      <c r="AR229" s="37"/>
      <c r="AS229" s="37"/>
      <c r="AT229" s="37"/>
      <c r="AU229" s="37"/>
      <c r="AV229" s="37"/>
      <c r="AW229" s="37"/>
      <c r="AX229" s="37"/>
      <c r="AY229" s="37"/>
      <c r="AZ229" s="37"/>
      <c r="BA229" s="37"/>
      <c r="BB229" s="37"/>
      <c r="BC229" s="37"/>
      <c r="BD229" s="37"/>
      <c r="BE229" s="37"/>
      <c r="BF229" s="37"/>
      <c r="BG229" s="37"/>
      <c r="BH229" s="37"/>
      <c r="BI229" s="37"/>
      <c r="BJ229" s="37"/>
      <c r="BK229" s="37"/>
      <c r="BL229" s="37"/>
      <c r="BM229" s="37"/>
      <c r="BN229" s="37"/>
      <c r="BO229" s="37"/>
      <c r="BP229" s="37"/>
      <c r="BQ229" s="37"/>
      <c r="BR229" s="37"/>
      <c r="BS229" s="37"/>
    </row>
    <row r="230" spans="1:71" ht="15" x14ac:dyDescent="0.25">
      <c r="A230" s="37"/>
      <c r="B230" s="37"/>
      <c r="C230" s="37"/>
      <c r="D230" s="37"/>
      <c r="E230" s="37"/>
      <c r="F230" s="36" t="s">
        <v>41</v>
      </c>
      <c r="G230" s="36"/>
      <c r="H230" s="36"/>
      <c r="I230" s="36"/>
      <c r="J230" s="36"/>
      <c r="K230" s="36"/>
      <c r="L230" s="36"/>
      <c r="M230" s="36"/>
      <c r="N230" s="36"/>
      <c r="O230" s="36"/>
      <c r="P230" s="36"/>
      <c r="Q230" s="36"/>
      <c r="R230" s="36"/>
      <c r="S230" s="36"/>
      <c r="T230" s="36"/>
      <c r="U230" s="36"/>
      <c r="V230" s="36"/>
      <c r="W230" s="36"/>
      <c r="X230" s="36"/>
      <c r="Y230" s="36"/>
      <c r="Z230" s="36"/>
      <c r="AA230" s="36"/>
      <c r="AB230" s="36"/>
      <c r="AC230" s="36"/>
      <c r="AD230" s="36"/>
      <c r="AE230" s="36"/>
      <c r="AF230" s="36"/>
      <c r="AG230" s="36"/>
      <c r="AH230" s="36"/>
      <c r="AI230" s="36"/>
      <c r="AJ230" s="36"/>
      <c r="AK230" s="36"/>
      <c r="AL230" s="36"/>
      <c r="AM230" s="36"/>
      <c r="AN230" s="37"/>
      <c r="AO230" s="37"/>
      <c r="AP230" s="37"/>
      <c r="AQ230" s="37"/>
      <c r="AR230" s="37"/>
      <c r="AS230" s="37"/>
      <c r="AT230" s="37"/>
      <c r="AU230" s="71"/>
      <c r="AV230" s="37"/>
      <c r="AW230" s="37"/>
      <c r="AX230" s="37"/>
      <c r="AY230" s="37"/>
      <c r="AZ230" s="37"/>
      <c r="BA230" s="37"/>
      <c r="BB230" s="37"/>
      <c r="BC230" s="37"/>
      <c r="BD230" s="37"/>
      <c r="BE230" s="37"/>
      <c r="BF230" s="37"/>
      <c r="BG230" s="37"/>
      <c r="BH230" s="37"/>
      <c r="BI230" s="37"/>
      <c r="BJ230" s="37"/>
      <c r="BK230" s="37"/>
      <c r="BL230" s="37"/>
      <c r="BM230" s="37"/>
      <c r="BN230" s="37"/>
      <c r="BO230" s="37"/>
      <c r="BP230" s="37"/>
      <c r="BQ230" s="37"/>
      <c r="BR230" s="37"/>
      <c r="BS230" s="37"/>
    </row>
    <row r="231" spans="1:71" ht="15" x14ac:dyDescent="0.25">
      <c r="A231" s="37"/>
      <c r="B231" s="37"/>
      <c r="C231" s="37"/>
      <c r="D231" s="37"/>
      <c r="E231" s="37"/>
      <c r="F231" s="36"/>
      <c r="G231" s="37"/>
      <c r="H231" s="37"/>
      <c r="I231" s="37"/>
      <c r="J231" s="37"/>
      <c r="K231" s="37"/>
      <c r="L231" s="37"/>
      <c r="M231" s="37"/>
      <c r="N231" s="37"/>
      <c r="O231" s="37"/>
      <c r="P231" s="37"/>
      <c r="Q231" s="37"/>
      <c r="R231" s="37"/>
      <c r="S231" s="37"/>
      <c r="T231" s="37"/>
      <c r="U231" s="37"/>
      <c r="V231" s="37"/>
      <c r="W231" s="37"/>
      <c r="X231" s="37"/>
      <c r="Y231" s="37"/>
      <c r="Z231" s="37"/>
      <c r="AA231" s="37"/>
      <c r="AB231" s="37"/>
      <c r="AC231" s="37"/>
      <c r="AD231" s="37"/>
      <c r="AE231" s="37"/>
      <c r="AF231" s="37"/>
      <c r="AG231" s="37"/>
      <c r="AH231" s="71"/>
      <c r="AI231" s="37"/>
      <c r="AJ231" s="37"/>
      <c r="AK231" s="37"/>
      <c r="AL231" s="37"/>
      <c r="AM231" s="37"/>
      <c r="AN231" s="71"/>
      <c r="AO231" s="71"/>
      <c r="AP231" s="71"/>
      <c r="AQ231" s="71"/>
      <c r="AR231" s="71"/>
      <c r="AS231" s="71"/>
      <c r="AT231" s="71"/>
      <c r="AU231" s="71"/>
      <c r="AV231" s="37"/>
      <c r="AW231" s="37"/>
      <c r="AX231" s="37"/>
      <c r="AY231" s="37"/>
      <c r="AZ231" s="37"/>
      <c r="BA231" s="37"/>
      <c r="BB231" s="37"/>
      <c r="BC231" s="37"/>
      <c r="BD231" s="37"/>
      <c r="BE231" s="37"/>
      <c r="BF231" s="37"/>
      <c r="BG231" s="37"/>
      <c r="BH231" s="37"/>
      <c r="BI231" s="37"/>
      <c r="BJ231" s="37"/>
      <c r="BK231" s="37"/>
      <c r="BL231" s="37"/>
      <c r="BM231" s="37"/>
      <c r="BN231" s="37"/>
      <c r="BO231" s="37"/>
      <c r="BP231" s="37"/>
      <c r="BQ231" s="37"/>
      <c r="BR231" s="37"/>
      <c r="BS231" s="37"/>
    </row>
    <row r="232" spans="1:71" ht="15" x14ac:dyDescent="0.25">
      <c r="A232" s="37"/>
      <c r="B232" s="37"/>
      <c r="C232" s="37"/>
      <c r="D232" s="37"/>
      <c r="E232" s="37"/>
      <c r="F232" s="36"/>
      <c r="G232" s="37"/>
      <c r="H232" s="37"/>
      <c r="I232" s="37"/>
      <c r="J232" s="37"/>
      <c r="K232" s="37"/>
      <c r="L232" s="37"/>
      <c r="M232" s="37"/>
      <c r="N232" s="37"/>
      <c r="O232" s="37"/>
      <c r="P232" s="37"/>
      <c r="Q232" s="37"/>
      <c r="R232" s="37"/>
      <c r="S232" s="37"/>
      <c r="T232" s="37"/>
      <c r="U232" s="37"/>
      <c r="V232" s="37"/>
      <c r="W232" s="37"/>
      <c r="X232" s="37"/>
      <c r="Y232" s="37"/>
      <c r="Z232" s="37"/>
      <c r="AA232" s="37"/>
      <c r="AB232" s="37"/>
      <c r="AC232" s="37"/>
      <c r="AD232" s="37"/>
      <c r="AE232" s="37"/>
      <c r="AF232" s="37"/>
      <c r="AG232" s="37"/>
      <c r="AH232" s="37"/>
      <c r="AI232" s="37"/>
      <c r="AJ232" s="37"/>
      <c r="AK232" s="37"/>
      <c r="AL232" s="37"/>
      <c r="AM232" s="37"/>
      <c r="AN232" s="37"/>
      <c r="AO232" s="37"/>
      <c r="AP232" s="37"/>
      <c r="AQ232" s="37"/>
      <c r="AR232" s="37"/>
      <c r="AS232" s="37"/>
      <c r="AT232" s="37"/>
      <c r="AU232" s="37"/>
      <c r="AV232" s="37"/>
      <c r="AW232" s="37"/>
      <c r="AX232" s="37"/>
      <c r="AY232" s="37"/>
      <c r="AZ232" s="37"/>
      <c r="BA232" s="37"/>
      <c r="BB232" s="37"/>
      <c r="BC232" s="37"/>
      <c r="BD232" s="37"/>
      <c r="BE232" s="37"/>
      <c r="BF232" s="37"/>
      <c r="BG232" s="37"/>
      <c r="BH232" s="37"/>
      <c r="BI232" s="37"/>
      <c r="BJ232" s="37"/>
      <c r="BK232" s="37"/>
      <c r="BL232" s="37"/>
      <c r="BM232" s="37"/>
      <c r="BN232" s="37"/>
      <c r="BO232" s="37"/>
      <c r="BP232" s="37"/>
      <c r="BQ232" s="37"/>
      <c r="BR232" s="37"/>
      <c r="BS232" s="37"/>
    </row>
    <row r="233" spans="1:71" ht="15" x14ac:dyDescent="0.25">
      <c r="A233" s="37"/>
      <c r="B233" s="37"/>
      <c r="C233" s="37"/>
      <c r="D233" s="37"/>
      <c r="E233" s="37"/>
      <c r="F233" s="46" t="s">
        <v>419</v>
      </c>
      <c r="G233" s="46"/>
      <c r="H233" s="46"/>
      <c r="I233" s="46"/>
      <c r="J233" s="46"/>
      <c r="K233" s="46"/>
      <c r="L233" s="46"/>
      <c r="M233" s="46"/>
      <c r="N233" s="46"/>
      <c r="O233" s="192"/>
      <c r="P233" s="192"/>
      <c r="Q233" s="192"/>
      <c r="R233" s="192"/>
      <c r="S233" s="192"/>
      <c r="T233" s="192"/>
      <c r="U233" s="192"/>
      <c r="V233" s="192"/>
      <c r="W233" s="192"/>
      <c r="X233" s="192"/>
      <c r="Y233" s="192"/>
      <c r="Z233" s="192"/>
      <c r="AA233" s="192"/>
      <c r="AB233" s="192"/>
      <c r="AC233" s="192"/>
      <c r="AD233" s="192"/>
      <c r="AE233" s="192"/>
      <c r="AF233" s="37"/>
      <c r="AG233" s="37"/>
      <c r="AH233" s="37"/>
      <c r="AI233" s="37"/>
      <c r="AJ233" s="37"/>
      <c r="AK233" s="37"/>
      <c r="AL233" s="37"/>
      <c r="AM233" s="37"/>
      <c r="AN233" s="37"/>
      <c r="AO233" s="37"/>
      <c r="AP233" s="37"/>
      <c r="AQ233" s="37"/>
      <c r="AR233" s="37"/>
      <c r="AS233" s="37"/>
      <c r="AT233" s="37"/>
      <c r="AU233" s="37"/>
      <c r="AV233" s="37"/>
      <c r="AW233" s="37"/>
      <c r="AX233" s="37"/>
      <c r="AY233" s="37"/>
      <c r="AZ233" s="37"/>
      <c r="BA233" s="37"/>
      <c r="BB233" s="37"/>
      <c r="BC233" s="37"/>
      <c r="BD233" s="37"/>
      <c r="BE233" s="37"/>
      <c r="BF233" s="37"/>
      <c r="BG233" s="37"/>
      <c r="BH233" s="37"/>
      <c r="BI233" s="37"/>
      <c r="BJ233" s="37"/>
      <c r="BK233" s="37"/>
      <c r="BL233" s="37"/>
      <c r="BM233" s="37"/>
      <c r="BN233" s="37"/>
      <c r="BO233" s="37"/>
      <c r="BP233" s="37"/>
      <c r="BQ233" s="37"/>
      <c r="BR233" s="37"/>
      <c r="BS233" s="37"/>
    </row>
    <row r="234" spans="1:71" ht="15" x14ac:dyDescent="0.25">
      <c r="A234" s="37"/>
      <c r="B234" s="37"/>
      <c r="C234" s="37"/>
      <c r="D234" s="37"/>
      <c r="E234" s="37"/>
      <c r="F234" s="37"/>
      <c r="G234" s="37"/>
      <c r="H234" s="37"/>
      <c r="I234" s="37"/>
      <c r="J234" s="37"/>
      <c r="K234" s="37"/>
      <c r="L234" s="37"/>
      <c r="M234" s="37"/>
      <c r="N234" s="37"/>
      <c r="O234" s="37"/>
      <c r="P234" s="37"/>
      <c r="Q234" s="37"/>
      <c r="R234" s="37"/>
      <c r="S234" s="37"/>
      <c r="T234" s="37"/>
      <c r="U234" s="37"/>
      <c r="V234" s="37"/>
      <c r="W234" s="37"/>
      <c r="X234" s="37"/>
      <c r="Y234" s="37"/>
      <c r="Z234" s="37"/>
      <c r="AA234" s="37"/>
      <c r="AB234" s="37"/>
      <c r="AC234" s="37"/>
      <c r="AD234" s="37"/>
      <c r="AE234" s="37"/>
      <c r="AF234" s="37"/>
      <c r="AG234" s="37"/>
      <c r="AH234" s="37"/>
      <c r="AI234" s="37"/>
      <c r="AJ234" s="37"/>
      <c r="AK234" s="37"/>
      <c r="AL234" s="37"/>
      <c r="AM234" s="37"/>
      <c r="AN234" s="37"/>
      <c r="AO234" s="37"/>
      <c r="AP234" s="37"/>
      <c r="AQ234" s="37"/>
      <c r="AR234" s="37"/>
      <c r="AS234" s="37"/>
      <c r="AT234" s="37"/>
      <c r="AU234" s="37"/>
      <c r="AV234" s="37"/>
      <c r="AW234" s="37"/>
      <c r="AX234" s="37"/>
      <c r="AY234" s="37"/>
      <c r="AZ234" s="37"/>
      <c r="BA234" s="37"/>
      <c r="BB234" s="37"/>
      <c r="BC234" s="37"/>
      <c r="BD234" s="37"/>
      <c r="BE234" s="37"/>
      <c r="BF234" s="37"/>
      <c r="BG234" s="37"/>
      <c r="BH234" s="37"/>
      <c r="BI234" s="37"/>
      <c r="BJ234" s="37"/>
      <c r="BK234" s="37"/>
      <c r="BL234" s="37"/>
      <c r="BM234" s="37"/>
      <c r="BN234" s="37"/>
      <c r="BO234" s="37"/>
      <c r="BP234" s="37"/>
      <c r="BQ234" s="37"/>
      <c r="BR234" s="37"/>
      <c r="BS234" s="37"/>
    </row>
    <row r="235" spans="1:71" ht="15" x14ac:dyDescent="0.25">
      <c r="A235" s="37"/>
      <c r="B235" s="37"/>
      <c r="C235" s="37"/>
      <c r="D235" s="37"/>
      <c r="E235" s="37"/>
      <c r="F235" s="36" t="s">
        <v>169</v>
      </c>
      <c r="G235" s="36"/>
      <c r="H235" s="36"/>
      <c r="I235" s="36"/>
      <c r="J235" s="36"/>
      <c r="K235" s="36"/>
      <c r="L235" s="36"/>
      <c r="M235" s="36"/>
      <c r="N235" s="36"/>
      <c r="O235" s="36"/>
      <c r="P235" s="36"/>
      <c r="Q235" s="36"/>
      <c r="R235" s="36"/>
      <c r="S235" s="36"/>
      <c r="T235" s="36"/>
      <c r="U235" s="36"/>
      <c r="V235" s="36"/>
      <c r="W235" s="36"/>
      <c r="X235" s="36"/>
      <c r="Y235" s="36"/>
      <c r="Z235" s="36"/>
      <c r="AA235" s="36"/>
      <c r="AB235" s="36"/>
      <c r="AC235" s="36"/>
      <c r="AD235" s="36"/>
      <c r="AE235" s="36"/>
      <c r="AF235" s="36"/>
      <c r="AG235" s="36"/>
      <c r="AH235" s="36" t="s">
        <v>421</v>
      </c>
      <c r="AI235" s="36"/>
      <c r="AJ235" s="36"/>
      <c r="AK235" s="36"/>
      <c r="AL235" s="36"/>
      <c r="AM235" s="36"/>
      <c r="AN235" s="36"/>
      <c r="AO235" s="37"/>
      <c r="AP235" s="37"/>
      <c r="AQ235" s="37"/>
      <c r="AR235" s="37"/>
      <c r="AS235" s="37"/>
      <c r="AT235" s="37"/>
      <c r="AU235" s="37"/>
      <c r="AV235" s="37"/>
      <c r="AW235" s="37"/>
      <c r="AX235" s="37"/>
      <c r="AY235" s="37"/>
      <c r="AZ235" s="37"/>
      <c r="BA235" s="37"/>
      <c r="BB235" s="37"/>
      <c r="BC235" s="37"/>
      <c r="BD235" s="37"/>
      <c r="BE235" s="37"/>
      <c r="BF235" s="37"/>
      <c r="BG235" s="37"/>
      <c r="BH235" s="37"/>
      <c r="BI235" s="37"/>
      <c r="BJ235" s="37"/>
      <c r="BK235" s="37"/>
      <c r="BL235" s="37"/>
      <c r="BM235" s="37"/>
      <c r="BN235" s="37"/>
      <c r="BO235" s="37"/>
      <c r="BP235" s="37"/>
      <c r="BQ235" s="37"/>
      <c r="BR235" s="37"/>
      <c r="BS235" s="37"/>
    </row>
    <row r="236" spans="1:71" ht="15" x14ac:dyDescent="0.25">
      <c r="A236" s="37"/>
      <c r="B236" s="37"/>
      <c r="C236" s="37"/>
      <c r="D236" s="37"/>
      <c r="E236" s="37"/>
      <c r="F236" s="36" t="s">
        <v>41</v>
      </c>
      <c r="G236" s="36"/>
      <c r="H236" s="36"/>
      <c r="I236" s="36"/>
      <c r="J236" s="36"/>
      <c r="K236" s="36"/>
      <c r="L236" s="36"/>
      <c r="M236" s="36"/>
      <c r="N236" s="36"/>
      <c r="O236" s="36"/>
      <c r="P236" s="36"/>
      <c r="Q236" s="36"/>
      <c r="R236" s="36"/>
      <c r="S236" s="36"/>
      <c r="T236" s="36"/>
      <c r="U236" s="36"/>
      <c r="V236" s="36"/>
      <c r="W236" s="36"/>
      <c r="X236" s="36"/>
      <c r="Y236" s="36"/>
      <c r="Z236" s="36"/>
      <c r="AA236" s="36"/>
      <c r="AB236" s="36"/>
      <c r="AC236" s="36"/>
      <c r="AD236" s="36"/>
      <c r="AE236" s="36"/>
      <c r="AF236" s="36"/>
      <c r="AG236" s="36"/>
      <c r="AH236" s="36" t="s">
        <v>730</v>
      </c>
      <c r="AI236" s="36"/>
      <c r="AJ236" s="36"/>
      <c r="AK236" s="36"/>
      <c r="AL236" s="36"/>
      <c r="AM236" s="36"/>
      <c r="AN236" s="36"/>
      <c r="AO236" s="37"/>
      <c r="AP236" s="37"/>
      <c r="AQ236" s="37"/>
      <c r="AR236" s="37"/>
      <c r="AS236" s="37"/>
      <c r="AT236" s="37"/>
      <c r="AU236" s="37"/>
      <c r="AV236" s="37"/>
      <c r="AW236" s="37"/>
      <c r="AX236" s="37"/>
      <c r="AY236" s="37"/>
      <c r="AZ236" s="37"/>
      <c r="BA236" s="37"/>
      <c r="BB236" s="37"/>
      <c r="BC236" s="37"/>
      <c r="BD236" s="37"/>
      <c r="BE236" s="37"/>
      <c r="BF236" s="37"/>
      <c r="BG236" s="37"/>
      <c r="BH236" s="37"/>
      <c r="BI236" s="37"/>
      <c r="BJ236" s="37"/>
      <c r="BK236" s="37"/>
      <c r="BL236" s="37"/>
      <c r="BM236" s="37"/>
      <c r="BN236" s="37"/>
      <c r="BO236" s="37"/>
      <c r="BP236" s="37"/>
      <c r="BQ236" s="37"/>
      <c r="BR236" s="37"/>
      <c r="BS236" s="37"/>
    </row>
    <row r="237" spans="1:71" ht="15" x14ac:dyDescent="0.25">
      <c r="A237" s="37"/>
      <c r="B237" s="37"/>
      <c r="C237" s="37"/>
      <c r="D237" s="37"/>
      <c r="E237" s="37"/>
      <c r="F237" s="36"/>
      <c r="G237" s="36"/>
      <c r="H237" s="36"/>
      <c r="I237" s="36"/>
      <c r="J237" s="36"/>
      <c r="K237" s="36"/>
      <c r="L237" s="36"/>
      <c r="M237" s="36"/>
      <c r="N237" s="36"/>
      <c r="O237" s="36"/>
      <c r="P237" s="36"/>
      <c r="Q237" s="36"/>
      <c r="R237" s="36"/>
      <c r="S237" s="36"/>
      <c r="T237" s="36"/>
      <c r="U237" s="36"/>
      <c r="V237" s="36"/>
      <c r="W237" s="36"/>
      <c r="X237" s="36"/>
      <c r="Y237" s="36"/>
      <c r="Z237" s="36"/>
      <c r="AA237" s="36"/>
      <c r="AB237" s="36"/>
      <c r="AC237" s="36"/>
      <c r="AD237" s="36"/>
      <c r="AE237" s="36"/>
      <c r="AF237" s="36"/>
      <c r="AG237" s="36"/>
      <c r="AH237" s="36"/>
      <c r="AI237" s="36"/>
      <c r="AJ237" s="36"/>
      <c r="AK237" s="36"/>
      <c r="AL237" s="36"/>
      <c r="AM237" s="36"/>
      <c r="AN237" s="36"/>
      <c r="AO237" s="37"/>
      <c r="AP237" s="37"/>
      <c r="AQ237" s="37"/>
      <c r="AR237" s="37"/>
      <c r="AS237" s="37"/>
      <c r="AT237" s="37"/>
      <c r="AU237" s="37"/>
      <c r="AV237" s="37"/>
      <c r="AW237" s="37"/>
      <c r="AX237" s="37"/>
      <c r="AY237" s="37"/>
      <c r="AZ237" s="37"/>
      <c r="BA237" s="37"/>
      <c r="BB237" s="37"/>
      <c r="BC237" s="37"/>
      <c r="BD237" s="37"/>
      <c r="BE237" s="37"/>
      <c r="BF237" s="37"/>
      <c r="BG237" s="37"/>
      <c r="BH237" s="37"/>
      <c r="BI237" s="37"/>
      <c r="BJ237" s="37"/>
      <c r="BK237" s="37"/>
      <c r="BL237" s="37"/>
      <c r="BM237" s="37"/>
      <c r="BN237" s="37"/>
      <c r="BO237" s="37"/>
      <c r="BP237" s="37"/>
      <c r="BQ237" s="37"/>
      <c r="BR237" s="37"/>
      <c r="BS237" s="37"/>
    </row>
    <row r="238" spans="1:71" ht="15" x14ac:dyDescent="0.25">
      <c r="A238" s="37"/>
      <c r="B238" s="37"/>
      <c r="C238" s="37"/>
      <c r="D238" s="37"/>
      <c r="E238" s="37"/>
      <c r="F238" s="36"/>
      <c r="G238" s="36"/>
      <c r="H238" s="36"/>
      <c r="I238" s="36"/>
      <c r="J238" s="36"/>
      <c r="K238" s="36"/>
      <c r="L238" s="36"/>
      <c r="M238" s="36"/>
      <c r="N238" s="36"/>
      <c r="O238" s="36"/>
      <c r="P238" s="36"/>
      <c r="Q238" s="36"/>
      <c r="R238" s="36"/>
      <c r="S238" s="36"/>
      <c r="T238" s="36"/>
      <c r="U238" s="36"/>
      <c r="V238" s="36"/>
      <c r="W238" s="36"/>
      <c r="X238" s="36"/>
      <c r="Y238" s="36"/>
      <c r="Z238" s="36"/>
      <c r="AA238" s="36"/>
      <c r="AB238" s="36"/>
      <c r="AC238" s="36"/>
      <c r="AD238" s="36"/>
      <c r="AE238" s="36"/>
      <c r="AF238" s="36"/>
      <c r="AG238" s="36"/>
      <c r="AH238" s="36"/>
      <c r="AI238" s="36"/>
      <c r="AJ238" s="36"/>
      <c r="AK238" s="36"/>
      <c r="AL238" s="36"/>
      <c r="AM238" s="36"/>
      <c r="AN238" s="36"/>
      <c r="AO238" s="37"/>
      <c r="AP238" s="37"/>
      <c r="AQ238" s="37"/>
      <c r="AR238" s="37"/>
      <c r="AS238" s="37"/>
      <c r="AT238" s="37"/>
      <c r="AU238" s="37"/>
      <c r="AV238" s="37"/>
      <c r="AW238" s="37"/>
      <c r="AX238" s="37"/>
      <c r="AY238" s="37"/>
      <c r="AZ238" s="37"/>
      <c r="BA238" s="37"/>
      <c r="BB238" s="37"/>
      <c r="BC238" s="37"/>
      <c r="BD238" s="37"/>
      <c r="BE238" s="37"/>
      <c r="BF238" s="37"/>
      <c r="BG238" s="37"/>
      <c r="BH238" s="37"/>
      <c r="BI238" s="37"/>
      <c r="BJ238" s="37"/>
      <c r="BK238" s="37"/>
      <c r="BL238" s="37"/>
      <c r="BM238" s="37"/>
      <c r="BN238" s="37"/>
      <c r="BO238" s="37"/>
      <c r="BP238" s="37"/>
      <c r="BQ238" s="37"/>
      <c r="BR238" s="37"/>
      <c r="BS238" s="37"/>
    </row>
    <row r="239" spans="1:71" ht="15" x14ac:dyDescent="0.25">
      <c r="A239" s="37"/>
      <c r="B239" s="37"/>
      <c r="C239" s="37"/>
      <c r="D239" s="37"/>
      <c r="E239" s="37"/>
      <c r="F239" s="678" t="s">
        <v>636</v>
      </c>
      <c r="G239" s="679"/>
      <c r="H239" s="679"/>
      <c r="I239" s="679"/>
      <c r="J239" s="679"/>
      <c r="K239" s="679"/>
      <c r="L239" s="679"/>
      <c r="M239" s="679"/>
      <c r="N239" s="679"/>
      <c r="O239" s="679"/>
      <c r="P239" s="679"/>
      <c r="Q239" s="679"/>
      <c r="R239" s="679"/>
      <c r="S239" s="679"/>
      <c r="T239" s="679"/>
      <c r="U239" s="679"/>
      <c r="V239" s="679"/>
      <c r="W239" s="679"/>
      <c r="X239" s="679"/>
      <c r="Y239" s="679"/>
      <c r="Z239" s="679"/>
      <c r="AA239" s="679"/>
      <c r="AB239" s="679"/>
      <c r="AC239" s="679"/>
      <c r="AD239" s="679"/>
      <c r="AE239" s="679"/>
      <c r="AF239" s="36"/>
      <c r="AG239" s="36"/>
      <c r="AH239" s="36"/>
      <c r="AI239" s="36"/>
      <c r="AJ239" s="36"/>
      <c r="AK239" s="36"/>
      <c r="AL239" s="36"/>
      <c r="AM239" s="36"/>
      <c r="AN239" s="36"/>
      <c r="AO239" s="37"/>
      <c r="AP239" s="37"/>
      <c r="AQ239" s="37"/>
      <c r="AR239" s="37"/>
      <c r="AS239" s="37"/>
      <c r="AT239" s="37"/>
      <c r="AU239" s="37"/>
      <c r="AV239" s="37"/>
      <c r="AW239" s="37"/>
      <c r="AX239" s="37"/>
      <c r="AY239" s="37"/>
      <c r="AZ239" s="37"/>
      <c r="BA239" s="37"/>
      <c r="BB239" s="37"/>
      <c r="BC239" s="37"/>
      <c r="BD239" s="37"/>
      <c r="BE239" s="37"/>
      <c r="BF239" s="37"/>
      <c r="BG239" s="37"/>
      <c r="BH239" s="37"/>
      <c r="BI239" s="37"/>
      <c r="BJ239" s="37"/>
      <c r="BK239" s="37"/>
      <c r="BL239" s="37"/>
      <c r="BM239" s="37"/>
      <c r="BN239" s="37"/>
      <c r="BO239" s="37"/>
      <c r="BP239" s="37"/>
      <c r="BQ239" s="37"/>
      <c r="BR239" s="37"/>
      <c r="BS239" s="37"/>
    </row>
    <row r="240" spans="1:71" ht="15" x14ac:dyDescent="0.25">
      <c r="A240" s="37"/>
      <c r="B240" s="37"/>
      <c r="C240" s="37"/>
      <c r="D240" s="37"/>
      <c r="E240" s="37"/>
      <c r="F240" s="680"/>
      <c r="G240" s="36"/>
      <c r="H240" s="36"/>
      <c r="I240" s="36"/>
      <c r="J240" s="36"/>
      <c r="K240" s="36"/>
      <c r="L240" s="36"/>
      <c r="M240" s="36"/>
      <c r="N240" s="36"/>
      <c r="O240" s="36"/>
      <c r="P240" s="36"/>
      <c r="Q240" s="36"/>
      <c r="R240" s="36"/>
      <c r="S240" s="36"/>
      <c r="T240" s="36"/>
      <c r="U240" s="36"/>
      <c r="V240" s="36"/>
      <c r="W240" s="36"/>
      <c r="X240" s="36"/>
      <c r="Y240" s="36"/>
      <c r="Z240" s="36"/>
      <c r="AA240" s="36"/>
      <c r="AB240" s="36"/>
      <c r="AC240" s="36"/>
      <c r="AD240" s="36"/>
      <c r="AE240" s="36"/>
      <c r="AF240" s="36"/>
      <c r="AG240" s="36"/>
      <c r="AH240" s="36"/>
      <c r="AI240" s="36"/>
      <c r="AJ240" s="36"/>
      <c r="AK240" s="36"/>
      <c r="AL240" s="36"/>
      <c r="AM240" s="36"/>
      <c r="AN240" s="36"/>
      <c r="AO240" s="37"/>
      <c r="AP240" s="37"/>
      <c r="AQ240" s="37"/>
      <c r="AR240" s="37"/>
      <c r="AS240" s="37"/>
      <c r="AT240" s="37"/>
      <c r="AU240" s="37"/>
      <c r="AV240" s="37"/>
      <c r="AW240" s="37"/>
      <c r="AX240" s="37"/>
      <c r="AY240" s="37"/>
      <c r="AZ240" s="37"/>
      <c r="BA240" s="37"/>
      <c r="BB240" s="37"/>
      <c r="BC240" s="37"/>
      <c r="BD240" s="37"/>
      <c r="BE240" s="37"/>
      <c r="BF240" s="37"/>
      <c r="BG240" s="37"/>
      <c r="BH240" s="37"/>
      <c r="BI240" s="37"/>
      <c r="BJ240" s="37"/>
      <c r="BK240" s="37"/>
      <c r="BL240" s="37"/>
      <c r="BM240" s="37"/>
      <c r="BN240" s="37"/>
      <c r="BO240" s="37"/>
      <c r="BP240" s="37"/>
      <c r="BQ240" s="37"/>
      <c r="BR240" s="37"/>
      <c r="BS240" s="37"/>
    </row>
    <row r="241" spans="1:71" ht="15" x14ac:dyDescent="0.25">
      <c r="A241" s="37"/>
      <c r="B241" s="37"/>
      <c r="C241" s="37"/>
      <c r="D241" s="37"/>
      <c r="E241" s="37"/>
      <c r="F241" s="36" t="s">
        <v>637</v>
      </c>
      <c r="G241" s="36"/>
      <c r="H241" s="36"/>
      <c r="I241" s="36"/>
      <c r="J241" s="36"/>
      <c r="K241" s="36"/>
      <c r="L241" s="36"/>
      <c r="M241" s="36"/>
      <c r="N241" s="36"/>
      <c r="O241" s="36"/>
      <c r="P241" s="36"/>
      <c r="Q241" s="36"/>
      <c r="R241" s="36"/>
      <c r="S241" s="36"/>
      <c r="T241" s="36"/>
      <c r="U241" s="36"/>
      <c r="V241" s="36"/>
      <c r="W241" s="36"/>
      <c r="X241" s="36"/>
      <c r="Y241" s="36"/>
      <c r="Z241" s="36"/>
      <c r="AA241" s="36"/>
      <c r="AB241" s="36"/>
      <c r="AC241" s="36"/>
      <c r="AD241" s="36"/>
      <c r="AE241" s="36"/>
      <c r="AF241" s="36"/>
      <c r="AG241" s="36"/>
      <c r="AH241" s="36" t="s">
        <v>638</v>
      </c>
      <c r="AI241" s="36"/>
      <c r="AJ241" s="36"/>
      <c r="AK241" s="36"/>
      <c r="AL241" s="36"/>
      <c r="AM241" s="36"/>
      <c r="AN241" s="36"/>
      <c r="AO241" s="37"/>
      <c r="AP241" s="37"/>
      <c r="AQ241" s="37"/>
      <c r="AR241" s="37"/>
      <c r="AS241" s="37"/>
      <c r="AT241" s="37"/>
      <c r="AU241" s="37"/>
      <c r="AV241" s="37"/>
      <c r="AW241" s="37"/>
      <c r="AX241" s="37"/>
      <c r="AY241" s="37"/>
      <c r="AZ241" s="37"/>
      <c r="BA241" s="37"/>
      <c r="BB241" s="37"/>
      <c r="BC241" s="37"/>
      <c r="BD241" s="37"/>
      <c r="BE241" s="37"/>
      <c r="BF241" s="37"/>
      <c r="BG241" s="37"/>
      <c r="BH241" s="37"/>
      <c r="BI241" s="37"/>
      <c r="BJ241" s="37"/>
      <c r="BK241" s="37"/>
      <c r="BL241" s="37"/>
      <c r="BM241" s="37"/>
      <c r="BN241" s="37"/>
      <c r="BO241" s="37"/>
      <c r="BP241" s="37"/>
      <c r="BQ241" s="37"/>
      <c r="BR241" s="37"/>
      <c r="BS241" s="37"/>
    </row>
    <row r="242" spans="1:71" ht="15" x14ac:dyDescent="0.25">
      <c r="A242" s="37"/>
      <c r="B242" s="37"/>
      <c r="C242" s="37"/>
      <c r="D242" s="37"/>
      <c r="E242" s="37"/>
      <c r="F242" s="37" t="s">
        <v>639</v>
      </c>
      <c r="G242" s="37"/>
      <c r="H242" s="37"/>
      <c r="I242" s="37"/>
      <c r="J242" s="37"/>
      <c r="K242" s="37"/>
      <c r="L242" s="37"/>
      <c r="M242" s="37"/>
      <c r="N242" s="37"/>
      <c r="O242" s="37"/>
      <c r="P242" s="37"/>
      <c r="Q242" s="37"/>
      <c r="R242" s="37"/>
      <c r="S242" s="37"/>
      <c r="T242" s="37"/>
      <c r="U242" s="37"/>
      <c r="V242" s="37"/>
      <c r="W242" s="37"/>
      <c r="X242" s="37"/>
      <c r="Y242" s="37"/>
      <c r="Z242" s="37"/>
      <c r="AA242" s="37"/>
      <c r="AB242" s="37"/>
      <c r="AC242" s="37"/>
      <c r="AD242" s="37"/>
      <c r="AE242" s="37"/>
      <c r="AF242" s="37"/>
      <c r="AG242" s="37"/>
      <c r="AH242" s="37"/>
      <c r="AI242" s="37"/>
      <c r="AJ242" s="37"/>
      <c r="AK242" s="37"/>
      <c r="AL242" s="37"/>
      <c r="AM242" s="37"/>
      <c r="AN242" s="37"/>
      <c r="AO242" s="37"/>
      <c r="AP242" s="37"/>
      <c r="AQ242" s="37"/>
      <c r="AR242" s="37"/>
      <c r="AS242" s="37"/>
      <c r="AT242" s="37"/>
      <c r="AU242" s="37"/>
      <c r="AV242" s="37"/>
      <c r="AW242" s="37"/>
      <c r="AX242" s="37"/>
      <c r="AY242" s="37"/>
      <c r="AZ242" s="37"/>
      <c r="BA242" s="37"/>
      <c r="BB242" s="37"/>
      <c r="BC242" s="37"/>
      <c r="BD242" s="37"/>
      <c r="BE242" s="37"/>
      <c r="BF242" s="37"/>
      <c r="BG242" s="37"/>
      <c r="BH242" s="37"/>
      <c r="BI242" s="37"/>
      <c r="BJ242" s="37"/>
      <c r="BK242" s="37"/>
      <c r="BL242" s="37"/>
      <c r="BM242" s="37"/>
      <c r="BN242" s="37"/>
      <c r="BO242" s="37"/>
      <c r="BP242" s="37"/>
      <c r="BQ242" s="37"/>
      <c r="BR242" s="37"/>
      <c r="BS242" s="37"/>
    </row>
    <row r="243" spans="1:71" ht="15" x14ac:dyDescent="0.25">
      <c r="A243" s="37"/>
      <c r="B243" s="37"/>
      <c r="C243" s="37"/>
      <c r="D243" s="37"/>
      <c r="E243" s="37"/>
      <c r="F243" s="37"/>
      <c r="G243" s="37"/>
      <c r="H243" s="37"/>
      <c r="I243" s="37"/>
      <c r="J243" s="37"/>
      <c r="K243" s="37"/>
      <c r="L243" s="37"/>
      <c r="M243" s="37"/>
      <c r="N243" s="37"/>
      <c r="O243" s="37"/>
      <c r="P243" s="37"/>
      <c r="Q243" s="37"/>
      <c r="R243" s="37"/>
      <c r="S243" s="37"/>
      <c r="T243" s="37"/>
      <c r="U243" s="37"/>
      <c r="V243" s="37"/>
      <c r="W243" s="37"/>
      <c r="X243" s="37"/>
      <c r="Y243" s="37"/>
      <c r="Z243" s="37"/>
      <c r="AA243" s="37"/>
      <c r="AB243" s="37"/>
      <c r="AC243" s="37"/>
      <c r="AD243" s="37"/>
      <c r="AE243" s="37"/>
      <c r="AF243" s="37"/>
      <c r="AG243" s="37"/>
      <c r="AH243" s="37"/>
      <c r="AI243" s="37"/>
      <c r="AJ243" s="37"/>
      <c r="AK243" s="37"/>
      <c r="AL243" s="37"/>
      <c r="AM243" s="37"/>
      <c r="AN243" s="37"/>
      <c r="AO243" s="37"/>
      <c r="AP243" s="37"/>
      <c r="AQ243" s="37"/>
      <c r="AR243" s="37"/>
      <c r="AS243" s="37"/>
      <c r="AT243" s="37"/>
      <c r="AU243" s="37"/>
      <c r="AV243" s="37"/>
      <c r="AW243" s="37"/>
      <c r="AX243" s="37"/>
      <c r="AY243" s="37"/>
      <c r="AZ243" s="37"/>
      <c r="BA243" s="37"/>
      <c r="BB243" s="37"/>
      <c r="BC243" s="37"/>
      <c r="BD243" s="37"/>
      <c r="BE243" s="37"/>
      <c r="BF243" s="37"/>
      <c r="BG243" s="37"/>
      <c r="BH243" s="37"/>
      <c r="BI243" s="37"/>
      <c r="BJ243" s="37"/>
      <c r="BK243" s="37"/>
      <c r="BL243" s="37"/>
      <c r="BM243" s="37"/>
      <c r="BN243" s="37"/>
      <c r="BO243" s="37"/>
      <c r="BP243" s="37"/>
      <c r="BQ243" s="37"/>
      <c r="BR243" s="37"/>
      <c r="BS243" s="37"/>
    </row>
    <row r="244" spans="1:71" ht="15" x14ac:dyDescent="0.25">
      <c r="A244" s="184"/>
      <c r="B244" s="184"/>
      <c r="C244" s="184"/>
      <c r="D244" s="184"/>
      <c r="E244" s="184"/>
      <c r="F244" s="183"/>
      <c r="G244" s="183"/>
      <c r="H244" s="183"/>
      <c r="I244" s="183"/>
      <c r="J244" s="183"/>
      <c r="K244" s="183"/>
      <c r="L244" s="183"/>
      <c r="M244" s="183"/>
      <c r="N244" s="183"/>
      <c r="O244" s="183"/>
      <c r="P244" s="183"/>
      <c r="Q244" s="183"/>
      <c r="R244" s="183"/>
      <c r="S244" s="183"/>
      <c r="T244" s="183"/>
      <c r="U244" s="183"/>
      <c r="V244" s="183"/>
      <c r="W244" s="183"/>
      <c r="X244" s="183"/>
      <c r="Y244" s="183"/>
      <c r="Z244" s="183"/>
      <c r="AA244" s="183"/>
      <c r="AB244" s="183"/>
      <c r="AC244" s="183"/>
      <c r="AD244" s="183"/>
      <c r="AE244" s="183"/>
      <c r="AF244" s="183"/>
      <c r="AG244" s="183"/>
      <c r="AH244" s="183"/>
      <c r="AI244" s="183"/>
      <c r="AJ244" s="183"/>
      <c r="AK244" s="183"/>
      <c r="AL244" s="183"/>
      <c r="AM244" s="183"/>
      <c r="AN244" s="183"/>
      <c r="AO244" s="183"/>
      <c r="AP244" s="183"/>
      <c r="AQ244" s="183"/>
      <c r="AR244" s="183"/>
      <c r="AS244" s="183"/>
      <c r="AT244" s="183"/>
      <c r="AU244" s="183"/>
      <c r="AV244" s="183"/>
      <c r="AW244" s="183"/>
      <c r="AX244" s="183"/>
      <c r="AY244" s="183"/>
      <c r="AZ244" s="183"/>
      <c r="BA244" s="183"/>
      <c r="BB244" s="183"/>
      <c r="BC244" s="183"/>
      <c r="BD244" s="183"/>
      <c r="BE244" s="183"/>
      <c r="BF244" s="183"/>
      <c r="BG244" s="183"/>
      <c r="BH244" s="183"/>
      <c r="BI244" s="183"/>
      <c r="BJ244" s="183"/>
      <c r="BK244" s="183"/>
      <c r="BL244" s="183"/>
      <c r="BM244" s="184"/>
      <c r="BN244" s="184"/>
      <c r="BO244" s="37"/>
      <c r="BP244" s="37"/>
      <c r="BQ244" s="37"/>
      <c r="BR244" s="37"/>
      <c r="BS244" s="37"/>
    </row>
    <row r="245" spans="1:71" ht="15" x14ac:dyDescent="0.25">
      <c r="A245" s="184"/>
      <c r="B245" s="184"/>
      <c r="C245" s="184"/>
      <c r="D245" s="184"/>
      <c r="E245" s="184"/>
      <c r="F245" s="183" t="s">
        <v>435</v>
      </c>
      <c r="G245" s="183"/>
      <c r="H245" s="183"/>
      <c r="I245" s="183"/>
      <c r="J245" s="183"/>
      <c r="K245" s="183"/>
      <c r="L245" s="183"/>
      <c r="M245" s="183"/>
      <c r="N245" s="183"/>
      <c r="O245" s="183"/>
      <c r="P245" s="183"/>
      <c r="Q245" s="183"/>
      <c r="R245" s="183"/>
      <c r="S245" s="183"/>
      <c r="T245" s="183"/>
      <c r="U245" s="183"/>
      <c r="V245" s="183"/>
      <c r="W245" s="183"/>
      <c r="X245" s="183"/>
      <c r="Y245" s="183"/>
      <c r="Z245" s="183"/>
      <c r="AA245" s="183"/>
      <c r="AB245" s="183"/>
      <c r="AC245" s="183"/>
      <c r="AD245" s="183"/>
      <c r="AE245" s="183"/>
      <c r="AF245" s="183"/>
      <c r="AG245" s="183"/>
      <c r="AH245" s="183"/>
      <c r="AI245" s="183"/>
      <c r="AJ245" s="183"/>
      <c r="AK245" s="183"/>
      <c r="AL245" s="183"/>
      <c r="AM245" s="183"/>
      <c r="AN245" s="183"/>
      <c r="AO245" s="183"/>
      <c r="AP245" s="183"/>
      <c r="AQ245" s="183"/>
      <c r="AR245" s="183"/>
      <c r="AS245" s="183"/>
      <c r="AT245" s="183"/>
      <c r="AU245" s="183"/>
      <c r="AV245" s="183"/>
      <c r="AW245" s="183"/>
      <c r="AX245" s="183"/>
      <c r="AY245" s="183"/>
      <c r="AZ245" s="183"/>
      <c r="BA245" s="183"/>
      <c r="BB245" s="183"/>
      <c r="BC245" s="183"/>
      <c r="BD245" s="183"/>
      <c r="BE245" s="183"/>
      <c r="BF245" s="183"/>
      <c r="BG245" s="183"/>
      <c r="BH245" s="183"/>
      <c r="BI245" s="183"/>
      <c r="BJ245" s="183"/>
      <c r="BK245" s="183"/>
      <c r="BL245" s="183"/>
      <c r="BM245" s="184"/>
      <c r="BN245" s="184"/>
      <c r="BO245" s="37"/>
      <c r="BP245" s="37"/>
      <c r="BQ245" s="37"/>
      <c r="BR245" s="37"/>
      <c r="BS245" s="37"/>
    </row>
    <row r="246" spans="1:71" ht="15" x14ac:dyDescent="0.25">
      <c r="A246" s="184"/>
      <c r="B246" s="184"/>
      <c r="C246" s="184"/>
      <c r="D246" s="184"/>
      <c r="E246" s="184"/>
      <c r="F246" s="183"/>
      <c r="G246" s="183"/>
      <c r="H246" s="183"/>
      <c r="I246" s="183"/>
      <c r="J246" s="183"/>
      <c r="K246" s="183"/>
      <c r="L246" s="183"/>
      <c r="M246" s="183"/>
      <c r="N246" s="183"/>
      <c r="O246" s="183"/>
      <c r="P246" s="183"/>
      <c r="Q246" s="183"/>
      <c r="R246" s="183"/>
      <c r="S246" s="183"/>
      <c r="T246" s="183"/>
      <c r="U246" s="183"/>
      <c r="V246" s="183"/>
      <c r="W246" s="183"/>
      <c r="X246" s="183"/>
      <c r="Y246" s="183"/>
      <c r="Z246" s="183"/>
      <c r="AA246" s="183"/>
      <c r="AB246" s="183"/>
      <c r="AC246" s="183"/>
      <c r="AD246" s="183"/>
      <c r="AE246" s="183"/>
      <c r="AF246" s="183"/>
      <c r="AG246" s="183"/>
      <c r="AH246" s="183"/>
      <c r="AI246" s="183"/>
      <c r="AJ246" s="183"/>
      <c r="AK246" s="183"/>
      <c r="AL246" s="183"/>
      <c r="AM246" s="183"/>
      <c r="AN246" s="183"/>
      <c r="AO246" s="183"/>
      <c r="AP246" s="183"/>
      <c r="AQ246" s="183"/>
      <c r="AR246" s="183"/>
      <c r="AS246" s="183"/>
      <c r="AT246" s="183"/>
      <c r="AU246" s="183"/>
      <c r="AV246" s="183"/>
      <c r="AW246" s="183"/>
      <c r="AX246" s="183"/>
      <c r="AY246" s="183"/>
      <c r="AZ246" s="183"/>
      <c r="BA246" s="183"/>
      <c r="BB246" s="183"/>
      <c r="BC246" s="183"/>
      <c r="BD246" s="183"/>
      <c r="BE246" s="183"/>
      <c r="BF246" s="183"/>
      <c r="BG246" s="183"/>
      <c r="BH246" s="183"/>
      <c r="BI246" s="183"/>
      <c r="BJ246" s="183"/>
      <c r="BK246" s="183"/>
      <c r="BL246" s="183"/>
      <c r="BM246" s="184"/>
      <c r="BN246" s="184"/>
      <c r="BO246" s="37"/>
      <c r="BP246" s="37"/>
      <c r="BQ246" s="37"/>
      <c r="BR246" s="37"/>
      <c r="BS246" s="37"/>
    </row>
    <row r="247" spans="1:71" ht="15" x14ac:dyDescent="0.25">
      <c r="A247" s="37"/>
      <c r="B247" s="37"/>
      <c r="C247" s="37"/>
      <c r="D247" s="37"/>
      <c r="E247" s="37"/>
      <c r="F247" s="37"/>
      <c r="G247" s="37"/>
      <c r="H247" s="37"/>
      <c r="I247" s="37"/>
      <c r="J247" s="37"/>
      <c r="K247" s="37"/>
      <c r="L247" s="37"/>
      <c r="M247" s="37"/>
      <c r="N247" s="37"/>
      <c r="O247" s="37"/>
      <c r="P247" s="37"/>
      <c r="Q247" s="37"/>
      <c r="R247" s="37"/>
      <c r="S247" s="37"/>
      <c r="T247" s="37"/>
      <c r="U247" s="37"/>
      <c r="V247" s="37"/>
      <c r="W247" s="37"/>
      <c r="X247" s="37"/>
      <c r="Y247" s="37"/>
      <c r="Z247" s="37"/>
      <c r="AA247" s="37"/>
      <c r="AB247" s="37"/>
      <c r="AC247" s="37"/>
      <c r="AD247" s="37"/>
      <c r="AE247" s="37"/>
      <c r="AF247" s="37"/>
      <c r="AG247" s="37"/>
      <c r="AH247" s="37"/>
      <c r="AI247" s="37"/>
      <c r="AJ247" s="37"/>
      <c r="AK247" s="37"/>
      <c r="AL247" s="37"/>
      <c r="AM247" s="37"/>
      <c r="AN247" s="37"/>
      <c r="AO247" s="37"/>
      <c r="AP247" s="37"/>
      <c r="AQ247" s="37"/>
      <c r="AR247" s="37"/>
      <c r="AS247" s="37"/>
      <c r="AT247" s="37"/>
      <c r="AU247" s="37"/>
      <c r="AV247" s="37"/>
      <c r="AW247" s="37"/>
      <c r="AX247" s="37"/>
      <c r="AY247" s="37"/>
      <c r="AZ247" s="37"/>
      <c r="BA247" s="37"/>
      <c r="BB247" s="37"/>
      <c r="BC247" s="37"/>
      <c r="BD247" s="37"/>
      <c r="BE247" s="37"/>
      <c r="BF247" s="37"/>
      <c r="BG247" s="37"/>
      <c r="BH247" s="37"/>
      <c r="BI247" s="37"/>
      <c r="BJ247" s="37"/>
      <c r="BK247" s="37"/>
      <c r="BL247" s="37"/>
      <c r="BM247" s="37"/>
      <c r="BN247" s="37"/>
      <c r="BO247" s="37"/>
      <c r="BP247" s="37"/>
      <c r="BQ247" s="37"/>
      <c r="BR247" s="37"/>
      <c r="BS247" s="37"/>
    </row>
    <row r="248" spans="1:71" ht="15" x14ac:dyDescent="0.25">
      <c r="A248" s="37"/>
      <c r="B248" s="37"/>
      <c r="C248" s="37"/>
      <c r="D248" s="37"/>
      <c r="E248" s="37"/>
      <c r="F248" s="36"/>
      <c r="G248" s="36"/>
      <c r="H248" s="36"/>
      <c r="I248" s="36"/>
      <c r="J248" s="36"/>
      <c r="K248" s="36"/>
      <c r="L248" s="36"/>
      <c r="M248" s="36"/>
      <c r="N248" s="36"/>
      <c r="O248" s="36"/>
      <c r="P248" s="36"/>
      <c r="Q248" s="36"/>
      <c r="R248" s="36"/>
      <c r="S248" s="36"/>
      <c r="T248" s="36"/>
      <c r="U248" s="36"/>
      <c r="V248" s="36"/>
      <c r="W248" s="36"/>
      <c r="X248" s="36"/>
      <c r="Y248" s="36"/>
      <c r="Z248" s="36"/>
      <c r="AA248" s="36"/>
      <c r="AB248" s="36"/>
      <c r="AC248" s="36"/>
      <c r="AD248" s="36"/>
      <c r="AE248" s="36"/>
      <c r="AF248" s="36"/>
      <c r="AG248" s="36"/>
      <c r="AH248" s="37"/>
      <c r="AI248" s="36"/>
      <c r="AJ248" s="37"/>
      <c r="AK248" s="36"/>
      <c r="AL248" s="36"/>
      <c r="AM248" s="36"/>
      <c r="AN248" s="37"/>
      <c r="AO248" s="37"/>
      <c r="AP248" s="37"/>
      <c r="AQ248" s="37"/>
      <c r="AR248" s="37"/>
      <c r="AS248" s="37"/>
      <c r="AT248" s="37"/>
      <c r="AU248" s="37"/>
      <c r="AV248" s="37"/>
      <c r="AW248" s="37"/>
      <c r="AX248" s="37"/>
      <c r="AY248" s="37"/>
      <c r="AZ248" s="37"/>
      <c r="BA248" s="37"/>
      <c r="BB248" s="37"/>
      <c r="BC248" s="37"/>
      <c r="BD248" s="37"/>
      <c r="BE248" s="37"/>
      <c r="BF248" s="37"/>
      <c r="BG248" s="37"/>
      <c r="BH248" s="37"/>
      <c r="BI248" s="37"/>
      <c r="BJ248" s="37"/>
      <c r="BK248" s="37"/>
      <c r="BL248" s="37"/>
      <c r="BM248" s="37"/>
      <c r="BN248" s="37"/>
      <c r="BO248" s="37"/>
      <c r="BP248" s="37"/>
      <c r="BQ248" s="37"/>
      <c r="BR248" s="37"/>
      <c r="BS248" s="37"/>
    </row>
    <row r="249" spans="1:71" ht="15" x14ac:dyDescent="0.25">
      <c r="A249" s="37"/>
      <c r="B249" s="37"/>
      <c r="C249" s="37"/>
      <c r="D249" s="37"/>
      <c r="E249" s="37"/>
      <c r="F249" s="37"/>
      <c r="G249" s="37"/>
      <c r="H249" s="37"/>
      <c r="I249" s="37"/>
      <c r="J249" s="37"/>
      <c r="K249" s="37"/>
      <c r="L249" s="37"/>
      <c r="M249" s="37"/>
      <c r="N249" s="37"/>
      <c r="O249" s="37"/>
      <c r="P249" s="37"/>
      <c r="Q249" s="37"/>
      <c r="R249" s="37"/>
      <c r="S249" s="37"/>
      <c r="T249" s="37"/>
      <c r="U249" s="37"/>
      <c r="V249" s="37"/>
      <c r="W249" s="37"/>
      <c r="X249" s="37"/>
      <c r="Y249" s="37"/>
      <c r="Z249" s="37"/>
      <c r="AA249" s="37"/>
      <c r="AB249" s="37"/>
      <c r="AC249" s="37"/>
      <c r="AD249" s="37"/>
      <c r="AE249" s="37"/>
      <c r="AF249" s="37"/>
      <c r="AG249" s="37"/>
      <c r="AH249" s="37" t="s">
        <v>212</v>
      </c>
      <c r="AI249" s="37"/>
      <c r="AJ249" s="37"/>
      <c r="AK249" s="37"/>
      <c r="AL249" s="37"/>
      <c r="AM249" s="37"/>
      <c r="AN249" s="37"/>
      <c r="AO249" s="37"/>
      <c r="AP249" s="37"/>
      <c r="AQ249" s="37"/>
      <c r="AR249" s="37"/>
      <c r="AS249" s="37"/>
      <c r="AT249" s="37"/>
      <c r="AU249" s="37"/>
      <c r="AV249" s="37"/>
      <c r="AW249" s="37"/>
      <c r="AX249" s="37"/>
      <c r="AY249" s="37"/>
      <c r="AZ249" s="37"/>
      <c r="BA249" s="37"/>
      <c r="BB249" s="37"/>
      <c r="BC249" s="37"/>
      <c r="BD249" s="37"/>
      <c r="BE249" s="37"/>
      <c r="BF249" s="37"/>
      <c r="BG249" s="37"/>
      <c r="BH249" s="37"/>
      <c r="BI249" s="37"/>
      <c r="BJ249" s="37"/>
      <c r="BK249" s="37"/>
      <c r="BL249" s="37"/>
      <c r="BM249" s="37"/>
      <c r="BN249" s="37"/>
      <c r="BO249" s="37"/>
      <c r="BP249" s="37"/>
      <c r="BQ249" s="37"/>
      <c r="BR249" s="37"/>
      <c r="BS249" s="37"/>
    </row>
    <row r="250" spans="1:71" ht="15" x14ac:dyDescent="0.25">
      <c r="A250" s="37"/>
      <c r="B250" s="37"/>
      <c r="C250" s="37"/>
      <c r="D250" s="37"/>
      <c r="E250" s="37"/>
      <c r="F250" s="37"/>
      <c r="G250" s="37"/>
      <c r="H250" s="37"/>
      <c r="I250" s="37"/>
      <c r="J250" s="37"/>
      <c r="K250" s="37"/>
      <c r="L250" s="37"/>
      <c r="M250" s="37"/>
      <c r="N250" s="37"/>
      <c r="O250" s="37"/>
      <c r="P250" s="37"/>
      <c r="Q250" s="37"/>
      <c r="R250" s="37"/>
      <c r="S250" s="37"/>
      <c r="T250" s="37"/>
      <c r="U250" s="37"/>
      <c r="V250" s="37"/>
      <c r="W250" s="37"/>
      <c r="X250" s="37"/>
      <c r="Y250" s="37"/>
      <c r="Z250" s="37"/>
      <c r="AA250" s="37"/>
      <c r="AB250" s="37"/>
      <c r="AC250" s="37"/>
      <c r="AD250" s="37"/>
      <c r="AE250" s="37"/>
      <c r="AF250" s="37"/>
      <c r="AG250" s="37"/>
      <c r="AH250" s="37" t="s">
        <v>213</v>
      </c>
      <c r="AI250" s="37"/>
      <c r="AJ250" s="37"/>
      <c r="AK250" s="37"/>
      <c r="AL250" s="37"/>
      <c r="AM250" s="37"/>
      <c r="AN250" s="37"/>
      <c r="AO250" s="37"/>
      <c r="AP250" s="37"/>
      <c r="AQ250" s="37"/>
      <c r="AR250" s="37"/>
      <c r="AS250" s="37"/>
      <c r="AT250" s="37"/>
      <c r="AU250" s="37"/>
      <c r="AV250" s="37"/>
      <c r="AW250" s="37"/>
      <c r="AX250" s="37"/>
      <c r="AY250" s="37"/>
      <c r="AZ250" s="37"/>
      <c r="BA250" s="37"/>
      <c r="BB250" s="37"/>
      <c r="BC250" s="37"/>
      <c r="BD250" s="37"/>
      <c r="BE250" s="37"/>
      <c r="BF250" s="37"/>
      <c r="BG250" s="37"/>
      <c r="BH250" s="37"/>
      <c r="BI250" s="37"/>
      <c r="BJ250" s="37"/>
      <c r="BK250" s="37"/>
      <c r="BL250" s="37"/>
      <c r="BM250" s="37"/>
      <c r="BN250" s="37"/>
      <c r="BO250" s="37"/>
      <c r="BP250" s="37"/>
      <c r="BQ250" s="37"/>
      <c r="BR250" s="37"/>
      <c r="BS250" s="37"/>
    </row>
    <row r="251" spans="1:71" ht="15" x14ac:dyDescent="0.25">
      <c r="A251" s="37"/>
      <c r="B251" s="37"/>
      <c r="C251" s="37"/>
      <c r="D251" s="37"/>
      <c r="E251" s="37"/>
      <c r="F251" s="37"/>
      <c r="G251" s="37"/>
      <c r="H251" s="37"/>
      <c r="I251" s="37"/>
      <c r="J251" s="37"/>
      <c r="K251" s="37"/>
      <c r="L251" s="37"/>
      <c r="M251" s="37"/>
      <c r="N251" s="37"/>
      <c r="O251" s="37"/>
      <c r="P251" s="37"/>
      <c r="Q251" s="37"/>
      <c r="R251" s="37"/>
      <c r="S251" s="37"/>
      <c r="T251" s="37"/>
      <c r="U251" s="37"/>
      <c r="V251" s="37"/>
      <c r="W251" s="37"/>
      <c r="X251" s="37"/>
      <c r="Y251" s="37"/>
      <c r="Z251" s="37"/>
      <c r="AA251" s="37"/>
      <c r="AB251" s="37"/>
      <c r="AC251" s="37"/>
      <c r="AD251" s="37"/>
      <c r="AE251" s="37"/>
      <c r="AF251" s="37"/>
      <c r="AG251" s="37"/>
      <c r="AH251" s="37" t="s">
        <v>215</v>
      </c>
      <c r="AI251" s="37"/>
      <c r="AJ251" s="37"/>
      <c r="AK251" s="37"/>
      <c r="AL251" s="37"/>
      <c r="AM251" s="37"/>
      <c r="AN251" s="37"/>
      <c r="AO251" s="37"/>
      <c r="AP251" s="37"/>
      <c r="AQ251" s="37"/>
      <c r="AR251" s="37"/>
      <c r="AS251" s="37"/>
      <c r="AT251" s="37"/>
      <c r="AU251" s="37"/>
      <c r="AV251" s="37"/>
      <c r="AW251" s="37"/>
      <c r="AX251" s="37"/>
      <c r="AY251" s="37"/>
      <c r="AZ251" s="37"/>
      <c r="BA251" s="37"/>
      <c r="BB251" s="37"/>
      <c r="BC251" s="37"/>
      <c r="BD251" s="37"/>
      <c r="BE251" s="37"/>
      <c r="BF251" s="37"/>
      <c r="BG251" s="37"/>
      <c r="BH251" s="37"/>
      <c r="BI251" s="37"/>
      <c r="BJ251" s="37"/>
      <c r="BK251" s="37"/>
      <c r="BL251" s="37"/>
      <c r="BM251" s="37"/>
      <c r="BN251" s="37"/>
      <c r="BO251" s="37"/>
      <c r="BP251" s="37"/>
      <c r="BQ251" s="37"/>
      <c r="BR251" s="37"/>
      <c r="BS251" s="37"/>
    </row>
    <row r="252" spans="1:71" ht="15" x14ac:dyDescent="0.25">
      <c r="A252" s="37"/>
      <c r="B252" s="37"/>
      <c r="C252" s="37"/>
      <c r="D252" s="37"/>
      <c r="E252" s="37"/>
      <c r="F252" s="37"/>
      <c r="G252" s="37"/>
      <c r="H252" s="37"/>
      <c r="I252" s="37"/>
      <c r="J252" s="37"/>
      <c r="K252" s="37"/>
      <c r="L252" s="37"/>
      <c r="M252" s="37"/>
      <c r="N252" s="37"/>
      <c r="O252" s="37"/>
      <c r="P252" s="37"/>
      <c r="Q252" s="37"/>
      <c r="R252" s="37"/>
      <c r="S252" s="37"/>
      <c r="T252" s="37"/>
      <c r="U252" s="37"/>
      <c r="V252" s="37"/>
      <c r="W252" s="37"/>
      <c r="X252" s="37"/>
      <c r="Y252" s="37"/>
      <c r="Z252" s="37"/>
      <c r="AA252" s="37"/>
      <c r="AB252" s="37"/>
      <c r="AC252" s="37"/>
      <c r="AD252" s="37"/>
      <c r="AE252" s="37"/>
      <c r="AF252" s="37"/>
      <c r="AG252" s="37"/>
      <c r="AH252" s="37" t="s">
        <v>216</v>
      </c>
      <c r="AI252" s="37"/>
      <c r="AJ252" s="37"/>
      <c r="AK252" s="37"/>
      <c r="AL252" s="37"/>
      <c r="AM252" s="37"/>
      <c r="AN252" s="37"/>
      <c r="AO252" s="37"/>
      <c r="AP252" s="37"/>
      <c r="AQ252" s="37"/>
      <c r="AR252" s="37"/>
      <c r="AS252" s="37"/>
      <c r="AT252" s="37"/>
      <c r="AU252" s="37"/>
      <c r="AV252" s="37"/>
      <c r="AW252" s="37"/>
      <c r="AX252" s="37"/>
      <c r="AY252" s="37"/>
      <c r="AZ252" s="37"/>
      <c r="BA252" s="37"/>
      <c r="BB252" s="37"/>
      <c r="BC252" s="37"/>
      <c r="BD252" s="37"/>
      <c r="BE252" s="37"/>
      <c r="BF252" s="37"/>
      <c r="BG252" s="37"/>
      <c r="BH252" s="37"/>
      <c r="BI252" s="37"/>
      <c r="BJ252" s="37"/>
      <c r="BK252" s="37"/>
      <c r="BL252" s="37"/>
      <c r="BM252" s="37"/>
      <c r="BN252" s="37"/>
      <c r="BO252" s="37"/>
      <c r="BP252" s="37"/>
      <c r="BQ252" s="37"/>
      <c r="BR252" s="37"/>
      <c r="BS252" s="37"/>
    </row>
    <row r="253" spans="1:71" ht="15" x14ac:dyDescent="0.25">
      <c r="A253" s="37"/>
      <c r="B253" s="37"/>
      <c r="C253" s="37"/>
      <c r="D253" s="37"/>
      <c r="E253" s="37"/>
      <c r="F253" s="37"/>
      <c r="G253" s="37"/>
      <c r="H253" s="37"/>
      <c r="I253" s="37"/>
      <c r="J253" s="37"/>
      <c r="K253" s="37"/>
      <c r="L253" s="37"/>
      <c r="M253" s="37"/>
      <c r="N253" s="37"/>
      <c r="O253" s="37"/>
      <c r="P253" s="37"/>
      <c r="Q253" s="37"/>
      <c r="R253" s="37"/>
      <c r="S253" s="37"/>
      <c r="T253" s="37"/>
      <c r="U253" s="37"/>
      <c r="V253" s="37"/>
      <c r="W253" s="37"/>
      <c r="X253" s="37"/>
      <c r="Y253" s="37"/>
      <c r="Z253" s="37"/>
      <c r="AA253" s="37"/>
      <c r="AB253" s="37"/>
      <c r="AC253" s="37"/>
      <c r="AD253" s="37"/>
      <c r="AE253" s="37"/>
      <c r="AF253" s="37"/>
      <c r="AG253" s="37"/>
      <c r="AH253" s="37" t="s">
        <v>217</v>
      </c>
      <c r="AI253" s="37"/>
      <c r="AJ253" s="37"/>
      <c r="AK253" s="37"/>
      <c r="AL253" s="37"/>
      <c r="AM253" s="37"/>
      <c r="AN253" s="37"/>
      <c r="AO253" s="37"/>
      <c r="AP253" s="37"/>
      <c r="AQ253" s="37"/>
      <c r="AR253" s="37"/>
      <c r="AS253" s="37"/>
      <c r="AT253" s="37"/>
      <c r="AU253" s="37"/>
      <c r="AV253" s="37"/>
      <c r="AW253" s="37"/>
      <c r="AX253" s="37"/>
      <c r="AY253" s="37"/>
      <c r="AZ253" s="37"/>
      <c r="BA253" s="37"/>
      <c r="BB253" s="37"/>
      <c r="BC253" s="37"/>
      <c r="BD253" s="37"/>
      <c r="BE253" s="37"/>
      <c r="BF253" s="37"/>
      <c r="BG253" s="37"/>
      <c r="BH253" s="37"/>
      <c r="BI253" s="37"/>
      <c r="BJ253" s="37"/>
      <c r="BK253" s="37"/>
      <c r="BL253" s="37"/>
      <c r="BM253" s="37"/>
      <c r="BN253" s="37"/>
      <c r="BO253" s="37"/>
      <c r="BP253" s="37"/>
      <c r="BQ253" s="37"/>
      <c r="BR253" s="37"/>
      <c r="BS253" s="37"/>
    </row>
    <row r="254" spans="1:71" ht="15" x14ac:dyDescent="0.25">
      <c r="A254" s="37"/>
      <c r="B254" s="37"/>
      <c r="C254" s="37"/>
      <c r="D254" s="37"/>
      <c r="E254" s="37"/>
      <c r="F254" s="37"/>
      <c r="G254" s="37"/>
      <c r="H254" s="37"/>
      <c r="I254" s="37"/>
      <c r="J254" s="37"/>
      <c r="K254" s="37"/>
      <c r="L254" s="37"/>
      <c r="M254" s="37"/>
      <c r="N254" s="37"/>
      <c r="O254" s="37"/>
      <c r="P254" s="37"/>
      <c r="Q254" s="37"/>
      <c r="R254" s="37"/>
      <c r="S254" s="37"/>
      <c r="T254" s="37"/>
      <c r="U254" s="37"/>
      <c r="V254" s="37"/>
      <c r="W254" s="37"/>
      <c r="X254" s="37"/>
      <c r="Y254" s="37"/>
      <c r="Z254" s="37"/>
      <c r="AA254" s="37"/>
      <c r="AB254" s="37"/>
      <c r="AC254" s="37"/>
      <c r="AD254" s="37"/>
      <c r="AE254" s="37"/>
      <c r="AF254" s="37"/>
      <c r="AG254" s="37"/>
      <c r="AH254" s="36" t="s">
        <v>219</v>
      </c>
      <c r="AI254" s="37"/>
      <c r="AJ254" s="37"/>
      <c r="AK254" s="37"/>
      <c r="AL254" s="37"/>
      <c r="AM254" s="37"/>
      <c r="AN254" s="37"/>
      <c r="AO254" s="37"/>
      <c r="AP254" s="37"/>
      <c r="AQ254" s="37"/>
      <c r="AR254" s="37"/>
      <c r="AS254" s="37"/>
      <c r="AT254" s="37"/>
      <c r="AU254" s="37"/>
      <c r="AV254" s="37"/>
      <c r="AW254" s="37"/>
      <c r="AX254" s="37"/>
      <c r="AY254" s="37"/>
      <c r="AZ254" s="37"/>
      <c r="BA254" s="37"/>
      <c r="BB254" s="37"/>
      <c r="BC254" s="37"/>
      <c r="BD254" s="37"/>
      <c r="BE254" s="37"/>
      <c r="BF254" s="37"/>
      <c r="BG254" s="37"/>
      <c r="BH254" s="37"/>
      <c r="BI254" s="37"/>
      <c r="BJ254" s="37"/>
      <c r="BK254" s="37"/>
      <c r="BL254" s="37"/>
      <c r="BM254" s="37"/>
      <c r="BN254" s="37"/>
      <c r="BO254" s="37"/>
      <c r="BP254" s="37"/>
      <c r="BQ254" s="37"/>
      <c r="BR254" s="37"/>
      <c r="BS254" s="37"/>
    </row>
    <row r="255" spans="1:71" ht="15" x14ac:dyDescent="0.25">
      <c r="A255" s="37"/>
      <c r="B255" s="37"/>
      <c r="C255" s="37"/>
      <c r="D255" s="37"/>
      <c r="E255" s="37"/>
      <c r="F255" s="37"/>
      <c r="G255" s="37"/>
      <c r="H255" s="37"/>
      <c r="I255" s="37"/>
      <c r="J255" s="37"/>
      <c r="K255" s="37"/>
      <c r="L255" s="37"/>
      <c r="M255" s="37"/>
      <c r="N255" s="37"/>
      <c r="O255" s="37"/>
      <c r="P255" s="37"/>
      <c r="Q255" s="37"/>
      <c r="R255" s="37"/>
      <c r="S255" s="37"/>
      <c r="T255" s="37"/>
      <c r="U255" s="37"/>
      <c r="V255" s="37"/>
      <c r="W255" s="37"/>
      <c r="X255" s="37"/>
      <c r="Y255" s="37"/>
      <c r="Z255" s="37"/>
      <c r="AA255" s="37"/>
      <c r="AB255" s="37"/>
      <c r="AC255" s="37"/>
      <c r="AD255" s="37"/>
      <c r="AE255" s="37"/>
      <c r="AF255" s="37"/>
      <c r="AG255" s="37"/>
      <c r="AH255" s="36"/>
      <c r="AI255" s="37"/>
      <c r="AJ255" s="37"/>
      <c r="AK255" s="37"/>
      <c r="AL255" s="37"/>
      <c r="AM255" s="37"/>
      <c r="AN255" s="37"/>
      <c r="AO255" s="37"/>
      <c r="AP255" s="37"/>
      <c r="AQ255" s="37"/>
      <c r="AR255" s="37"/>
      <c r="AS255" s="37"/>
      <c r="AT255" s="37"/>
      <c r="AU255" s="37"/>
      <c r="AV255" s="37"/>
      <c r="AW255" s="37"/>
      <c r="AX255" s="37"/>
      <c r="AY255" s="37"/>
      <c r="AZ255" s="37"/>
      <c r="BA255" s="37"/>
      <c r="BB255" s="37"/>
      <c r="BC255" s="37"/>
      <c r="BD255" s="37"/>
      <c r="BE255" s="37"/>
      <c r="BF255" s="37"/>
      <c r="BG255" s="37"/>
      <c r="BH255" s="37"/>
      <c r="BI255" s="37"/>
      <c r="BJ255" s="37"/>
      <c r="BK255" s="37"/>
      <c r="BL255" s="37"/>
      <c r="BM255" s="37"/>
      <c r="BN255" s="37"/>
      <c r="BO255" s="37"/>
      <c r="BP255" s="37"/>
      <c r="BQ255" s="37"/>
      <c r="BR255" s="37"/>
      <c r="BS255" s="37"/>
    </row>
    <row r="256" spans="1:71" ht="15" x14ac:dyDescent="0.25">
      <c r="A256" s="37"/>
      <c r="B256" s="37"/>
      <c r="C256" s="37"/>
      <c r="D256" s="37"/>
      <c r="E256" s="37"/>
      <c r="F256" s="37"/>
      <c r="G256" s="37"/>
      <c r="H256" s="37"/>
      <c r="I256" s="37"/>
      <c r="J256" s="37"/>
      <c r="K256" s="37"/>
      <c r="L256" s="37"/>
      <c r="M256" s="37"/>
      <c r="N256" s="37"/>
      <c r="O256" s="37"/>
      <c r="P256" s="37"/>
      <c r="Q256" s="37"/>
      <c r="R256" s="37"/>
      <c r="S256" s="37"/>
      <c r="T256" s="37"/>
      <c r="U256" s="37"/>
      <c r="V256" s="37"/>
      <c r="W256" s="37"/>
      <c r="X256" s="37"/>
      <c r="Y256" s="37"/>
      <c r="Z256" s="37"/>
      <c r="AA256" s="37"/>
      <c r="AB256" s="37"/>
      <c r="AC256" s="37"/>
      <c r="AD256" s="37"/>
      <c r="AE256" s="37"/>
      <c r="AF256" s="37"/>
      <c r="AG256" s="37"/>
      <c r="AH256" s="37" t="s">
        <v>220</v>
      </c>
      <c r="AI256" s="37"/>
      <c r="AJ256" s="37"/>
      <c r="AK256" s="37"/>
      <c r="AL256" s="37"/>
      <c r="AM256" s="37"/>
      <c r="AN256" s="37"/>
      <c r="AO256" s="37"/>
      <c r="AP256" s="37"/>
      <c r="AQ256" s="37"/>
      <c r="AR256" s="37"/>
      <c r="AS256" s="37"/>
      <c r="AT256" s="37"/>
      <c r="AU256" s="37"/>
      <c r="AV256" s="37"/>
      <c r="AW256" s="37"/>
      <c r="AX256" s="37"/>
      <c r="AY256" s="37"/>
      <c r="AZ256" s="37"/>
      <c r="BA256" s="37"/>
      <c r="BB256" s="37"/>
      <c r="BC256" s="37"/>
      <c r="BD256" s="37"/>
      <c r="BE256" s="37"/>
      <c r="BF256" s="37"/>
      <c r="BG256" s="37"/>
      <c r="BH256" s="37"/>
      <c r="BI256" s="37"/>
      <c r="BJ256" s="37"/>
      <c r="BK256" s="37"/>
      <c r="BL256" s="37"/>
      <c r="BM256" s="37"/>
      <c r="BN256" s="37"/>
      <c r="BO256" s="37"/>
      <c r="BP256" s="37"/>
      <c r="BQ256" s="37"/>
      <c r="BR256" s="37"/>
      <c r="BS256" s="37"/>
    </row>
    <row r="257" spans="1:71" ht="15" x14ac:dyDescent="0.25">
      <c r="A257" s="37"/>
      <c r="B257" s="37"/>
      <c r="C257" s="37"/>
      <c r="D257" s="37"/>
      <c r="E257" s="37"/>
      <c r="F257" s="37"/>
      <c r="G257" s="37"/>
      <c r="H257" s="37"/>
      <c r="I257" s="37"/>
      <c r="J257" s="37"/>
      <c r="K257" s="37"/>
      <c r="L257" s="37"/>
      <c r="M257" s="37"/>
      <c r="N257" s="37"/>
      <c r="O257" s="37"/>
      <c r="P257" s="37"/>
      <c r="Q257" s="37"/>
      <c r="R257" s="37"/>
      <c r="S257" s="37"/>
      <c r="T257" s="37"/>
      <c r="U257" s="37"/>
      <c r="V257" s="37"/>
      <c r="W257" s="37"/>
      <c r="X257" s="37"/>
      <c r="Y257" s="37"/>
      <c r="Z257" s="37"/>
      <c r="AA257" s="37"/>
      <c r="AB257" s="37"/>
      <c r="AC257" s="37"/>
      <c r="AD257" s="37"/>
      <c r="AE257" s="37"/>
      <c r="AF257" s="37"/>
      <c r="AG257" s="37"/>
      <c r="AH257" s="36" t="s">
        <v>222</v>
      </c>
      <c r="AI257" s="37"/>
      <c r="AJ257" s="37"/>
      <c r="AK257" s="37"/>
      <c r="AL257" s="37"/>
      <c r="AM257" s="37"/>
      <c r="AN257" s="37"/>
      <c r="AO257" s="37"/>
      <c r="AP257" s="37"/>
      <c r="AQ257" s="37"/>
      <c r="AR257" s="37"/>
      <c r="AS257" s="37"/>
      <c r="AT257" s="37"/>
      <c r="AU257" s="37"/>
      <c r="AV257" s="37"/>
      <c r="AW257" s="37"/>
      <c r="AX257" s="37"/>
      <c r="AY257" s="37"/>
      <c r="AZ257" s="37"/>
      <c r="BA257" s="37"/>
      <c r="BB257" s="37"/>
      <c r="BC257" s="37"/>
      <c r="BD257" s="37"/>
      <c r="BE257" s="37"/>
      <c r="BF257" s="37"/>
      <c r="BG257" s="37"/>
      <c r="BH257" s="37"/>
      <c r="BI257" s="37"/>
      <c r="BJ257" s="37"/>
      <c r="BK257" s="37"/>
      <c r="BL257" s="37"/>
      <c r="BM257" s="37"/>
      <c r="BN257" s="37"/>
      <c r="BO257" s="37"/>
      <c r="BP257" s="37"/>
      <c r="BQ257" s="37"/>
      <c r="BR257" s="37"/>
      <c r="BS257" s="37"/>
    </row>
    <row r="258" spans="1:71" ht="15" x14ac:dyDescent="0.25">
      <c r="A258" s="37"/>
      <c r="B258" s="37"/>
      <c r="C258" s="37"/>
      <c r="D258" s="37"/>
      <c r="E258" s="37"/>
      <c r="F258" s="37"/>
      <c r="G258" s="37"/>
      <c r="H258" s="37"/>
      <c r="I258" s="37"/>
      <c r="J258" s="37"/>
      <c r="K258" s="37"/>
      <c r="L258" s="37"/>
      <c r="M258" s="37"/>
      <c r="N258" s="37"/>
      <c r="O258" s="37"/>
      <c r="P258" s="37"/>
      <c r="Q258" s="37"/>
      <c r="R258" s="37"/>
      <c r="S258" s="37"/>
      <c r="T258" s="37"/>
      <c r="U258" s="37"/>
      <c r="V258" s="37"/>
      <c r="W258" s="37"/>
      <c r="X258" s="37"/>
      <c r="Y258" s="37"/>
      <c r="Z258" s="37"/>
      <c r="AA258" s="37"/>
      <c r="AB258" s="37"/>
      <c r="AC258" s="37"/>
      <c r="AD258" s="37"/>
      <c r="AE258" s="37"/>
      <c r="AF258" s="37"/>
      <c r="AG258" s="37"/>
      <c r="AH258" s="37" t="s">
        <v>223</v>
      </c>
      <c r="AI258" s="37"/>
      <c r="AJ258" s="37"/>
      <c r="AK258" s="37"/>
      <c r="AL258" s="37"/>
      <c r="AM258" s="37"/>
      <c r="AN258" s="37"/>
      <c r="AO258" s="37"/>
      <c r="AP258" s="37"/>
      <c r="AQ258" s="37"/>
      <c r="AR258" s="37"/>
      <c r="AS258" s="37"/>
      <c r="AT258" s="37"/>
      <c r="AU258" s="37"/>
      <c r="AV258" s="37"/>
      <c r="AW258" s="37"/>
      <c r="AX258" s="37"/>
      <c r="AY258" s="37"/>
      <c r="AZ258" s="37"/>
      <c r="BA258" s="37"/>
      <c r="BB258" s="37"/>
      <c r="BC258" s="37"/>
      <c r="BD258" s="37"/>
      <c r="BE258" s="37"/>
      <c r="BF258" s="37"/>
      <c r="BG258" s="37"/>
      <c r="BH258" s="37"/>
      <c r="BI258" s="37"/>
      <c r="BJ258" s="37"/>
      <c r="BK258" s="37"/>
      <c r="BL258" s="37"/>
      <c r="BM258" s="37"/>
      <c r="BN258" s="37"/>
      <c r="BO258" s="37"/>
      <c r="BP258" s="37"/>
      <c r="BQ258" s="37"/>
      <c r="BR258" s="37"/>
      <c r="BS258" s="37"/>
    </row>
    <row r="259" spans="1:71" ht="15" x14ac:dyDescent="0.25">
      <c r="A259" s="37"/>
      <c r="B259" s="37"/>
      <c r="C259" s="37"/>
      <c r="D259" s="37"/>
      <c r="E259" s="37"/>
      <c r="F259" s="37"/>
      <c r="G259" s="37"/>
      <c r="H259" s="37"/>
      <c r="I259" s="37"/>
      <c r="J259" s="37"/>
      <c r="K259" s="37"/>
      <c r="L259" s="37"/>
      <c r="M259" s="37"/>
      <c r="N259" s="37"/>
      <c r="O259" s="37"/>
      <c r="P259" s="37"/>
      <c r="Q259" s="37"/>
      <c r="R259" s="37"/>
      <c r="S259" s="37"/>
      <c r="T259" s="37"/>
      <c r="U259" s="37"/>
      <c r="V259" s="37"/>
      <c r="W259" s="37"/>
      <c r="X259" s="37"/>
      <c r="Y259" s="37"/>
      <c r="Z259" s="37"/>
      <c r="AA259" s="37"/>
      <c r="AB259" s="37"/>
      <c r="AC259" s="37"/>
      <c r="AD259" s="37"/>
      <c r="AE259" s="37"/>
      <c r="AF259" s="37"/>
      <c r="AG259" s="37"/>
      <c r="AH259" s="37" t="s">
        <v>224</v>
      </c>
      <c r="AI259" s="37"/>
      <c r="AJ259" s="37"/>
      <c r="AK259" s="37"/>
      <c r="AL259" s="37"/>
      <c r="AM259" s="37"/>
      <c r="AN259" s="37"/>
      <c r="AO259" s="37"/>
      <c r="AP259" s="37"/>
      <c r="AQ259" s="37"/>
      <c r="AR259" s="37"/>
      <c r="AS259" s="37"/>
      <c r="AT259" s="37"/>
      <c r="AU259" s="37"/>
      <c r="AV259" s="37"/>
      <c r="AW259" s="37"/>
      <c r="AX259" s="37"/>
      <c r="AY259" s="37"/>
      <c r="AZ259" s="37"/>
      <c r="BA259" s="37"/>
      <c r="BB259" s="37"/>
      <c r="BC259" s="37"/>
      <c r="BD259" s="37"/>
      <c r="BE259" s="37"/>
      <c r="BF259" s="37"/>
      <c r="BG259" s="37"/>
      <c r="BH259" s="37"/>
      <c r="BI259" s="37"/>
      <c r="BJ259" s="37"/>
      <c r="BK259" s="37"/>
      <c r="BL259" s="37"/>
      <c r="BM259" s="37"/>
      <c r="BN259" s="37"/>
      <c r="BO259" s="37"/>
      <c r="BP259" s="37"/>
      <c r="BQ259" s="37"/>
      <c r="BR259" s="37"/>
      <c r="BS259" s="37"/>
    </row>
    <row r="260" spans="1:71" ht="15" x14ac:dyDescent="0.25">
      <c r="A260" s="37"/>
      <c r="B260" s="37"/>
      <c r="C260" s="37"/>
      <c r="D260" s="37"/>
      <c r="E260" s="37"/>
      <c r="F260" s="37"/>
      <c r="G260" s="37"/>
      <c r="H260" s="37"/>
      <c r="I260" s="37"/>
      <c r="J260" s="37"/>
      <c r="K260" s="37"/>
      <c r="L260" s="37"/>
      <c r="M260" s="37"/>
      <c r="N260" s="37"/>
      <c r="O260" s="37"/>
      <c r="P260" s="37"/>
      <c r="Q260" s="37"/>
      <c r="R260" s="37"/>
      <c r="S260" s="37"/>
      <c r="T260" s="37"/>
      <c r="U260" s="37"/>
      <c r="V260" s="37"/>
      <c r="W260" s="37"/>
      <c r="X260" s="37"/>
      <c r="Y260" s="37"/>
      <c r="Z260" s="37"/>
      <c r="AA260" s="37"/>
      <c r="AB260" s="37"/>
      <c r="AC260" s="37"/>
      <c r="AD260" s="37"/>
      <c r="AE260" s="37"/>
      <c r="AF260" s="37"/>
      <c r="AG260" s="37"/>
      <c r="AH260" s="71" t="s">
        <v>226</v>
      </c>
      <c r="AI260" s="37"/>
      <c r="AJ260" s="37"/>
      <c r="AK260" s="37"/>
      <c r="AL260" s="37"/>
      <c r="AM260" s="37"/>
      <c r="AN260" s="37"/>
      <c r="AO260" s="37"/>
      <c r="AP260" s="37"/>
      <c r="AQ260" s="37"/>
      <c r="AR260" s="37"/>
      <c r="AS260" s="37"/>
      <c r="AT260" s="37"/>
      <c r="AU260" s="37"/>
      <c r="AV260" s="37"/>
      <c r="AW260" s="37"/>
      <c r="AX260" s="37"/>
      <c r="AY260" s="37"/>
      <c r="AZ260" s="37"/>
      <c r="BA260" s="37"/>
      <c r="BB260" s="37"/>
      <c r="BC260" s="37"/>
      <c r="BD260" s="37"/>
      <c r="BE260" s="37"/>
      <c r="BF260" s="37"/>
      <c r="BG260" s="37"/>
      <c r="BH260" s="37"/>
      <c r="BI260" s="37"/>
      <c r="BJ260" s="37"/>
      <c r="BK260" s="37"/>
      <c r="BL260" s="37"/>
      <c r="BM260" s="37"/>
      <c r="BN260" s="37"/>
      <c r="BO260" s="37"/>
      <c r="BP260" s="37"/>
      <c r="BQ260" s="37"/>
      <c r="BR260" s="37"/>
      <c r="BS260" s="37"/>
    </row>
    <row r="261" spans="1:71" ht="15" x14ac:dyDescent="0.25">
      <c r="A261" s="37"/>
      <c r="B261" s="37"/>
      <c r="C261" s="37"/>
      <c r="D261" s="37"/>
      <c r="E261" s="37"/>
      <c r="F261" s="37"/>
      <c r="G261" s="37"/>
      <c r="H261" s="37"/>
      <c r="I261" s="37"/>
      <c r="J261" s="37"/>
      <c r="K261" s="37"/>
      <c r="L261" s="37"/>
      <c r="M261" s="37"/>
      <c r="N261" s="37"/>
      <c r="O261" s="37"/>
      <c r="P261" s="37"/>
      <c r="Q261" s="37"/>
      <c r="R261" s="37"/>
      <c r="S261" s="37"/>
      <c r="T261" s="37"/>
      <c r="U261" s="37"/>
      <c r="V261" s="37"/>
      <c r="W261" s="37"/>
      <c r="X261" s="37"/>
      <c r="Y261" s="37"/>
      <c r="Z261" s="37"/>
      <c r="AA261" s="37"/>
      <c r="AB261" s="37"/>
      <c r="AC261" s="37"/>
      <c r="AD261" s="37"/>
      <c r="AE261" s="37"/>
      <c r="AF261" s="37"/>
      <c r="AG261" s="37"/>
      <c r="AH261" s="71" t="s">
        <v>227</v>
      </c>
      <c r="AI261" s="37"/>
      <c r="AJ261" s="37"/>
      <c r="AK261" s="37"/>
      <c r="AL261" s="37"/>
      <c r="AM261" s="37"/>
      <c r="AN261" s="37"/>
      <c r="AO261" s="37"/>
      <c r="AP261" s="37"/>
      <c r="AQ261" s="37"/>
      <c r="AR261" s="37"/>
      <c r="AS261" s="37"/>
      <c r="AT261" s="37"/>
      <c r="AU261" s="37"/>
      <c r="AV261" s="37"/>
      <c r="AW261" s="37"/>
      <c r="AX261" s="37"/>
      <c r="AY261" s="37"/>
      <c r="AZ261" s="37"/>
      <c r="BA261" s="37"/>
      <c r="BB261" s="37"/>
      <c r="BC261" s="37"/>
      <c r="BD261" s="37"/>
      <c r="BE261" s="37"/>
      <c r="BF261" s="37"/>
      <c r="BG261" s="37"/>
      <c r="BH261" s="37"/>
      <c r="BI261" s="37"/>
      <c r="BJ261" s="37"/>
      <c r="BK261" s="37"/>
      <c r="BL261" s="37"/>
      <c r="BM261" s="37"/>
      <c r="BN261" s="37"/>
      <c r="BO261" s="37"/>
      <c r="BP261" s="37"/>
      <c r="BQ261" s="37"/>
      <c r="BR261" s="37"/>
      <c r="BS261" s="37"/>
    </row>
    <row r="262" spans="1:71" ht="15" x14ac:dyDescent="0.25">
      <c r="A262" s="37"/>
      <c r="B262" s="37"/>
      <c r="C262" s="37"/>
      <c r="D262" s="37"/>
      <c r="E262" s="37"/>
      <c r="F262" s="37"/>
      <c r="G262" s="37"/>
      <c r="H262" s="37"/>
      <c r="I262" s="37"/>
      <c r="J262" s="37"/>
      <c r="K262" s="37"/>
      <c r="L262" s="37"/>
      <c r="M262" s="37"/>
      <c r="N262" s="37"/>
      <c r="O262" s="37"/>
      <c r="P262" s="37"/>
      <c r="Q262" s="37"/>
      <c r="R262" s="37"/>
      <c r="S262" s="37"/>
      <c r="T262" s="37"/>
      <c r="U262" s="37"/>
      <c r="V262" s="37"/>
      <c r="W262" s="37"/>
      <c r="X262" s="37"/>
      <c r="Y262" s="37"/>
      <c r="Z262" s="37"/>
      <c r="AA262" s="37"/>
      <c r="AB262" s="37"/>
      <c r="AC262" s="37"/>
      <c r="AD262" s="37"/>
      <c r="AE262" s="37"/>
      <c r="AF262" s="37"/>
      <c r="AG262" s="37"/>
      <c r="AH262" s="37" t="s">
        <v>228</v>
      </c>
      <c r="AI262" s="37"/>
      <c r="AJ262" s="37"/>
      <c r="AK262" s="37"/>
      <c r="AL262" s="37"/>
      <c r="AM262" s="37"/>
      <c r="AN262" s="36"/>
      <c r="AO262" s="36"/>
      <c r="AP262" s="36"/>
      <c r="AQ262" s="36"/>
      <c r="AR262" s="36"/>
      <c r="AS262" s="36"/>
      <c r="AT262" s="36"/>
      <c r="AU262" s="37"/>
      <c r="AV262" s="37"/>
      <c r="AW262" s="37"/>
      <c r="AX262" s="37"/>
      <c r="AY262" s="37"/>
      <c r="AZ262" s="37"/>
      <c r="BA262" s="37"/>
      <c r="BB262" s="37"/>
      <c r="BC262" s="37"/>
      <c r="BD262" s="37"/>
      <c r="BE262" s="37"/>
      <c r="BF262" s="37"/>
      <c r="BG262" s="37"/>
      <c r="BH262" s="37"/>
      <c r="BI262" s="37"/>
      <c r="BJ262" s="37"/>
      <c r="BK262" s="37"/>
      <c r="BL262" s="37"/>
      <c r="BM262" s="37"/>
      <c r="BN262" s="37"/>
      <c r="BO262" s="37"/>
      <c r="BP262" s="37"/>
      <c r="BQ262" s="37"/>
      <c r="BR262" s="37"/>
      <c r="BS262" s="37"/>
    </row>
    <row r="263" spans="1:71" ht="15" x14ac:dyDescent="0.25">
      <c r="A263" s="37"/>
      <c r="B263" s="37"/>
      <c r="C263" s="37"/>
      <c r="D263" s="37"/>
      <c r="E263" s="37"/>
      <c r="F263" s="37"/>
      <c r="G263" s="37"/>
      <c r="H263" s="37"/>
      <c r="I263" s="37"/>
      <c r="J263" s="37"/>
      <c r="K263" s="37"/>
      <c r="L263" s="37"/>
      <c r="M263" s="37"/>
      <c r="N263" s="37"/>
      <c r="O263" s="37"/>
      <c r="P263" s="37"/>
      <c r="Q263" s="37"/>
      <c r="R263" s="37"/>
      <c r="S263" s="37"/>
      <c r="T263" s="37"/>
      <c r="U263" s="37"/>
      <c r="V263" s="37"/>
      <c r="W263" s="37"/>
      <c r="X263" s="37"/>
      <c r="Y263" s="37"/>
      <c r="Z263" s="37"/>
      <c r="AA263" s="37"/>
      <c r="AB263" s="37"/>
      <c r="AC263" s="37"/>
      <c r="AD263" s="37"/>
      <c r="AE263" s="37"/>
      <c r="AF263" s="37"/>
      <c r="AG263" s="37"/>
      <c r="AH263" s="37" t="s">
        <v>229</v>
      </c>
      <c r="AI263" s="37"/>
      <c r="AJ263" s="37"/>
      <c r="AK263" s="37"/>
      <c r="AL263" s="37"/>
      <c r="AM263" s="37"/>
      <c r="AN263" s="37"/>
      <c r="AO263" s="37"/>
      <c r="AP263" s="37"/>
      <c r="AQ263" s="37"/>
      <c r="AR263" s="37"/>
      <c r="AS263" s="37"/>
      <c r="AT263" s="37"/>
      <c r="AU263" s="37"/>
      <c r="AV263" s="37"/>
      <c r="AW263" s="37"/>
      <c r="AX263" s="37"/>
      <c r="AY263" s="37"/>
      <c r="AZ263" s="37"/>
      <c r="BA263" s="37"/>
      <c r="BB263" s="37"/>
      <c r="BC263" s="37"/>
      <c r="BD263" s="37"/>
      <c r="BE263" s="37"/>
      <c r="BF263" s="37"/>
      <c r="BG263" s="37"/>
      <c r="BH263" s="37"/>
      <c r="BI263" s="37"/>
      <c r="BJ263" s="37"/>
      <c r="BK263" s="37"/>
      <c r="BL263" s="37"/>
      <c r="BM263" s="37"/>
      <c r="BN263" s="37"/>
      <c r="BO263" s="37"/>
      <c r="BP263" s="37"/>
      <c r="BQ263" s="37"/>
      <c r="BR263" s="37"/>
      <c r="BS263" s="37"/>
    </row>
    <row r="264" spans="1:71" ht="15" x14ac:dyDescent="0.25">
      <c r="A264" s="37"/>
      <c r="B264" s="37"/>
      <c r="C264" s="37"/>
      <c r="D264" s="37"/>
      <c r="E264" s="37"/>
      <c r="F264" s="37"/>
      <c r="G264" s="37"/>
      <c r="H264" s="37"/>
      <c r="I264" s="37"/>
      <c r="J264" s="37"/>
      <c r="K264" s="37"/>
      <c r="L264" s="37"/>
      <c r="M264" s="37"/>
      <c r="N264" s="37"/>
      <c r="O264" s="37"/>
      <c r="P264" s="37"/>
      <c r="Q264" s="37"/>
      <c r="R264" s="37"/>
      <c r="S264" s="37"/>
      <c r="T264" s="37"/>
      <c r="U264" s="37"/>
      <c r="V264" s="37"/>
      <c r="W264" s="37"/>
      <c r="X264" s="37"/>
      <c r="Y264" s="37"/>
      <c r="Z264" s="37"/>
      <c r="AA264" s="37"/>
      <c r="AB264" s="37"/>
      <c r="AC264" s="37"/>
      <c r="AD264" s="37"/>
      <c r="AE264" s="37"/>
      <c r="AF264" s="37"/>
      <c r="AG264" s="37"/>
      <c r="AH264" s="37" t="s">
        <v>640</v>
      </c>
      <c r="AI264" s="37"/>
      <c r="AJ264" s="37"/>
      <c r="AK264" s="37"/>
      <c r="AL264" s="37"/>
      <c r="AM264" s="37"/>
      <c r="AN264" s="37"/>
      <c r="AO264" s="37"/>
      <c r="AP264" s="37"/>
      <c r="AQ264" s="37"/>
      <c r="AR264" s="37"/>
      <c r="AS264" s="37"/>
      <c r="AT264" s="37"/>
      <c r="AU264" s="37"/>
      <c r="AV264" s="37"/>
      <c r="AW264" s="37"/>
      <c r="AX264" s="37"/>
      <c r="AY264" s="37"/>
      <c r="AZ264" s="37"/>
      <c r="BA264" s="37"/>
      <c r="BB264" s="37"/>
      <c r="BC264" s="37"/>
      <c r="BD264" s="37"/>
      <c r="BE264" s="37"/>
      <c r="BF264" s="37"/>
      <c r="BG264" s="37"/>
      <c r="BH264" s="37"/>
      <c r="BI264" s="37"/>
      <c r="BJ264" s="37"/>
      <c r="BK264" s="37"/>
      <c r="BL264" s="37"/>
      <c r="BM264" s="37"/>
      <c r="BN264" s="37"/>
      <c r="BO264" s="37"/>
      <c r="BP264" s="37"/>
      <c r="BQ264" s="37"/>
      <c r="BR264" s="37"/>
      <c r="BS264" s="37"/>
    </row>
    <row r="265" spans="1:71" ht="15" x14ac:dyDescent="0.25">
      <c r="A265" s="37"/>
      <c r="B265" s="37"/>
      <c r="C265" s="37"/>
      <c r="D265" s="37"/>
      <c r="E265" s="37"/>
      <c r="F265" s="37"/>
      <c r="G265" s="37"/>
      <c r="H265" s="37"/>
      <c r="I265" s="37"/>
      <c r="J265" s="37"/>
      <c r="K265" s="37"/>
      <c r="L265" s="37"/>
      <c r="M265" s="37"/>
      <c r="N265" s="37"/>
      <c r="O265" s="37"/>
      <c r="P265" s="37"/>
      <c r="Q265" s="37"/>
      <c r="R265" s="37"/>
      <c r="S265" s="37"/>
      <c r="T265" s="37"/>
      <c r="U265" s="37"/>
      <c r="V265" s="37"/>
      <c r="W265" s="37"/>
      <c r="X265" s="37"/>
      <c r="Y265" s="37"/>
      <c r="Z265" s="37"/>
      <c r="AA265" s="37"/>
      <c r="AB265" s="37"/>
      <c r="AC265" s="37"/>
      <c r="AD265" s="37"/>
      <c r="AE265" s="37"/>
      <c r="AF265" s="37"/>
      <c r="AG265" s="37"/>
      <c r="AH265" s="37"/>
      <c r="AI265" s="37"/>
      <c r="AJ265" s="37"/>
      <c r="AK265" s="37"/>
      <c r="AL265" s="37"/>
      <c r="AM265" s="37"/>
      <c r="AN265" s="37"/>
      <c r="AO265" s="37"/>
      <c r="AP265" s="37"/>
      <c r="AQ265" s="37"/>
      <c r="AR265" s="37"/>
      <c r="AS265" s="37"/>
      <c r="AT265" s="37"/>
      <c r="AU265" s="37"/>
      <c r="AV265" s="37"/>
      <c r="AW265" s="37"/>
      <c r="AX265" s="37"/>
      <c r="AY265" s="37"/>
      <c r="AZ265" s="37"/>
      <c r="BA265" s="37"/>
      <c r="BB265" s="37"/>
      <c r="BC265" s="37"/>
      <c r="BD265" s="37"/>
      <c r="BE265" s="37"/>
      <c r="BF265" s="37"/>
      <c r="BG265" s="37"/>
      <c r="BH265" s="37"/>
      <c r="BI265" s="37"/>
      <c r="BJ265" s="37"/>
      <c r="BK265" s="37"/>
      <c r="BL265" s="37"/>
      <c r="BM265" s="37"/>
      <c r="BN265" s="37"/>
      <c r="BO265" s="37"/>
      <c r="BP265" s="37"/>
      <c r="BQ265" s="37"/>
      <c r="BR265" s="37"/>
      <c r="BS265" s="37"/>
    </row>
    <row r="266" spans="1:71" ht="15.75" x14ac:dyDescent="0.25">
      <c r="A266" s="18"/>
      <c r="B266" s="18"/>
      <c r="C266" s="18"/>
      <c r="D266" s="18"/>
      <c r="E266" s="18"/>
      <c r="F266" s="195"/>
      <c r="G266" s="195"/>
      <c r="H266" s="195"/>
      <c r="I266" s="195"/>
      <c r="J266" s="195"/>
      <c r="K266" s="195"/>
      <c r="L266" s="195"/>
      <c r="M266" s="195"/>
      <c r="N266" s="195"/>
      <c r="O266" s="195"/>
      <c r="P266" s="195"/>
      <c r="Q266" s="195"/>
      <c r="R266" s="195"/>
      <c r="S266" s="195"/>
      <c r="T266" s="195"/>
      <c r="U266" s="195"/>
      <c r="V266" s="195"/>
      <c r="W266" s="195"/>
      <c r="X266" s="195"/>
      <c r="Y266" s="195"/>
      <c r="Z266" s="195"/>
      <c r="AA266" s="195"/>
      <c r="AB266" s="195"/>
      <c r="AC266" s="195"/>
      <c r="AD266" s="195"/>
      <c r="AE266" s="195"/>
      <c r="AF266" s="195"/>
      <c r="AG266" s="195"/>
      <c r="AH266" s="196"/>
      <c r="AI266" s="195"/>
      <c r="AJ266" s="195"/>
      <c r="AK266" s="195"/>
      <c r="AL266" s="195"/>
      <c r="AM266" s="195"/>
      <c r="AN266" s="195"/>
      <c r="AO266" s="195"/>
      <c r="AP266" s="195"/>
      <c r="AQ266" s="195"/>
      <c r="AR266" s="195"/>
      <c r="AS266" s="195"/>
      <c r="AT266" s="195"/>
      <c r="AU266" s="195"/>
      <c r="AV266" s="195"/>
      <c r="AW266" s="195"/>
      <c r="AX266" s="195"/>
      <c r="AY266" s="195"/>
      <c r="AZ266" s="195"/>
      <c r="BA266" s="195"/>
      <c r="BB266" s="195"/>
      <c r="BC266" s="195"/>
      <c r="BD266" s="195"/>
      <c r="BE266" s="195"/>
      <c r="BF266" s="195"/>
      <c r="BG266" s="195"/>
      <c r="BH266" s="195"/>
      <c r="BI266" s="195"/>
      <c r="BJ266" s="195"/>
      <c r="BK266" s="195"/>
      <c r="BL266" s="195"/>
      <c r="BM266" s="18"/>
      <c r="BN266" s="18"/>
      <c r="BO266" s="37"/>
      <c r="BP266" s="37"/>
      <c r="BQ266" s="37"/>
      <c r="BR266" s="37"/>
      <c r="BS266" s="37"/>
    </row>
    <row r="267" spans="1:71" ht="15.75" x14ac:dyDescent="0.25">
      <c r="A267" s="18"/>
      <c r="B267" s="18"/>
      <c r="C267" s="18" t="str">
        <f>CAPA!$A$88</f>
        <v>UNISURVEY LTDA.</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Mr. Joni Nunes Carvalho</v>
      </c>
      <c r="E267" s="18"/>
      <c r="F267" s="182" t="s">
        <v>436</v>
      </c>
      <c r="G267" s="195"/>
      <c r="H267" s="195"/>
      <c r="I267" s="195"/>
      <c r="J267" s="195"/>
      <c r="K267" s="195"/>
      <c r="L267" s="195"/>
      <c r="M267" s="195"/>
      <c r="N267" s="195"/>
      <c r="O267" s="195"/>
      <c r="P267" s="195"/>
      <c r="Q267" s="195"/>
      <c r="R267" s="195"/>
      <c r="S267" s="195"/>
      <c r="T267" s="195"/>
      <c r="U267" s="195"/>
      <c r="V267" s="195"/>
      <c r="W267" s="195"/>
      <c r="X267" s="195"/>
      <c r="Y267" s="195"/>
      <c r="Z267" s="195"/>
      <c r="AA267" s="195"/>
      <c r="AB267" s="195"/>
      <c r="AC267" s="195"/>
      <c r="AD267" s="195"/>
      <c r="AE267" s="195"/>
      <c r="AF267" s="195"/>
      <c r="AG267" s="195"/>
      <c r="AH267" s="195"/>
      <c r="AI267" s="195"/>
      <c r="AJ267" s="195"/>
      <c r="AK267" s="195"/>
      <c r="AL267" s="195"/>
      <c r="AM267" s="195"/>
      <c r="AN267" s="195"/>
      <c r="AO267" s="195"/>
      <c r="AP267" s="195"/>
      <c r="AQ267" s="195"/>
      <c r="AR267" s="195"/>
      <c r="AS267" s="195"/>
      <c r="AT267" s="195"/>
      <c r="AU267" s="195"/>
      <c r="AV267" s="195"/>
      <c r="AW267" s="195"/>
      <c r="AX267" s="195"/>
      <c r="AY267" s="195"/>
      <c r="AZ267" s="195"/>
      <c r="BA267" s="195"/>
      <c r="BB267" s="195"/>
      <c r="BC267" s="195"/>
      <c r="BD267" s="195"/>
      <c r="BE267" s="195"/>
      <c r="BF267" s="195"/>
      <c r="BG267" s="195"/>
      <c r="BH267" s="195"/>
      <c r="BI267" s="195"/>
      <c r="BJ267" s="195"/>
      <c r="BK267" s="195"/>
      <c r="BL267" s="195"/>
      <c r="BM267" s="18"/>
      <c r="BN267" s="18"/>
      <c r="BO267" s="37"/>
      <c r="BP267" s="37"/>
      <c r="BQ267" s="37"/>
      <c r="BR267" s="37"/>
      <c r="BS267" s="37"/>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Mr. Diego Florentino</v>
      </c>
      <c r="E268" s="18"/>
      <c r="F268" s="182"/>
      <c r="G268" s="195"/>
      <c r="H268" s="195"/>
      <c r="I268" s="195"/>
      <c r="J268" s="195"/>
      <c r="K268" s="195"/>
      <c r="L268" s="195"/>
      <c r="M268" s="195"/>
      <c r="N268" s="195"/>
      <c r="O268" s="195"/>
      <c r="P268" s="195"/>
      <c r="Q268" s="195"/>
      <c r="R268" s="195"/>
      <c r="S268" s="195"/>
      <c r="T268" s="195"/>
      <c r="U268" s="195"/>
      <c r="V268" s="195"/>
      <c r="W268" s="195"/>
      <c r="X268" s="195"/>
      <c r="Y268" s="195"/>
      <c r="Z268" s="195"/>
      <c r="AA268" s="195"/>
      <c r="AB268" s="195"/>
      <c r="AC268" s="195"/>
      <c r="AD268" s="195"/>
      <c r="AE268" s="195"/>
      <c r="AF268" s="195"/>
      <c r="AG268" s="195"/>
      <c r="AH268" s="195"/>
      <c r="AI268" s="195"/>
      <c r="AJ268" s="195"/>
      <c r="AK268" s="195"/>
      <c r="AL268" s="195"/>
      <c r="AM268" s="195"/>
      <c r="AN268" s="195"/>
      <c r="AO268" s="195"/>
      <c r="AP268" s="195"/>
      <c r="AQ268" s="195"/>
      <c r="AR268" s="195"/>
      <c r="AS268" s="195"/>
      <c r="AT268" s="195"/>
      <c r="AU268" s="195"/>
      <c r="AV268" s="195"/>
      <c r="AW268" s="195"/>
      <c r="AX268" s="195"/>
      <c r="AY268" s="195"/>
      <c r="AZ268" s="195"/>
      <c r="BA268" s="195"/>
      <c r="BB268" s="195"/>
      <c r="BC268" s="195"/>
      <c r="BD268" s="195"/>
      <c r="BE268" s="195"/>
      <c r="BF268" s="195"/>
      <c r="BG268" s="195"/>
      <c r="BH268" s="195"/>
      <c r="BI268" s="195"/>
      <c r="BJ268" s="195"/>
      <c r="BK268" s="195"/>
      <c r="BL268" s="195"/>
      <c r="BM268" s="18"/>
      <c r="BN268" s="18"/>
      <c r="BO268" s="37"/>
      <c r="BP268" s="37"/>
      <c r="BQ268" s="37"/>
      <c r="BR268" s="37"/>
      <c r="BS268" s="37"/>
    </row>
    <row r="269" spans="1:71" ht="15" x14ac:dyDescent="0.25">
      <c r="A269" s="37"/>
      <c r="B269" s="37"/>
      <c r="C269" s="37"/>
      <c r="D269" s="37"/>
      <c r="E269" s="37"/>
      <c r="F269" s="71"/>
      <c r="G269" s="71"/>
      <c r="H269" s="71"/>
      <c r="I269" s="71"/>
      <c r="J269" s="71"/>
      <c r="K269" s="71"/>
      <c r="L269" s="71"/>
      <c r="M269" s="71"/>
      <c r="N269" s="71"/>
      <c r="O269" s="71"/>
      <c r="P269" s="71"/>
      <c r="Q269" s="71"/>
      <c r="R269" s="71"/>
      <c r="S269" s="71"/>
      <c r="T269" s="71"/>
      <c r="U269" s="71"/>
      <c r="V269" s="71"/>
      <c r="W269" s="71"/>
      <c r="X269" s="71"/>
      <c r="Y269" s="71"/>
      <c r="Z269" s="71"/>
      <c r="AA269" s="71"/>
      <c r="AB269" s="71"/>
      <c r="AC269" s="71"/>
      <c r="AD269" s="71"/>
      <c r="AE269" s="71"/>
      <c r="AF269" s="71"/>
      <c r="AG269" s="71"/>
      <c r="AH269" s="71"/>
      <c r="AI269" s="71"/>
      <c r="AJ269" s="71"/>
      <c r="AK269" s="71"/>
      <c r="AL269" s="71"/>
      <c r="AM269" s="71"/>
      <c r="AN269" s="71"/>
      <c r="AO269" s="36"/>
      <c r="AP269" s="36"/>
      <c r="AQ269" s="36"/>
      <c r="AR269" s="36"/>
      <c r="AS269" s="36"/>
      <c r="AT269" s="36"/>
      <c r="AU269" s="37"/>
      <c r="AV269" s="37"/>
      <c r="AW269" s="37"/>
      <c r="AX269" s="37"/>
      <c r="AY269" s="37"/>
      <c r="AZ269" s="37"/>
      <c r="BA269" s="37"/>
      <c r="BB269" s="37"/>
      <c r="BC269" s="37"/>
      <c r="BD269" s="37"/>
      <c r="BE269" s="37"/>
      <c r="BF269" s="37"/>
      <c r="BG269" s="37"/>
      <c r="BH269" s="37"/>
      <c r="BI269" s="37"/>
      <c r="BJ269" s="37"/>
      <c r="BK269" s="37"/>
      <c r="BL269" s="37"/>
      <c r="BM269" s="37"/>
      <c r="BN269" s="37"/>
      <c r="BO269" s="37"/>
      <c r="BP269" s="37"/>
      <c r="BQ269" s="37"/>
      <c r="BR269" s="37"/>
      <c r="BS269" s="37"/>
    </row>
    <row r="270" spans="1:71" ht="15" x14ac:dyDescent="0.25">
      <c r="A270" s="37"/>
      <c r="B270" s="37"/>
      <c r="C270" s="37"/>
      <c r="D270" s="37"/>
      <c r="E270" s="37"/>
      <c r="F270" s="37" t="s">
        <v>230</v>
      </c>
      <c r="G270" s="37"/>
      <c r="H270" s="37"/>
      <c r="I270" s="37"/>
      <c r="J270" s="37"/>
      <c r="K270" s="37"/>
      <c r="L270" s="37"/>
      <c r="M270" s="37"/>
      <c r="N270" s="37"/>
      <c r="O270" s="37"/>
      <c r="P270" s="37"/>
      <c r="Q270" s="37"/>
      <c r="R270" s="37"/>
      <c r="S270" s="37"/>
      <c r="T270" s="37"/>
      <c r="U270" s="37"/>
      <c r="V270" s="37"/>
      <c r="W270" s="37"/>
      <c r="X270" s="37"/>
      <c r="Y270" s="37"/>
      <c r="Z270" s="37"/>
      <c r="AA270" s="37"/>
      <c r="AB270" s="37"/>
      <c r="AC270" s="37"/>
      <c r="AD270" s="37"/>
      <c r="AE270" s="37"/>
      <c r="AF270" s="37"/>
      <c r="AG270" s="37"/>
      <c r="AH270" s="37" t="s">
        <v>437</v>
      </c>
      <c r="AI270" s="37"/>
      <c r="AJ270" s="37"/>
      <c r="AK270" s="37"/>
      <c r="AL270" s="37"/>
      <c r="AM270" s="36"/>
      <c r="AN270" s="36"/>
      <c r="AO270" s="36"/>
      <c r="AP270" s="36"/>
      <c r="AQ270" s="36"/>
      <c r="AR270" s="36"/>
      <c r="AS270" s="36"/>
      <c r="AT270" s="36"/>
      <c r="AU270" s="37"/>
      <c r="AV270" s="37"/>
      <c r="AW270" s="37"/>
      <c r="AX270" s="37"/>
      <c r="AY270" s="37"/>
      <c r="AZ270" s="37"/>
      <c r="BA270" s="37"/>
      <c r="BB270" s="37"/>
      <c r="BC270" s="37"/>
      <c r="BD270" s="37"/>
      <c r="BE270" s="37"/>
      <c r="BF270" s="37"/>
      <c r="BG270" s="37"/>
      <c r="BH270" s="37"/>
      <c r="BI270" s="37"/>
      <c r="BJ270" s="37"/>
      <c r="BK270" s="37"/>
      <c r="BL270" s="37"/>
      <c r="BM270" s="37"/>
      <c r="BN270" s="37"/>
      <c r="BO270" s="37"/>
      <c r="BP270" s="37"/>
      <c r="BQ270" s="37"/>
      <c r="BR270" s="37"/>
      <c r="BS270" s="37"/>
    </row>
    <row r="271" spans="1:71" ht="15" x14ac:dyDescent="0.25">
      <c r="A271" s="37"/>
      <c r="B271" s="37"/>
      <c r="C271" s="37">
        <f>CAPA!$A$91</f>
        <v>0</v>
      </c>
      <c r="D271" s="37"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7"/>
      <c r="F271" s="37"/>
      <c r="G271" s="37"/>
      <c r="H271" s="37"/>
      <c r="I271" s="37"/>
      <c r="J271" s="37"/>
      <c r="K271" s="37"/>
      <c r="L271" s="37"/>
      <c r="M271" s="37"/>
      <c r="N271" s="37"/>
      <c r="O271" s="37"/>
      <c r="P271" s="37"/>
      <c r="Q271" s="37"/>
      <c r="R271" s="37"/>
      <c r="S271" s="37"/>
      <c r="T271" s="37"/>
      <c r="U271" s="37"/>
      <c r="V271" s="37"/>
      <c r="W271" s="37"/>
      <c r="X271" s="37"/>
      <c r="Y271" s="37"/>
      <c r="Z271" s="37"/>
      <c r="AA271" s="37"/>
      <c r="AB271" s="37"/>
      <c r="AC271" s="37"/>
      <c r="AD271" s="37"/>
      <c r="AE271" s="37"/>
      <c r="AF271" s="37"/>
      <c r="AG271" s="37"/>
      <c r="AH271" s="37" t="s">
        <v>224</v>
      </c>
      <c r="AI271" s="37"/>
      <c r="AJ271" s="37"/>
      <c r="AK271" s="37"/>
      <c r="AL271" s="37"/>
      <c r="AM271" s="37"/>
      <c r="AN271" s="37"/>
      <c r="AO271" s="37"/>
      <c r="AP271" s="37"/>
      <c r="AQ271" s="37"/>
      <c r="AR271" s="37"/>
      <c r="AS271" s="37"/>
      <c r="AT271" s="37"/>
      <c r="AU271" s="37"/>
      <c r="AV271" s="37"/>
      <c r="AW271" s="37"/>
      <c r="AX271" s="37"/>
      <c r="AY271" s="37"/>
      <c r="AZ271" s="37"/>
      <c r="BA271" s="37"/>
      <c r="BB271" s="37"/>
      <c r="BC271" s="37"/>
      <c r="BD271" s="37"/>
      <c r="BE271" s="37"/>
      <c r="BF271" s="37"/>
      <c r="BG271" s="37"/>
      <c r="BH271" s="37"/>
      <c r="BI271" s="37"/>
      <c r="BJ271" s="37"/>
      <c r="BK271" s="37"/>
      <c r="BL271" s="37"/>
      <c r="BM271" s="37"/>
      <c r="BN271" s="37"/>
      <c r="BO271" s="37"/>
      <c r="BP271" s="37"/>
      <c r="BQ271" s="37"/>
      <c r="BR271" s="37"/>
      <c r="BS271" s="37"/>
    </row>
    <row r="272" spans="1:71" ht="15" x14ac:dyDescent="0.25">
      <c r="A272" s="37"/>
      <c r="B272" s="37"/>
      <c r="C272" s="37"/>
      <c r="D272" s="37" t="str">
        <f>IFERROR(_xlfn.IFS(C271=F270,AH271,C271=F278,AH279,C271=F282,AH283,C271=F285,AH286,C271=F291,AH292,C271=F297,AH298,C271=F300,AH301,C271=F308,AH309,C271=F311,AH312,C271=F314,AH315,C271=F317,AH318,271=F304,AH305)," ")</f>
        <v xml:space="preserve"> </v>
      </c>
      <c r="E272" s="37"/>
      <c r="F272" s="37"/>
      <c r="G272" s="37"/>
      <c r="H272" s="37"/>
      <c r="I272" s="37"/>
      <c r="J272" s="37"/>
      <c r="K272" s="37"/>
      <c r="L272" s="37"/>
      <c r="M272" s="37"/>
      <c r="N272" s="37"/>
      <c r="O272" s="37"/>
      <c r="P272" s="37"/>
      <c r="Q272" s="37"/>
      <c r="R272" s="37"/>
      <c r="S272" s="37"/>
      <c r="T272" s="37"/>
      <c r="U272" s="37"/>
      <c r="V272" s="37"/>
      <c r="W272" s="37"/>
      <c r="X272" s="37"/>
      <c r="Y272" s="37"/>
      <c r="Z272" s="37"/>
      <c r="AA272" s="37"/>
      <c r="AB272" s="37"/>
      <c r="AC272" s="37"/>
      <c r="AD272" s="37"/>
      <c r="AE272" s="37"/>
      <c r="AF272" s="37"/>
      <c r="AG272" s="37"/>
      <c r="AH272" s="37"/>
      <c r="AI272" s="37"/>
      <c r="AJ272" s="37"/>
      <c r="AK272" s="37"/>
      <c r="AL272" s="37"/>
      <c r="AM272" s="37"/>
      <c r="AN272" s="37"/>
      <c r="AO272" s="37"/>
      <c r="AP272" s="37"/>
      <c r="AQ272" s="37"/>
      <c r="AR272" s="37"/>
      <c r="AS272" s="37"/>
      <c r="AT272" s="37"/>
      <c r="AU272" s="37"/>
      <c r="AV272" s="37"/>
      <c r="AW272" s="37"/>
      <c r="AX272" s="37"/>
      <c r="AY272" s="37"/>
      <c r="AZ272" s="37"/>
      <c r="BA272" s="37"/>
      <c r="BB272" s="37"/>
      <c r="BC272" s="37"/>
      <c r="BD272" s="37"/>
      <c r="BE272" s="37"/>
      <c r="BF272" s="37"/>
      <c r="BG272" s="37"/>
      <c r="BH272" s="37"/>
      <c r="BI272" s="37"/>
      <c r="BJ272" s="37"/>
      <c r="BK272" s="37"/>
      <c r="BL272" s="37"/>
      <c r="BM272" s="37"/>
      <c r="BN272" s="37"/>
      <c r="BO272" s="37"/>
      <c r="BP272" s="37"/>
      <c r="BQ272" s="37"/>
      <c r="BR272" s="37"/>
      <c r="BS272" s="37"/>
    </row>
    <row r="273" spans="1:71" ht="15" x14ac:dyDescent="0.25">
      <c r="A273" s="37"/>
      <c r="B273" s="37"/>
      <c r="C273" s="37"/>
      <c r="D273" s="37"/>
      <c r="E273" s="37"/>
      <c r="F273" s="36" t="s">
        <v>231</v>
      </c>
      <c r="G273" s="36"/>
      <c r="H273" s="36"/>
      <c r="I273" s="36"/>
      <c r="J273" s="36"/>
      <c r="K273" s="36"/>
      <c r="L273" s="36"/>
      <c r="M273" s="36"/>
      <c r="N273" s="36"/>
      <c r="O273" s="36"/>
      <c r="P273" s="36"/>
      <c r="Q273" s="36"/>
      <c r="R273" s="36"/>
      <c r="S273" s="36"/>
      <c r="T273" s="36"/>
      <c r="U273" s="36"/>
      <c r="V273" s="36"/>
      <c r="W273" s="36"/>
      <c r="X273" s="36"/>
      <c r="Y273" s="36"/>
      <c r="Z273" s="36"/>
      <c r="AA273" s="36"/>
      <c r="AB273" s="36"/>
      <c r="AC273" s="36"/>
      <c r="AD273" s="36"/>
      <c r="AE273" s="36"/>
      <c r="AF273" s="36"/>
      <c r="AG273" s="36"/>
      <c r="AH273" s="36" t="s">
        <v>438</v>
      </c>
      <c r="AI273" s="36"/>
      <c r="AJ273" s="36"/>
      <c r="AK273" s="36"/>
      <c r="AL273" s="36"/>
      <c r="AM273" s="36"/>
      <c r="AN273" s="37"/>
      <c r="AO273" s="37"/>
      <c r="AP273" s="37"/>
      <c r="AQ273" s="37"/>
      <c r="AR273" s="37"/>
      <c r="AS273" s="37"/>
      <c r="AT273" s="37"/>
      <c r="AU273" s="37"/>
      <c r="AV273" s="37"/>
      <c r="AW273" s="37"/>
      <c r="AX273" s="37"/>
      <c r="AY273" s="37"/>
      <c r="AZ273" s="37"/>
      <c r="BA273" s="37"/>
      <c r="BB273" s="37"/>
      <c r="BC273" s="37"/>
      <c r="BD273" s="37"/>
      <c r="BE273" s="37"/>
      <c r="BF273" s="37"/>
      <c r="BG273" s="37"/>
      <c r="BH273" s="37"/>
      <c r="BI273" s="37"/>
      <c r="BJ273" s="37"/>
      <c r="BK273" s="37"/>
      <c r="BL273" s="37"/>
      <c r="BM273" s="37"/>
      <c r="BN273" s="37"/>
      <c r="BO273" s="37"/>
      <c r="BP273" s="37"/>
      <c r="BQ273" s="37"/>
      <c r="BR273" s="37"/>
      <c r="BS273" s="37"/>
    </row>
    <row r="274" spans="1:71" ht="15" x14ac:dyDescent="0.25">
      <c r="A274" s="37"/>
      <c r="B274" s="37"/>
      <c r="C274" s="37"/>
      <c r="D274" s="37"/>
      <c r="E274" s="37"/>
      <c r="F274" s="36"/>
      <c r="G274" s="36"/>
      <c r="H274" s="36"/>
      <c r="I274" s="36"/>
      <c r="J274" s="36"/>
      <c r="K274" s="36"/>
      <c r="L274" s="36"/>
      <c r="M274" s="36"/>
      <c r="N274" s="36"/>
      <c r="O274" s="36"/>
      <c r="P274" s="36"/>
      <c r="Q274" s="36"/>
      <c r="R274" s="36"/>
      <c r="S274" s="36"/>
      <c r="T274" s="36"/>
      <c r="U274" s="36"/>
      <c r="V274" s="36"/>
      <c r="W274" s="36"/>
      <c r="X274" s="36"/>
      <c r="Y274" s="36"/>
      <c r="Z274" s="36"/>
      <c r="AA274" s="36"/>
      <c r="AB274" s="36"/>
      <c r="AC274" s="36"/>
      <c r="AD274" s="36"/>
      <c r="AE274" s="36"/>
      <c r="AF274" s="36"/>
      <c r="AG274" s="36"/>
      <c r="AI274" s="36"/>
      <c r="AJ274" s="36"/>
      <c r="AK274" s="36"/>
      <c r="AL274" s="36"/>
      <c r="AM274" s="36"/>
      <c r="AN274" s="37"/>
      <c r="AO274" s="37"/>
      <c r="AP274" s="37"/>
      <c r="AQ274" s="37"/>
      <c r="AR274" s="37"/>
      <c r="AS274" s="37"/>
      <c r="AT274" s="37"/>
      <c r="AU274" s="37"/>
      <c r="AV274" s="37"/>
      <c r="AW274" s="37"/>
      <c r="AX274" s="37"/>
      <c r="AY274" s="37"/>
      <c r="AZ274" s="37"/>
      <c r="BA274" s="37"/>
      <c r="BB274" s="37"/>
      <c r="BC274" s="37"/>
      <c r="BD274" s="37"/>
      <c r="BE274" s="37"/>
      <c r="BF274" s="37"/>
      <c r="BG274" s="37"/>
      <c r="BH274" s="37"/>
      <c r="BI274" s="37"/>
      <c r="BJ274" s="37"/>
      <c r="BK274" s="37"/>
      <c r="BL274" s="37"/>
      <c r="BM274" s="37"/>
      <c r="BN274" s="37"/>
      <c r="BO274" s="37"/>
      <c r="BP274" s="37"/>
      <c r="BQ274" s="37"/>
      <c r="BR274" s="37"/>
      <c r="BS274" s="37"/>
    </row>
    <row r="275" spans="1:71" ht="15" x14ac:dyDescent="0.25">
      <c r="A275" s="37"/>
      <c r="B275" s="37"/>
      <c r="C275" s="37" t="str">
        <f>CAPA!$A$94</f>
        <v>SGS DO BRASIL S/A</v>
      </c>
      <c r="D275" s="37" t="str">
        <f>IFERROR(_xlfn.IFS(C275=F270,AH270,C275=F273,AH273,C275=F276,AH276,C275=F278,AH278,C275=F282,AH282,C275=F285,AH285,C275=F288,AH288,C275=F291,AH291,C275=F294,AH294,C275=F297,AH297,C275=F300,AH300,C275=F308,AH308,C275=F311,AH311,C275=F314,AH314,C275=F317,AH317,C275=F304,AH304,C275=F321,AH321,C275=F324,AH324,C275=F327,AH327)," ")</f>
        <v>Mr. Marcos Heringer</v>
      </c>
      <c r="E275" s="37"/>
      <c r="F275" s="37"/>
      <c r="G275" s="37"/>
      <c r="H275" s="37"/>
      <c r="I275" s="37"/>
      <c r="J275" s="37"/>
      <c r="K275" s="37"/>
      <c r="L275" s="37"/>
      <c r="M275" s="37"/>
      <c r="N275" s="37"/>
      <c r="O275" s="37"/>
      <c r="P275" s="37"/>
      <c r="Q275" s="37"/>
      <c r="R275" s="37"/>
      <c r="S275" s="37"/>
      <c r="T275" s="37"/>
      <c r="U275" s="37"/>
      <c r="V275" s="37"/>
      <c r="W275" s="37"/>
      <c r="X275" s="37"/>
      <c r="Y275" s="37"/>
      <c r="Z275" s="37"/>
      <c r="AA275" s="37"/>
      <c r="AB275" s="37"/>
      <c r="AC275" s="37"/>
      <c r="AD275" s="37"/>
      <c r="AE275" s="37"/>
      <c r="AF275" s="37"/>
      <c r="AG275" s="37"/>
      <c r="AH275" s="37"/>
      <c r="AI275" s="37"/>
      <c r="AJ275" s="37"/>
      <c r="AK275" s="37"/>
      <c r="AL275" s="37"/>
      <c r="AM275" s="37"/>
      <c r="AN275" s="37"/>
      <c r="AO275" s="37"/>
      <c r="AP275" s="37"/>
      <c r="AQ275" s="37"/>
      <c r="AR275" s="37"/>
      <c r="AS275" s="37"/>
      <c r="AT275" s="37"/>
      <c r="AU275" s="37"/>
      <c r="AV275" s="37"/>
      <c r="AW275" s="37"/>
      <c r="AX275" s="37"/>
      <c r="AY275" s="37"/>
      <c r="AZ275" s="37"/>
      <c r="BA275" s="37"/>
      <c r="BB275" s="37"/>
      <c r="BC275" s="37"/>
      <c r="BD275" s="37"/>
      <c r="BE275" s="37"/>
      <c r="BF275" s="37"/>
      <c r="BG275" s="37"/>
      <c r="BH275" s="37"/>
      <c r="BI275" s="37"/>
      <c r="BJ275" s="37"/>
      <c r="BK275" s="37"/>
      <c r="BL275" s="37"/>
      <c r="BM275" s="37"/>
      <c r="BN275" s="37"/>
      <c r="BO275" s="37"/>
      <c r="BP275" s="37"/>
      <c r="BQ275" s="37"/>
      <c r="BR275" s="37"/>
      <c r="BS275" s="37"/>
    </row>
    <row r="276" spans="1:71" ht="15" x14ac:dyDescent="0.25">
      <c r="A276" s="37"/>
      <c r="B276" s="37"/>
      <c r="C276" s="37"/>
      <c r="D276" s="37" t="str">
        <f>IFERROR(_xlfn.IFS(C275=F270,AH271,C275=F278,AH279,C275=F282,AH283,C275=F285,AH286,C275=F291,AH292,C275=F297,AH298,C275=F300,AH301,C275=F308,AH309,C275=F311,AH312,C275=F314,AH315,C275=F304,AH305,C275=F317,AH318)," ")</f>
        <v>Mr. Matheus Capeta Zella</v>
      </c>
      <c r="E276" s="37"/>
      <c r="F276" s="36" t="s">
        <v>232</v>
      </c>
      <c r="G276" s="36"/>
      <c r="H276" s="36"/>
      <c r="I276" s="36"/>
      <c r="J276" s="36"/>
      <c r="K276" s="36"/>
      <c r="L276" s="36"/>
      <c r="M276" s="36"/>
      <c r="N276" s="36"/>
      <c r="O276" s="36"/>
      <c r="P276" s="36"/>
      <c r="Q276" s="36"/>
      <c r="R276" s="36"/>
      <c r="S276" s="36"/>
      <c r="T276" s="36"/>
      <c r="U276" s="36"/>
      <c r="V276" s="36"/>
      <c r="W276" s="36"/>
      <c r="X276" s="36"/>
      <c r="Y276" s="36"/>
      <c r="Z276" s="36"/>
      <c r="AA276" s="36"/>
      <c r="AB276" s="36"/>
      <c r="AC276" s="36"/>
      <c r="AD276" s="36"/>
      <c r="AE276" s="36"/>
      <c r="AF276" s="36"/>
      <c r="AG276" s="36"/>
      <c r="AH276" s="36" t="s">
        <v>641</v>
      </c>
      <c r="AI276" s="36"/>
      <c r="AJ276" s="36"/>
      <c r="AK276" s="36"/>
      <c r="AL276" s="36"/>
      <c r="AM276" s="36"/>
      <c r="AN276" s="36"/>
      <c r="AO276" s="36"/>
      <c r="AP276" s="36"/>
      <c r="AQ276" s="36"/>
      <c r="AR276" s="71"/>
      <c r="AS276" s="71"/>
      <c r="AT276" s="71"/>
      <c r="AU276" s="37"/>
      <c r="AV276" s="37"/>
      <c r="AW276" s="37"/>
      <c r="AX276" s="37"/>
      <c r="AY276" s="37"/>
      <c r="AZ276" s="37"/>
      <c r="BA276" s="37"/>
      <c r="BB276" s="37"/>
      <c r="BC276" s="37"/>
      <c r="BD276" s="37"/>
      <c r="BE276" s="37"/>
      <c r="BF276" s="37"/>
      <c r="BG276" s="37"/>
      <c r="BH276" s="37"/>
      <c r="BI276" s="37"/>
      <c r="BJ276" s="37"/>
      <c r="BK276" s="37"/>
      <c r="BL276" s="37"/>
      <c r="BM276" s="37"/>
      <c r="BN276" s="37"/>
      <c r="BO276" s="37"/>
      <c r="BP276" s="37"/>
      <c r="BQ276" s="37"/>
      <c r="BR276" s="37"/>
      <c r="BS276" s="37"/>
    </row>
    <row r="277" spans="1:71" ht="15" x14ac:dyDescent="0.25">
      <c r="A277" s="37"/>
      <c r="B277" s="37"/>
      <c r="C277" s="37"/>
      <c r="D277" s="37"/>
      <c r="E277" s="37"/>
      <c r="F277" s="37"/>
      <c r="G277" s="37"/>
      <c r="H277" s="37"/>
      <c r="I277" s="37"/>
      <c r="J277" s="37"/>
      <c r="K277" s="37"/>
      <c r="L277" s="37"/>
      <c r="M277" s="37"/>
      <c r="N277" s="37"/>
      <c r="O277" s="37"/>
      <c r="P277" s="37"/>
      <c r="Q277" s="37"/>
      <c r="R277" s="37"/>
      <c r="S277" s="37"/>
      <c r="T277" s="37"/>
      <c r="U277" s="37"/>
      <c r="V277" s="37"/>
      <c r="W277" s="37"/>
      <c r="X277" s="37"/>
      <c r="Y277" s="37"/>
      <c r="Z277" s="37"/>
      <c r="AA277" s="37"/>
      <c r="AB277" s="37"/>
      <c r="AC277" s="37"/>
      <c r="AD277" s="37"/>
      <c r="AE277" s="37"/>
      <c r="AF277" s="37"/>
      <c r="AG277" s="37"/>
      <c r="AH277" s="37"/>
      <c r="AI277" s="37"/>
      <c r="AJ277" s="37"/>
      <c r="AK277" s="37"/>
      <c r="AL277" s="37"/>
      <c r="AM277" s="37"/>
      <c r="AN277" s="37"/>
      <c r="AO277" s="37"/>
      <c r="AP277" s="37"/>
      <c r="AQ277" s="37"/>
      <c r="AR277" s="37"/>
      <c r="AS277" s="37"/>
      <c r="AT277" s="37"/>
      <c r="AU277" s="37"/>
      <c r="AV277" s="37"/>
      <c r="AW277" s="37"/>
      <c r="AX277" s="37"/>
      <c r="AY277" s="37"/>
      <c r="AZ277" s="37"/>
      <c r="BA277" s="37"/>
      <c r="BB277" s="37"/>
      <c r="BC277" s="37"/>
      <c r="BD277" s="37"/>
      <c r="BE277" s="37"/>
      <c r="BF277" s="37"/>
      <c r="BG277" s="37"/>
      <c r="BH277" s="37"/>
      <c r="BI277" s="37"/>
      <c r="BJ277" s="37"/>
      <c r="BK277" s="37"/>
      <c r="BL277" s="37"/>
      <c r="BM277" s="37"/>
      <c r="BN277" s="37"/>
      <c r="BO277" s="37"/>
      <c r="BP277" s="37"/>
      <c r="BQ277" s="37"/>
      <c r="BR277" s="37"/>
      <c r="BS277" s="37"/>
    </row>
    <row r="278" spans="1:71" ht="15" x14ac:dyDescent="0.25">
      <c r="A278" s="37"/>
      <c r="B278" s="37"/>
      <c r="C278" s="37"/>
      <c r="D278" s="37"/>
      <c r="E278" s="37"/>
      <c r="F278" s="37" t="s">
        <v>233</v>
      </c>
      <c r="G278" s="37"/>
      <c r="H278" s="37"/>
      <c r="I278" s="37"/>
      <c r="J278" s="37"/>
      <c r="K278" s="37"/>
      <c r="L278" s="37"/>
      <c r="M278" s="37"/>
      <c r="N278" s="37"/>
      <c r="O278" s="37"/>
      <c r="P278" s="37"/>
      <c r="Q278" s="37"/>
      <c r="R278" s="37"/>
      <c r="S278" s="37"/>
      <c r="T278" s="37"/>
      <c r="U278" s="37"/>
      <c r="V278" s="37"/>
      <c r="W278" s="37"/>
      <c r="X278" s="37"/>
      <c r="Y278" s="37"/>
      <c r="Z278" s="37"/>
      <c r="AA278" s="37"/>
      <c r="AB278" s="37"/>
      <c r="AC278" s="37"/>
      <c r="AD278" s="37"/>
      <c r="AE278" s="37"/>
      <c r="AF278" s="37"/>
      <c r="AG278" s="37"/>
      <c r="AH278" s="37" t="s">
        <v>390</v>
      </c>
      <c r="AI278" s="37"/>
      <c r="AJ278" s="37"/>
      <c r="AK278" s="37"/>
      <c r="AL278" s="37"/>
      <c r="AM278" s="37"/>
      <c r="AN278" s="36"/>
      <c r="AO278" s="36"/>
      <c r="AP278" s="36"/>
      <c r="AQ278" s="36"/>
      <c r="AR278" s="36"/>
      <c r="AS278" s="36"/>
      <c r="AT278" s="36"/>
      <c r="AU278" s="36"/>
      <c r="AV278" s="36"/>
      <c r="AW278" s="36"/>
      <c r="AX278" s="36"/>
      <c r="AY278" s="36"/>
      <c r="AZ278" s="71"/>
      <c r="BA278" s="71"/>
      <c r="BB278" s="71"/>
      <c r="BC278" s="71"/>
      <c r="BD278" s="71"/>
      <c r="BE278" s="71"/>
      <c r="BF278" s="71"/>
      <c r="BG278" s="37"/>
      <c r="BH278" s="37"/>
      <c r="BI278" s="37"/>
      <c r="BJ278" s="37"/>
      <c r="BK278" s="37"/>
      <c r="BL278" s="37"/>
      <c r="BM278" s="37"/>
      <c r="BN278" s="37"/>
      <c r="BO278" s="37"/>
      <c r="BP278" s="37"/>
      <c r="BQ278" s="37"/>
      <c r="BR278" s="37"/>
      <c r="BS278" s="37"/>
    </row>
    <row r="279" spans="1:71" ht="15" x14ac:dyDescent="0.25">
      <c r="A279" s="37"/>
      <c r="B279" s="37"/>
      <c r="C279" s="37"/>
      <c r="D279" s="37"/>
      <c r="E279" s="37"/>
      <c r="F279" s="37"/>
      <c r="G279" s="37"/>
      <c r="H279" s="37"/>
      <c r="I279" s="37"/>
      <c r="J279" s="37"/>
      <c r="K279" s="37"/>
      <c r="L279" s="37"/>
      <c r="M279" s="37"/>
      <c r="N279" s="37"/>
      <c r="O279" s="37"/>
      <c r="P279" s="37"/>
      <c r="Q279" s="37"/>
      <c r="R279" s="37"/>
      <c r="S279" s="37"/>
      <c r="T279" s="37"/>
      <c r="U279" s="37"/>
      <c r="V279" s="37"/>
      <c r="W279" s="37"/>
      <c r="X279" s="37"/>
      <c r="Y279" s="37"/>
      <c r="Z279" s="37"/>
      <c r="AA279" s="37"/>
      <c r="AB279" s="37"/>
      <c r="AC279" s="37"/>
      <c r="AD279" s="37"/>
      <c r="AE279" s="37"/>
      <c r="AF279" s="37"/>
      <c r="AG279" s="37"/>
      <c r="AH279" s="37" t="s">
        <v>439</v>
      </c>
      <c r="AI279" s="37"/>
      <c r="AJ279" s="37"/>
      <c r="AK279" s="37"/>
      <c r="AL279" s="37"/>
      <c r="AM279" s="37"/>
      <c r="AN279" s="36"/>
      <c r="AO279" s="36"/>
      <c r="AP279" s="36"/>
      <c r="AQ279" s="36"/>
      <c r="AR279" s="36"/>
      <c r="AS279" s="36"/>
      <c r="AT279" s="36"/>
      <c r="AU279" s="36"/>
      <c r="AV279" s="36"/>
      <c r="AW279" s="36"/>
      <c r="AX279" s="36"/>
      <c r="AY279" s="36"/>
      <c r="AZ279" s="71"/>
      <c r="BA279" s="71"/>
      <c r="BB279" s="71"/>
      <c r="BC279" s="71"/>
      <c r="BD279" s="71"/>
      <c r="BE279" s="71"/>
      <c r="BF279" s="71"/>
      <c r="BG279" s="37"/>
      <c r="BH279" s="37"/>
      <c r="BI279" s="37"/>
      <c r="BJ279" s="37"/>
      <c r="BK279" s="37"/>
      <c r="BL279" s="37"/>
      <c r="BM279" s="37"/>
      <c r="BN279" s="37"/>
      <c r="BO279" s="37"/>
      <c r="BP279" s="37"/>
      <c r="BQ279" s="37"/>
      <c r="BR279" s="37"/>
      <c r="BS279" s="37"/>
    </row>
    <row r="280" spans="1:71" ht="15" x14ac:dyDescent="0.25">
      <c r="A280" s="37"/>
      <c r="B280" s="37"/>
      <c r="C280" s="37"/>
      <c r="D280" s="37"/>
      <c r="E280" s="37"/>
      <c r="F280" s="37"/>
      <c r="G280" s="37"/>
      <c r="H280" s="37"/>
      <c r="I280" s="37"/>
      <c r="J280" s="37"/>
      <c r="K280" s="37"/>
      <c r="L280" s="37"/>
      <c r="M280" s="37"/>
      <c r="N280" s="37"/>
      <c r="O280" s="37"/>
      <c r="P280" s="37"/>
      <c r="Q280" s="37"/>
      <c r="R280" s="37"/>
      <c r="S280" s="37"/>
      <c r="T280" s="37"/>
      <c r="U280" s="37"/>
      <c r="V280" s="37"/>
      <c r="W280" s="37"/>
      <c r="X280" s="37"/>
      <c r="Y280" s="37"/>
      <c r="Z280" s="37"/>
      <c r="AA280" s="37"/>
      <c r="AB280" s="37"/>
      <c r="AC280" s="37"/>
      <c r="AD280" s="37"/>
      <c r="AE280" s="37"/>
      <c r="AF280" s="37"/>
      <c r="AG280" s="37"/>
      <c r="AI280" s="37"/>
      <c r="AJ280" s="37"/>
      <c r="AK280" s="37"/>
      <c r="AL280" s="37"/>
      <c r="AM280" s="37"/>
      <c r="AN280" s="37"/>
      <c r="AO280" s="37"/>
      <c r="AP280" s="37"/>
      <c r="AQ280" s="37"/>
      <c r="AR280" s="36"/>
      <c r="AS280" s="36"/>
      <c r="AT280" s="36"/>
      <c r="AU280" s="37"/>
      <c r="AV280" s="37"/>
      <c r="AW280" s="37"/>
      <c r="AX280" s="37"/>
      <c r="AY280" s="37"/>
      <c r="AZ280" s="37"/>
      <c r="BA280" s="37"/>
      <c r="BB280" s="37"/>
      <c r="BC280" s="37"/>
      <c r="BD280" s="37"/>
      <c r="BE280" s="37"/>
      <c r="BF280" s="37"/>
      <c r="BG280" s="37"/>
      <c r="BH280" s="37"/>
      <c r="BI280" s="37"/>
      <c r="BJ280" s="37"/>
      <c r="BK280" s="37"/>
      <c r="BL280" s="37"/>
      <c r="BM280" s="37"/>
      <c r="BN280" s="37"/>
      <c r="BO280" s="37"/>
      <c r="BP280" s="37"/>
      <c r="BQ280" s="37"/>
      <c r="BR280" s="37"/>
      <c r="BS280" s="37"/>
    </row>
    <row r="281" spans="1:71" ht="15" x14ac:dyDescent="0.25">
      <c r="A281" s="37"/>
      <c r="B281" s="37"/>
      <c r="C281" s="37"/>
      <c r="D281" s="37"/>
      <c r="E281" s="37"/>
      <c r="F281" s="36"/>
      <c r="G281" s="36"/>
      <c r="H281" s="36"/>
      <c r="I281" s="36"/>
      <c r="J281" s="36"/>
      <c r="K281" s="36"/>
      <c r="L281" s="36"/>
      <c r="M281" s="36"/>
      <c r="N281" s="36"/>
      <c r="O281" s="36"/>
      <c r="P281" s="36"/>
      <c r="Q281" s="36"/>
      <c r="R281" s="36"/>
      <c r="S281" s="36"/>
      <c r="T281" s="36"/>
      <c r="U281" s="36"/>
      <c r="V281" s="36"/>
      <c r="W281" s="36"/>
      <c r="X281" s="36"/>
      <c r="Y281" s="36"/>
      <c r="Z281" s="36"/>
      <c r="AA281" s="36"/>
      <c r="AB281" s="36"/>
      <c r="AC281" s="36"/>
      <c r="AD281" s="36"/>
      <c r="AE281" s="36"/>
      <c r="AF281" s="36"/>
      <c r="AG281" s="36"/>
      <c r="AH281" s="36"/>
      <c r="AI281" s="36"/>
      <c r="AJ281" s="36"/>
      <c r="AK281" s="36"/>
      <c r="AL281" s="36"/>
      <c r="AM281" s="36"/>
      <c r="AN281" s="37"/>
      <c r="AO281" s="37"/>
      <c r="AP281" s="37"/>
      <c r="AQ281" s="37"/>
      <c r="AR281" s="37"/>
      <c r="AS281" s="37"/>
      <c r="AT281" s="37"/>
      <c r="AU281" s="37"/>
      <c r="AV281" s="37"/>
      <c r="AW281" s="37"/>
      <c r="AX281" s="37"/>
      <c r="AY281" s="37"/>
      <c r="AZ281" s="37"/>
      <c r="BA281" s="37"/>
      <c r="BB281" s="37"/>
      <c r="BC281" s="37"/>
      <c r="BD281" s="37"/>
      <c r="BE281" s="37"/>
      <c r="BF281" s="37"/>
      <c r="BG281" s="37"/>
      <c r="BH281" s="37"/>
      <c r="BI281" s="37"/>
      <c r="BJ281" s="37"/>
      <c r="BK281" s="37"/>
      <c r="BL281" s="37"/>
      <c r="BM281" s="37"/>
      <c r="BN281" s="37"/>
      <c r="BO281" s="37"/>
      <c r="BP281" s="37"/>
      <c r="BQ281" s="37"/>
      <c r="BR281" s="37"/>
      <c r="BS281" s="37"/>
    </row>
    <row r="282" spans="1:71" ht="15" x14ac:dyDescent="0.25">
      <c r="A282" s="37"/>
      <c r="B282" s="37"/>
      <c r="C282" s="37"/>
      <c r="D282" s="37"/>
      <c r="E282" s="37"/>
      <c r="F282" s="71" t="s">
        <v>234</v>
      </c>
      <c r="G282" s="71"/>
      <c r="H282" s="71"/>
      <c r="I282" s="71"/>
      <c r="J282" s="71"/>
      <c r="K282" s="71"/>
      <c r="L282" s="71"/>
      <c r="M282" s="71"/>
      <c r="N282" s="71"/>
      <c r="O282" s="71"/>
      <c r="P282" s="71"/>
      <c r="Q282" s="71"/>
      <c r="R282" s="71"/>
      <c r="S282" s="71"/>
      <c r="T282" s="71"/>
      <c r="U282" s="71"/>
      <c r="V282" s="71"/>
      <c r="W282" s="71"/>
      <c r="X282" s="71"/>
      <c r="Y282" s="71"/>
      <c r="Z282" s="71"/>
      <c r="AA282" s="71"/>
      <c r="AB282" s="71"/>
      <c r="AC282" s="71"/>
      <c r="AD282" s="71"/>
      <c r="AE282" s="71"/>
      <c r="AF282" s="71"/>
      <c r="AG282" s="71"/>
      <c r="AH282" s="71" t="s">
        <v>440</v>
      </c>
      <c r="AI282" s="71"/>
      <c r="AJ282" s="71"/>
      <c r="AK282" s="71"/>
      <c r="AL282" s="71"/>
      <c r="AM282" s="71"/>
      <c r="AN282" s="37"/>
      <c r="AO282" s="37"/>
      <c r="AP282" s="37"/>
      <c r="AQ282" s="37"/>
      <c r="AR282" s="37"/>
      <c r="AS282" s="37"/>
      <c r="AT282" s="37"/>
      <c r="AU282" s="37"/>
      <c r="AV282" s="37"/>
      <c r="AW282" s="37"/>
      <c r="AX282" s="37"/>
      <c r="AY282" s="37"/>
      <c r="AZ282" s="37"/>
      <c r="BA282" s="37"/>
      <c r="BB282" s="37"/>
      <c r="BC282" s="37"/>
      <c r="BD282" s="37"/>
      <c r="BE282" s="37"/>
      <c r="BF282" s="37"/>
      <c r="BG282" s="37"/>
      <c r="BH282" s="37"/>
      <c r="BI282" s="37"/>
      <c r="BJ282" s="37"/>
      <c r="BK282" s="37"/>
      <c r="BL282" s="37"/>
      <c r="BM282" s="37"/>
      <c r="BN282" s="37"/>
      <c r="BO282" s="37"/>
      <c r="BP282" s="37"/>
      <c r="BQ282" s="37"/>
      <c r="BR282" s="37"/>
      <c r="BS282" s="37"/>
    </row>
    <row r="283" spans="1:71" ht="15" x14ac:dyDescent="0.25">
      <c r="A283" s="37"/>
      <c r="B283" s="37"/>
      <c r="C283" s="37"/>
      <c r="D283" s="37"/>
      <c r="E283" s="37"/>
      <c r="F283" s="37"/>
      <c r="G283" s="37"/>
      <c r="H283" s="37"/>
      <c r="I283" s="37"/>
      <c r="J283" s="37"/>
      <c r="K283" s="37"/>
      <c r="L283" s="37"/>
      <c r="M283" s="37"/>
      <c r="N283" s="37"/>
      <c r="O283" s="37"/>
      <c r="P283" s="37"/>
      <c r="Q283" s="37"/>
      <c r="R283" s="37"/>
      <c r="S283" s="37"/>
      <c r="T283" s="37"/>
      <c r="U283" s="37"/>
      <c r="V283" s="37"/>
      <c r="W283" s="37"/>
      <c r="X283" s="37"/>
      <c r="Y283" s="37"/>
      <c r="Z283" s="37"/>
      <c r="AA283" s="37"/>
      <c r="AB283" s="37"/>
      <c r="AC283" s="37"/>
      <c r="AD283" s="37"/>
      <c r="AE283" s="37"/>
      <c r="AF283" s="37"/>
      <c r="AG283" s="37"/>
      <c r="AH283" s="71" t="s">
        <v>733</v>
      </c>
      <c r="AI283" s="37"/>
      <c r="AJ283" s="37"/>
      <c r="AK283" s="37"/>
      <c r="AL283" s="37"/>
      <c r="AM283" s="37"/>
      <c r="AN283" s="36"/>
      <c r="AO283" s="36"/>
      <c r="AP283" s="36"/>
      <c r="AQ283" s="36"/>
      <c r="AR283" s="36"/>
      <c r="AS283" s="37"/>
      <c r="AT283" s="37"/>
      <c r="AU283" s="37"/>
      <c r="AV283" s="37"/>
      <c r="AW283" s="37"/>
      <c r="AX283" s="37"/>
      <c r="AY283" s="37"/>
      <c r="AZ283" s="37"/>
      <c r="BA283" s="37"/>
      <c r="BB283" s="37"/>
      <c r="BC283" s="37"/>
      <c r="BD283" s="37"/>
      <c r="BE283" s="37"/>
      <c r="BF283" s="37"/>
      <c r="BG283" s="37"/>
      <c r="BH283" s="37"/>
      <c r="BI283" s="37"/>
      <c r="BJ283" s="37"/>
      <c r="BK283" s="37"/>
      <c r="BL283" s="37"/>
      <c r="BM283" s="37"/>
      <c r="BN283" s="37"/>
      <c r="BO283" s="37"/>
      <c r="BP283" s="37"/>
      <c r="BQ283" s="37"/>
      <c r="BR283" s="37"/>
      <c r="BS283" s="37"/>
    </row>
    <row r="284" spans="1:71" ht="15" x14ac:dyDescent="0.25">
      <c r="A284" s="37"/>
      <c r="B284" s="37"/>
      <c r="C284" s="37"/>
      <c r="D284" s="37"/>
      <c r="E284" s="37"/>
      <c r="F284" s="37"/>
      <c r="G284" s="37"/>
      <c r="H284" s="37"/>
      <c r="I284" s="37"/>
      <c r="J284" s="37"/>
      <c r="K284" s="37"/>
      <c r="L284" s="37"/>
      <c r="M284" s="37"/>
      <c r="N284" s="37"/>
      <c r="O284" s="37"/>
      <c r="P284" s="37"/>
      <c r="Q284" s="37"/>
      <c r="R284" s="37"/>
      <c r="S284" s="37"/>
      <c r="T284" s="37"/>
      <c r="U284" s="37"/>
      <c r="V284" s="37"/>
      <c r="W284" s="37"/>
      <c r="X284" s="37"/>
      <c r="Y284" s="37"/>
      <c r="Z284" s="37"/>
      <c r="AA284" s="37"/>
      <c r="AB284" s="37"/>
      <c r="AC284" s="37"/>
      <c r="AD284" s="37"/>
      <c r="AE284" s="37"/>
      <c r="AF284" s="37"/>
      <c r="AG284" s="37"/>
      <c r="AH284" s="71"/>
      <c r="AI284" s="37"/>
      <c r="AJ284" s="37"/>
      <c r="AK284" s="37"/>
      <c r="AL284" s="37"/>
      <c r="AM284" s="37"/>
      <c r="AN284" s="36"/>
      <c r="AO284" s="36"/>
      <c r="AP284" s="36"/>
      <c r="AQ284" s="36"/>
      <c r="AR284" s="36"/>
      <c r="AS284" s="37"/>
      <c r="AT284" s="37"/>
      <c r="AU284" s="37"/>
      <c r="AV284" s="37"/>
      <c r="AW284" s="37"/>
      <c r="AX284" s="37"/>
      <c r="AY284" s="37"/>
      <c r="AZ284" s="37"/>
      <c r="BA284" s="37"/>
      <c r="BB284" s="37"/>
      <c r="BC284" s="37"/>
      <c r="BD284" s="37"/>
      <c r="BE284" s="37"/>
      <c r="BF284" s="37"/>
      <c r="BG284" s="37"/>
      <c r="BH284" s="37"/>
      <c r="BI284" s="37"/>
      <c r="BJ284" s="37"/>
      <c r="BK284" s="37"/>
      <c r="BL284" s="37"/>
      <c r="BM284" s="37"/>
      <c r="BN284" s="37"/>
      <c r="BO284" s="37"/>
      <c r="BP284" s="37"/>
      <c r="BQ284" s="37"/>
      <c r="BR284" s="37"/>
      <c r="BS284" s="37"/>
    </row>
    <row r="285" spans="1:71" ht="15" x14ac:dyDescent="0.25">
      <c r="A285" s="37"/>
      <c r="B285" s="37"/>
      <c r="C285" s="37"/>
      <c r="D285" s="37"/>
      <c r="E285" s="37"/>
      <c r="F285" s="36" t="s">
        <v>235</v>
      </c>
      <c r="G285" s="36"/>
      <c r="H285" s="36"/>
      <c r="I285" s="36"/>
      <c r="J285" s="36"/>
      <c r="K285" s="36"/>
      <c r="L285" s="36"/>
      <c r="M285" s="36"/>
      <c r="N285" s="36"/>
      <c r="O285" s="36"/>
      <c r="P285" s="36"/>
      <c r="Q285" s="36"/>
      <c r="R285" s="36"/>
      <c r="S285" s="36"/>
      <c r="T285" s="36"/>
      <c r="U285" s="36"/>
      <c r="V285" s="36"/>
      <c r="W285" s="36"/>
      <c r="X285" s="36"/>
      <c r="Y285" s="36"/>
      <c r="Z285" s="36"/>
      <c r="AA285" s="36"/>
      <c r="AB285" s="36"/>
      <c r="AC285" s="36"/>
      <c r="AD285" s="36"/>
      <c r="AE285" s="36"/>
      <c r="AF285" s="36"/>
      <c r="AG285" s="36"/>
      <c r="AH285" s="36" t="s">
        <v>441</v>
      </c>
      <c r="AI285" s="36"/>
      <c r="AJ285" s="36"/>
      <c r="AK285" s="36"/>
      <c r="AL285" s="36"/>
      <c r="AM285" s="36"/>
      <c r="AN285" s="37"/>
      <c r="AO285" s="37"/>
      <c r="AP285" s="37"/>
      <c r="AQ285" s="37"/>
      <c r="AR285" s="37"/>
      <c r="AS285" s="37"/>
      <c r="AT285" s="37"/>
      <c r="AU285" s="37"/>
      <c r="AV285" s="37"/>
      <c r="AW285" s="37"/>
      <c r="AX285" s="37"/>
      <c r="AY285" s="37"/>
      <c r="AZ285" s="37"/>
      <c r="BA285" s="37"/>
      <c r="BB285" s="37"/>
      <c r="BC285" s="37"/>
      <c r="BD285" s="37"/>
      <c r="BE285" s="37"/>
      <c r="BF285" s="37"/>
      <c r="BG285" s="37"/>
      <c r="BH285" s="37"/>
      <c r="BI285" s="37"/>
      <c r="BJ285" s="37"/>
      <c r="BK285" s="37"/>
      <c r="BL285" s="37"/>
      <c r="BM285" s="37"/>
      <c r="BN285" s="37"/>
      <c r="BO285" s="37"/>
      <c r="BP285" s="37"/>
      <c r="BQ285" s="37"/>
      <c r="BR285" s="37"/>
      <c r="BS285" s="37"/>
    </row>
    <row r="286" spans="1:71" ht="15" x14ac:dyDescent="0.25">
      <c r="A286" s="37"/>
      <c r="B286" s="37"/>
      <c r="C286" s="37"/>
      <c r="D286" s="37"/>
      <c r="E286" s="37"/>
      <c r="F286" s="36" t="s">
        <v>442</v>
      </c>
      <c r="G286" s="36"/>
      <c r="H286" s="36"/>
      <c r="I286" s="36"/>
      <c r="J286" s="36"/>
      <c r="K286" s="36"/>
      <c r="L286" s="36"/>
      <c r="M286" s="36"/>
      <c r="N286" s="36"/>
      <c r="O286" s="36"/>
      <c r="P286" s="36"/>
      <c r="Q286" s="36"/>
      <c r="R286" s="36"/>
      <c r="S286" s="36"/>
      <c r="T286" s="36"/>
      <c r="U286" s="36"/>
      <c r="V286" s="36"/>
      <c r="W286" s="36"/>
      <c r="X286" s="36"/>
      <c r="Y286" s="36"/>
      <c r="Z286" s="36"/>
      <c r="AA286" s="36"/>
      <c r="AB286" s="36"/>
      <c r="AC286" s="36"/>
      <c r="AD286" s="36"/>
      <c r="AE286" s="36"/>
      <c r="AF286" s="36"/>
      <c r="AG286" s="36"/>
      <c r="AH286" s="36" t="s">
        <v>443</v>
      </c>
      <c r="AI286" s="36"/>
      <c r="AJ286" s="36"/>
      <c r="AK286" s="36"/>
      <c r="AL286" s="36"/>
      <c r="AM286" s="36"/>
      <c r="AN286" s="37"/>
      <c r="AO286" s="37"/>
      <c r="AP286" s="37"/>
      <c r="AQ286" s="37"/>
      <c r="AR286" s="37"/>
      <c r="AS286" s="37"/>
      <c r="AT286" s="37"/>
      <c r="AU286" s="37"/>
      <c r="AV286" s="37"/>
      <c r="AW286" s="37"/>
      <c r="AX286" s="37"/>
      <c r="AY286" s="37"/>
      <c r="AZ286" s="37"/>
      <c r="BA286" s="37"/>
      <c r="BB286" s="37"/>
      <c r="BC286" s="37"/>
      <c r="BD286" s="37"/>
      <c r="BE286" s="37"/>
      <c r="BF286" s="37"/>
      <c r="BG286" s="37"/>
      <c r="BH286" s="37"/>
      <c r="BI286" s="37"/>
      <c r="BJ286" s="37"/>
      <c r="BK286" s="37"/>
      <c r="BL286" s="37"/>
      <c r="BM286" s="37"/>
      <c r="BN286" s="37"/>
      <c r="BO286" s="37"/>
      <c r="BP286" s="37"/>
      <c r="BQ286" s="37"/>
      <c r="BR286" s="37"/>
      <c r="BS286" s="37"/>
    </row>
    <row r="287" spans="1:71" ht="15" x14ac:dyDescent="0.25">
      <c r="A287" s="37"/>
      <c r="B287" s="37"/>
      <c r="C287" s="37"/>
      <c r="D287" s="37"/>
      <c r="E287" s="37"/>
      <c r="F287" s="37"/>
      <c r="G287" s="37"/>
      <c r="H287" s="37"/>
      <c r="I287" s="37"/>
      <c r="J287" s="37"/>
      <c r="K287" s="37"/>
      <c r="L287" s="37"/>
      <c r="M287" s="37"/>
      <c r="N287" s="37"/>
      <c r="O287" s="37"/>
      <c r="P287" s="37"/>
      <c r="Q287" s="37"/>
      <c r="R287" s="37"/>
      <c r="S287" s="37"/>
      <c r="T287" s="37"/>
      <c r="U287" s="37"/>
      <c r="V287" s="37"/>
      <c r="W287" s="37"/>
      <c r="X287" s="37"/>
      <c r="Y287" s="37"/>
      <c r="Z287" s="37"/>
      <c r="AA287" s="37"/>
      <c r="AB287" s="37"/>
      <c r="AC287" s="37"/>
      <c r="AD287" s="37"/>
      <c r="AE287" s="37"/>
      <c r="AF287" s="37"/>
      <c r="AG287" s="37"/>
      <c r="AH287" s="37"/>
      <c r="AI287" s="37"/>
      <c r="AJ287" s="37"/>
      <c r="AK287" s="37"/>
      <c r="AL287" s="37"/>
      <c r="AM287" s="37"/>
      <c r="AN287" s="37"/>
      <c r="AO287" s="37"/>
      <c r="AP287" s="37"/>
      <c r="AQ287" s="37"/>
      <c r="AR287" s="37"/>
      <c r="AS287" s="37"/>
      <c r="AT287" s="37"/>
      <c r="AU287" s="37"/>
      <c r="AV287" s="37"/>
      <c r="AW287" s="37"/>
      <c r="AX287" s="37"/>
      <c r="AY287" s="37"/>
      <c r="AZ287" s="37"/>
      <c r="BA287" s="37"/>
      <c r="BB287" s="37"/>
      <c r="BC287" s="37"/>
      <c r="BD287" s="37"/>
      <c r="BE287" s="37"/>
      <c r="BF287" s="37"/>
      <c r="BG287" s="37"/>
      <c r="BH287" s="37"/>
      <c r="BI287" s="37"/>
      <c r="BJ287" s="37"/>
      <c r="BK287" s="37"/>
      <c r="BL287" s="37"/>
      <c r="BM287" s="37"/>
      <c r="BN287" s="37"/>
      <c r="BO287" s="37"/>
      <c r="BP287" s="37"/>
      <c r="BQ287" s="37"/>
      <c r="BR287" s="37"/>
      <c r="BS287" s="37"/>
    </row>
    <row r="288" spans="1:71" ht="15" x14ac:dyDescent="0.25">
      <c r="A288" s="37"/>
      <c r="B288" s="37"/>
      <c r="C288" s="37"/>
      <c r="D288" s="37"/>
      <c r="E288" s="37"/>
      <c r="F288" s="36" t="s">
        <v>236</v>
      </c>
      <c r="G288" s="36"/>
      <c r="H288" s="36"/>
      <c r="I288" s="36"/>
      <c r="J288" s="36"/>
      <c r="K288" s="36"/>
      <c r="L288" s="36"/>
      <c r="M288" s="36"/>
      <c r="N288" s="36"/>
      <c r="O288" s="36"/>
      <c r="P288" s="36"/>
      <c r="Q288" s="36"/>
      <c r="R288" s="36"/>
      <c r="S288" s="36"/>
      <c r="T288" s="36"/>
      <c r="U288" s="36"/>
      <c r="V288" s="36"/>
      <c r="W288" s="36"/>
      <c r="X288" s="36"/>
      <c r="Y288" s="36"/>
      <c r="Z288" s="36"/>
      <c r="AA288" s="36"/>
      <c r="AB288" s="36"/>
      <c r="AC288" s="36"/>
      <c r="AD288" s="36"/>
      <c r="AE288" s="36"/>
      <c r="AF288" s="36"/>
      <c r="AG288" s="36"/>
      <c r="AH288" s="36"/>
      <c r="AI288" s="36"/>
      <c r="AJ288" s="36"/>
      <c r="AK288" s="36"/>
      <c r="AL288" s="36"/>
      <c r="AM288" s="37"/>
      <c r="AN288" s="37"/>
      <c r="AO288" s="37"/>
      <c r="AP288" s="37"/>
      <c r="AQ288" s="37"/>
      <c r="AR288" s="37"/>
      <c r="AS288" s="37"/>
      <c r="AT288" s="37"/>
      <c r="AU288" s="36"/>
      <c r="AV288" s="37"/>
      <c r="AW288" s="37"/>
      <c r="AX288" s="37"/>
      <c r="AY288" s="37"/>
      <c r="AZ288" s="37"/>
      <c r="BA288" s="37"/>
      <c r="BB288" s="37"/>
      <c r="BC288" s="37"/>
      <c r="BD288" s="37"/>
      <c r="BE288" s="37"/>
      <c r="BF288" s="37"/>
      <c r="BG288" s="37"/>
      <c r="BH288" s="37"/>
      <c r="BI288" s="37"/>
      <c r="BJ288" s="37"/>
      <c r="BK288" s="37"/>
      <c r="BL288" s="37"/>
      <c r="BM288" s="37"/>
      <c r="BN288" s="37"/>
      <c r="BO288" s="37"/>
      <c r="BP288" s="37"/>
      <c r="BQ288" s="37"/>
      <c r="BR288" s="37"/>
      <c r="BS288" s="37"/>
    </row>
    <row r="289" spans="1:71" ht="15" x14ac:dyDescent="0.25">
      <c r="A289" s="37"/>
      <c r="B289" s="37"/>
      <c r="C289" s="37"/>
      <c r="D289" s="37"/>
      <c r="E289" s="37"/>
      <c r="F289" s="36" t="s">
        <v>444</v>
      </c>
      <c r="G289" s="36"/>
      <c r="H289" s="36"/>
      <c r="I289" s="36"/>
      <c r="J289" s="36"/>
      <c r="K289" s="36"/>
      <c r="L289" s="36"/>
      <c r="M289" s="36"/>
      <c r="N289" s="36"/>
      <c r="O289" s="36"/>
      <c r="P289" s="36"/>
      <c r="Q289" s="36"/>
      <c r="R289" s="36"/>
      <c r="S289" s="36"/>
      <c r="T289" s="36"/>
      <c r="U289" s="36"/>
      <c r="V289" s="36"/>
      <c r="W289" s="36"/>
      <c r="X289" s="36"/>
      <c r="Y289" s="36"/>
      <c r="Z289" s="36"/>
      <c r="AA289" s="36"/>
      <c r="AB289" s="36"/>
      <c r="AC289" s="36"/>
      <c r="AD289" s="36"/>
      <c r="AE289" s="36"/>
      <c r="AF289" s="36"/>
      <c r="AG289" s="36"/>
      <c r="AH289" s="36"/>
      <c r="AI289" s="36"/>
      <c r="AJ289" s="36"/>
      <c r="AK289" s="36"/>
      <c r="AL289" s="36"/>
      <c r="AM289" s="37"/>
      <c r="AN289" s="37"/>
      <c r="AO289" s="37"/>
      <c r="AP289" s="37"/>
      <c r="AQ289" s="37"/>
      <c r="AR289" s="37"/>
      <c r="AS289" s="36"/>
      <c r="AT289" s="36"/>
      <c r="AU289" s="36"/>
      <c r="AV289" s="37"/>
      <c r="AW289" s="37"/>
      <c r="AX289" s="37"/>
      <c r="AY289" s="37"/>
      <c r="AZ289" s="37"/>
      <c r="BA289" s="37"/>
      <c r="BB289" s="37"/>
      <c r="BC289" s="37"/>
      <c r="BD289" s="37"/>
      <c r="BE289" s="37"/>
      <c r="BF289" s="37"/>
      <c r="BG289" s="37"/>
      <c r="BH289" s="37"/>
      <c r="BI289" s="37"/>
      <c r="BJ289" s="37"/>
      <c r="BK289" s="37"/>
      <c r="BL289" s="37"/>
      <c r="BM289" s="37"/>
      <c r="BN289" s="37"/>
      <c r="BO289" s="37"/>
      <c r="BP289" s="37"/>
      <c r="BQ289" s="37"/>
      <c r="BR289" s="37"/>
      <c r="BS289" s="37"/>
    </row>
    <row r="290" spans="1:71" ht="15" x14ac:dyDescent="0.25">
      <c r="A290" s="37"/>
      <c r="B290" s="37"/>
      <c r="C290" s="37"/>
      <c r="D290" s="37"/>
      <c r="E290" s="37"/>
      <c r="F290" s="37"/>
      <c r="G290" s="37"/>
      <c r="H290" s="37"/>
      <c r="I290" s="37"/>
      <c r="J290" s="37"/>
      <c r="K290" s="37"/>
      <c r="L290" s="37"/>
      <c r="M290" s="37"/>
      <c r="N290" s="37"/>
      <c r="O290" s="37"/>
      <c r="P290" s="37"/>
      <c r="Q290" s="37"/>
      <c r="R290" s="37"/>
      <c r="S290" s="37"/>
      <c r="T290" s="37"/>
      <c r="U290" s="37"/>
      <c r="V290" s="37"/>
      <c r="W290" s="37"/>
      <c r="X290" s="37"/>
      <c r="Y290" s="37"/>
      <c r="Z290" s="37"/>
      <c r="AA290" s="37"/>
      <c r="AB290" s="37"/>
      <c r="AC290" s="37"/>
      <c r="AD290" s="37"/>
      <c r="AE290" s="37"/>
      <c r="AF290" s="37"/>
      <c r="AG290" s="37"/>
      <c r="AH290" s="37"/>
      <c r="AI290" s="37"/>
      <c r="AJ290" s="37"/>
      <c r="AK290" s="37"/>
      <c r="AL290" s="37"/>
      <c r="AM290" s="37"/>
      <c r="AN290" s="37"/>
      <c r="AO290" s="37"/>
      <c r="AP290" s="37"/>
      <c r="AQ290" s="37"/>
      <c r="AR290" s="37"/>
      <c r="AS290" s="36"/>
      <c r="AT290" s="36"/>
      <c r="AU290" s="36"/>
      <c r="AV290" s="37"/>
      <c r="AW290" s="37"/>
      <c r="AX290" s="37"/>
      <c r="AY290" s="37"/>
      <c r="AZ290" s="37"/>
      <c r="BA290" s="37"/>
      <c r="BB290" s="37"/>
      <c r="BC290" s="37"/>
      <c r="BD290" s="37"/>
      <c r="BE290" s="37"/>
      <c r="BF290" s="37"/>
      <c r="BG290" s="37"/>
      <c r="BH290" s="37"/>
      <c r="BI290" s="37"/>
      <c r="BJ290" s="37"/>
      <c r="BK290" s="37"/>
      <c r="BL290" s="37"/>
      <c r="BM290" s="37"/>
      <c r="BN290" s="37"/>
      <c r="BO290" s="37"/>
      <c r="BP290" s="37"/>
      <c r="BQ290" s="37"/>
      <c r="BR290" s="37"/>
      <c r="BS290" s="37"/>
    </row>
    <row r="291" spans="1:71" ht="15" x14ac:dyDescent="0.25">
      <c r="A291" s="37"/>
      <c r="B291" s="37"/>
      <c r="C291" s="37"/>
      <c r="D291" s="37"/>
      <c r="E291" s="37"/>
      <c r="F291" s="36" t="s">
        <v>237</v>
      </c>
      <c r="G291" s="36"/>
      <c r="H291" s="36"/>
      <c r="I291" s="36"/>
      <c r="J291" s="36"/>
      <c r="K291" s="36"/>
      <c r="L291" s="36"/>
      <c r="M291" s="36"/>
      <c r="N291" s="36"/>
      <c r="O291" s="36"/>
      <c r="P291" s="36"/>
      <c r="Q291" s="36"/>
      <c r="R291" s="36"/>
      <c r="S291" s="36"/>
      <c r="T291" s="36"/>
      <c r="U291" s="36"/>
      <c r="V291" s="36"/>
      <c r="W291" s="36"/>
      <c r="X291" s="36"/>
      <c r="Y291" s="36"/>
      <c r="Z291" s="36"/>
      <c r="AA291" s="36"/>
      <c r="AB291" s="36"/>
      <c r="AC291" s="36"/>
      <c r="AD291" s="36"/>
      <c r="AE291" s="36"/>
      <c r="AF291" s="36"/>
      <c r="AG291" s="36"/>
      <c r="AH291" s="36" t="s">
        <v>445</v>
      </c>
      <c r="AI291" s="36"/>
      <c r="AJ291" s="36"/>
      <c r="AK291" s="37"/>
      <c r="AL291" s="37"/>
      <c r="AM291" s="37"/>
      <c r="AN291" s="36"/>
      <c r="AO291" s="36"/>
      <c r="AP291" s="36"/>
      <c r="AQ291" s="36"/>
      <c r="AR291" s="36"/>
      <c r="AS291" s="36"/>
      <c r="AT291" s="36"/>
      <c r="AU291" s="36"/>
      <c r="AV291" s="36"/>
      <c r="AW291" s="37"/>
      <c r="AX291" s="37"/>
      <c r="AY291" s="37"/>
      <c r="AZ291" s="37"/>
      <c r="BA291" s="37"/>
      <c r="BB291" s="37"/>
      <c r="BC291" s="37"/>
      <c r="BD291" s="37"/>
      <c r="BE291" s="37"/>
      <c r="BF291" s="37"/>
      <c r="BG291" s="37"/>
      <c r="BH291" s="37"/>
      <c r="BI291" s="37"/>
      <c r="BJ291" s="37"/>
      <c r="BK291" s="37"/>
      <c r="BL291" s="37"/>
      <c r="BM291" s="37"/>
      <c r="BN291" s="37"/>
      <c r="BO291" s="37"/>
      <c r="BP291" s="37"/>
      <c r="BQ291" s="37"/>
      <c r="BR291" s="37"/>
      <c r="BS291" s="37"/>
    </row>
    <row r="292" spans="1:71" ht="15" x14ac:dyDescent="0.25">
      <c r="A292" s="37"/>
      <c r="B292" s="37"/>
      <c r="C292" s="37"/>
      <c r="D292" s="37"/>
      <c r="E292" s="37"/>
      <c r="F292" s="37"/>
      <c r="G292" s="37"/>
      <c r="H292" s="37"/>
      <c r="I292" s="37"/>
      <c r="J292" s="37"/>
      <c r="K292" s="37"/>
      <c r="L292" s="37"/>
      <c r="M292" s="37"/>
      <c r="N292" s="37"/>
      <c r="O292" s="37"/>
      <c r="P292" s="37"/>
      <c r="Q292" s="37"/>
      <c r="R292" s="37"/>
      <c r="S292" s="37"/>
      <c r="T292" s="37"/>
      <c r="U292" s="37"/>
      <c r="V292" s="37"/>
      <c r="W292" s="37"/>
      <c r="X292" s="37"/>
      <c r="Y292" s="37"/>
      <c r="Z292" s="37"/>
      <c r="AA292" s="37"/>
      <c r="AB292" s="37"/>
      <c r="AC292" s="37"/>
      <c r="AD292" s="37"/>
      <c r="AE292" s="37"/>
      <c r="AF292" s="37"/>
      <c r="AG292" s="37"/>
      <c r="AH292" s="37"/>
      <c r="AI292" s="37"/>
      <c r="AJ292" s="37"/>
      <c r="AK292" s="37"/>
      <c r="AL292" s="37"/>
      <c r="AM292" s="37"/>
      <c r="AN292" s="36"/>
      <c r="AO292" s="36"/>
      <c r="AP292" s="36"/>
      <c r="AQ292" s="36"/>
      <c r="AR292" s="36"/>
      <c r="AS292" s="36"/>
      <c r="AT292" s="36"/>
      <c r="AU292" s="37"/>
      <c r="AV292" s="37"/>
      <c r="AW292" s="37"/>
      <c r="AX292" s="37"/>
      <c r="AY292" s="37"/>
      <c r="AZ292" s="37"/>
      <c r="BA292" s="37"/>
      <c r="BB292" s="37"/>
      <c r="BC292" s="37"/>
      <c r="BD292" s="37"/>
      <c r="BE292" s="37"/>
      <c r="BF292" s="37"/>
      <c r="BG292" s="37"/>
      <c r="BH292" s="37"/>
      <c r="BI292" s="37"/>
      <c r="BJ292" s="37"/>
      <c r="BK292" s="37"/>
      <c r="BL292" s="37"/>
      <c r="BM292" s="37"/>
      <c r="BN292" s="37"/>
      <c r="BO292" s="37"/>
      <c r="BP292" s="37"/>
      <c r="BQ292" s="37"/>
      <c r="BR292" s="37"/>
      <c r="BS292" s="37"/>
    </row>
    <row r="293" spans="1:71" ht="15" x14ac:dyDescent="0.25">
      <c r="A293" s="37"/>
      <c r="B293" s="37"/>
      <c r="C293" s="37"/>
      <c r="D293" s="37"/>
      <c r="E293" s="37"/>
      <c r="F293" s="37"/>
      <c r="G293" s="37"/>
      <c r="H293" s="37"/>
      <c r="I293" s="37"/>
      <c r="J293" s="37"/>
      <c r="K293" s="37"/>
      <c r="L293" s="37"/>
      <c r="M293" s="37"/>
      <c r="N293" s="37"/>
      <c r="O293" s="37"/>
      <c r="P293" s="37"/>
      <c r="Q293" s="37"/>
      <c r="R293" s="37"/>
      <c r="S293" s="37"/>
      <c r="T293" s="37"/>
      <c r="U293" s="37"/>
      <c r="V293" s="37"/>
      <c r="W293" s="37"/>
      <c r="X293" s="37"/>
      <c r="Y293" s="37"/>
      <c r="Z293" s="37"/>
      <c r="AA293" s="37"/>
      <c r="AB293" s="37"/>
      <c r="AC293" s="37"/>
      <c r="AD293" s="37"/>
      <c r="AE293" s="37"/>
      <c r="AF293" s="37"/>
      <c r="AG293" s="37"/>
      <c r="AH293" s="37"/>
      <c r="AI293" s="37"/>
      <c r="AJ293" s="37"/>
      <c r="AK293" s="37"/>
      <c r="AL293" s="37"/>
      <c r="AM293" s="37"/>
      <c r="AN293" s="37"/>
      <c r="AO293" s="37"/>
      <c r="AP293" s="37"/>
      <c r="AQ293" s="37"/>
      <c r="AR293" s="37"/>
      <c r="AS293" s="37"/>
      <c r="AT293" s="37"/>
      <c r="AU293" s="37"/>
      <c r="AV293" s="37"/>
      <c r="AW293" s="37"/>
      <c r="AX293" s="37"/>
      <c r="AY293" s="37"/>
      <c r="AZ293" s="37"/>
      <c r="BA293" s="37"/>
      <c r="BB293" s="37"/>
      <c r="BC293" s="37"/>
      <c r="BD293" s="37"/>
      <c r="BE293" s="37"/>
      <c r="BF293" s="37"/>
      <c r="BG293" s="37"/>
      <c r="BH293" s="37"/>
      <c r="BI293" s="37"/>
      <c r="BJ293" s="37"/>
      <c r="BK293" s="37"/>
      <c r="BL293" s="37"/>
      <c r="BM293" s="37"/>
      <c r="BN293" s="37"/>
      <c r="BO293" s="37"/>
      <c r="BP293" s="37"/>
      <c r="BQ293" s="37"/>
      <c r="BR293" s="37"/>
      <c r="BS293" s="37"/>
    </row>
    <row r="294" spans="1:71" s="187" customFormat="1" ht="15" customHeight="1" x14ac:dyDescent="0.25">
      <c r="A294" s="71"/>
      <c r="B294" s="71"/>
      <c r="C294" s="71"/>
      <c r="D294" s="71"/>
      <c r="E294" s="71"/>
      <c r="F294" s="37" t="s">
        <v>238</v>
      </c>
      <c r="G294" s="37"/>
      <c r="H294" s="37"/>
      <c r="I294" s="37"/>
      <c r="J294" s="37"/>
      <c r="K294" s="37"/>
      <c r="L294" s="37"/>
      <c r="M294" s="37"/>
      <c r="N294" s="37"/>
      <c r="O294" s="37"/>
      <c r="P294" s="37"/>
      <c r="Q294" s="37"/>
      <c r="R294" s="37"/>
      <c r="S294" s="37"/>
      <c r="T294" s="37"/>
      <c r="U294" s="37"/>
      <c r="V294" s="37"/>
      <c r="W294" s="37"/>
      <c r="X294" s="37"/>
      <c r="Y294" s="37"/>
      <c r="Z294" s="37"/>
      <c r="AA294" s="37"/>
      <c r="AB294" s="37"/>
      <c r="AC294" s="37"/>
      <c r="AD294" s="37"/>
      <c r="AE294" s="37"/>
      <c r="AF294" s="37"/>
      <c r="AG294" s="37"/>
      <c r="AH294" s="36"/>
      <c r="AI294" s="71"/>
      <c r="AJ294" s="71"/>
      <c r="AK294" s="71"/>
      <c r="AL294" s="71"/>
      <c r="AM294" s="71"/>
      <c r="AN294" s="71"/>
      <c r="AO294" s="71"/>
      <c r="AP294" s="71"/>
      <c r="AQ294" s="37"/>
      <c r="AR294" s="37"/>
      <c r="AS294" s="37"/>
      <c r="AT294" s="37"/>
      <c r="AU294" s="71"/>
      <c r="AV294" s="71"/>
      <c r="AW294" s="71"/>
      <c r="AX294" s="71"/>
      <c r="AY294" s="71"/>
      <c r="AZ294" s="71"/>
      <c r="BA294" s="71"/>
      <c r="BB294" s="71"/>
      <c r="BC294" s="71"/>
      <c r="BD294" s="71"/>
      <c r="BE294" s="71"/>
      <c r="BF294" s="71"/>
      <c r="BG294" s="71"/>
      <c r="BH294" s="71"/>
      <c r="BI294" s="71"/>
      <c r="BJ294" s="71"/>
      <c r="BK294" s="71"/>
      <c r="BL294" s="71"/>
      <c r="BM294" s="71"/>
      <c r="BN294" s="71"/>
      <c r="BO294" s="71"/>
      <c r="BP294" s="71"/>
      <c r="BQ294" s="71"/>
      <c r="BR294" s="71"/>
      <c r="BS294" s="71"/>
    </row>
    <row r="295" spans="1:71" s="187" customFormat="1" ht="15" customHeight="1" x14ac:dyDescent="0.25">
      <c r="A295" s="71"/>
      <c r="B295" s="71"/>
      <c r="C295" s="71"/>
      <c r="D295" s="71"/>
      <c r="E295" s="71"/>
      <c r="F295" s="37" t="s">
        <v>447</v>
      </c>
      <c r="G295" s="37"/>
      <c r="H295" s="37"/>
      <c r="I295" s="37"/>
      <c r="J295" s="37"/>
      <c r="K295" s="37"/>
      <c r="L295" s="37"/>
      <c r="M295" s="37"/>
      <c r="N295" s="37"/>
      <c r="O295" s="37"/>
      <c r="P295" s="37"/>
      <c r="Q295" s="37"/>
      <c r="R295" s="37"/>
      <c r="S295" s="37"/>
      <c r="T295" s="37"/>
      <c r="U295" s="37"/>
      <c r="V295" s="37"/>
      <c r="W295" s="37"/>
      <c r="X295" s="37"/>
      <c r="Y295" s="37"/>
      <c r="Z295" s="37"/>
      <c r="AA295" s="37"/>
      <c r="AB295" s="37"/>
      <c r="AC295" s="37"/>
      <c r="AD295" s="37"/>
      <c r="AE295" s="37"/>
      <c r="AF295" s="37"/>
      <c r="AG295" s="37"/>
      <c r="AH295" s="37"/>
      <c r="AI295" s="36"/>
      <c r="AJ295" s="36"/>
      <c r="AK295" s="36"/>
      <c r="AL295" s="36"/>
      <c r="AM295" s="36"/>
      <c r="AN295" s="71"/>
      <c r="AO295" s="71"/>
      <c r="AP295" s="71"/>
      <c r="AQ295" s="71"/>
      <c r="AR295" s="71"/>
      <c r="AS295" s="71"/>
      <c r="AT295" s="71"/>
      <c r="AU295" s="71"/>
      <c r="AV295" s="71"/>
      <c r="AW295" s="71"/>
      <c r="AX295" s="71"/>
      <c r="AY295" s="71"/>
      <c r="AZ295" s="71"/>
      <c r="BA295" s="71"/>
      <c r="BB295" s="71"/>
      <c r="BC295" s="71"/>
      <c r="BD295" s="71"/>
      <c r="BE295" s="71"/>
      <c r="BF295" s="71"/>
      <c r="BG295" s="71"/>
      <c r="BH295" s="71"/>
      <c r="BI295" s="71"/>
      <c r="BJ295" s="71"/>
      <c r="BK295" s="71"/>
      <c r="BL295" s="71"/>
      <c r="BM295" s="71"/>
      <c r="BN295" s="71"/>
      <c r="BO295" s="71"/>
      <c r="BP295" s="71"/>
      <c r="BQ295" s="71"/>
      <c r="BR295" s="71"/>
      <c r="BS295" s="71"/>
    </row>
    <row r="296" spans="1:71" s="187" customFormat="1" ht="15" customHeight="1" x14ac:dyDescent="0.25">
      <c r="A296" s="71"/>
      <c r="B296" s="71"/>
      <c r="C296" s="71"/>
      <c r="D296" s="71"/>
      <c r="E296" s="71"/>
      <c r="F296" s="37"/>
      <c r="G296" s="37"/>
      <c r="H296" s="37"/>
      <c r="I296" s="37"/>
      <c r="J296" s="37"/>
      <c r="K296" s="37"/>
      <c r="L296" s="37"/>
      <c r="M296" s="37"/>
      <c r="N296" s="37"/>
      <c r="O296" s="37"/>
      <c r="P296" s="37"/>
      <c r="Q296" s="37"/>
      <c r="R296" s="37"/>
      <c r="S296" s="37"/>
      <c r="T296" s="37"/>
      <c r="U296" s="37"/>
      <c r="V296" s="37"/>
      <c r="W296" s="37"/>
      <c r="X296" s="37"/>
      <c r="Y296" s="37"/>
      <c r="Z296" s="37"/>
      <c r="AA296" s="37"/>
      <c r="AB296" s="37"/>
      <c r="AC296" s="37"/>
      <c r="AD296" s="37"/>
      <c r="AE296" s="37"/>
      <c r="AF296" s="37"/>
      <c r="AG296" s="37"/>
      <c r="AH296" s="37"/>
      <c r="AI296" s="37"/>
      <c r="AJ296" s="37"/>
      <c r="AK296" s="37"/>
      <c r="AL296" s="37"/>
      <c r="AM296" s="37"/>
      <c r="AN296" s="71"/>
      <c r="AO296" s="71"/>
      <c r="AP296" s="71"/>
      <c r="AQ296" s="71"/>
      <c r="AR296" s="71"/>
      <c r="AS296" s="71"/>
      <c r="AT296" s="71"/>
      <c r="AU296" s="71"/>
      <c r="AV296" s="71"/>
      <c r="AW296" s="71"/>
      <c r="AX296" s="71"/>
      <c r="AY296" s="71"/>
      <c r="AZ296" s="71"/>
      <c r="BA296" s="71"/>
      <c r="BB296" s="71"/>
      <c r="BC296" s="71"/>
      <c r="BD296" s="71"/>
      <c r="BE296" s="71"/>
      <c r="BF296" s="71"/>
      <c r="BG296" s="71"/>
      <c r="BH296" s="71"/>
      <c r="BI296" s="71"/>
      <c r="BJ296" s="71"/>
      <c r="BK296" s="71"/>
      <c r="BL296" s="71"/>
      <c r="BM296" s="71"/>
      <c r="BN296" s="71"/>
      <c r="BO296" s="71"/>
      <c r="BP296" s="71"/>
      <c r="BQ296" s="71"/>
      <c r="BR296" s="71"/>
      <c r="BS296" s="71"/>
    </row>
    <row r="297" spans="1:71" ht="15" x14ac:dyDescent="0.25">
      <c r="A297" s="37"/>
      <c r="B297" s="37"/>
      <c r="C297" s="37"/>
      <c r="D297" s="37"/>
      <c r="E297" s="37"/>
      <c r="F297" s="37" t="s">
        <v>239</v>
      </c>
      <c r="G297" s="37"/>
      <c r="H297" s="37"/>
      <c r="I297" s="37"/>
      <c r="J297" s="37"/>
      <c r="K297" s="37"/>
      <c r="L297" s="37"/>
      <c r="M297" s="37"/>
      <c r="N297" s="37"/>
      <c r="O297" s="37"/>
      <c r="P297" s="37"/>
      <c r="Q297" s="37"/>
      <c r="R297" s="37"/>
      <c r="S297" s="37"/>
      <c r="T297" s="37"/>
      <c r="U297" s="37"/>
      <c r="V297" s="37"/>
      <c r="W297" s="37"/>
      <c r="X297" s="37"/>
      <c r="Y297" s="37"/>
      <c r="Z297" s="37"/>
      <c r="AA297" s="37"/>
      <c r="AB297" s="37"/>
      <c r="AC297" s="37"/>
      <c r="AD297" s="37"/>
      <c r="AE297" s="37"/>
      <c r="AF297" s="37"/>
      <c r="AG297" s="37"/>
      <c r="AH297" s="197" t="s">
        <v>715</v>
      </c>
      <c r="AI297" s="37"/>
      <c r="AJ297" s="37"/>
      <c r="AK297" s="37"/>
      <c r="AL297" s="37"/>
      <c r="AM297" s="37"/>
      <c r="AN297" s="37"/>
      <c r="AO297" s="37"/>
      <c r="AP297" s="37"/>
      <c r="AQ297" s="37"/>
      <c r="AR297" s="37"/>
      <c r="AS297" s="37"/>
      <c r="AT297" s="37"/>
      <c r="AU297" s="37"/>
      <c r="AV297" s="37"/>
      <c r="AW297" s="37"/>
      <c r="AX297" s="37"/>
      <c r="AY297" s="37"/>
      <c r="AZ297" s="37"/>
      <c r="BA297" s="37"/>
      <c r="BB297" s="37"/>
      <c r="BC297" s="37"/>
      <c r="BD297" s="37"/>
      <c r="BE297" s="37"/>
      <c r="BF297" s="37"/>
      <c r="BG297" s="37"/>
      <c r="BH297" s="37"/>
      <c r="BI297" s="37"/>
      <c r="BJ297" s="37"/>
      <c r="BK297" s="37"/>
      <c r="BL297" s="37"/>
      <c r="BM297" s="37"/>
      <c r="BN297" s="37"/>
      <c r="BO297" s="37"/>
      <c r="BP297" s="37"/>
      <c r="BQ297" s="37"/>
      <c r="BR297" s="37"/>
      <c r="BS297" s="37"/>
    </row>
    <row r="298" spans="1:71" ht="15" x14ac:dyDescent="0.25">
      <c r="A298" s="37"/>
      <c r="B298" s="37"/>
      <c r="C298" s="37"/>
      <c r="D298" s="37"/>
      <c r="E298" s="37"/>
      <c r="F298" s="37"/>
      <c r="G298" s="37"/>
      <c r="H298" s="37"/>
      <c r="I298" s="37"/>
      <c r="J298" s="37"/>
      <c r="K298" s="37"/>
      <c r="L298" s="37"/>
      <c r="M298" s="37"/>
      <c r="N298" s="37"/>
      <c r="O298" s="37"/>
      <c r="P298" s="37"/>
      <c r="Q298" s="37"/>
      <c r="R298" s="37"/>
      <c r="S298" s="37"/>
      <c r="T298" s="37"/>
      <c r="U298" s="37"/>
      <c r="V298" s="37"/>
      <c r="W298" s="37"/>
      <c r="X298" s="37"/>
      <c r="Y298" s="37"/>
      <c r="Z298" s="37"/>
      <c r="AA298" s="37"/>
      <c r="AB298" s="37"/>
      <c r="AC298" s="37"/>
      <c r="AD298" s="37"/>
      <c r="AE298" s="37"/>
      <c r="AF298" s="37"/>
      <c r="AG298" s="37"/>
      <c r="AH298" s="37"/>
      <c r="AI298" s="37"/>
      <c r="AJ298" s="37"/>
      <c r="AK298" s="37"/>
      <c r="AL298" s="37"/>
      <c r="AM298" s="37"/>
      <c r="AN298" s="37"/>
      <c r="AO298" s="37"/>
      <c r="AP298" s="37"/>
      <c r="AQ298" s="37"/>
      <c r="AR298" s="37"/>
      <c r="AS298" s="37"/>
      <c r="AT298" s="37"/>
      <c r="AU298" s="37"/>
      <c r="AV298" s="37"/>
      <c r="AW298" s="37"/>
      <c r="AX298" s="37"/>
      <c r="AY298" s="37"/>
      <c r="AZ298" s="37"/>
      <c r="BA298" s="37"/>
      <c r="BB298" s="37"/>
      <c r="BC298" s="37"/>
      <c r="BD298" s="37"/>
      <c r="BE298" s="37"/>
      <c r="BF298" s="37"/>
      <c r="BG298" s="37"/>
      <c r="BH298" s="37"/>
      <c r="BI298" s="37"/>
      <c r="BJ298" s="37"/>
      <c r="BK298" s="37"/>
      <c r="BL298" s="37"/>
      <c r="BM298" s="37"/>
      <c r="BN298" s="37"/>
      <c r="BO298" s="37"/>
      <c r="BP298" s="37"/>
      <c r="BQ298" s="37"/>
      <c r="BR298" s="37"/>
      <c r="BS298" s="37"/>
    </row>
    <row r="299" spans="1:71" ht="15" x14ac:dyDescent="0.25">
      <c r="A299" s="37"/>
      <c r="B299" s="37"/>
      <c r="C299" s="37"/>
      <c r="D299" s="37"/>
      <c r="E299" s="37"/>
      <c r="F299" s="37"/>
      <c r="G299" s="37"/>
      <c r="H299" s="37"/>
      <c r="I299" s="37"/>
      <c r="J299" s="37"/>
      <c r="K299" s="37"/>
      <c r="L299" s="37"/>
      <c r="M299" s="37"/>
      <c r="N299" s="37"/>
      <c r="O299" s="37"/>
      <c r="P299" s="37"/>
      <c r="Q299" s="37"/>
      <c r="R299" s="37"/>
      <c r="S299" s="37"/>
      <c r="T299" s="37"/>
      <c r="U299" s="37"/>
      <c r="V299" s="37"/>
      <c r="W299" s="37"/>
      <c r="X299" s="37"/>
      <c r="Y299" s="37"/>
      <c r="Z299" s="37"/>
      <c r="AA299" s="37"/>
      <c r="AB299" s="37"/>
      <c r="AC299" s="37"/>
      <c r="AD299" s="37"/>
      <c r="AE299" s="37"/>
      <c r="AF299" s="37"/>
      <c r="AG299" s="37"/>
      <c r="AH299" s="37"/>
      <c r="AI299" s="37"/>
      <c r="AJ299" s="37"/>
      <c r="AK299" s="37"/>
      <c r="AL299" s="37"/>
      <c r="AM299" s="37"/>
      <c r="AN299" s="37"/>
      <c r="AO299" s="37"/>
      <c r="AP299" s="37"/>
      <c r="AQ299" s="37"/>
      <c r="AR299" s="37"/>
      <c r="AS299" s="37"/>
      <c r="AT299" s="37"/>
      <c r="AU299" s="36"/>
      <c r="AV299" s="36"/>
      <c r="AW299" s="36"/>
      <c r="AX299" s="36"/>
      <c r="AY299" s="36"/>
      <c r="AZ299" s="36"/>
      <c r="BA299" s="37"/>
      <c r="BB299" s="37"/>
      <c r="BC299" s="37"/>
      <c r="BD299" s="37"/>
      <c r="BE299" s="37"/>
      <c r="BF299" s="37"/>
      <c r="BG299" s="37"/>
      <c r="BH299" s="37"/>
      <c r="BI299" s="37"/>
      <c r="BJ299" s="37"/>
      <c r="BK299" s="37"/>
      <c r="BL299" s="37"/>
      <c r="BM299" s="37"/>
      <c r="BN299" s="37"/>
      <c r="BO299" s="37"/>
      <c r="BP299" s="37"/>
      <c r="BQ299" s="37"/>
      <c r="BR299" s="37"/>
      <c r="BS299" s="37"/>
    </row>
    <row r="300" spans="1:71" ht="15" x14ac:dyDescent="0.25">
      <c r="A300" s="37"/>
      <c r="B300" s="37"/>
      <c r="C300" s="37"/>
      <c r="D300" s="37"/>
      <c r="E300" s="37"/>
      <c r="F300" s="36" t="s">
        <v>240</v>
      </c>
      <c r="G300" s="36"/>
      <c r="H300" s="36"/>
      <c r="I300" s="36"/>
      <c r="J300" s="36"/>
      <c r="K300" s="36"/>
      <c r="L300" s="36"/>
      <c r="M300" s="36"/>
      <c r="N300" s="36"/>
      <c r="O300" s="36"/>
      <c r="P300" s="36"/>
      <c r="Q300" s="36"/>
      <c r="R300" s="36"/>
      <c r="S300" s="36"/>
      <c r="T300" s="36"/>
      <c r="U300" s="36"/>
      <c r="V300" s="36"/>
      <c r="W300" s="36"/>
      <c r="X300" s="36"/>
      <c r="Y300" s="36"/>
      <c r="Z300" s="36"/>
      <c r="AA300" s="36"/>
      <c r="AB300" s="36"/>
      <c r="AC300" s="36"/>
      <c r="AD300" s="36"/>
      <c r="AE300" s="36"/>
      <c r="AF300" s="36"/>
      <c r="AG300" s="36"/>
      <c r="AH300" s="36" t="s">
        <v>445</v>
      </c>
      <c r="AI300" s="36"/>
      <c r="AJ300" s="36"/>
      <c r="AK300" s="37"/>
      <c r="AL300" s="37"/>
      <c r="AM300" s="37"/>
      <c r="AN300" s="36"/>
      <c r="AO300" s="36"/>
      <c r="AP300" s="36"/>
      <c r="AQ300" s="36"/>
      <c r="AR300" s="36"/>
      <c r="AS300" s="36"/>
      <c r="AT300" s="36"/>
      <c r="AU300" s="36"/>
      <c r="AV300" s="36"/>
      <c r="AW300" s="37"/>
      <c r="AX300" s="37"/>
      <c r="AY300" s="37"/>
      <c r="AZ300" s="37"/>
      <c r="BA300" s="37"/>
      <c r="BB300" s="37"/>
      <c r="BC300" s="37"/>
      <c r="BD300" s="37"/>
      <c r="BE300" s="37"/>
      <c r="BF300" s="37"/>
      <c r="BG300" s="37"/>
      <c r="BH300" s="37"/>
      <c r="BI300" s="37"/>
      <c r="BJ300" s="37"/>
      <c r="BK300" s="37"/>
      <c r="BL300" s="37"/>
      <c r="BM300" s="37"/>
      <c r="BN300" s="37"/>
      <c r="BO300" s="37"/>
      <c r="BP300" s="37"/>
      <c r="BQ300" s="37"/>
      <c r="BR300" s="37"/>
      <c r="BS300" s="37"/>
    </row>
    <row r="301" spans="1:71" ht="15" x14ac:dyDescent="0.25">
      <c r="A301" s="37"/>
      <c r="B301" s="37"/>
      <c r="C301" s="37"/>
      <c r="D301" s="37"/>
      <c r="E301" s="37"/>
      <c r="F301" s="37"/>
      <c r="G301" s="37"/>
      <c r="H301" s="37"/>
      <c r="I301" s="37"/>
      <c r="J301" s="37"/>
      <c r="K301" s="37"/>
      <c r="L301" s="37"/>
      <c r="M301" s="37"/>
      <c r="N301" s="37"/>
      <c r="O301" s="37"/>
      <c r="P301" s="37"/>
      <c r="Q301" s="37"/>
      <c r="R301" s="37"/>
      <c r="S301" s="37"/>
      <c r="T301" s="37"/>
      <c r="U301" s="37"/>
      <c r="V301" s="37"/>
      <c r="W301" s="37"/>
      <c r="X301" s="37"/>
      <c r="Y301" s="37"/>
      <c r="Z301" s="37"/>
      <c r="AA301" s="37"/>
      <c r="AB301" s="37"/>
      <c r="AC301" s="37"/>
      <c r="AD301" s="37"/>
      <c r="AE301" s="37"/>
      <c r="AF301" s="37"/>
      <c r="AG301" s="37"/>
      <c r="AH301" s="37"/>
      <c r="AI301" s="37"/>
      <c r="AJ301" s="37"/>
      <c r="AK301" s="37"/>
      <c r="AL301" s="37"/>
      <c r="AM301" s="37"/>
      <c r="AN301" s="36"/>
      <c r="AO301" s="36"/>
      <c r="AP301" s="36"/>
      <c r="AQ301" s="36"/>
      <c r="AR301" s="36"/>
      <c r="AS301" s="36"/>
      <c r="AT301" s="36"/>
      <c r="AU301" s="37"/>
      <c r="AV301" s="37"/>
      <c r="AW301" s="37"/>
      <c r="AX301" s="37"/>
      <c r="AY301" s="37"/>
      <c r="AZ301" s="37"/>
      <c r="BA301" s="37"/>
      <c r="BB301" s="37"/>
      <c r="BC301" s="37"/>
      <c r="BD301" s="37"/>
      <c r="BE301" s="37"/>
      <c r="BF301" s="37"/>
      <c r="BG301" s="37"/>
      <c r="BH301" s="37"/>
      <c r="BI301" s="37"/>
      <c r="BJ301" s="37"/>
      <c r="BK301" s="37"/>
      <c r="BL301" s="37"/>
      <c r="BM301" s="37"/>
      <c r="BN301" s="37"/>
      <c r="BO301" s="37"/>
      <c r="BP301" s="37"/>
      <c r="BQ301" s="37"/>
      <c r="BR301" s="37"/>
      <c r="BS301" s="37"/>
    </row>
    <row r="302" spans="1:71" ht="15" x14ac:dyDescent="0.25">
      <c r="A302" s="37"/>
      <c r="B302" s="37"/>
      <c r="C302" s="37"/>
      <c r="D302" s="37"/>
      <c r="E302" s="37"/>
      <c r="F302" s="37"/>
      <c r="G302" s="37"/>
      <c r="H302" s="37"/>
      <c r="I302" s="37"/>
      <c r="J302" s="37"/>
      <c r="K302" s="37"/>
      <c r="L302" s="37"/>
      <c r="M302" s="37"/>
      <c r="N302" s="37"/>
      <c r="O302" s="37"/>
      <c r="P302" s="37"/>
      <c r="Q302" s="37"/>
      <c r="R302" s="37"/>
      <c r="S302" s="37"/>
      <c r="T302" s="37"/>
      <c r="U302" s="37"/>
      <c r="V302" s="37"/>
      <c r="W302" s="37"/>
      <c r="X302" s="37"/>
      <c r="Y302" s="37"/>
      <c r="Z302" s="37"/>
      <c r="AA302" s="37"/>
      <c r="AB302" s="37"/>
      <c r="AC302" s="37"/>
      <c r="AD302" s="37"/>
      <c r="AE302" s="37"/>
      <c r="AF302" s="37"/>
      <c r="AG302" s="37"/>
      <c r="AH302" s="37"/>
      <c r="AI302" s="37"/>
      <c r="AJ302" s="37"/>
      <c r="AK302" s="37"/>
      <c r="AL302" s="37"/>
      <c r="AM302" s="37"/>
      <c r="AN302" s="36"/>
      <c r="AO302" s="36"/>
      <c r="AP302" s="36"/>
      <c r="AQ302" s="36"/>
      <c r="AR302" s="36"/>
      <c r="AS302" s="36"/>
      <c r="AT302" s="36"/>
      <c r="AU302" s="37"/>
      <c r="AV302" s="37"/>
      <c r="AW302" s="37"/>
      <c r="AX302" s="37"/>
      <c r="AY302" s="37"/>
      <c r="AZ302" s="37"/>
      <c r="BA302" s="37"/>
      <c r="BB302" s="37"/>
      <c r="BC302" s="37"/>
      <c r="BD302" s="37"/>
      <c r="BE302" s="37"/>
      <c r="BF302" s="37"/>
      <c r="BG302" s="37"/>
      <c r="BH302" s="37"/>
      <c r="BI302" s="37"/>
      <c r="BJ302" s="37"/>
      <c r="BK302" s="37"/>
      <c r="BL302" s="37"/>
      <c r="BM302" s="37"/>
      <c r="BN302" s="37"/>
      <c r="BO302" s="37"/>
      <c r="BP302" s="37"/>
      <c r="BQ302" s="37"/>
      <c r="BR302" s="37"/>
      <c r="BS302" s="37"/>
    </row>
    <row r="303" spans="1:71" ht="15" x14ac:dyDescent="0.25">
      <c r="A303" s="37"/>
      <c r="B303" s="37"/>
      <c r="C303" s="37"/>
      <c r="D303" s="37"/>
      <c r="E303" s="37"/>
      <c r="F303" s="37"/>
      <c r="G303" s="37"/>
      <c r="H303" s="37"/>
      <c r="I303" s="37"/>
      <c r="J303" s="37"/>
      <c r="K303" s="37"/>
      <c r="L303" s="37"/>
      <c r="M303" s="37"/>
      <c r="N303" s="37"/>
      <c r="O303" s="37"/>
      <c r="P303" s="37"/>
      <c r="Q303" s="37"/>
      <c r="R303" s="37"/>
      <c r="S303" s="37"/>
      <c r="T303" s="37"/>
      <c r="U303" s="37"/>
      <c r="V303" s="37"/>
      <c r="W303" s="37"/>
      <c r="X303" s="37"/>
      <c r="Y303" s="37"/>
      <c r="Z303" s="37"/>
      <c r="AA303" s="37"/>
      <c r="AB303" s="37"/>
      <c r="AC303" s="37"/>
      <c r="AD303" s="37"/>
      <c r="AE303" s="37"/>
      <c r="AF303" s="37"/>
      <c r="AG303" s="37"/>
      <c r="AH303" s="37"/>
      <c r="AI303" s="37"/>
      <c r="AJ303" s="37"/>
      <c r="AK303" s="37"/>
      <c r="AL303" s="37"/>
      <c r="AM303" s="37"/>
      <c r="AN303" s="36"/>
      <c r="AO303" s="36"/>
      <c r="AP303" s="36"/>
      <c r="AQ303" s="36"/>
      <c r="AR303" s="36"/>
      <c r="AS303" s="36"/>
      <c r="AT303" s="36"/>
      <c r="AU303" s="37"/>
      <c r="AV303" s="37"/>
      <c r="AW303" s="37"/>
      <c r="AX303" s="37"/>
      <c r="AY303" s="37"/>
      <c r="AZ303" s="37"/>
      <c r="BA303" s="37"/>
      <c r="BB303" s="37"/>
      <c r="BC303" s="37"/>
      <c r="BD303" s="37"/>
      <c r="BE303" s="37"/>
      <c r="BF303" s="37"/>
      <c r="BG303" s="37"/>
      <c r="BH303" s="37"/>
      <c r="BI303" s="37"/>
      <c r="BJ303" s="37"/>
      <c r="BK303" s="37"/>
      <c r="BL303" s="37"/>
      <c r="BM303" s="37"/>
      <c r="BN303" s="37"/>
      <c r="BO303" s="37"/>
      <c r="BP303" s="37"/>
      <c r="BQ303" s="37"/>
      <c r="BR303" s="37"/>
      <c r="BS303" s="37"/>
    </row>
    <row r="304" spans="1:71" ht="15" x14ac:dyDescent="0.25">
      <c r="A304" s="37"/>
      <c r="B304" s="37"/>
      <c r="C304" s="37"/>
      <c r="D304" s="37"/>
      <c r="E304" s="37"/>
      <c r="F304" s="36" t="s">
        <v>244</v>
      </c>
      <c r="G304" s="36"/>
      <c r="H304" s="36"/>
      <c r="I304" s="36"/>
      <c r="J304" s="36"/>
      <c r="K304" s="36"/>
      <c r="L304" s="36"/>
      <c r="M304" s="36"/>
      <c r="N304" s="36"/>
      <c r="O304" s="36"/>
      <c r="P304" s="36"/>
      <c r="Q304" s="36"/>
      <c r="R304" s="36"/>
      <c r="S304" s="36"/>
      <c r="T304" s="36"/>
      <c r="U304" s="36"/>
      <c r="V304" s="36"/>
      <c r="W304" s="36"/>
      <c r="X304" s="36"/>
      <c r="Y304" s="36"/>
      <c r="Z304" s="36"/>
      <c r="AA304" s="36"/>
      <c r="AB304" s="36"/>
      <c r="AC304" s="36"/>
      <c r="AD304" s="36"/>
      <c r="AE304" s="36"/>
      <c r="AF304" s="36"/>
      <c r="AG304" s="36"/>
      <c r="AH304" s="36" t="s">
        <v>380</v>
      </c>
      <c r="AI304" s="36"/>
      <c r="AJ304" s="36"/>
      <c r="AK304" s="37"/>
      <c r="AL304" s="37"/>
      <c r="AM304" s="37"/>
      <c r="AN304" s="36"/>
      <c r="AO304" s="36"/>
      <c r="AP304" s="36"/>
      <c r="AQ304" s="36"/>
      <c r="AR304" s="36"/>
      <c r="AS304" s="36"/>
      <c r="AT304" s="36"/>
      <c r="AU304" s="36"/>
      <c r="AV304" s="36"/>
      <c r="AW304" s="37"/>
      <c r="AX304" s="37"/>
      <c r="AY304" s="37"/>
      <c r="AZ304" s="37"/>
      <c r="BA304" s="37"/>
      <c r="BB304" s="37"/>
      <c r="BC304" s="37"/>
      <c r="BD304" s="37"/>
      <c r="BE304" s="37"/>
      <c r="BF304" s="37"/>
      <c r="BG304" s="37"/>
      <c r="BH304" s="37"/>
      <c r="BI304" s="37"/>
      <c r="BJ304" s="37"/>
      <c r="BK304" s="37"/>
      <c r="BL304" s="37"/>
      <c r="BM304" s="37"/>
      <c r="BN304" s="37"/>
      <c r="BO304" s="37"/>
      <c r="BP304" s="37"/>
      <c r="BQ304" s="37"/>
      <c r="BR304" s="37"/>
      <c r="BS304" s="37"/>
    </row>
    <row r="305" spans="1:71" ht="15" x14ac:dyDescent="0.25">
      <c r="A305" s="37"/>
      <c r="B305" s="37"/>
      <c r="C305" s="37"/>
      <c r="D305" s="37"/>
      <c r="E305" s="37"/>
      <c r="F305" s="37"/>
      <c r="G305" s="37"/>
      <c r="H305" s="37"/>
      <c r="I305" s="37"/>
      <c r="J305" s="37"/>
      <c r="K305" s="37"/>
      <c r="L305" s="37"/>
      <c r="M305" s="37"/>
      <c r="N305" s="37"/>
      <c r="O305" s="37"/>
      <c r="P305" s="37"/>
      <c r="Q305" s="37"/>
      <c r="R305" s="37"/>
      <c r="S305" s="37"/>
      <c r="T305" s="37"/>
      <c r="U305" s="37"/>
      <c r="V305" s="37"/>
      <c r="W305" s="37"/>
      <c r="X305" s="37"/>
      <c r="Y305" s="37"/>
      <c r="Z305" s="37"/>
      <c r="AA305" s="37"/>
      <c r="AB305" s="37"/>
      <c r="AC305" s="37"/>
      <c r="AD305" s="37"/>
      <c r="AE305" s="37"/>
      <c r="AF305" s="37"/>
      <c r="AG305" s="37"/>
      <c r="AH305" s="37"/>
      <c r="AI305" s="37"/>
      <c r="AJ305" s="37"/>
      <c r="AK305" s="37"/>
      <c r="AL305" s="37"/>
      <c r="AM305" s="37"/>
      <c r="AN305" s="36"/>
      <c r="AO305" s="36"/>
      <c r="AP305" s="36"/>
      <c r="AQ305" s="36"/>
      <c r="AR305" s="36"/>
      <c r="AS305" s="36"/>
      <c r="AT305" s="36"/>
      <c r="AU305" s="37"/>
      <c r="AV305" s="37"/>
      <c r="AW305" s="37"/>
      <c r="AX305" s="37"/>
      <c r="AY305" s="37"/>
      <c r="AZ305" s="37"/>
      <c r="BA305" s="37"/>
      <c r="BB305" s="37"/>
      <c r="BC305" s="37"/>
      <c r="BD305" s="37"/>
      <c r="BE305" s="37"/>
      <c r="BF305" s="37"/>
      <c r="BG305" s="37"/>
      <c r="BH305" s="37"/>
      <c r="BI305" s="37"/>
      <c r="BJ305" s="37"/>
      <c r="BK305" s="37"/>
      <c r="BL305" s="37"/>
      <c r="BM305" s="37"/>
      <c r="BN305" s="37"/>
      <c r="BO305" s="37"/>
      <c r="BP305" s="37"/>
      <c r="BQ305" s="37"/>
      <c r="BR305" s="37"/>
      <c r="BS305" s="37"/>
    </row>
    <row r="306" spans="1:71" ht="15" x14ac:dyDescent="0.25">
      <c r="A306" s="37"/>
      <c r="B306" s="37"/>
      <c r="C306" s="37"/>
      <c r="D306" s="37"/>
      <c r="E306" s="37"/>
      <c r="F306" s="37"/>
      <c r="G306" s="37"/>
      <c r="H306" s="37"/>
      <c r="I306" s="37"/>
      <c r="J306" s="37"/>
      <c r="K306" s="37"/>
      <c r="L306" s="37"/>
      <c r="M306" s="37"/>
      <c r="N306" s="37"/>
      <c r="O306" s="37"/>
      <c r="P306" s="37"/>
      <c r="Q306" s="37"/>
      <c r="R306" s="37"/>
      <c r="S306" s="37"/>
      <c r="T306" s="37"/>
      <c r="U306" s="37"/>
      <c r="V306" s="37"/>
      <c r="W306" s="37"/>
      <c r="X306" s="37"/>
      <c r="Y306" s="37"/>
      <c r="Z306" s="37"/>
      <c r="AA306" s="37"/>
      <c r="AB306" s="37"/>
      <c r="AC306" s="37"/>
      <c r="AD306" s="37"/>
      <c r="AE306" s="37"/>
      <c r="AF306" s="37"/>
      <c r="AG306" s="37"/>
      <c r="AH306" s="37"/>
      <c r="AI306" s="37"/>
      <c r="AJ306" s="37"/>
      <c r="AK306" s="37"/>
      <c r="AL306" s="37"/>
      <c r="AM306" s="37"/>
      <c r="AN306" s="37"/>
      <c r="AO306" s="37"/>
      <c r="AP306" s="37"/>
      <c r="AQ306" s="37"/>
      <c r="AR306" s="37"/>
      <c r="AS306" s="37"/>
      <c r="AT306" s="37"/>
      <c r="AU306" s="37"/>
      <c r="AV306" s="37"/>
      <c r="AW306" s="37"/>
      <c r="AX306" s="37"/>
      <c r="AY306" s="37"/>
      <c r="AZ306" s="37"/>
      <c r="BA306" s="37"/>
      <c r="BB306" s="37"/>
      <c r="BC306" s="37"/>
      <c r="BD306" s="37"/>
      <c r="BE306" s="37"/>
      <c r="BF306" s="37"/>
      <c r="BG306" s="37"/>
      <c r="BH306" s="37"/>
      <c r="BI306" s="37"/>
      <c r="BJ306" s="37"/>
      <c r="BK306" s="37"/>
      <c r="BL306" s="37"/>
      <c r="BM306" s="37"/>
      <c r="BN306" s="37"/>
      <c r="BO306" s="37"/>
      <c r="BP306" s="37"/>
      <c r="BQ306" s="37"/>
      <c r="BR306" s="37"/>
      <c r="BS306" s="37"/>
    </row>
    <row r="307" spans="1:71" ht="15" x14ac:dyDescent="0.25">
      <c r="A307" s="37"/>
      <c r="B307" s="37"/>
      <c r="C307" s="37"/>
      <c r="D307" s="37"/>
      <c r="E307" s="37"/>
      <c r="F307" s="37"/>
      <c r="G307" s="37"/>
      <c r="H307" s="37"/>
      <c r="I307" s="37"/>
      <c r="J307" s="37"/>
      <c r="K307" s="37"/>
      <c r="L307" s="37"/>
      <c r="M307" s="37"/>
      <c r="N307" s="37"/>
      <c r="O307" s="37"/>
      <c r="P307" s="37"/>
      <c r="Q307" s="37"/>
      <c r="R307" s="37"/>
      <c r="S307" s="37"/>
      <c r="T307" s="37"/>
      <c r="U307" s="37"/>
      <c r="V307" s="37"/>
      <c r="W307" s="37"/>
      <c r="X307" s="37"/>
      <c r="Y307" s="37"/>
      <c r="Z307" s="37"/>
      <c r="AA307" s="37"/>
      <c r="AB307" s="37"/>
      <c r="AC307" s="37"/>
      <c r="AD307" s="37"/>
      <c r="AE307" s="37"/>
      <c r="AF307" s="37"/>
      <c r="AG307" s="37"/>
      <c r="AH307" s="37"/>
      <c r="AI307" s="37"/>
      <c r="AJ307" s="37"/>
      <c r="AK307" s="37"/>
      <c r="AL307" s="37"/>
      <c r="AM307" s="37"/>
      <c r="AN307" s="37"/>
      <c r="AO307" s="37"/>
      <c r="AP307" s="37"/>
      <c r="AQ307" s="37"/>
      <c r="AR307" s="37"/>
      <c r="AS307" s="37"/>
      <c r="AT307" s="37"/>
      <c r="AU307" s="37"/>
      <c r="AV307" s="37"/>
      <c r="AW307" s="37"/>
      <c r="AX307" s="37"/>
      <c r="AY307" s="37"/>
      <c r="AZ307" s="37"/>
      <c r="BA307" s="37"/>
      <c r="BB307" s="37"/>
      <c r="BC307" s="37"/>
      <c r="BD307" s="37"/>
      <c r="BE307" s="37"/>
      <c r="BF307" s="37"/>
      <c r="BG307" s="37"/>
      <c r="BH307" s="37"/>
      <c r="BI307" s="37"/>
      <c r="BJ307" s="37"/>
      <c r="BK307" s="37"/>
      <c r="BL307" s="37"/>
      <c r="BM307" s="37"/>
      <c r="BN307" s="37"/>
      <c r="BO307" s="37"/>
      <c r="BP307" s="37"/>
      <c r="BQ307" s="37"/>
      <c r="BR307" s="37"/>
      <c r="BS307" s="37"/>
    </row>
    <row r="308" spans="1:71" ht="15" x14ac:dyDescent="0.25">
      <c r="A308" s="37"/>
      <c r="B308" s="37"/>
      <c r="C308" s="37"/>
      <c r="D308" s="37"/>
      <c r="E308" s="37"/>
      <c r="F308" s="37" t="s">
        <v>241</v>
      </c>
      <c r="G308" s="37"/>
      <c r="H308" s="37"/>
      <c r="I308" s="37"/>
      <c r="J308" s="37"/>
      <c r="K308" s="37"/>
      <c r="L308" s="37"/>
      <c r="M308" s="37"/>
      <c r="N308" s="37"/>
      <c r="O308" s="37"/>
      <c r="P308" s="37"/>
      <c r="Q308" s="37"/>
      <c r="R308" s="37"/>
      <c r="S308" s="37"/>
      <c r="T308" s="37"/>
      <c r="U308" s="37"/>
      <c r="V308" s="37"/>
      <c r="W308" s="37"/>
      <c r="X308" s="37"/>
      <c r="Y308" s="37"/>
      <c r="Z308" s="37"/>
      <c r="AA308" s="37"/>
      <c r="AB308" s="37"/>
      <c r="AC308" s="37"/>
      <c r="AD308" s="37"/>
      <c r="AE308" s="37"/>
      <c r="AF308" s="37"/>
      <c r="AG308" s="37"/>
      <c r="AH308" s="37" t="s">
        <v>448</v>
      </c>
      <c r="AI308" s="37"/>
      <c r="AJ308" s="37"/>
      <c r="AK308" s="37"/>
      <c r="AL308" s="37"/>
      <c r="AM308" s="37"/>
      <c r="AN308" s="36"/>
      <c r="AO308" s="37"/>
      <c r="AP308" s="37"/>
      <c r="AQ308" s="37"/>
      <c r="AR308" s="37"/>
      <c r="AS308" s="37"/>
      <c r="AT308" s="37"/>
      <c r="AU308" s="37"/>
      <c r="AV308" s="37"/>
      <c r="AW308" s="37"/>
      <c r="AX308" s="37"/>
      <c r="AY308" s="37"/>
      <c r="AZ308" s="37"/>
      <c r="BA308" s="37"/>
      <c r="BB308" s="37"/>
      <c r="BC308" s="37"/>
      <c r="BD308" s="37"/>
      <c r="BE308" s="37"/>
      <c r="BF308" s="37"/>
      <c r="BG308" s="37"/>
      <c r="BH308" s="37"/>
      <c r="BI308" s="37"/>
      <c r="BJ308" s="37"/>
      <c r="BK308" s="37"/>
      <c r="BL308" s="37"/>
      <c r="BM308" s="37"/>
      <c r="BN308" s="37"/>
      <c r="BO308" s="37"/>
      <c r="BP308" s="37"/>
      <c r="BQ308" s="37"/>
      <c r="BR308" s="37"/>
      <c r="BS308" s="37"/>
    </row>
    <row r="309" spans="1:71" ht="15" x14ac:dyDescent="0.25">
      <c r="A309" s="37"/>
      <c r="B309" s="37"/>
      <c r="C309" s="37"/>
      <c r="D309" s="37"/>
      <c r="E309" s="37"/>
      <c r="F309" s="37"/>
      <c r="G309" s="37"/>
      <c r="H309" s="37"/>
      <c r="I309" s="37"/>
      <c r="J309" s="37"/>
      <c r="K309" s="37"/>
      <c r="L309" s="37"/>
      <c r="M309" s="37"/>
      <c r="N309" s="37"/>
      <c r="O309" s="37"/>
      <c r="P309" s="37"/>
      <c r="Q309" s="37"/>
      <c r="R309" s="37"/>
      <c r="S309" s="37"/>
      <c r="T309" s="37"/>
      <c r="U309" s="37"/>
      <c r="V309" s="37"/>
      <c r="W309" s="37"/>
      <c r="X309" s="37"/>
      <c r="Y309" s="37"/>
      <c r="Z309" s="37"/>
      <c r="AA309" s="37"/>
      <c r="AB309" s="37"/>
      <c r="AC309" s="37"/>
      <c r="AD309" s="37"/>
      <c r="AE309" s="37"/>
      <c r="AF309" s="37"/>
      <c r="AG309" s="37"/>
      <c r="AH309" s="37" t="s">
        <v>731</v>
      </c>
      <c r="AI309" s="37"/>
      <c r="AJ309" s="37"/>
      <c r="AK309" s="37"/>
      <c r="AL309" s="37"/>
      <c r="AM309" s="37"/>
      <c r="AN309" s="37"/>
      <c r="AO309" s="37"/>
      <c r="AP309" s="37"/>
      <c r="AQ309" s="37"/>
      <c r="AR309" s="37"/>
      <c r="AS309" s="37"/>
      <c r="AT309" s="37"/>
      <c r="AU309" s="37"/>
      <c r="AV309" s="37"/>
      <c r="AW309" s="37"/>
      <c r="AX309" s="37"/>
      <c r="AY309" s="37"/>
      <c r="AZ309" s="37"/>
      <c r="BA309" s="37"/>
      <c r="BB309" s="37"/>
      <c r="BC309" s="37"/>
      <c r="BD309" s="37"/>
      <c r="BE309" s="37"/>
      <c r="BF309" s="37"/>
      <c r="BG309" s="37"/>
      <c r="BH309" s="37"/>
      <c r="BI309" s="37"/>
      <c r="BJ309" s="37"/>
      <c r="BK309" s="37"/>
      <c r="BL309" s="37"/>
      <c r="BM309" s="37"/>
      <c r="BN309" s="37"/>
      <c r="BO309" s="37"/>
      <c r="BP309" s="37"/>
      <c r="BQ309" s="37"/>
      <c r="BR309" s="37"/>
      <c r="BS309" s="37"/>
    </row>
    <row r="310" spans="1:71" ht="15" x14ac:dyDescent="0.25">
      <c r="A310" s="37"/>
      <c r="B310" s="37"/>
      <c r="C310" s="37"/>
      <c r="D310" s="37"/>
      <c r="E310" s="37"/>
      <c r="F310" s="37"/>
      <c r="G310" s="37"/>
      <c r="H310" s="37"/>
      <c r="I310" s="37"/>
      <c r="J310" s="37"/>
      <c r="K310" s="37"/>
      <c r="L310" s="37"/>
      <c r="M310" s="37"/>
      <c r="N310" s="37"/>
      <c r="O310" s="37"/>
      <c r="P310" s="37"/>
      <c r="Q310" s="37"/>
      <c r="R310" s="37"/>
      <c r="S310" s="37"/>
      <c r="T310" s="37"/>
      <c r="U310" s="37"/>
      <c r="V310" s="37"/>
      <c r="W310" s="37"/>
      <c r="X310" s="37"/>
      <c r="Y310" s="37"/>
      <c r="Z310" s="37"/>
      <c r="AA310" s="37"/>
      <c r="AB310" s="37"/>
      <c r="AC310" s="37"/>
      <c r="AD310" s="37"/>
      <c r="AE310" s="37"/>
      <c r="AF310" s="37"/>
      <c r="AG310" s="37"/>
      <c r="AH310" s="37"/>
      <c r="AI310" s="37"/>
      <c r="AJ310" s="37"/>
      <c r="AK310" s="37"/>
      <c r="AL310" s="37"/>
      <c r="AM310" s="37"/>
      <c r="AN310" s="37"/>
      <c r="AO310" s="37"/>
      <c r="AP310" s="37"/>
      <c r="AQ310" s="37"/>
      <c r="AR310" s="37"/>
      <c r="AS310" s="37"/>
      <c r="AT310" s="37"/>
      <c r="AU310" s="36"/>
      <c r="AV310" s="36"/>
      <c r="AW310" s="36"/>
      <c r="AX310" s="36"/>
      <c r="AY310" s="36"/>
      <c r="AZ310" s="37"/>
      <c r="BA310" s="37"/>
      <c r="BB310" s="37"/>
      <c r="BC310" s="37"/>
      <c r="BD310" s="37"/>
      <c r="BE310" s="37"/>
      <c r="BF310" s="37"/>
      <c r="BG310" s="37"/>
      <c r="BH310" s="37"/>
      <c r="BI310" s="37"/>
      <c r="BJ310" s="37"/>
      <c r="BK310" s="37"/>
      <c r="BL310" s="37"/>
      <c r="BM310" s="37"/>
      <c r="BN310" s="37"/>
      <c r="BO310" s="37"/>
      <c r="BP310" s="37"/>
      <c r="BQ310" s="37"/>
      <c r="BR310" s="37"/>
      <c r="BS310" s="37"/>
    </row>
    <row r="311" spans="1:71" ht="15" x14ac:dyDescent="0.25">
      <c r="A311" s="37"/>
      <c r="B311" s="37"/>
      <c r="C311" s="37"/>
      <c r="D311" s="37"/>
      <c r="E311" s="37"/>
      <c r="F311" s="36" t="s">
        <v>242</v>
      </c>
      <c r="G311" s="36"/>
      <c r="H311" s="36"/>
      <c r="I311" s="36"/>
      <c r="J311" s="36"/>
      <c r="K311" s="36"/>
      <c r="L311" s="36"/>
      <c r="M311" s="36"/>
      <c r="N311" s="36"/>
      <c r="O311" s="36"/>
      <c r="P311" s="36"/>
      <c r="Q311" s="36"/>
      <c r="R311" s="36"/>
      <c r="S311" s="36"/>
      <c r="T311" s="36"/>
      <c r="U311" s="36"/>
      <c r="V311" s="36"/>
      <c r="W311" s="36"/>
      <c r="X311" s="36"/>
      <c r="Y311" s="36"/>
      <c r="Z311" s="36"/>
      <c r="AA311" s="36"/>
      <c r="AB311" s="36"/>
      <c r="AC311" s="36"/>
      <c r="AD311" s="36"/>
      <c r="AE311" s="36"/>
      <c r="AF311" s="36"/>
      <c r="AG311" s="36"/>
      <c r="AH311" s="36" t="s">
        <v>449</v>
      </c>
      <c r="AI311" s="36"/>
      <c r="AJ311" s="36"/>
      <c r="AK311" s="36"/>
      <c r="AL311" s="36"/>
      <c r="AM311" s="37"/>
      <c r="AN311" s="36"/>
      <c r="AO311" s="36"/>
      <c r="AP311" s="36"/>
      <c r="AQ311" s="36"/>
      <c r="AR311" s="36"/>
      <c r="AS311" s="36"/>
      <c r="AT311" s="36"/>
      <c r="AU311" s="36"/>
      <c r="AV311" s="36"/>
      <c r="AW311" s="36"/>
      <c r="AX311" s="36"/>
      <c r="AY311" s="36"/>
      <c r="AZ311" s="37"/>
      <c r="BA311" s="37"/>
      <c r="BB311" s="37"/>
      <c r="BC311" s="37"/>
      <c r="BD311" s="37"/>
      <c r="BE311" s="37"/>
      <c r="BF311" s="37"/>
      <c r="BG311" s="37"/>
      <c r="BH311" s="37"/>
      <c r="BI311" s="37"/>
      <c r="BJ311" s="37"/>
      <c r="BK311" s="37"/>
      <c r="BL311" s="37"/>
      <c r="BM311" s="37"/>
      <c r="BN311" s="37"/>
      <c r="BO311" s="37"/>
      <c r="BP311" s="37"/>
      <c r="BQ311" s="37"/>
      <c r="BR311" s="37"/>
      <c r="BS311" s="37"/>
    </row>
    <row r="312" spans="1:71" s="74" customFormat="1" ht="15" x14ac:dyDescent="0.25">
      <c r="A312" s="71"/>
      <c r="B312" s="71"/>
      <c r="C312" s="71"/>
      <c r="D312" s="71"/>
      <c r="E312" s="71"/>
      <c r="F312" s="37"/>
      <c r="G312" s="37"/>
      <c r="H312" s="37"/>
      <c r="I312" s="37"/>
      <c r="J312" s="37"/>
      <c r="K312" s="37"/>
      <c r="L312" s="37"/>
      <c r="M312" s="37"/>
      <c r="N312" s="37"/>
      <c r="O312" s="37"/>
      <c r="P312" s="37"/>
      <c r="Q312" s="37"/>
      <c r="R312" s="37"/>
      <c r="S312" s="37"/>
      <c r="T312" s="37"/>
      <c r="U312" s="37"/>
      <c r="V312" s="37"/>
      <c r="W312" s="37"/>
      <c r="X312" s="37"/>
      <c r="Y312" s="37"/>
      <c r="Z312" s="37"/>
      <c r="AA312" s="37"/>
      <c r="AB312" s="37"/>
      <c r="AC312" s="37"/>
      <c r="AD312" s="37"/>
      <c r="AE312" s="37"/>
      <c r="AF312" s="37"/>
      <c r="AG312" s="37"/>
      <c r="AH312" s="36" t="s">
        <v>450</v>
      </c>
      <c r="AI312" s="37"/>
      <c r="AJ312" s="37"/>
      <c r="AK312" s="37"/>
      <c r="AL312" s="37"/>
      <c r="AM312" s="37"/>
      <c r="AN312" s="36"/>
      <c r="AO312" s="36"/>
      <c r="AP312" s="36"/>
      <c r="AQ312" s="36"/>
      <c r="AR312" s="36"/>
      <c r="AS312" s="36"/>
      <c r="AT312" s="36"/>
      <c r="AU312" s="36"/>
      <c r="AV312" s="36"/>
      <c r="AW312" s="36"/>
      <c r="AX312" s="36"/>
      <c r="AY312" s="36"/>
      <c r="AZ312" s="36"/>
      <c r="BA312" s="71"/>
      <c r="BB312" s="71"/>
      <c r="BC312" s="71"/>
      <c r="BD312" s="71"/>
      <c r="BE312" s="71"/>
      <c r="BF312" s="71"/>
      <c r="BG312" s="71"/>
      <c r="BH312" s="71"/>
      <c r="BI312" s="71"/>
      <c r="BJ312" s="71"/>
      <c r="BK312" s="71"/>
      <c r="BL312" s="71"/>
      <c r="BM312" s="71"/>
      <c r="BN312" s="71"/>
      <c r="BO312" s="71"/>
      <c r="BP312" s="71"/>
      <c r="BQ312" s="71"/>
      <c r="BR312" s="71"/>
      <c r="BS312" s="71"/>
    </row>
    <row r="313" spans="1:71" s="74" customFormat="1" ht="15" x14ac:dyDescent="0.25">
      <c r="A313" s="71"/>
      <c r="B313" s="71"/>
      <c r="C313" s="71"/>
      <c r="D313" s="71"/>
      <c r="E313" s="71"/>
      <c r="F313" s="36"/>
      <c r="G313" s="36"/>
      <c r="H313" s="36"/>
      <c r="I313" s="36"/>
      <c r="J313" s="36"/>
      <c r="K313" s="36"/>
      <c r="L313" s="36"/>
      <c r="M313" s="36"/>
      <c r="N313" s="36"/>
      <c r="O313" s="36"/>
      <c r="P313" s="36"/>
      <c r="Q313" s="36"/>
      <c r="R313" s="36"/>
      <c r="S313" s="36"/>
      <c r="T313" s="36"/>
      <c r="U313" s="36"/>
      <c r="V313" s="36"/>
      <c r="W313" s="36"/>
      <c r="X313" s="36"/>
      <c r="Y313" s="36"/>
      <c r="Z313" s="36"/>
      <c r="AA313" s="36"/>
      <c r="AB313" s="36"/>
      <c r="AC313" s="36"/>
      <c r="AD313" s="36"/>
      <c r="AE313" s="36"/>
      <c r="AF313" s="36"/>
      <c r="AG313" s="36"/>
      <c r="AH313" s="36"/>
      <c r="AI313" s="36"/>
      <c r="AJ313" s="36"/>
      <c r="AK313" s="36"/>
      <c r="AL313" s="36"/>
      <c r="AM313" s="36"/>
      <c r="AN313" s="36"/>
      <c r="AO313" s="36"/>
      <c r="AP313" s="36"/>
      <c r="AQ313" s="36"/>
      <c r="AR313" s="36"/>
      <c r="AS313" s="36"/>
      <c r="AT313" s="36"/>
      <c r="AU313" s="36"/>
      <c r="AV313" s="36"/>
      <c r="AW313" s="36"/>
      <c r="AX313" s="36"/>
      <c r="AY313" s="36"/>
      <c r="AZ313" s="36"/>
      <c r="BA313" s="71"/>
      <c r="BB313" s="71"/>
      <c r="BC313" s="71"/>
      <c r="BD313" s="71"/>
      <c r="BE313" s="71"/>
      <c r="BF313" s="71"/>
      <c r="BG313" s="71"/>
      <c r="BH313" s="71"/>
      <c r="BI313" s="71"/>
      <c r="BJ313" s="71"/>
      <c r="BK313" s="71"/>
      <c r="BL313" s="71"/>
      <c r="BM313" s="71"/>
      <c r="BN313" s="71"/>
      <c r="BO313" s="71"/>
      <c r="BP313" s="71"/>
      <c r="BQ313" s="71"/>
      <c r="BR313" s="71"/>
      <c r="BS313" s="71"/>
    </row>
    <row r="314" spans="1:71" ht="15" x14ac:dyDescent="0.25">
      <c r="A314" s="37"/>
      <c r="B314" s="37"/>
      <c r="C314" s="37"/>
      <c r="D314" s="37"/>
      <c r="E314" s="37"/>
      <c r="F314" s="36" t="s">
        <v>243</v>
      </c>
      <c r="G314" s="36"/>
      <c r="H314" s="36"/>
      <c r="I314" s="36"/>
      <c r="J314" s="36"/>
      <c r="K314" s="36"/>
      <c r="L314" s="36"/>
      <c r="M314" s="36"/>
      <c r="N314" s="36"/>
      <c r="O314" s="36"/>
      <c r="P314" s="36"/>
      <c r="Q314" s="36"/>
      <c r="R314" s="36"/>
      <c r="S314" s="36"/>
      <c r="T314" s="36"/>
      <c r="U314" s="36"/>
      <c r="V314" s="36"/>
      <c r="W314" s="36"/>
      <c r="X314" s="36"/>
      <c r="Y314" s="36"/>
      <c r="Z314" s="36"/>
      <c r="AA314" s="36"/>
      <c r="AB314" s="36"/>
      <c r="AC314" s="36"/>
      <c r="AD314" s="36"/>
      <c r="AE314" s="36"/>
      <c r="AF314" s="36"/>
      <c r="AG314" s="36"/>
      <c r="AH314" s="36" t="s">
        <v>438</v>
      </c>
      <c r="AI314" s="36"/>
      <c r="AJ314" s="36"/>
      <c r="AK314" s="36"/>
      <c r="AL314" s="36"/>
      <c r="AM314" s="36"/>
      <c r="AN314" s="37"/>
      <c r="AO314" s="37"/>
      <c r="AP314" s="37"/>
      <c r="AQ314" s="37"/>
      <c r="AR314" s="37"/>
      <c r="AS314" s="37"/>
      <c r="AT314" s="37"/>
      <c r="AU314" s="37"/>
      <c r="AV314" s="37"/>
      <c r="AW314" s="37"/>
      <c r="AX314" s="37"/>
      <c r="AY314" s="37"/>
      <c r="AZ314" s="37"/>
      <c r="BA314" s="37"/>
      <c r="BB314" s="37"/>
      <c r="BC314" s="37"/>
      <c r="BD314" s="37"/>
      <c r="BE314" s="37"/>
      <c r="BF314" s="37"/>
      <c r="BG314" s="37"/>
      <c r="BH314" s="37"/>
      <c r="BI314" s="37"/>
      <c r="BJ314" s="37"/>
      <c r="BK314" s="37"/>
      <c r="BL314" s="37"/>
      <c r="BM314" s="37"/>
      <c r="BN314" s="37"/>
      <c r="BO314" s="37"/>
      <c r="BP314" s="37"/>
      <c r="BQ314" s="37"/>
      <c r="BR314" s="37"/>
      <c r="BS314" s="37"/>
    </row>
    <row r="315" spans="1:71" ht="15" x14ac:dyDescent="0.25">
      <c r="A315" s="37"/>
      <c r="B315" s="37"/>
      <c r="C315" s="37"/>
      <c r="D315" s="37"/>
      <c r="E315" s="37"/>
      <c r="F315" s="36"/>
      <c r="G315" s="36"/>
      <c r="H315" s="36"/>
      <c r="I315" s="36"/>
      <c r="J315" s="36"/>
      <c r="K315" s="36"/>
      <c r="L315" s="36"/>
      <c r="M315" s="36"/>
      <c r="N315" s="36"/>
      <c r="O315" s="36"/>
      <c r="P315" s="36"/>
      <c r="Q315" s="36"/>
      <c r="R315" s="36"/>
      <c r="S315" s="36"/>
      <c r="T315" s="36"/>
      <c r="U315" s="36"/>
      <c r="V315" s="36"/>
      <c r="W315" s="36"/>
      <c r="X315" s="36"/>
      <c r="Y315" s="36"/>
      <c r="Z315" s="36"/>
      <c r="AA315" s="36"/>
      <c r="AB315" s="36"/>
      <c r="AC315" s="36"/>
      <c r="AD315" s="36"/>
      <c r="AE315" s="36"/>
      <c r="AF315" s="36"/>
      <c r="AG315" s="36"/>
      <c r="AH315" s="36" t="s">
        <v>451</v>
      </c>
      <c r="AI315" s="36"/>
      <c r="AJ315" s="36"/>
      <c r="AK315" s="36"/>
      <c r="AL315" s="36"/>
      <c r="AM315" s="36"/>
      <c r="AN315" s="37"/>
      <c r="AO315" s="37"/>
      <c r="AP315" s="37"/>
      <c r="AQ315" s="37"/>
      <c r="AR315" s="37"/>
      <c r="AS315" s="37"/>
      <c r="AT315" s="37"/>
      <c r="AU315" s="37"/>
      <c r="AV315" s="37"/>
      <c r="AW315" s="37"/>
      <c r="AX315" s="37"/>
      <c r="AY315" s="37"/>
      <c r="AZ315" s="37"/>
      <c r="BA315" s="37"/>
      <c r="BB315" s="37"/>
      <c r="BC315" s="37"/>
      <c r="BD315" s="37"/>
      <c r="BE315" s="37"/>
      <c r="BF315" s="37"/>
      <c r="BG315" s="37"/>
      <c r="BH315" s="37"/>
      <c r="BI315" s="37"/>
      <c r="BJ315" s="37"/>
      <c r="BK315" s="37"/>
      <c r="BL315" s="37"/>
      <c r="BM315" s="37"/>
      <c r="BN315" s="37"/>
      <c r="BO315" s="37"/>
      <c r="BP315" s="37"/>
      <c r="BQ315" s="37"/>
      <c r="BR315" s="37"/>
      <c r="BS315" s="37"/>
    </row>
    <row r="316" spans="1:71" ht="15" x14ac:dyDescent="0.25">
      <c r="A316" s="37"/>
      <c r="B316" s="37"/>
      <c r="C316" s="37"/>
      <c r="D316" s="37"/>
      <c r="E316" s="37"/>
      <c r="F316" s="37"/>
      <c r="G316" s="37"/>
      <c r="H316" s="37"/>
      <c r="I316" s="37"/>
      <c r="J316" s="37"/>
      <c r="K316" s="37"/>
      <c r="L316" s="37"/>
      <c r="M316" s="37"/>
      <c r="N316" s="37"/>
      <c r="O316" s="37"/>
      <c r="P316" s="37"/>
      <c r="Q316" s="37"/>
      <c r="R316" s="37"/>
      <c r="S316" s="37"/>
      <c r="T316" s="37"/>
      <c r="U316" s="37"/>
      <c r="V316" s="37"/>
      <c r="W316" s="37"/>
      <c r="X316" s="37"/>
      <c r="Y316" s="37"/>
      <c r="Z316" s="37"/>
      <c r="AA316" s="37"/>
      <c r="AB316" s="37"/>
      <c r="AC316" s="37"/>
      <c r="AD316" s="37"/>
      <c r="AE316" s="37"/>
      <c r="AF316" s="37"/>
      <c r="AG316" s="37"/>
      <c r="AH316" s="37"/>
      <c r="AI316" s="37"/>
      <c r="AJ316" s="37"/>
      <c r="AK316" s="37"/>
      <c r="AL316" s="37"/>
      <c r="AM316" s="37"/>
      <c r="AN316" s="37"/>
      <c r="AO316" s="37"/>
      <c r="AP316" s="37"/>
      <c r="AQ316" s="37"/>
      <c r="AR316" s="37"/>
      <c r="AS316" s="37"/>
      <c r="AT316" s="37"/>
      <c r="AU316" s="37"/>
      <c r="AV316" s="37"/>
      <c r="AW316" s="37"/>
      <c r="AX316" s="37"/>
      <c r="AY316" s="37"/>
      <c r="AZ316" s="37"/>
      <c r="BA316" s="37"/>
      <c r="BB316" s="37"/>
      <c r="BC316" s="37"/>
      <c r="BD316" s="37"/>
      <c r="BE316" s="37"/>
      <c r="BF316" s="37"/>
      <c r="BG316" s="37"/>
      <c r="BH316" s="37"/>
      <c r="BI316" s="37"/>
      <c r="BJ316" s="37"/>
      <c r="BK316" s="37"/>
      <c r="BL316" s="37"/>
      <c r="BM316" s="37"/>
      <c r="BN316" s="37"/>
      <c r="BO316" s="37"/>
      <c r="BP316" s="37"/>
      <c r="BQ316" s="37"/>
      <c r="BR316" s="37"/>
      <c r="BS316" s="37"/>
    </row>
    <row r="317" spans="1:71" ht="15" x14ac:dyDescent="0.25">
      <c r="A317" s="37"/>
      <c r="B317" s="37"/>
      <c r="C317" s="37"/>
      <c r="D317" s="37"/>
      <c r="E317" s="37"/>
      <c r="F317" s="36" t="s">
        <v>245</v>
      </c>
      <c r="G317" s="36"/>
      <c r="H317" s="36"/>
      <c r="I317" s="36"/>
      <c r="J317" s="36"/>
      <c r="K317" s="36"/>
      <c r="L317" s="36"/>
      <c r="M317" s="36"/>
      <c r="N317" s="36"/>
      <c r="O317" s="36"/>
      <c r="P317" s="36"/>
      <c r="Q317" s="36"/>
      <c r="R317" s="36"/>
      <c r="S317" s="36"/>
      <c r="T317" s="36"/>
      <c r="U317" s="36"/>
      <c r="V317" s="36"/>
      <c r="W317" s="36"/>
      <c r="X317" s="36"/>
      <c r="Y317" s="36"/>
      <c r="Z317" s="36"/>
      <c r="AA317" s="36"/>
      <c r="AB317" s="36"/>
      <c r="AC317" s="36"/>
      <c r="AD317" s="36"/>
      <c r="AE317" s="36"/>
      <c r="AF317" s="36"/>
      <c r="AG317" s="36"/>
      <c r="AH317" s="36" t="s">
        <v>452</v>
      </c>
      <c r="AI317" s="36"/>
      <c r="AJ317" s="36"/>
      <c r="AK317" s="36"/>
      <c r="AL317" s="36"/>
      <c r="AM317" s="36"/>
      <c r="AN317" s="36"/>
      <c r="AO317" s="36"/>
      <c r="AP317" s="36"/>
      <c r="AQ317" s="36"/>
      <c r="AR317" s="36"/>
      <c r="AS317" s="36"/>
      <c r="AT317" s="36"/>
      <c r="AU317" s="37"/>
      <c r="AV317" s="37"/>
      <c r="AW317" s="37"/>
      <c r="AX317" s="37"/>
      <c r="AY317" s="37"/>
      <c r="AZ317" s="37"/>
      <c r="BA317" s="37"/>
      <c r="BB317" s="37"/>
      <c r="BC317" s="37"/>
      <c r="BD317" s="37"/>
      <c r="BE317" s="37"/>
      <c r="BF317" s="37"/>
      <c r="BG317" s="37"/>
      <c r="BH317" s="37"/>
      <c r="BI317" s="37"/>
      <c r="BJ317" s="37"/>
      <c r="BK317" s="37"/>
      <c r="BL317" s="37"/>
      <c r="BM317" s="37"/>
      <c r="BN317" s="37"/>
      <c r="BO317" s="37"/>
      <c r="BP317" s="37"/>
      <c r="BQ317" s="37"/>
      <c r="BR317" s="37"/>
      <c r="BS317" s="37"/>
    </row>
    <row r="318" spans="1:71" ht="15" x14ac:dyDescent="0.25">
      <c r="A318" s="37"/>
      <c r="B318" s="37"/>
      <c r="C318" s="37"/>
      <c r="D318" s="37"/>
      <c r="E318" s="37"/>
      <c r="F318" s="36" t="s">
        <v>444</v>
      </c>
      <c r="G318" s="36"/>
      <c r="H318" s="36"/>
      <c r="I318" s="36"/>
      <c r="J318" s="36"/>
      <c r="K318" s="36"/>
      <c r="L318" s="36"/>
      <c r="M318" s="36"/>
      <c r="N318" s="36"/>
      <c r="O318" s="36"/>
      <c r="P318" s="36"/>
      <c r="Q318" s="36"/>
      <c r="R318" s="36"/>
      <c r="S318" s="36"/>
      <c r="T318" s="36"/>
      <c r="U318" s="36"/>
      <c r="V318" s="36"/>
      <c r="W318" s="36"/>
      <c r="X318" s="36"/>
      <c r="Y318" s="36"/>
      <c r="Z318" s="36"/>
      <c r="AA318" s="36"/>
      <c r="AB318" s="36"/>
      <c r="AC318" s="36"/>
      <c r="AD318" s="36"/>
      <c r="AE318" s="36"/>
      <c r="AF318" s="36"/>
      <c r="AG318" s="36"/>
      <c r="AH318" s="36" t="s">
        <v>453</v>
      </c>
      <c r="AI318" s="36"/>
      <c r="AJ318" s="36"/>
      <c r="AK318" s="36"/>
      <c r="AL318" s="36"/>
      <c r="AM318" s="37"/>
      <c r="AN318" s="37"/>
      <c r="AO318" s="37"/>
      <c r="AP318" s="37"/>
      <c r="AQ318" s="37"/>
      <c r="AR318" s="37"/>
      <c r="AS318" s="36"/>
      <c r="AT318" s="36"/>
      <c r="AU318" s="36"/>
      <c r="AV318" s="37"/>
      <c r="AW318" s="37"/>
      <c r="AX318" s="37"/>
      <c r="AY318" s="37"/>
      <c r="AZ318" s="37"/>
      <c r="BA318" s="37"/>
      <c r="BB318" s="37"/>
      <c r="BC318" s="37"/>
      <c r="BD318" s="37"/>
      <c r="BE318" s="37"/>
      <c r="BF318" s="37"/>
      <c r="BG318" s="37"/>
      <c r="BH318" s="37"/>
      <c r="BI318" s="37"/>
      <c r="BJ318" s="37"/>
      <c r="BK318" s="37"/>
      <c r="BL318" s="37"/>
      <c r="BM318" s="37"/>
      <c r="BN318" s="37"/>
      <c r="BO318" s="37"/>
      <c r="BP318" s="37"/>
      <c r="BQ318" s="37"/>
      <c r="BR318" s="37"/>
      <c r="BS318" s="37"/>
    </row>
    <row r="319" spans="1:71" ht="15" x14ac:dyDescent="0.25">
      <c r="A319" s="37"/>
      <c r="B319" s="37"/>
      <c r="C319" s="37"/>
      <c r="D319" s="37"/>
      <c r="E319" s="37"/>
      <c r="F319" s="37"/>
      <c r="G319" s="37"/>
      <c r="H319" s="37"/>
      <c r="I319" s="37"/>
      <c r="J319" s="37"/>
      <c r="K319" s="37"/>
      <c r="L319" s="37"/>
      <c r="M319" s="37"/>
      <c r="N319" s="37"/>
      <c r="O319" s="37"/>
      <c r="P319" s="37"/>
      <c r="Q319" s="37"/>
      <c r="R319" s="37"/>
      <c r="S319" s="37"/>
      <c r="T319" s="37"/>
      <c r="U319" s="37"/>
      <c r="V319" s="37"/>
      <c r="W319" s="37"/>
      <c r="X319" s="37"/>
      <c r="Y319" s="37"/>
      <c r="Z319" s="37"/>
      <c r="AA319" s="37"/>
      <c r="AB319" s="37"/>
      <c r="AC319" s="37"/>
      <c r="AD319" s="37"/>
      <c r="AE319" s="37"/>
      <c r="AF319" s="37"/>
      <c r="AG319" s="37"/>
      <c r="AH319" s="37"/>
      <c r="AI319" s="37"/>
      <c r="AJ319" s="37"/>
      <c r="AK319" s="37"/>
      <c r="AL319" s="37"/>
      <c r="AM319" s="37"/>
      <c r="AN319" s="37"/>
      <c r="AO319" s="37"/>
      <c r="AP319" s="37"/>
      <c r="AQ319" s="37"/>
      <c r="AR319" s="37"/>
      <c r="AS319" s="37"/>
      <c r="AT319" s="37"/>
      <c r="AU319" s="37"/>
      <c r="AV319" s="37"/>
      <c r="AW319" s="37"/>
      <c r="AX319" s="37"/>
      <c r="AY319" s="37"/>
      <c r="AZ319" s="37"/>
      <c r="BA319" s="37"/>
      <c r="BB319" s="37"/>
      <c r="BC319" s="37"/>
      <c r="BD319" s="37"/>
      <c r="BE319" s="37"/>
      <c r="BF319" s="37"/>
      <c r="BG319" s="37"/>
      <c r="BH319" s="37"/>
      <c r="BI319" s="37"/>
      <c r="BJ319" s="37"/>
      <c r="BK319" s="37"/>
      <c r="BL319" s="37"/>
      <c r="BM319" s="37"/>
      <c r="BN319" s="37"/>
      <c r="BO319" s="37"/>
      <c r="BP319" s="37"/>
      <c r="BQ319" s="37"/>
      <c r="BR319" s="37"/>
      <c r="BS319" s="37"/>
    </row>
    <row r="320" spans="1:71" ht="15" x14ac:dyDescent="0.25">
      <c r="A320" s="37"/>
      <c r="B320" s="37"/>
      <c r="C320" s="37"/>
      <c r="D320" s="37"/>
      <c r="E320" s="37"/>
      <c r="F320" s="37"/>
      <c r="G320" s="37"/>
      <c r="H320" s="37"/>
      <c r="I320" s="37"/>
      <c r="J320" s="37"/>
      <c r="K320" s="37"/>
      <c r="L320" s="37"/>
      <c r="M320" s="37"/>
      <c r="N320" s="37"/>
      <c r="O320" s="37"/>
      <c r="P320" s="37"/>
      <c r="Q320" s="37"/>
      <c r="R320" s="37"/>
      <c r="S320" s="37"/>
      <c r="T320" s="37"/>
      <c r="U320" s="37"/>
      <c r="V320" s="37"/>
      <c r="W320" s="37"/>
      <c r="X320" s="37"/>
      <c r="Y320" s="37"/>
      <c r="Z320" s="37"/>
      <c r="AA320" s="37"/>
      <c r="AB320" s="37"/>
      <c r="AC320" s="37"/>
      <c r="AD320" s="37"/>
      <c r="AE320" s="37"/>
      <c r="AF320" s="37"/>
      <c r="AG320" s="37"/>
      <c r="AH320" s="37"/>
      <c r="AI320" s="37"/>
      <c r="AJ320" s="37"/>
      <c r="AK320" s="37"/>
      <c r="AL320" s="37"/>
      <c r="AM320" s="37"/>
      <c r="AN320" s="36"/>
      <c r="AO320" s="36"/>
      <c r="AP320" s="36"/>
      <c r="AQ320" s="36"/>
      <c r="AR320" s="36"/>
      <c r="AS320" s="36"/>
      <c r="AT320" s="37"/>
      <c r="AU320" s="37"/>
      <c r="AV320" s="37"/>
      <c r="AW320" s="37"/>
      <c r="AX320" s="37"/>
      <c r="AY320" s="37"/>
      <c r="AZ320" s="37"/>
      <c r="BA320" s="37"/>
      <c r="BB320" s="37"/>
      <c r="BC320" s="37"/>
      <c r="BD320" s="37"/>
      <c r="BE320" s="37"/>
      <c r="BF320" s="37"/>
      <c r="BG320" s="37"/>
      <c r="BH320" s="37"/>
      <c r="BI320" s="37"/>
      <c r="BJ320" s="37"/>
      <c r="BK320" s="37"/>
      <c r="BL320" s="37"/>
      <c r="BM320" s="37"/>
      <c r="BN320" s="37"/>
      <c r="BO320" s="37"/>
      <c r="BP320" s="37"/>
      <c r="BQ320" s="37"/>
      <c r="BR320" s="37"/>
      <c r="BS320" s="37"/>
    </row>
    <row r="321" spans="1:71" ht="15" x14ac:dyDescent="0.25">
      <c r="A321" s="37"/>
      <c r="B321" s="37"/>
      <c r="C321" s="37"/>
      <c r="D321" s="37"/>
      <c r="E321" s="37"/>
      <c r="F321" s="37" t="s">
        <v>580</v>
      </c>
      <c r="G321" s="37"/>
      <c r="H321" s="37"/>
      <c r="I321" s="37"/>
      <c r="J321" s="37"/>
      <c r="K321" s="37"/>
      <c r="L321" s="37"/>
      <c r="M321" s="37"/>
      <c r="N321" s="37"/>
      <c r="O321" s="37"/>
      <c r="P321" s="37"/>
      <c r="Q321" s="37"/>
      <c r="R321" s="37"/>
      <c r="S321" s="37"/>
      <c r="T321" s="37"/>
      <c r="U321" s="37"/>
      <c r="V321" s="37"/>
      <c r="W321" s="37"/>
      <c r="X321" s="37"/>
      <c r="Y321" s="37"/>
      <c r="Z321" s="37"/>
      <c r="AA321" s="37"/>
      <c r="AB321" s="37"/>
      <c r="AC321" s="37"/>
      <c r="AD321" s="37"/>
      <c r="AE321" s="37"/>
      <c r="AF321" s="37"/>
      <c r="AG321" s="37"/>
      <c r="AH321" s="37" t="s">
        <v>579</v>
      </c>
      <c r="AI321" s="37"/>
      <c r="AJ321" s="37"/>
      <c r="AK321" s="37"/>
      <c r="AL321" s="37"/>
      <c r="AM321" s="37"/>
      <c r="AN321" s="36"/>
      <c r="AO321" s="36"/>
      <c r="AP321" s="36"/>
      <c r="AQ321" s="36"/>
      <c r="AR321" s="36"/>
      <c r="AS321" s="36"/>
      <c r="AT321" s="37"/>
      <c r="AU321" s="37"/>
      <c r="AV321" s="37"/>
      <c r="AW321" s="37"/>
      <c r="AX321" s="37"/>
      <c r="AY321" s="37"/>
      <c r="AZ321" s="37"/>
      <c r="BA321" s="37"/>
      <c r="BB321" s="37"/>
      <c r="BC321" s="37"/>
      <c r="BD321" s="37"/>
      <c r="BE321" s="37"/>
      <c r="BF321" s="37"/>
      <c r="BG321" s="37"/>
      <c r="BH321" s="37"/>
      <c r="BI321" s="37"/>
      <c r="BJ321" s="37"/>
      <c r="BK321" s="37"/>
      <c r="BL321" s="37"/>
      <c r="BM321" s="37"/>
      <c r="BN321" s="37"/>
      <c r="BO321" s="37"/>
      <c r="BP321" s="37"/>
      <c r="BQ321" s="37"/>
      <c r="BR321" s="37"/>
      <c r="BS321" s="37"/>
    </row>
    <row r="322" spans="1:71" ht="15" x14ac:dyDescent="0.25">
      <c r="A322" s="37"/>
      <c r="B322" s="37"/>
      <c r="C322" s="37"/>
      <c r="D322" s="37"/>
      <c r="E322" s="37"/>
      <c r="F322" s="37"/>
      <c r="G322" s="37"/>
      <c r="H322" s="37"/>
      <c r="I322" s="37"/>
      <c r="J322" s="37"/>
      <c r="K322" s="37"/>
      <c r="L322" s="37"/>
      <c r="M322" s="37"/>
      <c r="N322" s="37"/>
      <c r="O322" s="37"/>
      <c r="P322" s="37"/>
      <c r="Q322" s="37"/>
      <c r="R322" s="37"/>
      <c r="S322" s="37"/>
      <c r="T322" s="37"/>
      <c r="U322" s="37"/>
      <c r="V322" s="37"/>
      <c r="W322" s="37"/>
      <c r="X322" s="37"/>
      <c r="Y322" s="37"/>
      <c r="Z322" s="37"/>
      <c r="AA322" s="37"/>
      <c r="AB322" s="37"/>
      <c r="AC322" s="37"/>
      <c r="AD322" s="37"/>
      <c r="AE322" s="37"/>
      <c r="AF322" s="37"/>
      <c r="AG322" s="37"/>
      <c r="AH322" s="37"/>
      <c r="AI322" s="37"/>
      <c r="AJ322" s="37"/>
      <c r="AK322" s="37"/>
      <c r="AL322" s="37"/>
      <c r="AM322" s="37"/>
      <c r="AN322" s="36"/>
      <c r="AO322" s="36"/>
      <c r="AP322" s="36"/>
      <c r="AQ322" s="36"/>
      <c r="AR322" s="36"/>
      <c r="AS322" s="36"/>
      <c r="AT322" s="37"/>
      <c r="AU322" s="37"/>
      <c r="AV322" s="37"/>
      <c r="AW322" s="37"/>
      <c r="AX322" s="37"/>
      <c r="AY322" s="37"/>
      <c r="AZ322" s="37"/>
      <c r="BA322" s="37"/>
      <c r="BB322" s="37"/>
      <c r="BC322" s="37"/>
      <c r="BD322" s="37"/>
      <c r="BE322" s="37"/>
      <c r="BF322" s="37"/>
      <c r="BG322" s="37"/>
      <c r="BH322" s="37"/>
      <c r="BI322" s="37"/>
      <c r="BJ322" s="37"/>
      <c r="BK322" s="37"/>
      <c r="BL322" s="37"/>
      <c r="BM322" s="37"/>
      <c r="BN322" s="37"/>
      <c r="BO322" s="37"/>
      <c r="BP322" s="37"/>
      <c r="BQ322" s="37"/>
      <c r="BR322" s="37"/>
      <c r="BS322" s="37"/>
    </row>
    <row r="323" spans="1:71" ht="15" x14ac:dyDescent="0.25">
      <c r="A323" s="37"/>
      <c r="B323" s="37"/>
      <c r="C323" s="37"/>
      <c r="D323" s="37"/>
      <c r="E323" s="37"/>
      <c r="F323" s="37"/>
      <c r="G323" s="37"/>
      <c r="H323" s="37"/>
      <c r="I323" s="37"/>
      <c r="J323" s="37"/>
      <c r="K323" s="37"/>
      <c r="L323" s="37"/>
      <c r="M323" s="37"/>
      <c r="N323" s="37"/>
      <c r="O323" s="37"/>
      <c r="P323" s="37"/>
      <c r="Q323" s="37"/>
      <c r="R323" s="37"/>
      <c r="S323" s="37"/>
      <c r="T323" s="37"/>
      <c r="U323" s="37"/>
      <c r="V323" s="37"/>
      <c r="W323" s="37"/>
      <c r="X323" s="37"/>
      <c r="Y323" s="37"/>
      <c r="Z323" s="37"/>
      <c r="AA323" s="37"/>
      <c r="AB323" s="37"/>
      <c r="AC323" s="37"/>
      <c r="AD323" s="37"/>
      <c r="AE323" s="37"/>
      <c r="AF323" s="37"/>
      <c r="AG323" s="37"/>
      <c r="AH323" s="37"/>
      <c r="AI323" s="37"/>
      <c r="AJ323" s="37"/>
      <c r="AK323" s="37"/>
      <c r="AL323" s="37"/>
      <c r="AM323" s="37"/>
      <c r="AN323" s="37"/>
      <c r="AO323" s="37"/>
      <c r="AP323" s="37"/>
      <c r="AQ323" s="37"/>
      <c r="AR323" s="37"/>
      <c r="AS323" s="37"/>
      <c r="AT323" s="37"/>
      <c r="AU323" s="71"/>
      <c r="AV323" s="71"/>
      <c r="AW323" s="71"/>
      <c r="AX323" s="71"/>
      <c r="AY323" s="71"/>
      <c r="AZ323" s="71"/>
      <c r="BA323" s="37"/>
      <c r="BB323" s="37"/>
      <c r="BC323" s="37"/>
      <c r="BD323" s="37"/>
      <c r="BE323" s="37"/>
      <c r="BF323" s="37"/>
      <c r="BG323" s="37"/>
      <c r="BH323" s="37"/>
      <c r="BI323" s="37"/>
      <c r="BJ323" s="37"/>
      <c r="BK323" s="37"/>
      <c r="BL323" s="37"/>
      <c r="BM323" s="37"/>
      <c r="BN323" s="37"/>
      <c r="BO323" s="37"/>
      <c r="BP323" s="37"/>
      <c r="BQ323" s="37"/>
      <c r="BR323" s="37"/>
      <c r="BS323" s="37"/>
    </row>
    <row r="324" spans="1:71" ht="15.75" x14ac:dyDescent="0.25">
      <c r="F324" s="37" t="s">
        <v>642</v>
      </c>
      <c r="AH324" s="20" t="s">
        <v>643</v>
      </c>
      <c r="AK324" s="198"/>
      <c r="AL324" s="198"/>
      <c r="AM324" s="198"/>
      <c r="AN324" s="187"/>
      <c r="AO324" s="187"/>
      <c r="AP324" s="187"/>
      <c r="AQ324" s="187"/>
      <c r="AR324" s="187"/>
      <c r="AS324" s="187"/>
      <c r="AT324" s="187"/>
      <c r="AU324" s="187"/>
      <c r="AV324" s="187"/>
      <c r="AW324" s="187"/>
      <c r="AX324" s="187"/>
      <c r="AY324" s="187"/>
      <c r="AZ324" s="187"/>
    </row>
    <row r="325" spans="1:71" ht="15" x14ac:dyDescent="0.2">
      <c r="F325" s="198"/>
      <c r="G325" s="198"/>
      <c r="H325" s="198"/>
      <c r="I325" s="198"/>
      <c r="J325" s="198"/>
      <c r="K325" s="198"/>
      <c r="L325" s="198"/>
      <c r="M325" s="198"/>
      <c r="N325" s="198"/>
      <c r="O325" s="198"/>
      <c r="P325" s="198"/>
      <c r="Q325" s="198"/>
      <c r="R325" s="198"/>
      <c r="S325" s="198"/>
      <c r="T325" s="198"/>
      <c r="U325" s="198"/>
      <c r="V325" s="198"/>
      <c r="W325" s="198"/>
      <c r="X325" s="198"/>
      <c r="Y325" s="198"/>
      <c r="Z325" s="198"/>
      <c r="AA325" s="198"/>
      <c r="AB325" s="198"/>
      <c r="AC325" s="198"/>
      <c r="AD325" s="198"/>
      <c r="AE325" s="198"/>
      <c r="AF325" s="198"/>
      <c r="AG325" s="198"/>
      <c r="AH325" s="198" t="s">
        <v>732</v>
      </c>
      <c r="AI325" s="198"/>
      <c r="AJ325" s="198"/>
      <c r="AK325" s="198"/>
      <c r="AL325" s="198"/>
      <c r="AM325" s="198"/>
      <c r="AN325" s="187"/>
      <c r="AO325" s="187"/>
      <c r="AP325" s="187"/>
      <c r="AQ325" s="187"/>
      <c r="AR325" s="187"/>
      <c r="AS325" s="187"/>
      <c r="AT325" s="187"/>
      <c r="AU325" s="187"/>
      <c r="AV325" s="187"/>
      <c r="AW325" s="187"/>
      <c r="AX325" s="187"/>
      <c r="AY325" s="187"/>
      <c r="AZ325" s="187"/>
    </row>
    <row r="326" spans="1:71" ht="15" x14ac:dyDescent="0.2">
      <c r="F326" s="198"/>
      <c r="G326" s="198"/>
      <c r="H326" s="198"/>
      <c r="I326" s="198"/>
      <c r="J326" s="198"/>
      <c r="K326" s="198"/>
      <c r="L326" s="198"/>
      <c r="M326" s="198"/>
      <c r="N326" s="198"/>
      <c r="O326" s="198"/>
      <c r="P326" s="198"/>
      <c r="Q326" s="198"/>
      <c r="R326" s="198"/>
      <c r="S326" s="198"/>
      <c r="T326" s="198"/>
      <c r="U326" s="198"/>
      <c r="V326" s="198"/>
      <c r="W326" s="198"/>
      <c r="X326" s="198"/>
      <c r="Y326" s="198"/>
      <c r="Z326" s="198"/>
      <c r="AA326" s="198"/>
      <c r="AB326" s="198"/>
      <c r="AC326" s="198"/>
      <c r="AD326" s="198"/>
      <c r="AE326" s="198"/>
      <c r="AF326" s="198"/>
      <c r="AG326" s="198"/>
      <c r="AH326" s="198"/>
      <c r="AI326" s="198"/>
      <c r="AJ326" s="198"/>
      <c r="AK326" s="198"/>
      <c r="AL326" s="198"/>
      <c r="AM326" s="198"/>
      <c r="AN326" s="187"/>
      <c r="AO326" s="187"/>
      <c r="AP326" s="187"/>
      <c r="AQ326" s="187"/>
      <c r="AR326" s="187"/>
      <c r="AS326" s="187"/>
      <c r="AT326" s="187"/>
      <c r="AU326" s="187"/>
      <c r="AV326" s="187"/>
      <c r="AW326" s="187"/>
      <c r="AX326" s="187"/>
      <c r="AY326" s="187"/>
      <c r="AZ326" s="187"/>
    </row>
    <row r="327" spans="1:71" ht="15" x14ac:dyDescent="0.2">
      <c r="F327" s="20" t="s">
        <v>644</v>
      </c>
      <c r="AH327" s="20" t="s">
        <v>645</v>
      </c>
      <c r="AN327" s="187"/>
      <c r="AO327" s="187"/>
      <c r="AP327" s="187"/>
      <c r="AQ327" s="187"/>
      <c r="AR327" s="187"/>
      <c r="AS327" s="187"/>
      <c r="AT327" s="187"/>
      <c r="AU327" s="187"/>
      <c r="AV327" s="187"/>
      <c r="AW327" s="187"/>
      <c r="AX327" s="187"/>
      <c r="AY327" s="187"/>
      <c r="AZ327" s="187"/>
    </row>
    <row r="328" spans="1:71" ht="15" x14ac:dyDescent="0.2">
      <c r="F328" s="187"/>
      <c r="G328" s="187"/>
      <c r="H328" s="187"/>
      <c r="I328" s="187"/>
      <c r="J328" s="187"/>
      <c r="K328" s="187"/>
      <c r="L328" s="187"/>
      <c r="M328" s="187"/>
      <c r="N328" s="187"/>
      <c r="O328" s="187"/>
      <c r="P328" s="187"/>
      <c r="Q328" s="187"/>
      <c r="R328" s="187"/>
      <c r="S328" s="187"/>
      <c r="T328" s="187"/>
      <c r="U328" s="187"/>
      <c r="V328" s="187"/>
      <c r="W328" s="187"/>
      <c r="X328" s="187"/>
      <c r="Y328" s="187"/>
      <c r="Z328" s="187"/>
      <c r="AA328" s="187"/>
      <c r="AB328" s="187"/>
      <c r="AC328" s="187"/>
      <c r="AD328" s="187"/>
      <c r="AE328" s="187"/>
      <c r="AF328" s="187"/>
      <c r="AG328" s="187"/>
      <c r="AH328" s="187"/>
      <c r="AI328" s="187"/>
      <c r="AJ328" s="187"/>
      <c r="AK328" s="4"/>
      <c r="AL328" s="187"/>
      <c r="AM328" s="187"/>
      <c r="AN328" s="187"/>
      <c r="AO328" s="187"/>
      <c r="AP328" s="187"/>
      <c r="AQ328" s="187"/>
      <c r="AR328" s="187"/>
      <c r="AS328" s="187"/>
      <c r="AT328" s="187"/>
      <c r="AU328" s="198"/>
      <c r="AV328" s="198"/>
      <c r="AW328" s="198"/>
      <c r="AX328" s="198"/>
      <c r="AY328" s="198"/>
      <c r="AZ328" s="187"/>
    </row>
    <row r="329" spans="1:71" ht="15" x14ac:dyDescent="0.2">
      <c r="F329" s="187"/>
      <c r="G329" s="187"/>
      <c r="H329" s="187"/>
      <c r="I329" s="187"/>
      <c r="J329" s="187"/>
      <c r="K329" s="187"/>
      <c r="L329" s="187"/>
      <c r="M329" s="187"/>
      <c r="N329" s="187"/>
      <c r="O329" s="187"/>
      <c r="P329" s="187"/>
      <c r="Q329" s="187"/>
      <c r="R329" s="187"/>
      <c r="S329" s="187"/>
      <c r="T329" s="187"/>
      <c r="U329" s="187"/>
      <c r="V329" s="187"/>
      <c r="W329" s="187"/>
      <c r="X329" s="187"/>
      <c r="Y329" s="187"/>
      <c r="Z329" s="187"/>
      <c r="AA329" s="187"/>
      <c r="AB329" s="187"/>
      <c r="AC329" s="187"/>
      <c r="AD329" s="187"/>
      <c r="AE329" s="187"/>
      <c r="AF329" s="187"/>
      <c r="AG329" s="187"/>
      <c r="AH329" s="187"/>
      <c r="AI329" s="187"/>
      <c r="AJ329" s="187"/>
      <c r="AK329" s="4"/>
      <c r="AL329" s="187"/>
      <c r="AM329" s="187"/>
      <c r="AN329" s="198"/>
      <c r="AO329" s="198"/>
      <c r="AP329" s="198"/>
      <c r="AQ329" s="198"/>
      <c r="AR329" s="198"/>
      <c r="AS329" s="198"/>
      <c r="AT329" s="198"/>
      <c r="AU329" s="198"/>
      <c r="AV329" s="198"/>
      <c r="AW329" s="198"/>
      <c r="AX329" s="198"/>
      <c r="AY329" s="198"/>
      <c r="AZ329" s="187"/>
    </row>
    <row r="330" spans="1:71" ht="15" x14ac:dyDescent="0.2">
      <c r="F330" s="187"/>
      <c r="G330" s="187"/>
      <c r="H330" s="187"/>
      <c r="I330" s="187"/>
      <c r="J330" s="187"/>
      <c r="K330" s="187"/>
      <c r="L330" s="187"/>
      <c r="M330" s="187"/>
      <c r="N330" s="187"/>
      <c r="O330" s="187"/>
      <c r="P330" s="187"/>
      <c r="Q330" s="187"/>
      <c r="R330" s="187"/>
      <c r="S330" s="187"/>
      <c r="T330" s="187"/>
      <c r="U330" s="187"/>
      <c r="V330" s="187"/>
      <c r="W330" s="187"/>
      <c r="X330" s="187"/>
      <c r="Y330" s="187"/>
      <c r="Z330" s="187"/>
      <c r="AA330" s="187"/>
      <c r="AB330" s="187"/>
      <c r="AC330" s="187"/>
      <c r="AD330" s="187"/>
      <c r="AE330" s="187"/>
      <c r="AF330" s="187"/>
      <c r="AG330" s="187"/>
      <c r="AH330" s="187"/>
      <c r="AI330" s="187"/>
      <c r="AJ330" s="187"/>
      <c r="AK330" s="4"/>
      <c r="AL330" s="187"/>
      <c r="AM330" s="187"/>
      <c r="AN330" s="198"/>
      <c r="AO330" s="198"/>
      <c r="AP330" s="198"/>
      <c r="AQ330" s="198"/>
      <c r="AR330" s="198"/>
      <c r="AS330" s="198"/>
      <c r="AT330" s="198"/>
    </row>
    <row r="331" spans="1:71" ht="15" x14ac:dyDescent="0.2">
      <c r="F331" s="187"/>
      <c r="G331" s="187"/>
      <c r="H331" s="187"/>
      <c r="I331" s="187"/>
      <c r="J331" s="187"/>
      <c r="K331" s="187"/>
      <c r="L331" s="187"/>
      <c r="M331" s="187"/>
      <c r="N331" s="187"/>
      <c r="O331" s="187"/>
      <c r="P331" s="187"/>
      <c r="Q331" s="187"/>
      <c r="R331" s="187"/>
      <c r="S331" s="187"/>
      <c r="T331" s="187"/>
      <c r="U331" s="187"/>
      <c r="V331" s="187"/>
      <c r="W331" s="187"/>
      <c r="X331" s="187"/>
      <c r="Y331" s="187"/>
      <c r="Z331" s="187"/>
      <c r="AA331" s="187"/>
      <c r="AB331" s="187"/>
      <c r="AC331" s="187"/>
      <c r="AD331" s="187"/>
      <c r="AE331" s="187"/>
      <c r="AF331" s="187"/>
      <c r="AG331" s="187"/>
      <c r="AH331" s="187"/>
      <c r="AI331" s="187"/>
      <c r="AJ331" s="187"/>
      <c r="AK331" s="4"/>
      <c r="AL331" s="187"/>
      <c r="AM331" s="187"/>
    </row>
    <row r="332" spans="1:71" ht="15" x14ac:dyDescent="0.2">
      <c r="F332" s="198"/>
      <c r="G332" s="199"/>
      <c r="H332" s="199"/>
      <c r="I332" s="199"/>
      <c r="J332" s="199"/>
      <c r="K332" s="199"/>
      <c r="L332" s="199"/>
      <c r="M332" s="199"/>
      <c r="N332" s="199"/>
      <c r="O332" s="199"/>
      <c r="P332" s="199"/>
      <c r="Q332" s="199"/>
      <c r="R332" s="199"/>
      <c r="S332" s="199"/>
      <c r="T332" s="199"/>
      <c r="U332" s="199"/>
      <c r="V332" s="199"/>
      <c r="W332" s="199"/>
      <c r="X332" s="199"/>
      <c r="Y332" s="199"/>
      <c r="Z332" s="199"/>
      <c r="AA332" s="199"/>
      <c r="AB332" s="199"/>
      <c r="AC332" s="199"/>
      <c r="AD332" s="199"/>
      <c r="AE332" s="199"/>
      <c r="AF332" s="198"/>
      <c r="AG332" s="198"/>
      <c r="AH332" s="200"/>
      <c r="AI332" s="198"/>
      <c r="AJ332" s="198"/>
      <c r="AK332" s="198"/>
      <c r="AL332" s="198"/>
      <c r="AM332" s="198"/>
      <c r="AN332" s="201"/>
      <c r="AO332" s="201"/>
      <c r="AP332" s="201"/>
      <c r="AQ332" s="201"/>
      <c r="AR332" s="201"/>
      <c r="AS332" s="201"/>
      <c r="AT332" s="201"/>
    </row>
    <row r="333" spans="1:71" ht="15" x14ac:dyDescent="0.2">
      <c r="F333" s="199"/>
      <c r="G333" s="199"/>
      <c r="H333" s="199"/>
      <c r="I333" s="199"/>
      <c r="J333" s="199"/>
      <c r="K333" s="199"/>
      <c r="L333" s="199"/>
      <c r="M333" s="199"/>
      <c r="N333" s="199"/>
      <c r="O333" s="199"/>
      <c r="P333" s="199"/>
      <c r="Q333" s="199"/>
      <c r="R333" s="199"/>
      <c r="S333" s="199"/>
      <c r="T333" s="199"/>
      <c r="U333" s="199"/>
      <c r="V333" s="199"/>
      <c r="W333" s="199"/>
      <c r="X333" s="199"/>
      <c r="Y333" s="199"/>
      <c r="Z333" s="199"/>
      <c r="AA333" s="199"/>
      <c r="AB333" s="199"/>
      <c r="AC333" s="199"/>
      <c r="AD333" s="199"/>
      <c r="AE333" s="199"/>
      <c r="AF333" s="198"/>
      <c r="AG333" s="198"/>
      <c r="AH333" s="198"/>
      <c r="AI333" s="198"/>
      <c r="AJ333" s="198"/>
      <c r="AK333" s="198"/>
      <c r="AL333" s="198"/>
      <c r="AM333" s="198"/>
      <c r="AN333" s="201"/>
      <c r="AO333" s="201"/>
      <c r="AP333" s="201"/>
      <c r="AQ333" s="201"/>
      <c r="AR333" s="201"/>
      <c r="AS333" s="201"/>
      <c r="AT333" s="201"/>
    </row>
    <row r="335" spans="1:71" ht="15" x14ac:dyDescent="0.2">
      <c r="AI335" s="201"/>
      <c r="AJ335" s="201"/>
      <c r="AK335" s="201"/>
      <c r="AL335" s="201"/>
      <c r="AM335" s="201"/>
      <c r="AU335" s="199"/>
    </row>
    <row r="336" spans="1:71" ht="15" x14ac:dyDescent="0.2">
      <c r="AI336" s="201"/>
      <c r="AJ336" s="201"/>
      <c r="AK336" s="201"/>
      <c r="AL336" s="201"/>
      <c r="AM336" s="201"/>
      <c r="AN336" s="199"/>
      <c r="AO336" s="199"/>
      <c r="AP336" s="199"/>
      <c r="AQ336" s="199"/>
      <c r="AR336" s="199"/>
      <c r="AS336" s="199"/>
      <c r="AT336" s="199"/>
      <c r="AU336" s="199"/>
    </row>
    <row r="337" spans="6:118" x14ac:dyDescent="0.2">
      <c r="AN337" s="199"/>
      <c r="AO337" s="199"/>
      <c r="AP337" s="199"/>
      <c r="AQ337" s="199"/>
      <c r="AR337" s="199"/>
      <c r="AS337" s="199"/>
      <c r="AT337" s="199"/>
    </row>
    <row r="339" spans="6:118" ht="15" x14ac:dyDescent="0.2">
      <c r="F339" s="198"/>
      <c r="G339" s="198"/>
      <c r="H339" s="198"/>
      <c r="I339" s="198"/>
      <c r="J339" s="198"/>
      <c r="K339" s="198"/>
      <c r="L339" s="198"/>
      <c r="M339" s="198"/>
      <c r="N339" s="198"/>
      <c r="O339" s="198"/>
      <c r="P339" s="198"/>
      <c r="Q339" s="198"/>
      <c r="R339" s="198"/>
      <c r="S339" s="198"/>
      <c r="T339" s="198"/>
      <c r="U339" s="198"/>
      <c r="V339" s="198"/>
      <c r="W339" s="198"/>
      <c r="X339" s="198"/>
      <c r="Y339" s="199"/>
      <c r="Z339" s="199"/>
      <c r="AA339" s="199"/>
      <c r="AB339" s="199"/>
      <c r="AC339" s="199"/>
      <c r="AD339" s="199"/>
      <c r="AE339" s="199"/>
      <c r="AF339" s="199"/>
      <c r="AG339" s="199"/>
      <c r="AH339" s="198"/>
      <c r="AI339" s="199"/>
      <c r="AJ339" s="199"/>
      <c r="AK339" s="199"/>
      <c r="AL339" s="199"/>
      <c r="AM339" s="199"/>
    </row>
    <row r="340" spans="6:118" ht="15" x14ac:dyDescent="0.2">
      <c r="F340" s="199"/>
      <c r="G340" s="198"/>
      <c r="H340" s="198"/>
      <c r="I340" s="198"/>
      <c r="J340" s="198"/>
      <c r="K340" s="198"/>
      <c r="L340" s="198"/>
      <c r="M340" s="198"/>
      <c r="N340" s="198"/>
      <c r="O340" s="198"/>
      <c r="P340" s="198"/>
      <c r="Q340" s="198"/>
      <c r="R340" s="198"/>
      <c r="S340" s="198"/>
      <c r="T340" s="198"/>
      <c r="U340" s="198"/>
      <c r="V340" s="198"/>
      <c r="W340" s="198"/>
      <c r="X340" s="198"/>
      <c r="Y340" s="199"/>
      <c r="Z340" s="199"/>
      <c r="AA340" s="199"/>
      <c r="AB340" s="199"/>
      <c r="AC340" s="199"/>
      <c r="AD340" s="199"/>
      <c r="AE340" s="199"/>
      <c r="AF340" s="199"/>
      <c r="AG340" s="199"/>
      <c r="AH340" s="198"/>
      <c r="AI340" s="199"/>
      <c r="AJ340" s="199"/>
      <c r="AK340" s="199"/>
      <c r="AL340" s="199"/>
      <c r="AM340" s="199"/>
    </row>
    <row r="343" spans="6:118" ht="15" x14ac:dyDescent="0.2">
      <c r="F343" s="199"/>
      <c r="G343" s="199"/>
      <c r="H343" s="199"/>
      <c r="I343" s="199"/>
      <c r="J343" s="199"/>
      <c r="K343" s="199"/>
      <c r="L343" s="199"/>
      <c r="M343" s="199"/>
      <c r="N343" s="199"/>
      <c r="O343" s="199"/>
      <c r="P343" s="199"/>
      <c r="Q343" s="199"/>
      <c r="R343" s="199"/>
      <c r="S343" s="199"/>
      <c r="T343" s="199"/>
      <c r="U343" s="199"/>
      <c r="V343" s="199"/>
      <c r="W343" s="199"/>
      <c r="X343" s="199"/>
      <c r="Y343" s="199"/>
      <c r="Z343" s="199"/>
      <c r="AA343" s="199"/>
      <c r="AB343" s="199"/>
      <c r="AC343" s="199"/>
      <c r="AD343" s="199"/>
      <c r="AE343" s="199"/>
      <c r="AF343" s="198"/>
      <c r="AG343" s="198"/>
      <c r="AH343" s="198"/>
      <c r="AI343" s="198"/>
      <c r="AJ343" s="198"/>
      <c r="AK343" s="198"/>
      <c r="AL343" s="198"/>
      <c r="AM343" s="198"/>
      <c r="AN343" s="201"/>
      <c r="AO343" s="201"/>
      <c r="AP343" s="201"/>
      <c r="AQ343" s="201"/>
      <c r="AR343" s="201"/>
      <c r="AS343" s="201"/>
      <c r="AT343" s="201"/>
    </row>
    <row r="345" spans="6:118" ht="15" x14ac:dyDescent="0.2">
      <c r="F345" s="187"/>
      <c r="G345" s="187"/>
      <c r="H345" s="187"/>
      <c r="I345" s="187"/>
      <c r="J345" s="187"/>
      <c r="K345" s="187"/>
      <c r="L345" s="187"/>
      <c r="M345" s="187"/>
      <c r="N345" s="187"/>
      <c r="O345" s="187"/>
      <c r="P345" s="187"/>
      <c r="Q345" s="187"/>
      <c r="R345" s="187"/>
      <c r="S345" s="187"/>
      <c r="T345" s="187"/>
      <c r="U345" s="187"/>
      <c r="V345" s="187"/>
      <c r="W345" s="187"/>
      <c r="X345" s="187"/>
      <c r="Y345" s="187"/>
      <c r="Z345" s="187"/>
      <c r="AA345" s="187"/>
      <c r="AB345" s="187"/>
      <c r="AC345" s="187"/>
      <c r="AD345" s="187"/>
      <c r="AE345" s="187"/>
      <c r="AF345" s="187"/>
      <c r="AG345" s="187"/>
      <c r="AH345" s="187"/>
      <c r="AI345" s="187"/>
      <c r="AJ345" s="187"/>
      <c r="AK345" s="4"/>
      <c r="AL345" s="187"/>
      <c r="AM345" s="187"/>
      <c r="BM345" s="188"/>
      <c r="BN345" s="69"/>
      <c r="BO345" s="69"/>
      <c r="BP345" s="69"/>
      <c r="BQ345" s="69"/>
      <c r="BR345" s="69"/>
      <c r="BS345" s="69"/>
      <c r="BT345" s="69"/>
      <c r="BU345" s="69"/>
      <c r="BV345" s="69"/>
      <c r="BW345" s="69"/>
      <c r="BX345" s="69"/>
      <c r="BY345" s="69"/>
      <c r="BZ345" s="69"/>
      <c r="CA345" s="69"/>
      <c r="CB345" s="69"/>
      <c r="CC345" s="69"/>
      <c r="CD345" s="69"/>
      <c r="CE345" s="69"/>
      <c r="CF345" s="69"/>
      <c r="CG345" s="69"/>
      <c r="CH345" s="69"/>
      <c r="CI345" s="69"/>
      <c r="CJ345" s="69"/>
      <c r="CK345" s="69"/>
      <c r="CL345" s="69"/>
      <c r="CM345" s="69"/>
      <c r="CN345" s="69"/>
      <c r="CO345" s="69"/>
      <c r="CP345" s="69"/>
      <c r="CQ345" s="69"/>
      <c r="CR345" s="69"/>
      <c r="CS345" s="69"/>
      <c r="CT345" s="69"/>
      <c r="CU345" s="69"/>
      <c r="CV345" s="69"/>
      <c r="CW345" s="69"/>
      <c r="CX345" s="69"/>
      <c r="CY345" s="69"/>
      <c r="CZ345" s="69"/>
      <c r="DA345" s="69"/>
      <c r="DB345" s="69"/>
      <c r="DC345" s="69"/>
      <c r="DD345" s="69"/>
      <c r="DE345" s="69"/>
      <c r="DF345" s="69"/>
      <c r="DG345" s="69"/>
      <c r="DH345" s="69"/>
      <c r="DI345" s="69"/>
      <c r="DJ345" s="69"/>
      <c r="DK345" s="69"/>
      <c r="DL345" s="69"/>
      <c r="DM345" s="69"/>
      <c r="DN345" s="69"/>
    </row>
    <row r="346" spans="6:118" ht="15" x14ac:dyDescent="0.2">
      <c r="F346" s="187"/>
      <c r="G346" s="187"/>
      <c r="H346" s="187"/>
      <c r="I346" s="187"/>
      <c r="J346" s="187"/>
      <c r="K346" s="187"/>
      <c r="L346" s="187"/>
      <c r="M346" s="187"/>
      <c r="N346" s="187"/>
      <c r="O346" s="187"/>
      <c r="P346" s="187"/>
      <c r="Q346" s="187"/>
      <c r="R346" s="187"/>
      <c r="S346" s="187"/>
      <c r="T346" s="187"/>
      <c r="U346" s="187"/>
      <c r="V346" s="187"/>
      <c r="W346" s="187"/>
      <c r="X346" s="187"/>
      <c r="Y346" s="187"/>
      <c r="Z346" s="187"/>
      <c r="AA346" s="187"/>
      <c r="AB346" s="187"/>
      <c r="AC346" s="187"/>
      <c r="AD346" s="187"/>
      <c r="AE346" s="187"/>
      <c r="AF346" s="187"/>
      <c r="AG346" s="187"/>
      <c r="AH346" s="187"/>
      <c r="AI346" s="187"/>
      <c r="AJ346" s="187"/>
      <c r="AK346" s="4"/>
      <c r="AL346" s="187"/>
      <c r="AM346" s="187"/>
      <c r="BM346" s="69"/>
      <c r="BN346" s="69"/>
      <c r="BO346" s="69"/>
      <c r="BP346" s="69"/>
      <c r="BQ346" s="69"/>
      <c r="BR346" s="69"/>
      <c r="BS346" s="69"/>
      <c r="BT346" s="69"/>
      <c r="BU346" s="69"/>
      <c r="BV346" s="69"/>
      <c r="BW346" s="69"/>
      <c r="BX346" s="69"/>
      <c r="BY346" s="69"/>
      <c r="BZ346" s="69"/>
      <c r="CA346" s="69"/>
      <c r="CB346" s="69"/>
      <c r="CC346" s="69"/>
      <c r="CD346" s="69"/>
      <c r="CE346" s="69"/>
      <c r="CF346" s="69"/>
      <c r="CG346" s="69"/>
      <c r="CH346" s="69"/>
      <c r="CI346" s="69"/>
      <c r="CJ346" s="69"/>
      <c r="CK346" s="69"/>
      <c r="CL346" s="69"/>
      <c r="CM346" s="69"/>
      <c r="CN346" s="69"/>
      <c r="CO346" s="69"/>
      <c r="CP346" s="69"/>
      <c r="CQ346" s="69"/>
      <c r="CR346" s="69"/>
      <c r="CS346" s="69"/>
      <c r="CT346" s="69"/>
      <c r="CU346" s="69"/>
      <c r="CV346" s="69"/>
      <c r="CW346" s="69"/>
      <c r="CX346" s="69"/>
      <c r="CY346" s="69"/>
      <c r="CZ346" s="69"/>
      <c r="DA346" s="69"/>
      <c r="DB346" s="69"/>
      <c r="DC346" s="69"/>
      <c r="DD346" s="69"/>
      <c r="DE346" s="69"/>
      <c r="DF346" s="69"/>
      <c r="DG346" s="69"/>
      <c r="DH346" s="69"/>
      <c r="DI346" s="69"/>
      <c r="DJ346" s="188"/>
      <c r="DK346" s="69"/>
      <c r="DL346" s="69"/>
      <c r="DM346" s="69"/>
      <c r="DN346" s="69"/>
    </row>
    <row r="347" spans="6:118" x14ac:dyDescent="0.2">
      <c r="BM347" s="69"/>
      <c r="BN347" s="69"/>
      <c r="BO347" s="69"/>
      <c r="BP347" s="69"/>
      <c r="BQ347" s="69"/>
      <c r="BR347" s="69"/>
      <c r="BS347" s="69"/>
      <c r="BT347" s="69"/>
      <c r="BU347" s="69"/>
      <c r="BV347" s="69"/>
      <c r="BW347" s="69"/>
      <c r="BX347" s="69"/>
      <c r="BY347" s="69"/>
      <c r="BZ347" s="69"/>
      <c r="CA347" s="69"/>
      <c r="CB347" s="69"/>
      <c r="CC347" s="69"/>
      <c r="CD347" s="69"/>
      <c r="CE347" s="69"/>
      <c r="CF347" s="69"/>
      <c r="CG347" s="69"/>
      <c r="CH347" s="69"/>
      <c r="CI347" s="69"/>
      <c r="CJ347" s="69"/>
      <c r="CK347" s="69"/>
      <c r="CL347" s="69"/>
      <c r="CM347" s="69"/>
      <c r="CN347" s="69"/>
      <c r="CO347" s="69"/>
      <c r="CP347" s="69"/>
      <c r="CQ347" s="69"/>
      <c r="CR347" s="69"/>
      <c r="CS347" s="69"/>
      <c r="CT347" s="69"/>
      <c r="CU347" s="69"/>
      <c r="CV347" s="69"/>
      <c r="CW347" s="69"/>
      <c r="CX347" s="69"/>
      <c r="CY347" s="69"/>
      <c r="CZ347" s="69"/>
      <c r="DA347" s="69"/>
      <c r="DB347" s="69"/>
      <c r="DC347" s="69"/>
      <c r="DD347" s="69"/>
      <c r="DE347" s="69"/>
      <c r="DF347" s="69"/>
      <c r="DG347" s="69"/>
      <c r="DH347" s="69"/>
      <c r="DI347" s="69"/>
      <c r="DJ347" s="188"/>
      <c r="DK347" s="69"/>
      <c r="DL347" s="69"/>
      <c r="DM347" s="69"/>
      <c r="DN347" s="69"/>
    </row>
    <row r="349" spans="6:118" x14ac:dyDescent="0.2">
      <c r="BM349" s="202"/>
      <c r="BN349" s="69"/>
      <c r="BO349" s="69"/>
      <c r="BP349" s="69"/>
      <c r="BQ349" s="69"/>
      <c r="BR349" s="69"/>
      <c r="BS349" s="69"/>
      <c r="BT349" s="69"/>
      <c r="BU349" s="69"/>
      <c r="BV349" s="69"/>
      <c r="BW349" s="69"/>
      <c r="BX349" s="69"/>
      <c r="BY349" s="69"/>
      <c r="BZ349" s="69"/>
      <c r="CA349" s="69"/>
      <c r="CB349" s="69"/>
      <c r="CC349" s="69"/>
      <c r="CD349" s="69"/>
      <c r="CE349" s="69"/>
      <c r="CF349" s="69"/>
      <c r="CG349" s="69"/>
      <c r="CH349" s="69"/>
      <c r="CI349" s="69"/>
      <c r="CJ349" s="69"/>
      <c r="CK349" s="69"/>
      <c r="CL349" s="69"/>
      <c r="CM349" s="69"/>
      <c r="CN349" s="69"/>
      <c r="CO349" s="69"/>
      <c r="CP349" s="69"/>
      <c r="CQ349" s="69"/>
      <c r="CR349" s="69"/>
      <c r="CS349" s="69"/>
      <c r="CT349" s="69"/>
      <c r="CU349" s="69"/>
      <c r="CV349" s="69"/>
      <c r="CW349" s="69"/>
      <c r="CX349" s="69"/>
      <c r="CY349" s="69"/>
      <c r="CZ349" s="69"/>
      <c r="DA349" s="69"/>
      <c r="DB349" s="69"/>
      <c r="DC349" s="69"/>
      <c r="DD349" s="69"/>
      <c r="DE349" s="69"/>
      <c r="DF349" s="69"/>
      <c r="DG349" s="69"/>
      <c r="DH349" s="69"/>
      <c r="DI349" s="69"/>
      <c r="DJ349" s="69"/>
      <c r="DK349" s="69"/>
      <c r="DL349" s="69"/>
      <c r="DM349" s="69"/>
      <c r="DN349" s="69"/>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10"/>
  <sheetViews>
    <sheetView view="pageBreakPreview" topLeftCell="A259" zoomScaleNormal="93" zoomScaleSheetLayoutView="100" workbookViewId="0">
      <selection activeCell="L299" sqref="L299"/>
    </sheetView>
  </sheetViews>
  <sheetFormatPr defaultRowHeight="15" x14ac:dyDescent="0.25"/>
  <cols>
    <col min="1" max="10" width="10.7109375" customWidth="1"/>
    <col min="12" max="12" width="100.7109375" customWidth="1"/>
    <col min="13" max="13" width="55.7109375" customWidth="1"/>
  </cols>
  <sheetData>
    <row r="1" spans="1:10" ht="42.75" customHeight="1" x14ac:dyDescent="0.8">
      <c r="A1" s="730" t="str">
        <f>_xlfn.CONCAT("M/V"," """,CAPA!B8,""" ")</f>
        <v xml:space="preserve">M/V "GEORGIA S" </v>
      </c>
      <c r="B1" s="730"/>
      <c r="C1" s="730"/>
      <c r="D1" s="730"/>
      <c r="E1" s="730"/>
      <c r="F1" s="730"/>
      <c r="G1" s="730"/>
      <c r="H1" s="730"/>
      <c r="I1" s="730"/>
      <c r="J1" s="7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1" t="str">
        <f>_xlfn.CONCAT(CAPA!A5,CAPA!B5)</f>
        <v>PGUA/DS/058/26</v>
      </c>
      <c r="H3" s="731"/>
      <c r="I3" s="7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580" t="s">
        <v>17</v>
      </c>
    </row>
    <row r="10" spans="1:10" ht="19.5" x14ac:dyDescent="0.4">
      <c r="A10" s="260" t="s">
        <v>18</v>
      </c>
      <c r="B10" s="259"/>
      <c r="C10" s="259"/>
      <c r="D10" s="259"/>
      <c r="E10" s="259"/>
      <c r="F10" s="259"/>
      <c r="G10" s="259"/>
      <c r="H10" s="261"/>
      <c r="I10" s="580" t="s">
        <v>19</v>
      </c>
    </row>
    <row r="11" spans="1:10" ht="19.5" x14ac:dyDescent="0.4">
      <c r="A11" s="260" t="s">
        <v>20</v>
      </c>
      <c r="B11" s="259"/>
      <c r="C11" s="259"/>
      <c r="D11" s="259"/>
      <c r="E11" s="259"/>
      <c r="F11" s="259"/>
      <c r="G11" s="259"/>
      <c r="H11" s="261"/>
      <c r="I11" s="580" t="s">
        <v>19</v>
      </c>
    </row>
    <row r="12" spans="1:10" ht="19.5" x14ac:dyDescent="0.4">
      <c r="A12" s="262" t="s">
        <v>694</v>
      </c>
      <c r="B12" s="259"/>
      <c r="C12" s="259"/>
      <c r="D12" s="259"/>
      <c r="E12" s="259"/>
      <c r="F12" s="259"/>
      <c r="G12" s="259"/>
      <c r="H12" s="261"/>
      <c r="I12" s="580" t="s">
        <v>19</v>
      </c>
    </row>
    <row r="13" spans="1:10" ht="19.5" x14ac:dyDescent="0.4">
      <c r="A13" s="260" t="s">
        <v>21</v>
      </c>
      <c r="B13" s="259"/>
      <c r="C13" s="259"/>
      <c r="D13" s="259"/>
      <c r="E13" s="259"/>
      <c r="F13" s="259"/>
      <c r="G13" s="259"/>
      <c r="H13" s="261"/>
      <c r="I13" s="580" t="s">
        <v>22</v>
      </c>
    </row>
    <row r="14" spans="1:10" ht="19.5" x14ac:dyDescent="0.4">
      <c r="A14" s="260" t="s">
        <v>698</v>
      </c>
      <c r="B14" s="259"/>
      <c r="C14" s="259"/>
      <c r="D14" s="259"/>
      <c r="E14" s="259"/>
      <c r="F14" s="259"/>
      <c r="G14" s="259"/>
      <c r="H14" s="261"/>
      <c r="I14" s="580" t="s">
        <v>22</v>
      </c>
    </row>
    <row r="15" spans="1:10" ht="19.5" x14ac:dyDescent="0.4">
      <c r="A15" s="260" t="s">
        <v>699</v>
      </c>
      <c r="B15" s="259"/>
      <c r="C15" s="259"/>
      <c r="D15" s="259"/>
      <c r="E15" s="259"/>
      <c r="F15" s="259"/>
      <c r="G15" s="259"/>
      <c r="H15" s="261"/>
      <c r="I15" s="580" t="s">
        <v>22</v>
      </c>
    </row>
    <row r="16" spans="1:10" ht="19.5" x14ac:dyDescent="0.4">
      <c r="A16" s="260" t="s">
        <v>23</v>
      </c>
      <c r="B16" s="259"/>
      <c r="C16" s="259"/>
      <c r="D16" s="259"/>
      <c r="E16" s="259"/>
      <c r="F16" s="259"/>
      <c r="G16" s="259"/>
      <c r="H16" s="261"/>
      <c r="I16" s="580" t="s">
        <v>22</v>
      </c>
    </row>
    <row r="17" spans="1:16" ht="19.5" x14ac:dyDescent="0.4">
      <c r="A17" s="260" t="s">
        <v>690</v>
      </c>
      <c r="B17" s="259"/>
      <c r="C17" s="259"/>
      <c r="D17" s="259"/>
      <c r="E17" s="259"/>
      <c r="F17" s="259"/>
      <c r="G17" s="259"/>
      <c r="H17" s="261"/>
      <c r="I17" s="580" t="s">
        <v>24</v>
      </c>
    </row>
    <row r="18" spans="1:16" ht="19.5" x14ac:dyDescent="0.4">
      <c r="A18" s="260" t="s">
        <v>25</v>
      </c>
      <c r="B18" s="259"/>
      <c r="C18" s="259"/>
      <c r="D18" s="259"/>
      <c r="E18" s="259"/>
      <c r="F18" s="259"/>
      <c r="G18" s="259"/>
      <c r="H18" s="261"/>
      <c r="I18" s="580" t="s">
        <v>26</v>
      </c>
    </row>
    <row r="19" spans="1:16" ht="20.25" x14ac:dyDescent="0.4">
      <c r="A19" s="260" t="s">
        <v>27</v>
      </c>
      <c r="B19" s="259"/>
      <c r="C19" s="259"/>
      <c r="D19" s="259"/>
      <c r="E19" s="259"/>
      <c r="F19" s="259"/>
      <c r="G19" s="259"/>
      <c r="H19" s="261"/>
      <c r="I19" s="580">
        <v>6</v>
      </c>
      <c r="L19" s="431" t="s">
        <v>577</v>
      </c>
    </row>
    <row r="20" spans="1:16" ht="19.5" x14ac:dyDescent="0.4">
      <c r="A20" s="260" t="s">
        <v>28</v>
      </c>
      <c r="B20" s="259"/>
      <c r="C20" s="259"/>
      <c r="D20" s="259"/>
      <c r="E20" s="259"/>
      <c r="F20" s="259"/>
      <c r="G20" s="259"/>
      <c r="H20" s="261"/>
      <c r="I20" s="580">
        <f>I19+1</f>
        <v>7</v>
      </c>
    </row>
    <row r="21" spans="1:16" ht="19.5" x14ac:dyDescent="0.4">
      <c r="A21" s="260" t="s">
        <v>29</v>
      </c>
      <c r="B21" s="259"/>
      <c r="C21" s="259"/>
      <c r="D21" s="259"/>
      <c r="E21" s="259"/>
      <c r="F21" s="259"/>
      <c r="G21" s="259"/>
      <c r="H21" s="261"/>
      <c r="I21" s="580">
        <f>$I$20</f>
        <v>7</v>
      </c>
    </row>
    <row r="22" spans="1:16" ht="19.5" x14ac:dyDescent="0.4">
      <c r="A22" s="260" t="s">
        <v>691</v>
      </c>
      <c r="B22" s="259"/>
      <c r="C22" s="259"/>
      <c r="D22" s="259"/>
      <c r="E22" s="259"/>
      <c r="F22" s="259"/>
      <c r="G22" s="259"/>
      <c r="H22" s="261"/>
      <c r="I22" s="580">
        <f>$I$20</f>
        <v>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IF(A3="DRAUGHT SURVEY REPORT"," - DRAUGHT SURVEY CERTIFICATE"," - DISPLACEMENT SURVEY CERTIFICATE")</f>
        <v xml:space="preserve"> - DRAUGHT SURVEY CERTIFICATE</v>
      </c>
      <c r="B29" s="260"/>
      <c r="C29" s="260"/>
      <c r="D29" s="260"/>
      <c r="E29" s="260"/>
      <c r="F29" s="260"/>
      <c r="G29" s="260"/>
      <c r="H29" s="260"/>
      <c r="I29" s="263"/>
      <c r="L29" s="460"/>
      <c r="M29" s="460"/>
      <c r="N29" s="460"/>
      <c r="O29" s="460"/>
      <c r="P29" s="460"/>
    </row>
    <row r="30" spans="1:16" ht="19.5" x14ac:dyDescent="0.4">
      <c r="A30" s="260" t="s">
        <v>36</v>
      </c>
      <c r="B30" s="260"/>
      <c r="C30" s="260"/>
      <c r="D30" s="260"/>
      <c r="E30" s="260"/>
      <c r="F30" s="260"/>
      <c r="G30" s="260"/>
      <c r="H30" s="260"/>
      <c r="I30" s="263"/>
      <c r="L30" s="460"/>
      <c r="M30" s="460"/>
      <c r="N30" s="460"/>
      <c r="O30" s="460"/>
      <c r="P30" s="460"/>
    </row>
    <row r="31" spans="1:16" ht="19.5" x14ac:dyDescent="0.4">
      <c r="A31" s="260" t="s">
        <v>37</v>
      </c>
      <c r="B31" s="260"/>
      <c r="C31" s="260"/>
      <c r="D31" s="260"/>
      <c r="E31" s="260"/>
      <c r="F31" s="260"/>
      <c r="G31" s="260"/>
      <c r="H31" s="260"/>
      <c r="I31" s="263"/>
      <c r="L31" s="460"/>
      <c r="M31" s="460"/>
      <c r="N31" s="460"/>
      <c r="O31" s="460"/>
      <c r="P31" s="460"/>
    </row>
    <row r="32" spans="1:16" ht="19.5" x14ac:dyDescent="0.4">
      <c r="A32" s="260" t="s">
        <v>38</v>
      </c>
      <c r="B32" s="260"/>
      <c r="C32" s="260"/>
      <c r="D32" s="260"/>
      <c r="E32" s="260"/>
      <c r="F32" s="260"/>
      <c r="G32" s="260"/>
      <c r="H32" s="260"/>
      <c r="I32" s="263"/>
      <c r="L32" s="460"/>
      <c r="M32" s="460"/>
      <c r="N32" s="460"/>
      <c r="O32" s="460"/>
      <c r="P32" s="460"/>
    </row>
    <row r="33" spans="1:16" ht="19.5" x14ac:dyDescent="0.4">
      <c r="A33" s="260" t="s">
        <v>616</v>
      </c>
      <c r="B33" s="260"/>
      <c r="C33" s="260"/>
      <c r="D33" s="260"/>
      <c r="E33" s="260"/>
      <c r="F33" s="260"/>
      <c r="G33" s="260"/>
      <c r="H33" s="260"/>
      <c r="I33" s="260"/>
      <c r="L33" s="460"/>
      <c r="M33" s="460"/>
      <c r="N33" s="460"/>
      <c r="O33" s="460"/>
      <c r="P33" s="460"/>
    </row>
    <row r="34" spans="1:16" ht="23.25" x14ac:dyDescent="0.35">
      <c r="A34" s="732" t="str">
        <f>$A$1</f>
        <v xml:space="preserve">M/V "GEORGIA S" </v>
      </c>
      <c r="B34" s="732"/>
      <c r="C34" s="732"/>
      <c r="D34" s="732"/>
      <c r="E34" s="732"/>
      <c r="F34" s="732"/>
      <c r="G34" s="732"/>
      <c r="H34" s="732"/>
      <c r="I34" s="732"/>
      <c r="J34" s="732"/>
      <c r="L34" s="460"/>
      <c r="M34" s="460"/>
      <c r="N34" s="460"/>
      <c r="O34" s="460"/>
      <c r="P34" s="460"/>
    </row>
    <row r="35" spans="1:16" ht="15.75" x14ac:dyDescent="0.25">
      <c r="A35" s="733" t="str">
        <f>$G$3</f>
        <v>PGUA/DS/058/26</v>
      </c>
      <c r="B35" s="733"/>
      <c r="C35" s="733"/>
      <c r="D35" s="733"/>
      <c r="E35" s="733"/>
      <c r="F35" s="733"/>
      <c r="G35" s="733"/>
      <c r="H35" s="733"/>
      <c r="I35" s="733"/>
      <c r="J35" s="733"/>
      <c r="L35" s="460"/>
      <c r="M35" s="460"/>
      <c r="N35" s="460"/>
      <c r="O35" s="460"/>
      <c r="P35" s="460"/>
    </row>
    <row r="36" spans="1:16" ht="15.75" x14ac:dyDescent="0.25">
      <c r="A36" s="733" t="str">
        <f>A3</f>
        <v>DRAUGHT SURVEY REPORT</v>
      </c>
      <c r="B36" s="733"/>
      <c r="C36" s="733"/>
      <c r="D36" s="733"/>
      <c r="E36" s="733"/>
      <c r="F36" s="733"/>
      <c r="G36" s="733"/>
      <c r="H36" s="733"/>
      <c r="I36" s="733"/>
      <c r="J36" s="733"/>
      <c r="L36" s="460"/>
      <c r="M36" s="460"/>
      <c r="N36" s="460"/>
      <c r="O36" s="460"/>
      <c r="P36" s="460"/>
    </row>
    <row r="37" spans="1:16" ht="23.25" customHeight="1" x14ac:dyDescent="0.25">
      <c r="A37" s="10"/>
      <c r="B37" s="10"/>
      <c r="C37" s="10"/>
      <c r="D37" s="10"/>
      <c r="E37" s="10"/>
      <c r="F37" s="10"/>
      <c r="G37" s="10"/>
      <c r="H37" s="10"/>
      <c r="I37" s="10"/>
      <c r="L37" s="460"/>
      <c r="M37" s="460"/>
      <c r="N37" s="460"/>
      <c r="O37" s="460"/>
      <c r="P37" s="460"/>
    </row>
    <row r="38" spans="1:16" ht="15" customHeight="1" x14ac:dyDescent="0.25">
      <c r="A38" s="734" t="s">
        <v>39</v>
      </c>
      <c r="B38" s="734"/>
      <c r="C38" s="734"/>
      <c r="D38" s="734"/>
      <c r="E38" s="734"/>
      <c r="F38" s="734"/>
      <c r="G38" s="734"/>
      <c r="H38" s="734"/>
      <c r="I38" s="734"/>
      <c r="J38" s="734"/>
      <c r="L38" s="460"/>
      <c r="M38" s="460"/>
      <c r="N38" s="460"/>
      <c r="O38" s="460"/>
      <c r="P38" s="460"/>
    </row>
    <row r="39" spans="1:16" ht="15" customHeight="1" x14ac:dyDescent="0.25">
      <c r="A39" s="734"/>
      <c r="B39" s="734"/>
      <c r="C39" s="734"/>
      <c r="D39" s="734"/>
      <c r="E39" s="734"/>
      <c r="F39" s="734"/>
      <c r="G39" s="734"/>
      <c r="H39" s="734"/>
      <c r="I39" s="734"/>
      <c r="J39" s="734"/>
      <c r="L39" s="460"/>
      <c r="M39" s="460"/>
      <c r="N39" s="460"/>
      <c r="O39" s="460"/>
      <c r="P39" s="460"/>
    </row>
    <row r="40" spans="1:16" ht="72" x14ac:dyDescent="0.25">
      <c r="A40" s="1180" t="str">
        <f>_xlfn.CONCAT(CAPA!$E$46:$E$55,".")</f>
        <v xml:space="preserve"> Messrs. Cimbessul Terminal Portuario S/A, Messrs. Cotriguaçu Cooperativa Central Regional Iguaçu Ltda., Messrs. Interalli Administração e Participações S.A.,  Messrs. Rocha Terminais Portuários e Logística .</v>
      </c>
      <c r="B40" s="1180"/>
      <c r="C40" s="1180"/>
      <c r="D40" s="1180"/>
      <c r="E40" s="1180"/>
      <c r="F40" s="1180"/>
      <c r="G40" s="1180"/>
      <c r="H40" s="1180"/>
      <c r="I40" s="1180"/>
      <c r="J40" s="1180"/>
      <c r="L40" s="631" t="str">
        <f>_xlfn.CONCAT(CAPA!$E$46:$E$55,".")</f>
        <v xml:space="preserve"> Messrs. Cimbessul Terminal Portuario S/A, Messrs. Cotriguaçu Cooperativa Central Regional Iguaçu Ltda., Messrs. Interalli Administração e Participações S.A.,  Messrs. Rocha Terminais Portuários e Logística .</v>
      </c>
      <c r="M40" s="460"/>
      <c r="N40" s="460"/>
      <c r="O40" s="460"/>
      <c r="P40" s="460"/>
    </row>
    <row r="41" spans="1:16" ht="60" x14ac:dyDescent="0.25">
      <c r="A41" s="738" t="str">
        <f>$L$41</f>
        <v>Attend on board the referenced vessel on  February 21st, 2026 from 10:45 until 14:00 hours, whilst she was anchored at inner roads area 9.2, and on  February 28th, 2026 from 12:00 until 14:00 hours, whilst she was berthed alongside wharf 214 at port of Paranaguá, Br - Brazil, with views to perform the initial and final draft surveys, ascertaining the following figures:</v>
      </c>
      <c r="B41" s="738"/>
      <c r="C41" s="738"/>
      <c r="D41" s="738"/>
      <c r="E41" s="738"/>
      <c r="F41" s="738"/>
      <c r="G41" s="738"/>
      <c r="H41" s="738"/>
      <c r="I41" s="738"/>
      <c r="J41" s="738"/>
      <c r="L41"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21st, 2026 from 10:45 until 14:00 hours, whilst she was anchored at inner roads area 9.2, and on  February 28th, 2026 from 12:00 until 14:00 hours, whilst she was berthed alongside wharf 214 at port of Paranaguá, Br - Brazil, with views to perform the initial and final draft surveys, ascertaining the following figures:</v>
      </c>
      <c r="M41" s="460"/>
      <c r="N41" s="460"/>
      <c r="O41" s="460"/>
      <c r="P41" s="460"/>
    </row>
    <row r="42" spans="1:16" x14ac:dyDescent="0.25">
      <c r="A42" s="10"/>
      <c r="B42" s="10"/>
      <c r="C42" s="10"/>
      <c r="D42" s="10"/>
      <c r="E42" s="10"/>
      <c r="F42" s="10"/>
      <c r="G42" s="10"/>
      <c r="H42" s="10"/>
      <c r="I42" s="10"/>
      <c r="L42" s="460"/>
      <c r="M42" s="460"/>
      <c r="N42" s="460"/>
      <c r="O42" s="460"/>
      <c r="P42" s="460"/>
    </row>
    <row r="43" spans="1:16" x14ac:dyDescent="0.25">
      <c r="A43" s="10"/>
      <c r="B43" s="10"/>
      <c r="C43" s="10"/>
      <c r="D43" s="10"/>
      <c r="E43" s="10"/>
      <c r="F43" s="10"/>
      <c r="G43" s="10"/>
      <c r="H43" s="10"/>
      <c r="I43" s="10"/>
      <c r="L43" s="460"/>
      <c r="M43" s="460"/>
      <c r="N43" s="460"/>
      <c r="O43" s="460"/>
      <c r="P43" s="460"/>
    </row>
    <row r="44" spans="1:16" ht="15.75" x14ac:dyDescent="0.25">
      <c r="A44" s="3" t="s">
        <v>692</v>
      </c>
      <c r="B44" s="10"/>
      <c r="C44" s="10"/>
      <c r="D44" s="10"/>
      <c r="E44" s="10"/>
      <c r="F44" s="10"/>
      <c r="G44" s="10"/>
      <c r="H44" s="10"/>
      <c r="I44" s="10"/>
      <c r="L44" s="460"/>
      <c r="M44" s="460"/>
      <c r="N44" s="460"/>
      <c r="O44" s="460"/>
      <c r="P44" s="460"/>
    </row>
    <row r="45" spans="1:16" x14ac:dyDescent="0.25">
      <c r="A45" s="10"/>
      <c r="B45" s="10"/>
      <c r="C45" s="10"/>
      <c r="D45" s="10"/>
      <c r="E45" s="10"/>
      <c r="F45" s="10"/>
      <c r="G45" s="10"/>
      <c r="H45" s="10"/>
      <c r="I45" s="10"/>
      <c r="L45" s="460"/>
      <c r="M45" s="460"/>
      <c r="N45" s="460"/>
      <c r="O45" s="460"/>
      <c r="P45" s="460"/>
    </row>
    <row r="46" spans="1:16" ht="15.75" x14ac:dyDescent="0.25">
      <c r="A46" s="13" t="s">
        <v>40</v>
      </c>
      <c r="B46" s="13"/>
      <c r="C46" s="13"/>
      <c r="D46" s="13"/>
      <c r="E46" s="13"/>
      <c r="F46" s="13"/>
      <c r="G46" s="13"/>
      <c r="H46" s="13"/>
      <c r="I46" s="10"/>
      <c r="L46" s="460"/>
      <c r="M46" s="460"/>
      <c r="N46" s="460"/>
      <c r="O46" s="460"/>
      <c r="P46" s="460"/>
    </row>
    <row r="47" spans="1:16" ht="15.75" x14ac:dyDescent="0.25">
      <c r="A47" s="13"/>
      <c r="B47" s="13"/>
      <c r="C47" s="13"/>
      <c r="D47" s="13"/>
      <c r="E47" s="13"/>
      <c r="F47" s="13"/>
      <c r="G47" s="13"/>
      <c r="H47" s="13"/>
      <c r="I47" s="10"/>
      <c r="L47" s="460"/>
      <c r="M47" s="460"/>
      <c r="N47" s="460"/>
      <c r="O47" s="460"/>
      <c r="P47" s="460"/>
    </row>
    <row r="48" spans="1:16" ht="15.75" x14ac:dyDescent="0.25">
      <c r="A48" s="14" t="str">
        <f>$A$34</f>
        <v xml:space="preserve">M/V "GEORGIA S" </v>
      </c>
      <c r="B48" s="13"/>
      <c r="C48" s="13"/>
      <c r="D48" s="13"/>
      <c r="E48" s="13"/>
      <c r="F48" s="14" t="str">
        <f>_xlfn.CONCAT("Mr. ",CAPA!$B$30,", ",$L$48)</f>
        <v>Mr. Marlowe J. Sevilla, the Master</v>
      </c>
      <c r="H48" s="14"/>
      <c r="I48" s="14"/>
      <c r="J48" s="13"/>
      <c r="K48" s="13"/>
      <c r="L48" s="461" t="s">
        <v>554</v>
      </c>
      <c r="M48" s="461"/>
      <c r="N48" s="460"/>
      <c r="O48" s="460"/>
      <c r="P48" s="460"/>
    </row>
    <row r="49" spans="1:16" ht="15.75" x14ac:dyDescent="0.25">
      <c r="A49" s="13"/>
      <c r="B49" s="13"/>
      <c r="C49" s="13"/>
      <c r="D49" s="13"/>
      <c r="E49" s="13"/>
      <c r="F49" s="14" t="str">
        <f>_xlfn.CONCAT("Mr. ",CAPA!$B$31,", ",$L$49)</f>
        <v>Mr. Aldrin J. Baclig, the Chief Officer</v>
      </c>
      <c r="H49" s="13"/>
      <c r="I49" s="13"/>
      <c r="J49" s="13"/>
      <c r="K49" s="13"/>
      <c r="L49" s="461" t="s">
        <v>555</v>
      </c>
      <c r="M49" s="461"/>
      <c r="N49" s="460"/>
      <c r="O49" s="460"/>
      <c r="P49" s="460"/>
    </row>
    <row r="50" spans="1:16" ht="15.75" x14ac:dyDescent="0.25">
      <c r="A50" s="13"/>
      <c r="B50" s="13"/>
      <c r="C50" s="13"/>
      <c r="D50" s="13"/>
      <c r="E50" s="13"/>
      <c r="F50" s="14" t="str">
        <f>_xlfn.CONCAT("Mr. ",CAPA!$B$32,", ",$L$50)</f>
        <v>Mr. Prospero C. Viadnes, the Chief Engineer</v>
      </c>
      <c r="H50" s="13"/>
      <c r="I50" s="13"/>
      <c r="J50" s="13"/>
      <c r="K50" s="13"/>
      <c r="L50" s="462" t="s">
        <v>556</v>
      </c>
      <c r="M50" s="462"/>
      <c r="N50" s="460"/>
      <c r="O50" s="460"/>
      <c r="P50" s="460"/>
    </row>
    <row r="51" spans="1:16" ht="15.75" x14ac:dyDescent="0.25">
      <c r="A51" s="13"/>
      <c r="B51" s="13"/>
      <c r="C51" s="13"/>
      <c r="D51" s="13"/>
      <c r="E51" s="13"/>
      <c r="F51" s="12"/>
      <c r="H51" s="13"/>
      <c r="I51" s="13"/>
      <c r="J51" s="13"/>
      <c r="K51" s="13"/>
      <c r="L51" s="462"/>
      <c r="M51" s="462"/>
      <c r="N51" s="460"/>
      <c r="O51" s="460"/>
      <c r="P51" s="460"/>
    </row>
    <row r="52" spans="1:16" ht="15.75" x14ac:dyDescent="0.25">
      <c r="A52" s="13"/>
      <c r="B52" s="13"/>
      <c r="C52" s="13"/>
      <c r="D52" s="13"/>
      <c r="E52" s="13"/>
      <c r="F52" s="12"/>
      <c r="H52" s="13"/>
      <c r="I52" s="13"/>
      <c r="J52" s="13"/>
      <c r="K52" s="13"/>
      <c r="L52" s="462"/>
      <c r="M52" s="462"/>
      <c r="N52" s="460"/>
      <c r="O52" s="460"/>
      <c r="P52" s="460"/>
    </row>
    <row r="53" spans="1:16" ht="15.75" x14ac:dyDescent="0.25">
      <c r="A53" s="441" t="str">
        <f>CAPA!$A$41</f>
        <v>AGÊNCIA MARITIMA CARGONAVE LTDA</v>
      </c>
      <c r="B53" s="6"/>
      <c r="C53" s="6"/>
      <c r="D53" s="6"/>
      <c r="E53" s="6"/>
      <c r="F53" s="441" t="str">
        <f>Clients!$D$50</f>
        <v>Mr. Renan Calixto</v>
      </c>
      <c r="H53" s="13"/>
      <c r="I53" s="13"/>
      <c r="J53" s="13"/>
      <c r="L53" s="460"/>
      <c r="M53" s="460"/>
      <c r="N53" s="460"/>
      <c r="O53" s="460"/>
      <c r="P53" s="460"/>
    </row>
    <row r="54" spans="1:16" ht="15.75" x14ac:dyDescent="0.25">
      <c r="A54" s="6" t="s">
        <v>42</v>
      </c>
      <c r="B54" s="6"/>
      <c r="C54" s="6"/>
      <c r="D54" s="6"/>
      <c r="E54" s="6"/>
      <c r="F54" s="441" t="str">
        <f>Clients!$D$51</f>
        <v>Mr. Rafael Nogueira</v>
      </c>
      <c r="H54" s="13"/>
      <c r="I54" s="13"/>
      <c r="J54" s="13"/>
      <c r="L54" s="460"/>
      <c r="M54" s="460"/>
      <c r="N54" s="460"/>
      <c r="O54" s="460"/>
      <c r="P54" s="460"/>
    </row>
    <row r="55" spans="1:16" ht="15.75" x14ac:dyDescent="0.25">
      <c r="A55" s="6"/>
      <c r="B55" s="6"/>
      <c r="C55" s="6"/>
      <c r="D55" s="6"/>
      <c r="E55" s="6"/>
      <c r="F55" s="441" t="str">
        <f>Clients!$D$52</f>
        <v>Mr. Lorram Gabriel Florentino</v>
      </c>
      <c r="H55" s="13"/>
      <c r="I55" s="13"/>
      <c r="J55" s="13"/>
      <c r="L55" s="460"/>
      <c r="M55" s="460"/>
      <c r="N55" s="460"/>
      <c r="O55" s="460"/>
      <c r="P55" s="460"/>
    </row>
    <row r="56" spans="1:16" ht="15.75" x14ac:dyDescent="0.25">
      <c r="A56" s="6"/>
      <c r="B56" s="6"/>
      <c r="C56" s="6"/>
      <c r="D56" s="6"/>
      <c r="E56" s="6"/>
      <c r="F56" s="441">
        <f>Clients!$D$53</f>
        <v>0</v>
      </c>
      <c r="H56" s="13"/>
      <c r="I56" s="13"/>
      <c r="J56" s="13"/>
      <c r="L56" s="460"/>
      <c r="M56" s="460"/>
      <c r="N56" s="460"/>
      <c r="O56" s="460"/>
      <c r="P56" s="460"/>
    </row>
    <row r="57" spans="1:16" ht="15.75" x14ac:dyDescent="0.25">
      <c r="A57" s="6"/>
      <c r="B57" s="6"/>
      <c r="C57" s="6"/>
      <c r="D57" s="6"/>
      <c r="E57" s="6"/>
      <c r="F57" s="441" t="str">
        <f>Clients!$D$54</f>
        <v xml:space="preserve"> </v>
      </c>
      <c r="H57" s="13"/>
      <c r="I57" s="13"/>
      <c r="J57" s="13"/>
      <c r="L57" s="460"/>
      <c r="M57" s="460"/>
      <c r="N57" s="460"/>
      <c r="O57" s="460"/>
      <c r="P57" s="460"/>
    </row>
    <row r="58" spans="1:16" ht="15.75" x14ac:dyDescent="0.25">
      <c r="A58" s="6"/>
      <c r="B58" s="6"/>
      <c r="C58" s="6"/>
      <c r="D58" s="6"/>
      <c r="E58" s="6"/>
      <c r="F58" s="441" t="str">
        <f>Clients!$D$55</f>
        <v xml:space="preserve"> </v>
      </c>
      <c r="H58" s="13"/>
      <c r="I58" s="13"/>
      <c r="J58" s="13"/>
      <c r="L58" s="460"/>
      <c r="M58" s="460"/>
      <c r="N58" s="460"/>
      <c r="O58" s="460"/>
      <c r="P58" s="460"/>
    </row>
    <row r="59" spans="1:16" ht="15.75" x14ac:dyDescent="0.25">
      <c r="A59" s="13"/>
      <c r="B59" s="13"/>
      <c r="C59" s="13"/>
      <c r="D59" s="13"/>
      <c r="E59" s="13"/>
      <c r="F59" s="12"/>
      <c r="H59" s="13"/>
      <c r="I59" s="13"/>
      <c r="J59" s="13"/>
      <c r="L59" s="460"/>
      <c r="M59" s="460"/>
      <c r="N59" s="460"/>
      <c r="O59" s="460"/>
      <c r="P59" s="460"/>
    </row>
    <row r="60" spans="1:16" ht="15.75" x14ac:dyDescent="0.25">
      <c r="A60" s="13"/>
      <c r="B60" s="13"/>
      <c r="C60" s="13"/>
      <c r="D60" s="13"/>
      <c r="E60" s="13"/>
      <c r="F60" s="12"/>
      <c r="H60" s="13"/>
      <c r="I60" s="13"/>
      <c r="J60" s="13"/>
      <c r="L60" s="460"/>
      <c r="M60" s="460"/>
      <c r="N60" s="460"/>
      <c r="O60" s="460"/>
      <c r="P60" s="460"/>
    </row>
    <row r="61" spans="1:16" ht="15.75" x14ac:dyDescent="0.25">
      <c r="A61" s="440" t="str">
        <f>CAPA!$A$43</f>
        <v>TIBAGI SERVIÇOS MARÍTIMOS LTDA.</v>
      </c>
      <c r="B61" s="5"/>
      <c r="C61" s="5"/>
      <c r="D61" s="5"/>
      <c r="E61" s="5"/>
      <c r="F61" s="285" t="str">
        <f>Clients!$D$181</f>
        <v>Mr. Antonio Celso Silva</v>
      </c>
      <c r="H61" s="6"/>
      <c r="I61" s="6"/>
      <c r="J61" s="442"/>
      <c r="L61" s="460"/>
      <c r="M61" s="460"/>
      <c r="N61" s="460"/>
      <c r="O61" s="460"/>
      <c r="P61" s="460"/>
    </row>
    <row r="62" spans="1:16" ht="15.75" x14ac:dyDescent="0.25">
      <c r="A62" s="440" t="s">
        <v>41</v>
      </c>
      <c r="B62" s="5"/>
      <c r="C62" s="5"/>
      <c r="D62" s="5"/>
      <c r="E62" s="5"/>
      <c r="F62" s="285" t="str">
        <f>Clients!$D$182</f>
        <v>Mr. João Victor Lacerda</v>
      </c>
      <c r="H62" s="6"/>
      <c r="I62" s="6"/>
      <c r="J62" s="442"/>
      <c r="L62" s="460"/>
      <c r="M62" s="460"/>
      <c r="N62" s="460"/>
      <c r="O62" s="460"/>
      <c r="P62" s="460"/>
    </row>
    <row r="63" spans="1:16" ht="15.75" x14ac:dyDescent="0.25">
      <c r="A63" s="440"/>
      <c r="B63" s="5"/>
      <c r="C63" s="5"/>
      <c r="D63" s="5"/>
      <c r="E63" s="5"/>
      <c r="F63" s="285" t="str">
        <f>Clients!$D$183</f>
        <v xml:space="preserve"> </v>
      </c>
      <c r="H63" s="6"/>
      <c r="I63" s="6"/>
      <c r="J63" s="442"/>
      <c r="L63" s="460"/>
      <c r="M63" s="460"/>
      <c r="N63" s="460"/>
      <c r="O63" s="460"/>
      <c r="P63" s="460"/>
    </row>
    <row r="64" spans="1:16" ht="15.75" x14ac:dyDescent="0.25">
      <c r="A64" s="440"/>
      <c r="B64" s="5"/>
      <c r="C64" s="5"/>
      <c r="D64" s="5"/>
      <c r="E64" s="5"/>
      <c r="F64" s="285" t="str">
        <f>Clients!$D$184</f>
        <v xml:space="preserve"> </v>
      </c>
      <c r="H64" s="6"/>
      <c r="I64" s="6"/>
      <c r="J64" s="442"/>
      <c r="L64" s="460"/>
      <c r="M64" s="460"/>
      <c r="N64" s="460"/>
      <c r="O64" s="460"/>
      <c r="P64" s="460"/>
    </row>
    <row r="65" spans="1:16" ht="15.75" x14ac:dyDescent="0.25">
      <c r="A65" s="440"/>
      <c r="B65" s="5"/>
      <c r="C65" s="5"/>
      <c r="D65" s="5"/>
      <c r="E65" s="5"/>
      <c r="F65" s="285" t="str">
        <f>Clients!$D$185</f>
        <v xml:space="preserve"> </v>
      </c>
      <c r="H65" s="13"/>
      <c r="I65" s="6"/>
      <c r="J65" s="442"/>
      <c r="L65" s="460"/>
      <c r="M65" s="460"/>
      <c r="N65" s="460"/>
      <c r="O65" s="460"/>
      <c r="P65" s="460"/>
    </row>
    <row r="66" spans="1:16" ht="15.75" x14ac:dyDescent="0.25">
      <c r="A66" s="440"/>
      <c r="B66" s="5"/>
      <c r="C66" s="5"/>
      <c r="D66" s="5"/>
      <c r="E66" s="5"/>
      <c r="F66" s="14"/>
      <c r="H66" s="13"/>
      <c r="I66" s="6"/>
      <c r="J66" s="442"/>
      <c r="L66" s="460"/>
      <c r="M66" s="460"/>
      <c r="N66" s="460"/>
      <c r="O66" s="460"/>
      <c r="P66" s="460"/>
    </row>
    <row r="67" spans="1:16" ht="15.75" x14ac:dyDescent="0.25">
      <c r="A67" s="440"/>
      <c r="B67" s="5"/>
      <c r="C67" s="5"/>
      <c r="D67" s="5"/>
      <c r="E67" s="5"/>
      <c r="F67" s="14"/>
      <c r="H67" s="13"/>
      <c r="I67" s="6"/>
      <c r="J67" s="442"/>
      <c r="L67" s="460"/>
      <c r="M67" s="460"/>
      <c r="N67" s="460"/>
      <c r="O67" s="460"/>
      <c r="P67" s="460"/>
    </row>
    <row r="68" spans="1:16" ht="15.75" x14ac:dyDescent="0.25">
      <c r="A68" s="5"/>
      <c r="B68" s="6"/>
      <c r="C68" s="6"/>
      <c r="D68" s="6"/>
      <c r="E68" s="6"/>
      <c r="F68" s="441"/>
      <c r="H68" s="6"/>
      <c r="I68" s="6"/>
      <c r="J68" s="442"/>
      <c r="L68" s="460"/>
      <c r="M68" s="460"/>
      <c r="N68" s="460"/>
      <c r="O68" s="460"/>
      <c r="P68" s="460"/>
    </row>
    <row r="69" spans="1:16" ht="15.75" x14ac:dyDescent="0.25">
      <c r="A69" s="5" t="str">
        <f>IF(CAPA!$A$88=0,"",CAPA!$A$88)</f>
        <v>UNISURVEY LTDA.</v>
      </c>
      <c r="B69" s="5"/>
      <c r="C69" s="5"/>
      <c r="D69" s="5"/>
      <c r="E69" s="5"/>
      <c r="F69" s="440" t="str">
        <f>Clients!$D$267</f>
        <v>Mr. Joni Nunes Carvalho</v>
      </c>
      <c r="H69" s="6"/>
      <c r="I69" s="6"/>
      <c r="J69" s="442"/>
      <c r="L69" s="460"/>
      <c r="M69" s="460"/>
      <c r="N69" s="460"/>
      <c r="O69" s="460"/>
      <c r="P69" s="460"/>
    </row>
    <row r="70" spans="1:16" ht="15.75" x14ac:dyDescent="0.25">
      <c r="A70" s="5" t="str">
        <f>IF(CAPA!$A$89=0,"",CAPA!$A$89)</f>
        <v>(On behalf of Owners)</v>
      </c>
      <c r="B70" s="5"/>
      <c r="C70" s="5"/>
      <c r="D70" s="5"/>
      <c r="E70" s="5"/>
      <c r="F70" s="440" t="str">
        <f>Clients!$D$268</f>
        <v>Mr. Diego Florentino</v>
      </c>
      <c r="H70" s="6"/>
      <c r="I70" s="6"/>
      <c r="J70" s="442"/>
      <c r="L70" s="460"/>
      <c r="M70" s="460"/>
      <c r="N70" s="460"/>
      <c r="O70" s="460"/>
      <c r="P70" s="460"/>
    </row>
    <row r="71" spans="1:16" ht="15.75" x14ac:dyDescent="0.25">
      <c r="A71" s="5"/>
      <c r="B71" s="5"/>
      <c r="C71" s="5"/>
      <c r="D71" s="5"/>
      <c r="E71" s="5"/>
      <c r="F71" s="440"/>
      <c r="H71" s="6"/>
      <c r="I71" s="6"/>
      <c r="J71" s="442"/>
      <c r="L71" s="460"/>
      <c r="M71" s="460"/>
      <c r="N71" s="460"/>
      <c r="O71" s="460"/>
      <c r="P71" s="460"/>
    </row>
    <row r="72" spans="1:16" ht="15.75" x14ac:dyDescent="0.25">
      <c r="A72" s="5"/>
      <c r="B72" s="5"/>
      <c r="C72" s="5"/>
      <c r="D72" s="5"/>
      <c r="E72" s="5"/>
      <c r="F72" s="440"/>
      <c r="H72" s="6"/>
      <c r="I72" s="6"/>
      <c r="J72" s="442"/>
      <c r="L72" s="460"/>
      <c r="M72" s="460"/>
      <c r="N72" s="460"/>
      <c r="O72" s="460"/>
      <c r="P72" s="460"/>
    </row>
    <row r="73" spans="1:16" ht="15.75" x14ac:dyDescent="0.25">
      <c r="A73" s="5"/>
      <c r="B73" s="5"/>
      <c r="C73" s="5"/>
      <c r="D73" s="5"/>
      <c r="E73" s="5"/>
      <c r="F73" s="440"/>
      <c r="H73" s="6"/>
      <c r="I73" s="6"/>
      <c r="J73" s="442"/>
      <c r="L73" s="460"/>
      <c r="M73" s="460"/>
      <c r="N73" s="460"/>
      <c r="O73" s="460"/>
      <c r="P73" s="460"/>
    </row>
    <row r="74" spans="1:16" ht="15.75" x14ac:dyDescent="0.25">
      <c r="A74" s="5" t="str">
        <f>IF(CAPA!$A$91=0,"",CAPA!$A$91)</f>
        <v/>
      </c>
      <c r="B74" s="5"/>
      <c r="C74" s="5"/>
      <c r="D74" s="5"/>
      <c r="E74" s="5"/>
      <c r="F74" s="440" t="str">
        <f>Clients!$D$271</f>
        <v xml:space="preserve"> </v>
      </c>
      <c r="H74" s="6"/>
      <c r="I74" s="6"/>
      <c r="J74" s="442"/>
      <c r="L74" s="460"/>
      <c r="M74" s="460"/>
      <c r="N74" s="460"/>
      <c r="O74" s="460"/>
      <c r="P74" s="460"/>
    </row>
    <row r="75" spans="1:16" ht="15.75" x14ac:dyDescent="0.25">
      <c r="A75" s="5" t="str">
        <f>IF(CAPA!$A$92=0,"",CAPA!$A$92)</f>
        <v>(As Consignees surveyors)</v>
      </c>
      <c r="B75" s="5"/>
      <c r="C75" s="5"/>
      <c r="D75" s="5"/>
      <c r="E75" s="5"/>
      <c r="F75" s="440" t="str">
        <f>Clients!$D$272</f>
        <v xml:space="preserve"> </v>
      </c>
      <c r="H75" s="6"/>
      <c r="I75" s="6"/>
      <c r="J75" s="442"/>
      <c r="L75" s="460"/>
      <c r="M75" s="460"/>
      <c r="N75" s="460"/>
      <c r="O75" s="460"/>
      <c r="P75" s="460"/>
    </row>
    <row r="76" spans="1:16" ht="15.75" x14ac:dyDescent="0.25">
      <c r="A76" s="5"/>
      <c r="B76" s="5"/>
      <c r="C76" s="5"/>
      <c r="D76" s="5"/>
      <c r="E76" s="5"/>
      <c r="F76" s="440"/>
      <c r="H76" s="6"/>
      <c r="I76" s="6"/>
      <c r="J76" s="442"/>
      <c r="L76" s="460"/>
      <c r="M76" s="460"/>
      <c r="N76" s="460"/>
      <c r="O76" s="460"/>
      <c r="P76" s="460"/>
    </row>
    <row r="77" spans="1:16" ht="15.75" x14ac:dyDescent="0.25">
      <c r="A77" s="5"/>
      <c r="B77" s="5"/>
      <c r="C77" s="5"/>
      <c r="D77" s="5"/>
      <c r="E77" s="5"/>
      <c r="F77" s="440"/>
      <c r="H77" s="6"/>
      <c r="I77" s="6"/>
      <c r="J77" s="442"/>
      <c r="L77" s="460"/>
      <c r="M77" s="460"/>
      <c r="N77" s="460"/>
      <c r="O77" s="460"/>
      <c r="P77" s="460"/>
    </row>
    <row r="78" spans="1:16" ht="15.75" x14ac:dyDescent="0.25">
      <c r="A78" s="5"/>
      <c r="B78" s="5"/>
      <c r="C78" s="5"/>
      <c r="D78" s="5"/>
      <c r="E78" s="5"/>
      <c r="F78" s="440"/>
      <c r="H78" s="6"/>
      <c r="I78" s="6"/>
      <c r="J78" s="442"/>
      <c r="L78" s="460"/>
      <c r="M78" s="460"/>
      <c r="N78" s="460"/>
      <c r="O78" s="460"/>
      <c r="P78" s="460"/>
    </row>
    <row r="79" spans="1:16" ht="15.75" x14ac:dyDescent="0.25">
      <c r="A79" s="6" t="str">
        <f>IF(CAPA!A94=0,"",CAPA!A94)</f>
        <v>SGS DO BRASIL S/A</v>
      </c>
      <c r="B79" s="6"/>
      <c r="C79" s="6"/>
      <c r="D79" s="6"/>
      <c r="E79" s="6"/>
      <c r="F79" s="440" t="str">
        <f>Clients!$D$275</f>
        <v>Mr. Marcos Heringer</v>
      </c>
      <c r="H79" s="6"/>
      <c r="I79" s="6"/>
      <c r="J79" s="442"/>
      <c r="L79" s="460"/>
      <c r="M79" s="460"/>
      <c r="N79" s="460"/>
      <c r="O79" s="460"/>
      <c r="P79" s="460"/>
    </row>
    <row r="80" spans="1:16" ht="15.75" x14ac:dyDescent="0.25">
      <c r="A80" s="6" t="str">
        <f>IF(CAPA!A95=0,"",CAPA!A95)</f>
        <v>(On behalf of Shippers)</v>
      </c>
      <c r="B80" s="6"/>
      <c r="C80" s="6"/>
      <c r="D80" s="6"/>
      <c r="E80" s="6"/>
      <c r="F80" s="440" t="str">
        <f>Clients!$D$276</f>
        <v>Mr. Matheus Capeta Zella</v>
      </c>
      <c r="H80" s="6"/>
      <c r="I80" s="6"/>
      <c r="J80" s="442"/>
      <c r="L80" s="460"/>
      <c r="M80" s="460"/>
      <c r="N80" s="460"/>
      <c r="O80" s="460"/>
      <c r="P80" s="460"/>
    </row>
    <row r="81" spans="1:16" ht="15.75" x14ac:dyDescent="0.25">
      <c r="A81" s="6"/>
      <c r="B81" s="6"/>
      <c r="C81" s="6"/>
      <c r="D81" s="6"/>
      <c r="E81" s="6"/>
      <c r="F81" s="440"/>
      <c r="H81" s="6"/>
      <c r="I81" s="13"/>
      <c r="J81" s="442"/>
      <c r="L81" s="460"/>
      <c r="M81" s="460"/>
      <c r="N81" s="460"/>
      <c r="O81" s="460"/>
      <c r="P81" s="460"/>
    </row>
    <row r="82" spans="1:16" ht="15.75" x14ac:dyDescent="0.25">
      <c r="A82" s="5"/>
      <c r="B82" s="5"/>
      <c r="C82" s="5"/>
      <c r="D82" s="5"/>
      <c r="E82" s="5"/>
      <c r="F82" s="440"/>
      <c r="H82" s="13"/>
      <c r="I82" s="13"/>
      <c r="J82" s="442"/>
      <c r="L82" s="460"/>
      <c r="M82" s="460"/>
      <c r="N82" s="460"/>
      <c r="O82" s="460"/>
      <c r="P82" s="460"/>
    </row>
    <row r="83" spans="1:16" ht="15.75" x14ac:dyDescent="0.25">
      <c r="A83" s="5" t="s">
        <v>43</v>
      </c>
      <c r="B83" s="5"/>
      <c r="C83" s="5"/>
      <c r="D83" s="5"/>
      <c r="E83" s="5"/>
      <c r="F83" s="441" t="str">
        <f>CAPA!$A$85</f>
        <v>Mr. Heron Lullez</v>
      </c>
      <c r="H83" s="13"/>
      <c r="I83" s="13"/>
      <c r="J83" s="442"/>
      <c r="L83" s="460"/>
      <c r="M83" s="460"/>
      <c r="N83" s="460"/>
      <c r="O83" s="460"/>
      <c r="P83" s="460"/>
    </row>
    <row r="84" spans="1:16" ht="15.75" x14ac:dyDescent="0.25">
      <c r="A84" s="5"/>
      <c r="B84" s="5"/>
      <c r="C84" s="5"/>
      <c r="D84" s="5"/>
      <c r="E84" s="5"/>
      <c r="F84" s="293"/>
      <c r="G84" s="293"/>
      <c r="H84" s="13"/>
      <c r="I84" s="13"/>
      <c r="J84" s="442"/>
      <c r="L84" s="460"/>
      <c r="M84" s="460"/>
      <c r="N84" s="460"/>
      <c r="O84" s="460"/>
      <c r="P84" s="460"/>
    </row>
    <row r="85" spans="1:16" ht="15.75" x14ac:dyDescent="0.25">
      <c r="A85" s="5"/>
      <c r="B85" s="5"/>
      <c r="C85" s="5"/>
      <c r="D85" s="5"/>
      <c r="E85" s="5"/>
      <c r="F85" s="293"/>
      <c r="G85" s="13"/>
      <c r="H85" s="13"/>
      <c r="I85" s="13"/>
      <c r="J85" s="442"/>
      <c r="L85" s="460"/>
      <c r="M85" s="460"/>
      <c r="N85" s="460"/>
      <c r="O85" s="460"/>
      <c r="P85" s="460"/>
    </row>
    <row r="86" spans="1:16" ht="15.75" x14ac:dyDescent="0.25">
      <c r="A86" s="266" t="s">
        <v>44</v>
      </c>
      <c r="B86" s="13"/>
      <c r="C86" s="13"/>
      <c r="D86" s="13"/>
      <c r="E86" s="13"/>
      <c r="F86" s="266" t="s">
        <v>567</v>
      </c>
      <c r="H86" s="266"/>
      <c r="I86" s="13"/>
      <c r="J86" s="442"/>
      <c r="L86" s="460"/>
      <c r="M86" s="460"/>
      <c r="N86" s="460"/>
      <c r="O86" s="460"/>
      <c r="P86" s="460"/>
    </row>
    <row r="87" spans="1:16" ht="15.75" x14ac:dyDescent="0.25">
      <c r="A87" s="266" t="s">
        <v>45</v>
      </c>
      <c r="B87" s="13"/>
      <c r="C87" s="13"/>
      <c r="D87" s="13"/>
      <c r="E87" s="13"/>
      <c r="F87" s="13" t="s">
        <v>46</v>
      </c>
      <c r="H87" s="13"/>
      <c r="I87" s="13"/>
      <c r="J87" s="13"/>
      <c r="L87" s="460"/>
      <c r="M87" s="460"/>
      <c r="N87" s="460"/>
      <c r="O87" s="460"/>
      <c r="P87" s="460"/>
    </row>
    <row r="88" spans="1:16" ht="15.75" x14ac:dyDescent="0.25">
      <c r="A88" s="13"/>
      <c r="B88" s="13"/>
      <c r="C88" s="13"/>
      <c r="D88" s="13"/>
      <c r="E88" s="13"/>
      <c r="F88" s="739" t="str">
        <f>_xlfn.CONCAT("Mr. ",CAPA!$A$97)</f>
        <v>Mr. Thiago Henrique Barbosa Verhagen</v>
      </c>
      <c r="G88" s="739"/>
      <c r="H88" s="739"/>
      <c r="I88" s="739"/>
      <c r="J88" s="739"/>
      <c r="L88" s="460"/>
      <c r="M88" s="460"/>
      <c r="N88" s="460"/>
      <c r="O88" s="460"/>
      <c r="P88" s="460"/>
    </row>
    <row r="89" spans="1:16" ht="15.75" x14ac:dyDescent="0.25">
      <c r="A89" s="267" t="s">
        <v>47</v>
      </c>
      <c r="B89" s="13"/>
      <c r="C89" s="13"/>
      <c r="D89" s="13"/>
      <c r="E89" s="13"/>
      <c r="F89" s="13"/>
      <c r="G89" s="13"/>
      <c r="H89" s="13"/>
      <c r="I89" s="13"/>
      <c r="L89" s="460"/>
      <c r="M89" s="460"/>
      <c r="N89" s="460"/>
      <c r="O89" s="460"/>
      <c r="P89" s="460"/>
    </row>
    <row r="90" spans="1:16" ht="15.75" x14ac:dyDescent="0.25">
      <c r="A90" s="267"/>
      <c r="B90" s="13"/>
      <c r="C90" s="13"/>
      <c r="D90" s="13"/>
      <c r="E90" s="13"/>
      <c r="F90" s="13"/>
      <c r="G90" s="13"/>
      <c r="H90" s="13"/>
      <c r="I90" s="13"/>
      <c r="L90" s="460"/>
      <c r="M90" s="460"/>
      <c r="N90" s="460"/>
      <c r="O90" s="460"/>
      <c r="P90" s="460"/>
    </row>
    <row r="91" spans="1:16" ht="15.75" x14ac:dyDescent="0.25">
      <c r="A91" s="266" t="s">
        <v>48</v>
      </c>
      <c r="B91" s="13"/>
      <c r="C91" s="13"/>
      <c r="D91" s="13"/>
      <c r="E91" s="735" t="str">
        <f>CAPA!$B$8</f>
        <v>GEORGIA S</v>
      </c>
      <c r="F91" s="735"/>
      <c r="G91" s="735"/>
      <c r="H91" s="735"/>
      <c r="I91" s="735"/>
      <c r="J91" s="735"/>
      <c r="L91" s="460"/>
      <c r="M91" s="460"/>
      <c r="N91" s="460"/>
      <c r="O91" s="460"/>
      <c r="P91" s="460"/>
    </row>
    <row r="92" spans="1:16" ht="15.75" x14ac:dyDescent="0.25">
      <c r="A92" s="266" t="s">
        <v>49</v>
      </c>
      <c r="B92" s="13"/>
      <c r="C92" s="13"/>
      <c r="D92" s="13"/>
      <c r="E92" s="735" t="str">
        <f>CAPA!$B$12</f>
        <v>CQ2432</v>
      </c>
      <c r="F92" s="735"/>
      <c r="G92" s="5"/>
      <c r="H92" s="5"/>
      <c r="I92" s="13"/>
      <c r="L92" s="460"/>
      <c r="M92" s="460"/>
      <c r="N92" s="460"/>
      <c r="O92" s="460"/>
      <c r="P92" s="460"/>
    </row>
    <row r="93" spans="1:16" ht="15.75" x14ac:dyDescent="0.25">
      <c r="A93" s="266" t="s">
        <v>50</v>
      </c>
      <c r="B93" s="13"/>
      <c r="C93" s="13"/>
      <c r="D93" s="13"/>
      <c r="E93" s="735" t="str">
        <f>CAPA!$B$13</f>
        <v>Madeira</v>
      </c>
      <c r="F93" s="735"/>
      <c r="G93" s="735"/>
      <c r="H93" s="5"/>
      <c r="I93" s="13"/>
      <c r="L93" s="460"/>
      <c r="M93" s="460"/>
      <c r="N93" s="460"/>
      <c r="O93" s="460"/>
      <c r="P93" s="460"/>
    </row>
    <row r="94" spans="1:16" ht="15.75" x14ac:dyDescent="0.25">
      <c r="A94" s="266" t="s">
        <v>51</v>
      </c>
      <c r="B94" s="13"/>
      <c r="C94" s="13"/>
      <c r="D94" s="13"/>
      <c r="E94" s="735" t="str">
        <f>CAPA!$B$14</f>
        <v>Portuguese</v>
      </c>
      <c r="F94" s="735"/>
      <c r="G94" s="735"/>
      <c r="H94" s="735"/>
      <c r="I94" s="735"/>
      <c r="J94" s="735"/>
      <c r="L94" s="460"/>
      <c r="M94" s="460"/>
      <c r="N94" s="460"/>
      <c r="O94" s="460"/>
      <c r="P94" s="460"/>
    </row>
    <row r="95" spans="1:16" ht="15.75" x14ac:dyDescent="0.25">
      <c r="A95" s="266" t="s">
        <v>52</v>
      </c>
      <c r="B95" s="13"/>
      <c r="C95" s="13"/>
      <c r="D95" s="13"/>
      <c r="E95" s="735">
        <f>CAPA!$B$10</f>
        <v>9502647</v>
      </c>
      <c r="F95" s="735"/>
      <c r="G95" s="5"/>
      <c r="H95" s="5"/>
      <c r="I95" s="13"/>
      <c r="L95" s="460"/>
      <c r="M95" s="460"/>
      <c r="N95" s="460"/>
      <c r="O95" s="460"/>
      <c r="P95" s="460"/>
    </row>
    <row r="96" spans="1:16" ht="15.75" x14ac:dyDescent="0.25">
      <c r="A96" s="266" t="s">
        <v>53</v>
      </c>
      <c r="B96" s="13"/>
      <c r="C96" s="13"/>
      <c r="D96" s="13"/>
      <c r="E96" s="268">
        <f>CAPA!$B$15</f>
        <v>225</v>
      </c>
      <c r="F96" s="268"/>
      <c r="G96" s="5"/>
      <c r="H96" s="5"/>
      <c r="I96" s="13"/>
      <c r="L96" s="460"/>
      <c r="M96" s="460"/>
      <c r="N96" s="460"/>
      <c r="O96" s="460"/>
      <c r="P96" s="460"/>
    </row>
    <row r="97" spans="1:16" ht="15.75" x14ac:dyDescent="0.25">
      <c r="A97" s="266" t="s">
        <v>54</v>
      </c>
      <c r="B97" s="13"/>
      <c r="C97" s="13"/>
      <c r="D97" s="13"/>
      <c r="E97" s="268">
        <f>CAPA!$B$16</f>
        <v>217</v>
      </c>
      <c r="F97" s="268"/>
      <c r="G97" s="5"/>
      <c r="H97" s="5"/>
      <c r="I97" s="13"/>
      <c r="L97" s="460"/>
      <c r="M97" s="460"/>
      <c r="N97" s="460"/>
      <c r="O97" s="460"/>
      <c r="P97" s="460"/>
    </row>
    <row r="98" spans="1:16" ht="15.75" x14ac:dyDescent="0.25">
      <c r="A98" s="266" t="s">
        <v>55</v>
      </c>
      <c r="B98" s="13"/>
      <c r="C98" s="13"/>
      <c r="D98" s="13"/>
      <c r="E98" s="268">
        <f>CAPA!$B$17</f>
        <v>19.600000000000001</v>
      </c>
      <c r="F98" s="268"/>
      <c r="G98" s="5"/>
      <c r="H98" s="5"/>
      <c r="I98" s="13"/>
      <c r="L98" s="460"/>
      <c r="M98" s="460"/>
      <c r="N98" s="460"/>
      <c r="O98" s="460"/>
      <c r="P98" s="460"/>
    </row>
    <row r="99" spans="1:16" ht="15.75" x14ac:dyDescent="0.25">
      <c r="A99" s="266" t="s">
        <v>56</v>
      </c>
      <c r="B99" s="13"/>
      <c r="C99" s="13"/>
      <c r="D99" s="13"/>
      <c r="E99" s="268">
        <f>CAPA!$B$18</f>
        <v>32.26</v>
      </c>
      <c r="F99" s="268"/>
      <c r="G99" s="5"/>
      <c r="H99" s="5"/>
      <c r="I99" s="13"/>
      <c r="L99" s="460"/>
      <c r="M99" s="460"/>
      <c r="N99" s="460"/>
      <c r="O99" s="460"/>
      <c r="P99" s="460"/>
    </row>
    <row r="100" spans="1:16" ht="15.75" x14ac:dyDescent="0.25">
      <c r="A100" s="266" t="s">
        <v>57</v>
      </c>
      <c r="B100" s="13"/>
      <c r="C100" s="13"/>
      <c r="D100" s="13"/>
      <c r="E100" s="736">
        <f>CAPA!$B$20</f>
        <v>41101</v>
      </c>
      <c r="F100" s="736"/>
      <c r="G100" s="736"/>
      <c r="H100" s="736"/>
      <c r="I100" s="736"/>
      <c r="J100" s="736"/>
      <c r="L100" s="460"/>
      <c r="M100" s="460"/>
      <c r="N100" s="460"/>
      <c r="O100" s="460"/>
      <c r="P100" s="460"/>
    </row>
    <row r="101" spans="1:16" ht="15.75" x14ac:dyDescent="0.25">
      <c r="A101" s="266" t="s">
        <v>58</v>
      </c>
      <c r="B101" s="13"/>
      <c r="C101" s="13"/>
      <c r="D101" s="13"/>
      <c r="E101" s="736">
        <f>CAPA!$B$21</f>
        <v>25643</v>
      </c>
      <c r="F101" s="736"/>
      <c r="G101" s="736"/>
      <c r="H101" s="736"/>
      <c r="I101" s="736"/>
      <c r="J101" s="736"/>
      <c r="L101" s="460"/>
      <c r="M101" s="460"/>
      <c r="N101" s="460"/>
      <c r="O101" s="460"/>
      <c r="P101" s="460"/>
    </row>
    <row r="102" spans="1:16" ht="15.75" x14ac:dyDescent="0.25">
      <c r="A102" s="439" t="s">
        <v>59</v>
      </c>
      <c r="B102" s="13"/>
      <c r="C102" s="13"/>
      <c r="D102" s="13"/>
      <c r="E102" s="737" t="str">
        <f>CAPA!$B$23</f>
        <v>LR, Bulk Carrier CSR, BC-A, ESP, GRAB[20]</v>
      </c>
      <c r="F102" s="737"/>
      <c r="G102" s="737"/>
      <c r="H102" s="737"/>
      <c r="I102" s="737"/>
      <c r="J102" s="737"/>
      <c r="L102" s="460"/>
      <c r="M102" s="463" t="str">
        <f>CAPA!$B$23</f>
        <v>LR, Bulk Carrier CSR, BC-A, ESP, GRAB[20]</v>
      </c>
      <c r="N102" s="460"/>
      <c r="O102" s="460"/>
      <c r="P102" s="460"/>
    </row>
    <row r="103" spans="1:16" ht="15.75" x14ac:dyDescent="0.25">
      <c r="A103" s="266" t="s">
        <v>60</v>
      </c>
      <c r="B103" s="13"/>
      <c r="C103" s="13"/>
      <c r="D103" s="13"/>
      <c r="E103" s="736">
        <f>CAPA!$B$19</f>
        <v>13719</v>
      </c>
      <c r="F103" s="736"/>
      <c r="G103" s="5"/>
      <c r="H103" s="5"/>
      <c r="I103" s="13"/>
      <c r="L103" s="460"/>
      <c r="M103" s="464"/>
      <c r="N103" s="460"/>
      <c r="O103" s="460"/>
      <c r="P103" s="460"/>
    </row>
    <row r="104" spans="1:16" ht="15.75" x14ac:dyDescent="0.25">
      <c r="A104" s="266" t="s">
        <v>61</v>
      </c>
      <c r="B104" s="13"/>
      <c r="C104" s="13"/>
      <c r="D104" s="13"/>
      <c r="E104" s="736" t="str">
        <f>_xlfn.CONCAT(TEXT($I$139,"#,##0.0")," on ",TEXT(F139,"#,##0.00")," m")</f>
        <v>75,081.0 on 14.22 m</v>
      </c>
      <c r="F104" s="736"/>
      <c r="G104" s="736"/>
      <c r="H104" s="736"/>
      <c r="I104" s="736"/>
      <c r="J104" s="736"/>
      <c r="L104" s="460"/>
      <c r="M104" s="460"/>
      <c r="N104" s="460"/>
      <c r="O104" s="460"/>
      <c r="P104" s="460"/>
    </row>
    <row r="105" spans="1:16" ht="15.75" x14ac:dyDescent="0.25">
      <c r="A105" s="266"/>
      <c r="B105" s="13"/>
      <c r="C105" s="13"/>
      <c r="D105" s="13"/>
      <c r="E105" s="269"/>
      <c r="F105" s="269"/>
      <c r="G105" s="13"/>
      <c r="H105" s="13"/>
      <c r="I105" s="13"/>
      <c r="L105" s="460"/>
      <c r="M105" s="460"/>
      <c r="N105" s="460"/>
      <c r="O105" s="460"/>
      <c r="P105" s="460"/>
    </row>
    <row r="106" spans="1:16" ht="15.75" x14ac:dyDescent="0.25">
      <c r="A106" s="266" t="s">
        <v>62</v>
      </c>
      <c r="B106" s="13"/>
      <c r="C106" s="13"/>
      <c r="D106" s="13"/>
      <c r="E106" s="14" t="str">
        <f>CAPA!$B$11</f>
        <v>Penglai Zhongbai Jinglu Shipyard</v>
      </c>
      <c r="F106" s="13"/>
      <c r="G106" s="13"/>
      <c r="H106" s="13"/>
      <c r="I106" s="13"/>
      <c r="L106" s="460"/>
      <c r="M106" s="460"/>
      <c r="N106" s="460"/>
      <c r="O106" s="460"/>
      <c r="P106" s="460"/>
    </row>
    <row r="107" spans="1:16" ht="15.75" x14ac:dyDescent="0.25">
      <c r="A107" s="266"/>
      <c r="B107" s="13"/>
      <c r="C107" s="13"/>
      <c r="D107" s="13"/>
      <c r="E107" s="269"/>
      <c r="F107" s="269"/>
      <c r="G107" s="13"/>
      <c r="H107" s="13"/>
      <c r="I107" s="13"/>
      <c r="L107" s="460"/>
      <c r="M107" s="460"/>
      <c r="N107" s="460"/>
      <c r="O107" s="460"/>
      <c r="P107" s="460"/>
    </row>
    <row r="108" spans="1:16" ht="15.75" x14ac:dyDescent="0.25">
      <c r="A108" s="266" t="s">
        <v>63</v>
      </c>
      <c r="B108" s="13"/>
      <c r="C108" s="13"/>
      <c r="D108" s="13"/>
      <c r="E108" s="739" t="str">
        <f>CAPA!$B$24</f>
        <v>Brothers Stars Maritime S.A.</v>
      </c>
      <c r="F108" s="739"/>
      <c r="G108" s="739"/>
      <c r="H108" s="739"/>
      <c r="I108" s="739"/>
      <c r="J108" s="739"/>
      <c r="L108" s="460"/>
      <c r="M108" s="460"/>
      <c r="N108" s="460"/>
      <c r="O108" s="460"/>
      <c r="P108" s="460"/>
    </row>
    <row r="109" spans="1:16" ht="15.75" x14ac:dyDescent="0.25">
      <c r="A109" s="266" t="s">
        <v>64</v>
      </c>
      <c r="B109" s="13"/>
      <c r="C109" s="13"/>
      <c r="D109" s="13"/>
      <c r="E109" s="739" t="str">
        <f>CAPA!$B$25</f>
        <v>Neptune Tradebulk Inc.</v>
      </c>
      <c r="F109" s="739"/>
      <c r="G109" s="739"/>
      <c r="H109" s="739"/>
      <c r="I109" s="739"/>
      <c r="J109" s="739"/>
      <c r="L109" s="460"/>
      <c r="M109" s="460"/>
      <c r="N109" s="460"/>
      <c r="O109" s="460"/>
      <c r="P109" s="460"/>
    </row>
    <row r="110" spans="1:16" ht="15.75" x14ac:dyDescent="0.25">
      <c r="A110" s="266"/>
      <c r="B110" s="13"/>
      <c r="C110" s="13"/>
      <c r="D110" s="13"/>
      <c r="E110" s="13"/>
      <c r="F110" s="13"/>
      <c r="G110" s="13"/>
      <c r="H110" s="13"/>
      <c r="I110" s="13"/>
      <c r="L110" s="460"/>
      <c r="M110" s="460"/>
      <c r="N110" s="460"/>
      <c r="O110" s="460"/>
      <c r="P110" s="460"/>
    </row>
    <row r="111" spans="1:16" ht="15.75" x14ac:dyDescent="0.25">
      <c r="A111" s="3" t="s">
        <v>20</v>
      </c>
      <c r="B111" s="13"/>
      <c r="C111" s="13"/>
      <c r="D111" s="13"/>
      <c r="E111" s="13"/>
      <c r="F111" s="13"/>
      <c r="G111" s="13"/>
      <c r="H111" s="13"/>
      <c r="I111" s="13"/>
      <c r="L111" s="460"/>
      <c r="M111" s="460"/>
      <c r="N111" s="460"/>
      <c r="O111" s="460"/>
      <c r="P111" s="460"/>
    </row>
    <row r="112" spans="1:16" ht="15.75" x14ac:dyDescent="0.25">
      <c r="A112" s="266"/>
      <c r="B112" s="13"/>
      <c r="C112" s="13"/>
      <c r="D112" s="13"/>
      <c r="E112" s="13"/>
      <c r="F112" s="13"/>
      <c r="G112" s="13"/>
      <c r="H112" s="13"/>
      <c r="I112" s="13"/>
      <c r="L112" s="460"/>
      <c r="M112" s="460"/>
      <c r="N112" s="460"/>
      <c r="O112" s="460"/>
      <c r="P112" s="460"/>
    </row>
    <row r="113" spans="1:16" ht="15.75" x14ac:dyDescent="0.25">
      <c r="A113" s="3" t="s">
        <v>65</v>
      </c>
      <c r="B113" s="740" t="s">
        <v>66</v>
      </c>
      <c r="C113" s="740"/>
      <c r="D113" s="744" t="s">
        <v>67</v>
      </c>
      <c r="E113" s="744"/>
      <c r="F113" s="733" t="s">
        <v>68</v>
      </c>
      <c r="G113" s="733"/>
      <c r="H113" s="733"/>
      <c r="I113" s="733"/>
      <c r="J113" s="270" t="s">
        <v>69</v>
      </c>
      <c r="L113" s="460"/>
      <c r="M113" s="460"/>
      <c r="N113" s="460"/>
      <c r="O113" s="460"/>
      <c r="P113" s="460"/>
    </row>
    <row r="114" spans="1:16" ht="15.75" x14ac:dyDescent="0.25">
      <c r="A114" s="3"/>
      <c r="B114" s="740" t="s">
        <v>70</v>
      </c>
      <c r="C114" s="740"/>
      <c r="D114" s="271"/>
      <c r="F114" s="733" t="s">
        <v>71</v>
      </c>
      <c r="G114" s="733"/>
      <c r="H114" s="733"/>
      <c r="I114" s="733"/>
      <c r="J114" s="13"/>
      <c r="L114" s="460"/>
      <c r="M114" s="460"/>
      <c r="N114" s="460"/>
      <c r="O114" s="460"/>
      <c r="P114" s="460"/>
    </row>
    <row r="115" spans="1:16" ht="15.75" x14ac:dyDescent="0.25">
      <c r="A115" s="265" t="s">
        <v>72</v>
      </c>
      <c r="B115" s="741">
        <f>DCP!$B$28</f>
        <v>377832</v>
      </c>
      <c r="C115" s="741"/>
      <c r="D115" s="742" t="str">
        <f>DCP!$B$15</f>
        <v>SBMP</v>
      </c>
      <c r="E115" s="742"/>
      <c r="F115" s="743">
        <f>DCP!$B$27</f>
        <v>7281.4650000000001</v>
      </c>
      <c r="G115" s="743"/>
      <c r="H115" s="743"/>
      <c r="I115" s="743"/>
      <c r="J115" s="272">
        <f>IF(DCP!$B$30="FULL",DCP!$B$29,"SLACK")</f>
        <v>51.889557939233384</v>
      </c>
      <c r="L115" s="460"/>
      <c r="M115" s="460"/>
      <c r="N115" s="460"/>
      <c r="O115" s="460"/>
      <c r="P115" s="460"/>
    </row>
    <row r="116" spans="1:16" ht="15.75" x14ac:dyDescent="0.25">
      <c r="A116" s="265" t="s">
        <v>73</v>
      </c>
      <c r="B116" s="741">
        <f>DCP!$C$28</f>
        <v>480573</v>
      </c>
      <c r="C116" s="741"/>
      <c r="D116" s="742" t="str">
        <f>DCP!$C$15</f>
        <v>SBMP</v>
      </c>
      <c r="E116" s="742"/>
      <c r="F116" s="743">
        <f>DCP!$C$27</f>
        <v>9023.1740000000009</v>
      </c>
      <c r="G116" s="743"/>
      <c r="H116" s="743"/>
      <c r="I116" s="743" t="e">
        <f>C116/H116</f>
        <v>#DIV/0!</v>
      </c>
      <c r="J116" s="272">
        <f>IF(DCP!$C$30="FULL",DCP!$C$29,"SLACK")</f>
        <v>53.25986177369515</v>
      </c>
      <c r="L116" s="460"/>
      <c r="M116" s="460"/>
      <c r="N116" s="460"/>
      <c r="O116" s="460"/>
      <c r="P116" s="460"/>
    </row>
    <row r="117" spans="1:16" ht="15.75" x14ac:dyDescent="0.25">
      <c r="A117" s="265" t="s">
        <v>74</v>
      </c>
      <c r="B117" s="741">
        <f>DCP!$D$28</f>
        <v>469466</v>
      </c>
      <c r="C117" s="741"/>
      <c r="D117" s="742" t="str">
        <f>DCP!$D$15</f>
        <v>SBMP</v>
      </c>
      <c r="E117" s="742"/>
      <c r="F117" s="743">
        <f>DCP!$D$27</f>
        <v>8755.1749999999993</v>
      </c>
      <c r="G117" s="743"/>
      <c r="H117" s="743"/>
      <c r="I117" s="743" t="e">
        <f>D117/H117</f>
        <v>#VALUE!</v>
      </c>
      <c r="J117" s="272">
        <f>IF(DCP!$D$30="FULL",DCP!$D$29,"SLACK")</f>
        <v>53.621543829792095</v>
      </c>
      <c r="L117" s="460"/>
      <c r="M117" s="460"/>
      <c r="N117" s="460"/>
      <c r="O117" s="460"/>
      <c r="P117" s="460"/>
    </row>
    <row r="118" spans="1:16" ht="15.75" x14ac:dyDescent="0.25">
      <c r="A118" s="265" t="s">
        <v>75</v>
      </c>
      <c r="B118" s="741">
        <f>DCP!$E$28</f>
        <v>468474</v>
      </c>
      <c r="C118" s="741"/>
      <c r="D118" s="742" t="str">
        <f>DCP!$E$15</f>
        <v>SBMP</v>
      </c>
      <c r="E118" s="742"/>
      <c r="F118" s="743">
        <f>DCP!$E$27</f>
        <v>8569.2900000000009</v>
      </c>
      <c r="G118" s="743"/>
      <c r="H118" s="743"/>
      <c r="I118" s="743" t="e">
        <f>D118/H118</f>
        <v>#VALUE!</v>
      </c>
      <c r="J118" s="272">
        <f>IF(DCP!$E$30="FULL",DCP!$E$29,"SLACK")</f>
        <v>54.668939900505173</v>
      </c>
      <c r="L118" s="460"/>
      <c r="M118" s="460"/>
      <c r="N118" s="460"/>
      <c r="O118" s="460"/>
      <c r="P118" s="460"/>
    </row>
    <row r="119" spans="1:16" ht="15.75" x14ac:dyDescent="0.25">
      <c r="A119" s="265" t="s">
        <v>76</v>
      </c>
      <c r="B119" s="741">
        <f>DCP!$F$28</f>
        <v>470494</v>
      </c>
      <c r="C119" s="741"/>
      <c r="D119" s="742" t="str">
        <f>DCP!$F$15</f>
        <v>SBMP</v>
      </c>
      <c r="E119" s="742"/>
      <c r="F119" s="743">
        <f>DCP!$F$27</f>
        <v>8636.34</v>
      </c>
      <c r="G119" s="743"/>
      <c r="H119" s="743"/>
      <c r="I119" s="743" t="e">
        <f>D119/H119</f>
        <v>#VALUE!</v>
      </c>
      <c r="J119" s="272">
        <f>IF(DCP!$F$30="FULL",DCP!$F$29,"SLACK")</f>
        <v>54.478401730362627</v>
      </c>
      <c r="L119" s="460"/>
      <c r="M119" s="460"/>
      <c r="N119" s="460"/>
      <c r="O119" s="460"/>
      <c r="P119" s="460"/>
    </row>
    <row r="120" spans="1:16" ht="15.75" x14ac:dyDescent="0.25">
      <c r="A120" s="265" t="s">
        <v>77</v>
      </c>
      <c r="B120" s="741">
        <f>DCP!$G$28</f>
        <v>469809</v>
      </c>
      <c r="C120" s="741"/>
      <c r="D120" s="742" t="str">
        <f>DCP!$G$15</f>
        <v>SBMP</v>
      </c>
      <c r="E120" s="742"/>
      <c r="F120" s="743">
        <f>DCP!$G$27</f>
        <v>8700.18</v>
      </c>
      <c r="G120" s="743"/>
      <c r="H120" s="743"/>
      <c r="I120" s="743" t="e">
        <f>D120/H120</f>
        <v>#VALUE!</v>
      </c>
      <c r="J120" s="272">
        <f>IF(DCP!$G$30="FULL",DCP!$G$29,"SLACK")</f>
        <v>53.999917243091524</v>
      </c>
      <c r="L120" s="460"/>
      <c r="M120" s="460"/>
      <c r="N120" s="460"/>
      <c r="O120" s="460"/>
      <c r="P120" s="460"/>
    </row>
    <row r="121" spans="1:16" ht="15.75" x14ac:dyDescent="0.25">
      <c r="A121" s="265" t="s">
        <v>78</v>
      </c>
      <c r="B121" s="741">
        <f>DCP!$H$28</f>
        <v>446476</v>
      </c>
      <c r="C121" s="741"/>
      <c r="D121" s="742" t="str">
        <f>DCP!$H$15</f>
        <v>SBMP</v>
      </c>
      <c r="E121" s="742"/>
      <c r="F121" s="743">
        <f>DCP!$H$27</f>
        <v>7947.6049999999996</v>
      </c>
      <c r="G121" s="743"/>
      <c r="H121" s="743"/>
      <c r="I121" s="743" t="e">
        <f>D121/H121</f>
        <v>#VALUE!</v>
      </c>
      <c r="J121" s="272">
        <f>IF(DCP!$H$30="FULL",DCP!$H$29,"SLACK")</f>
        <v>56.177427036195184</v>
      </c>
      <c r="L121" s="460"/>
      <c r="M121" s="460"/>
      <c r="N121" s="460"/>
      <c r="O121" s="460"/>
      <c r="P121" s="460"/>
    </row>
    <row r="122" spans="1:16" ht="15.75" x14ac:dyDescent="0.25">
      <c r="A122" s="3" t="s">
        <v>79</v>
      </c>
      <c r="B122" s="746">
        <f>SUM(B115:B121)</f>
        <v>3183124</v>
      </c>
      <c r="C122" s="746"/>
      <c r="D122" s="13"/>
      <c r="F122" s="747">
        <f>SUM(F115:F121)</f>
        <v>58913.229000000007</v>
      </c>
      <c r="G122" s="747"/>
      <c r="H122" s="747"/>
      <c r="I122" s="747"/>
      <c r="L122" s="460"/>
      <c r="M122" s="460"/>
      <c r="N122" s="460"/>
      <c r="O122" s="460"/>
      <c r="P122" s="460"/>
    </row>
    <row r="123" spans="1:16" ht="15.75" x14ac:dyDescent="0.25">
      <c r="A123" s="3"/>
      <c r="B123" s="273"/>
      <c r="C123" s="13"/>
      <c r="D123" s="13"/>
      <c r="E123" s="274"/>
      <c r="F123" s="275"/>
      <c r="G123" s="13"/>
      <c r="H123" s="13"/>
      <c r="I123" s="13"/>
      <c r="L123" s="460"/>
      <c r="M123" s="460"/>
      <c r="N123" s="460"/>
      <c r="O123" s="460"/>
      <c r="P123" s="460"/>
    </row>
    <row r="124" spans="1:16" ht="15.75" x14ac:dyDescent="0.25">
      <c r="A124" s="266"/>
      <c r="B124" s="13"/>
      <c r="C124" s="13"/>
      <c r="D124" s="13"/>
      <c r="E124" s="13"/>
      <c r="F124" s="13"/>
      <c r="G124" s="13"/>
      <c r="H124" s="13"/>
      <c r="I124" s="13"/>
      <c r="L124" s="460"/>
      <c r="M124" s="460"/>
      <c r="N124" s="460"/>
      <c r="O124" s="460"/>
      <c r="P124" s="460"/>
    </row>
    <row r="125" spans="1:16" ht="15.75" x14ac:dyDescent="0.25">
      <c r="A125" s="267" t="s">
        <v>693</v>
      </c>
      <c r="B125" s="13"/>
      <c r="C125" s="13"/>
      <c r="D125" s="13"/>
      <c r="E125" s="13"/>
      <c r="F125" s="13"/>
      <c r="G125" s="13"/>
      <c r="H125" s="13"/>
      <c r="I125" s="13"/>
      <c r="L125" s="460"/>
      <c r="M125" s="460"/>
      <c r="N125" s="460"/>
      <c r="O125" s="460"/>
      <c r="P125" s="460"/>
    </row>
    <row r="126" spans="1:16" ht="15.75" x14ac:dyDescent="0.25">
      <c r="A126" s="267"/>
      <c r="B126" s="13"/>
      <c r="C126" s="13"/>
      <c r="D126" s="13"/>
      <c r="E126" s="13"/>
      <c r="F126" s="13"/>
      <c r="G126" s="13"/>
      <c r="H126" s="13"/>
      <c r="I126" s="13"/>
      <c r="L126" s="460"/>
      <c r="M126" s="460"/>
      <c r="N126" s="460"/>
      <c r="O126" s="460"/>
      <c r="P126" s="460"/>
    </row>
    <row r="127" spans="1:16" ht="15.75" x14ac:dyDescent="0.25">
      <c r="A127" s="266" t="s">
        <v>80</v>
      </c>
      <c r="B127" s="13"/>
      <c r="C127" s="13"/>
      <c r="D127" s="13"/>
      <c r="E127" s="13" t="str">
        <f>_xlfn.CONCAT("Issued by ",CAPA!$B$67)</f>
        <v>Issued by CS Marine for Penglai Zhongbai Jinglu Shipyard</v>
      </c>
      <c r="G127" s="13"/>
      <c r="H127" s="13"/>
      <c r="I127" s="13"/>
      <c r="L127" s="460"/>
      <c r="M127" s="460"/>
      <c r="N127" s="460"/>
      <c r="O127" s="460"/>
      <c r="P127" s="460"/>
    </row>
    <row r="128" spans="1:16" ht="15.75" x14ac:dyDescent="0.25">
      <c r="A128" s="266"/>
      <c r="B128" s="13"/>
      <c r="C128" s="13"/>
      <c r="D128" s="13"/>
      <c r="E128" s="13" t="str">
        <f>_xlfn.CONCAT("on ",CAPA!$B$68,", Dwg. No. ",CAPA!$B$69)</f>
        <v>on 17.10.2011, Dwg. No. B1 - 0203</v>
      </c>
      <c r="G128" s="13"/>
      <c r="H128" s="13"/>
      <c r="I128" s="13"/>
      <c r="L128" s="460"/>
      <c r="M128" s="460"/>
      <c r="N128" s="460"/>
      <c r="O128" s="460"/>
      <c r="P128" s="460"/>
    </row>
    <row r="129" spans="1:16" ht="15.75" x14ac:dyDescent="0.25">
      <c r="A129" s="266"/>
      <c r="B129" s="13"/>
      <c r="C129" s="13"/>
      <c r="D129" s="13"/>
      <c r="E129" s="13" t="str">
        <f>_xlfn.CONCAT("Approved by  ",CAPA!$B$70," on  ",CAPA!$B$71)</f>
        <v>Approved by  LR on  03.06.2023</v>
      </c>
      <c r="G129" s="13"/>
      <c r="H129" s="13"/>
      <c r="I129" s="13"/>
      <c r="L129" s="460"/>
      <c r="M129" s="460"/>
      <c r="N129" s="460"/>
      <c r="O129" s="460"/>
      <c r="P129" s="460"/>
    </row>
    <row r="130" spans="1:16" ht="15.75" x14ac:dyDescent="0.25">
      <c r="A130" s="266"/>
      <c r="B130" s="13"/>
      <c r="C130" s="13"/>
      <c r="D130" s="13"/>
      <c r="E130" s="14"/>
      <c r="G130" s="14"/>
      <c r="H130" s="14"/>
      <c r="I130" s="13"/>
      <c r="L130" s="460"/>
      <c r="M130" s="460"/>
      <c r="N130" s="460"/>
      <c r="O130" s="460"/>
      <c r="P130" s="460"/>
    </row>
    <row r="131" spans="1:16" ht="15.75" x14ac:dyDescent="0.25">
      <c r="A131" s="266" t="s">
        <v>81</v>
      </c>
      <c r="B131" s="13"/>
      <c r="C131" s="13"/>
      <c r="D131" s="13"/>
      <c r="E131" s="13" t="str">
        <f>$E$127</f>
        <v>Issued by CS Marine for Penglai Zhongbai Jinglu Shipyard</v>
      </c>
      <c r="G131" s="13"/>
      <c r="H131" s="13"/>
      <c r="I131" s="13"/>
      <c r="L131" s="460"/>
      <c r="M131" s="460"/>
      <c r="N131" s="460"/>
      <c r="O131" s="460"/>
      <c r="P131" s="460"/>
    </row>
    <row r="132" spans="1:16" ht="15.75" x14ac:dyDescent="0.25">
      <c r="A132" s="13"/>
      <c r="B132" s="13"/>
      <c r="C132" s="13"/>
      <c r="D132" s="13"/>
      <c r="E132" s="13" t="str">
        <f>_xlfn.CONCAT("on ",CAPA!$B$73," Dwg. no. ",CAPA!$B$74)</f>
        <v>on 21.10.2011 Dwg. no. B1 - 0210</v>
      </c>
      <c r="G132" s="13"/>
      <c r="H132" s="13"/>
      <c r="I132" s="13"/>
      <c r="L132" s="460"/>
      <c r="M132" s="460"/>
      <c r="N132" s="460"/>
      <c r="O132" s="460"/>
      <c r="P132" s="460"/>
    </row>
    <row r="133" spans="1:16" ht="15.75" x14ac:dyDescent="0.25">
      <c r="A133" s="13"/>
      <c r="B133" s="13"/>
      <c r="C133" s="13"/>
      <c r="D133" s="13"/>
      <c r="E133" s="13"/>
      <c r="F133" s="13"/>
      <c r="G133" s="13"/>
      <c r="H133" s="13"/>
      <c r="I133" s="13"/>
      <c r="L133" s="460"/>
      <c r="M133" s="460"/>
      <c r="N133" s="460"/>
      <c r="O133" s="460"/>
      <c r="P133" s="460"/>
    </row>
    <row r="134" spans="1:16" ht="15.75" x14ac:dyDescent="0.25">
      <c r="A134" s="267" t="s">
        <v>21</v>
      </c>
      <c r="B134" s="13"/>
      <c r="C134" s="13"/>
      <c r="D134" s="13"/>
      <c r="E134" s="13"/>
      <c r="F134" s="13"/>
      <c r="G134" s="13"/>
      <c r="H134" s="13"/>
      <c r="I134" s="13"/>
      <c r="L134" s="460"/>
      <c r="M134" s="460"/>
      <c r="N134" s="460"/>
      <c r="O134" s="460"/>
      <c r="P134" s="460"/>
    </row>
    <row r="135" spans="1:16" ht="15.75" x14ac:dyDescent="0.25">
      <c r="A135" s="266"/>
      <c r="B135" s="13"/>
      <c r="E135" s="710" t="s">
        <v>82</v>
      </c>
      <c r="F135" s="711" t="s">
        <v>695</v>
      </c>
      <c r="G135" s="748" t="s">
        <v>84</v>
      </c>
      <c r="H135" s="748"/>
      <c r="I135" s="748" t="s">
        <v>85</v>
      </c>
      <c r="J135" s="748"/>
      <c r="K135" s="276"/>
      <c r="L135" s="465"/>
      <c r="M135" s="466"/>
      <c r="N135" s="460"/>
      <c r="O135" s="460"/>
      <c r="P135" s="460"/>
    </row>
    <row r="136" spans="1:16" ht="15.75" x14ac:dyDescent="0.25">
      <c r="A136" s="266" t="s">
        <v>86</v>
      </c>
      <c r="B136" s="10"/>
      <c r="E136" s="277">
        <f>CAPA!$L$78</f>
        <v>4.8010000000000002</v>
      </c>
      <c r="F136" s="277">
        <f>CAPA!$M$78</f>
        <v>14.837999999999999</v>
      </c>
      <c r="G136" s="745">
        <f>CAPA!$N$78</f>
        <v>90773.6</v>
      </c>
      <c r="H136" s="745"/>
      <c r="I136" s="745">
        <f>CAPA!$O$78</f>
        <v>77054.600000000006</v>
      </c>
      <c r="J136" s="745"/>
      <c r="K136" s="278"/>
      <c r="L136" s="467"/>
      <c r="M136" s="468"/>
      <c r="N136" s="460"/>
      <c r="O136" s="460"/>
      <c r="P136" s="460"/>
    </row>
    <row r="137" spans="1:16" ht="15.75" x14ac:dyDescent="0.25">
      <c r="A137" s="266" t="s">
        <v>87</v>
      </c>
      <c r="B137" s="10"/>
      <c r="E137" s="277">
        <f>CAPA!$L$79</f>
        <v>5.0970000000000004</v>
      </c>
      <c r="F137" s="277">
        <f>CAPA!$M$79</f>
        <v>14.542</v>
      </c>
      <c r="G137" s="745">
        <f>CAPA!$N$79</f>
        <v>88792.3</v>
      </c>
      <c r="H137" s="745"/>
      <c r="I137" s="745">
        <f>CAPA!$O$79</f>
        <v>75073.3</v>
      </c>
      <c r="J137" s="745"/>
      <c r="K137" s="278"/>
      <c r="L137" s="467"/>
      <c r="M137" s="468"/>
      <c r="N137" s="460"/>
      <c r="O137" s="460"/>
      <c r="P137" s="460"/>
    </row>
    <row r="138" spans="1:16" ht="15.75" x14ac:dyDescent="0.25">
      <c r="A138" s="266" t="s">
        <v>88</v>
      </c>
      <c r="B138" s="10"/>
      <c r="E138" s="277">
        <f>CAPA!$L$80</f>
        <v>5.1239999999999997</v>
      </c>
      <c r="F138" s="277">
        <f>CAPA!$M$80</f>
        <v>14.515000000000001</v>
      </c>
      <c r="G138" s="745">
        <f>CAPA!$N$80</f>
        <v>90827</v>
      </c>
      <c r="H138" s="745"/>
      <c r="I138" s="745">
        <f>CAPA!$O$80</f>
        <v>77108</v>
      </c>
      <c r="J138" s="745"/>
      <c r="K138" s="278"/>
      <c r="L138" s="467"/>
      <c r="M138" s="468"/>
      <c r="N138" s="460"/>
      <c r="O138" s="460"/>
      <c r="P138" s="460"/>
    </row>
    <row r="139" spans="1:16" ht="15.75" x14ac:dyDescent="0.25">
      <c r="A139" s="266" t="s">
        <v>89</v>
      </c>
      <c r="B139" s="10"/>
      <c r="E139" s="277">
        <f>CAPA!$L$81</f>
        <v>5.42</v>
      </c>
      <c r="F139" s="277">
        <f>CAPA!$M$81</f>
        <v>14.218999999999999</v>
      </c>
      <c r="G139" s="745">
        <f>CAPA!$N$81</f>
        <v>88800</v>
      </c>
      <c r="H139" s="745"/>
      <c r="I139" s="745">
        <f>CAPA!$O$81</f>
        <v>75081</v>
      </c>
      <c r="J139" s="745"/>
      <c r="K139" s="278"/>
      <c r="L139" s="467"/>
      <c r="M139" s="468"/>
      <c r="N139" s="460"/>
      <c r="O139" s="460"/>
      <c r="P139" s="460"/>
    </row>
    <row r="140" spans="1:16" ht="15.75" x14ac:dyDescent="0.25">
      <c r="A140" s="266" t="s">
        <v>90</v>
      </c>
      <c r="B140" s="10"/>
      <c r="E140" s="277">
        <f>CAPA!$L$82</f>
        <v>5.7160000000000002</v>
      </c>
      <c r="F140" s="277">
        <f>CAPA!$M$82</f>
        <v>13.923</v>
      </c>
      <c r="G140" s="745">
        <f>CAPA!$N$82</f>
        <v>86776</v>
      </c>
      <c r="H140" s="745"/>
      <c r="I140" s="745">
        <f>CAPA!$O$82</f>
        <v>73057</v>
      </c>
      <c r="J140" s="745"/>
      <c r="K140" s="278"/>
      <c r="L140" s="467"/>
      <c r="M140" s="468"/>
      <c r="N140" s="460"/>
      <c r="O140" s="460"/>
      <c r="P140" s="460"/>
    </row>
    <row r="141" spans="1:16" ht="15.75" x14ac:dyDescent="0.25">
      <c r="A141" s="266"/>
      <c r="B141" s="10"/>
      <c r="C141" s="10"/>
      <c r="D141" s="10"/>
      <c r="E141" s="10"/>
      <c r="F141" s="10"/>
      <c r="G141" s="10"/>
      <c r="H141" s="10"/>
      <c r="I141" s="10"/>
      <c r="L141" s="460"/>
      <c r="M141" s="460"/>
      <c r="N141" s="460"/>
      <c r="O141" s="460"/>
      <c r="P141" s="460"/>
    </row>
    <row r="142" spans="1:16" ht="15.75" x14ac:dyDescent="0.25">
      <c r="A142" s="266"/>
      <c r="B142" s="10"/>
      <c r="C142" s="10"/>
      <c r="D142" s="10"/>
      <c r="E142" s="10"/>
      <c r="F142" s="10"/>
      <c r="G142" s="10"/>
      <c r="H142" s="10"/>
      <c r="I142" s="10"/>
      <c r="L142" s="460"/>
      <c r="M142" s="460"/>
      <c r="N142" s="460"/>
      <c r="O142" s="460"/>
      <c r="P142" s="460"/>
    </row>
    <row r="143" spans="1:16" ht="15.75" x14ac:dyDescent="0.25">
      <c r="A143" s="267" t="s">
        <v>696</v>
      </c>
      <c r="B143" s="10"/>
      <c r="C143" s="10"/>
      <c r="D143" s="10"/>
      <c r="E143" s="10"/>
      <c r="F143" s="10"/>
      <c r="G143" s="10"/>
      <c r="H143" s="10"/>
      <c r="I143" s="10"/>
      <c r="L143" s="460"/>
      <c r="M143" s="460"/>
      <c r="N143" s="460"/>
      <c r="O143" s="460"/>
      <c r="P143" s="460"/>
    </row>
    <row r="144" spans="1:16" x14ac:dyDescent="0.25">
      <c r="A144" s="279"/>
      <c r="B144" s="10"/>
      <c r="C144" s="10"/>
      <c r="D144" s="10"/>
      <c r="E144" s="10"/>
      <c r="F144" s="10"/>
      <c r="G144" s="10"/>
      <c r="H144" s="10"/>
      <c r="I144" s="10"/>
      <c r="L144" s="460"/>
      <c r="M144" s="460"/>
      <c r="N144" s="460"/>
      <c r="O144" s="460"/>
      <c r="P144" s="460"/>
    </row>
    <row r="145" spans="1:16" ht="15.75" x14ac:dyDescent="0.25">
      <c r="A145" s="266" t="s">
        <v>91</v>
      </c>
      <c r="B145" s="10"/>
      <c r="C145" s="10"/>
      <c r="D145" s="10"/>
      <c r="E145" s="394" t="str">
        <f>_xlfn.CONCAT(OrdinalDate(Draft!$E$4),", ",YEAR(Draft!$E$4)," from ",TEXT(Draft!$O$4,"h:mm;@")," until ",TEXT(Draft!$O$6,"h:mm;@")," hrs")</f>
        <v xml:space="preserve"> February 21st, 2026 from 10:45 until 14:00 hrs</v>
      </c>
      <c r="G145" s="280"/>
      <c r="H145" s="280"/>
      <c r="I145" s="10"/>
      <c r="L145" s="460" t="str">
        <f>_xlfn.CONCAT(TEXT(Draft!$E$4,"[$-en-US]mmmm d, aaaa;@")," from ",TEXT(Draft!$O$4,"h:mm;@")," until ",TEXT(Draft!$O$6,"h:mm;@")," hrs")</f>
        <v>February 21, 2026 from 10:45 until 14:00 hrs</v>
      </c>
      <c r="M145" s="460"/>
      <c r="N145" s="460"/>
      <c r="O145" s="460"/>
      <c r="P145" s="460"/>
    </row>
    <row r="146" spans="1:16" ht="15.75" x14ac:dyDescent="0.25">
      <c r="A146" s="266" t="s">
        <v>92</v>
      </c>
      <c r="B146" s="10"/>
      <c r="C146" s="10"/>
      <c r="D146" s="10"/>
      <c r="E146" s="14" t="str">
        <f>CONCATENATE(Draft!$E$5," (",Draft!$AN$4," ",Draft!H6,")")</f>
        <v>Paranaguá, Br - Brazil (inner roads 9.2)</v>
      </c>
      <c r="G146" s="13"/>
      <c r="H146" s="13"/>
      <c r="I146" s="10"/>
      <c r="L146" s="460"/>
      <c r="M146" s="460"/>
      <c r="N146" s="460"/>
      <c r="O146" s="460"/>
      <c r="P146" s="460"/>
    </row>
    <row r="147" spans="1:16" ht="15.75" x14ac:dyDescent="0.25">
      <c r="A147" s="266" t="s">
        <v>93</v>
      </c>
      <c r="B147" s="10"/>
      <c r="C147" s="10"/>
      <c r="D147" s="10"/>
      <c r="E147" s="395">
        <f>Draft!$O$7</f>
        <v>0.3</v>
      </c>
      <c r="G147" s="13"/>
      <c r="H147" s="13"/>
      <c r="I147" s="10"/>
      <c r="L147" s="460"/>
      <c r="M147" s="460"/>
      <c r="N147" s="460"/>
      <c r="O147" s="460"/>
      <c r="P147" s="460"/>
    </row>
    <row r="148" spans="1:16" ht="15.75" x14ac:dyDescent="0.25">
      <c r="A148" s="266" t="s">
        <v>597</v>
      </c>
      <c r="B148" s="10"/>
      <c r="C148" s="10"/>
      <c r="D148" s="10"/>
      <c r="E148" s="626">
        <f>Draft!$O$8</f>
        <v>2</v>
      </c>
      <c r="F148" s="393"/>
      <c r="G148" s="281"/>
      <c r="H148" s="281"/>
      <c r="I148" s="281"/>
      <c r="L148" s="460"/>
      <c r="M148" s="460"/>
      <c r="N148" s="460"/>
      <c r="O148" s="460"/>
      <c r="P148" s="460"/>
    </row>
    <row r="149" spans="1:16" ht="15.75" x14ac:dyDescent="0.25">
      <c r="A149" s="266" t="s">
        <v>94</v>
      </c>
      <c r="B149" s="10"/>
      <c r="C149" s="10"/>
      <c r="D149" s="10"/>
      <c r="E149" s="14" t="str">
        <f>Draft!$E$8</f>
        <v>No tide flow</v>
      </c>
      <c r="G149" s="13"/>
      <c r="H149" s="13"/>
      <c r="I149" s="10"/>
      <c r="L149" s="460"/>
      <c r="M149" s="460"/>
      <c r="N149" s="460"/>
      <c r="O149" s="460"/>
      <c r="P149" s="460"/>
    </row>
    <row r="150" spans="1:16" ht="15.75" x14ac:dyDescent="0.25">
      <c r="A150" s="266" t="s">
        <v>95</v>
      </c>
      <c r="B150" s="10"/>
      <c r="C150" s="10"/>
      <c r="D150" s="10"/>
      <c r="E150" s="14" t="str">
        <f>Draft!$E$7</f>
        <v>Rainy</v>
      </c>
      <c r="G150" s="13"/>
      <c r="H150" s="13"/>
      <c r="I150" s="10"/>
      <c r="L150" s="460"/>
      <c r="M150" s="460"/>
      <c r="N150" s="460"/>
      <c r="O150" s="460"/>
      <c r="P150" s="460"/>
    </row>
    <row r="151" spans="1:16" ht="15.75" x14ac:dyDescent="0.25">
      <c r="A151" s="266"/>
      <c r="B151" s="10"/>
      <c r="C151" s="10"/>
      <c r="D151" s="10"/>
      <c r="E151" s="10"/>
      <c r="F151" s="13"/>
      <c r="G151" s="13"/>
      <c r="H151" s="13"/>
      <c r="I151" s="10"/>
      <c r="L151" s="460"/>
      <c r="M151" s="460"/>
      <c r="N151" s="460"/>
      <c r="O151" s="460"/>
      <c r="P151" s="460"/>
    </row>
    <row r="152" spans="1:16" ht="15.75" x14ac:dyDescent="0.25">
      <c r="A152" s="266"/>
      <c r="B152" s="10"/>
      <c r="C152" s="10"/>
      <c r="D152" s="10"/>
      <c r="E152" s="10"/>
      <c r="F152" s="13"/>
      <c r="G152" s="13"/>
      <c r="H152" s="13"/>
      <c r="I152" s="10"/>
      <c r="L152" s="460"/>
      <c r="M152" s="460"/>
      <c r="N152" s="460"/>
      <c r="O152" s="460"/>
      <c r="P152" s="460"/>
    </row>
    <row r="153" spans="1:16" ht="15.75" x14ac:dyDescent="0.25">
      <c r="A153" s="267" t="s">
        <v>697</v>
      </c>
      <c r="B153" s="10"/>
      <c r="C153" s="10"/>
      <c r="D153" s="10"/>
      <c r="E153" s="10"/>
      <c r="F153" s="13"/>
      <c r="G153" s="13"/>
      <c r="H153" s="13"/>
      <c r="I153" s="10"/>
      <c r="L153" s="460"/>
      <c r="M153" s="460"/>
      <c r="N153" s="460"/>
      <c r="O153" s="460"/>
      <c r="P153" s="460"/>
    </row>
    <row r="154" spans="1:16" ht="15.75" x14ac:dyDescent="0.25">
      <c r="A154" s="266"/>
      <c r="B154" s="10"/>
      <c r="C154" s="10"/>
      <c r="D154" s="10"/>
      <c r="E154" s="10"/>
      <c r="F154" s="13"/>
      <c r="G154" s="13"/>
      <c r="H154" s="13"/>
      <c r="I154" s="10"/>
      <c r="L154" s="460"/>
      <c r="M154" s="460"/>
      <c r="N154" s="460"/>
      <c r="O154" s="460"/>
      <c r="P154" s="460"/>
    </row>
    <row r="155" spans="1:16" ht="15.75" x14ac:dyDescent="0.25">
      <c r="A155" s="266" t="s">
        <v>91</v>
      </c>
      <c r="B155" s="10"/>
      <c r="C155" s="10"/>
      <c r="D155" s="10"/>
      <c r="E155" s="1179" t="str">
        <f>_xlfn.CONCAT(OrdinalDate(Draft!$X$4),", ",YEAR(Draft!$X$4)," from ",TEXT(Draft!$AH$4,"h:mm;@")," until ",TEXT(Draft!$AH$6,"h:mm;@")," hrs")</f>
        <v xml:space="preserve"> February 28th, 2026 from 12:00 until 14:00 hrs</v>
      </c>
      <c r="F155" s="1179"/>
      <c r="G155" s="1179"/>
      <c r="H155" s="1179"/>
      <c r="I155" s="1179"/>
      <c r="J155" s="1179"/>
      <c r="L155" s="460"/>
      <c r="M155" s="460"/>
      <c r="N155" s="460"/>
      <c r="O155" s="460"/>
      <c r="P155" s="460"/>
    </row>
    <row r="156" spans="1:16" ht="15.75" x14ac:dyDescent="0.25">
      <c r="A156" s="266" t="s">
        <v>92</v>
      </c>
      <c r="B156" s="10"/>
      <c r="C156" s="10"/>
      <c r="D156" s="10"/>
      <c r="E156" s="14" t="str">
        <f>CONCATENATE(Draft!$X$5," (",Draft!$AO$4," ",Draft!$AA$6,")")</f>
        <v>Paranaguá, Br - Brazil (wharf 214)</v>
      </c>
      <c r="G156" s="13"/>
      <c r="H156" s="13"/>
      <c r="I156" s="10"/>
      <c r="L156" s="460"/>
      <c r="M156" s="460"/>
      <c r="N156" s="460"/>
      <c r="O156" s="460"/>
      <c r="P156" s="460"/>
    </row>
    <row r="157" spans="1:16" ht="15.75" x14ac:dyDescent="0.25">
      <c r="A157" s="266" t="s">
        <v>93</v>
      </c>
      <c r="B157" s="10"/>
      <c r="C157" s="10"/>
      <c r="D157" s="10"/>
      <c r="E157" s="395">
        <f>Draft!$AH$7</f>
        <v>0.15</v>
      </c>
      <c r="G157" s="13"/>
      <c r="H157" s="13"/>
      <c r="I157" s="10"/>
      <c r="L157" s="460"/>
      <c r="M157" s="460"/>
      <c r="N157" s="460"/>
      <c r="O157" s="460"/>
      <c r="P157" s="460"/>
    </row>
    <row r="158" spans="1:16" ht="15.75" x14ac:dyDescent="0.25">
      <c r="A158" s="266" t="s">
        <v>597</v>
      </c>
      <c r="B158" s="10"/>
      <c r="C158" s="10"/>
      <c r="D158" s="10"/>
      <c r="E158" s="626">
        <f>Draft!$AH$8</f>
        <v>2</v>
      </c>
      <c r="G158" s="282"/>
      <c r="H158" s="282"/>
      <c r="I158" s="10"/>
      <c r="L158" s="456"/>
      <c r="M158" s="456"/>
      <c r="N158" s="456"/>
      <c r="O158" s="456"/>
      <c r="P158" s="456"/>
    </row>
    <row r="159" spans="1:16" ht="15.75" x14ac:dyDescent="0.25">
      <c r="A159" s="266" t="s">
        <v>94</v>
      </c>
      <c r="B159" s="10"/>
      <c r="C159" s="10"/>
      <c r="D159" s="10"/>
      <c r="E159" s="14" t="str">
        <f>Draft!$X$8</f>
        <v>Flood tide, &lt; 1knot</v>
      </c>
      <c r="G159" s="13"/>
      <c r="H159" s="13"/>
      <c r="I159" s="10"/>
      <c r="L159" s="456"/>
      <c r="M159" s="456"/>
      <c r="N159" s="456"/>
      <c r="O159" s="456"/>
      <c r="P159" s="456"/>
    </row>
    <row r="160" spans="1:16" ht="15.75" x14ac:dyDescent="0.25">
      <c r="A160" s="266" t="s">
        <v>95</v>
      </c>
      <c r="B160" s="10"/>
      <c r="C160" s="10"/>
      <c r="D160" s="10"/>
      <c r="E160" s="14" t="str">
        <f>Draft!$X$7</f>
        <v>Fine</v>
      </c>
      <c r="G160" s="13"/>
      <c r="H160" s="13"/>
      <c r="I160" s="10"/>
      <c r="L160" s="456"/>
      <c r="M160" s="456"/>
      <c r="N160" s="456"/>
      <c r="O160" s="456"/>
      <c r="P160" s="456"/>
    </row>
    <row r="161" spans="1:21" ht="15.75" x14ac:dyDescent="0.25">
      <c r="A161" s="266"/>
      <c r="B161" s="10"/>
      <c r="C161" s="10"/>
      <c r="D161" s="10"/>
      <c r="E161" s="10"/>
      <c r="F161" s="13"/>
      <c r="G161" s="13"/>
      <c r="H161" s="13"/>
      <c r="I161" s="10"/>
      <c r="L161" s="456"/>
      <c r="M161" s="456"/>
      <c r="N161" s="456"/>
      <c r="O161" s="456"/>
      <c r="P161" s="456"/>
    </row>
    <row r="162" spans="1:21" ht="15.75" x14ac:dyDescent="0.25">
      <c r="A162" s="266"/>
      <c r="B162" s="10"/>
      <c r="C162" s="10"/>
      <c r="D162" s="10"/>
      <c r="E162" s="10"/>
      <c r="F162" s="13"/>
      <c r="G162" s="13"/>
      <c r="H162" s="13"/>
      <c r="I162" s="10"/>
      <c r="L162" s="456"/>
      <c r="M162" s="456"/>
      <c r="N162" s="456"/>
      <c r="O162" s="456"/>
      <c r="P162" s="456"/>
    </row>
    <row r="163" spans="1:21" ht="15.75" x14ac:dyDescent="0.25">
      <c r="A163" s="267" t="s">
        <v>96</v>
      </c>
      <c r="B163" s="10"/>
      <c r="C163" s="10"/>
      <c r="D163" s="10"/>
      <c r="E163" s="10"/>
      <c r="F163" s="13"/>
      <c r="G163" s="13"/>
      <c r="H163" s="13"/>
      <c r="I163" s="10"/>
      <c r="L163" s="456"/>
      <c r="M163" s="456"/>
      <c r="N163" s="456"/>
      <c r="O163" s="456"/>
      <c r="P163" s="456"/>
    </row>
    <row r="164" spans="1:21" ht="15.75" x14ac:dyDescent="0.25">
      <c r="A164" s="266"/>
      <c r="B164" s="10"/>
      <c r="C164" s="10"/>
      <c r="D164" s="10"/>
      <c r="E164" s="10"/>
      <c r="F164" s="13"/>
      <c r="G164" s="13"/>
      <c r="H164" s="13"/>
      <c r="I164" s="10"/>
      <c r="L164" s="456"/>
      <c r="M164" s="456"/>
      <c r="N164" s="456"/>
      <c r="O164" s="456"/>
      <c r="P164" s="456"/>
    </row>
    <row r="165" spans="1:21" ht="15.75" x14ac:dyDescent="0.25">
      <c r="A165" s="266" t="s">
        <v>97</v>
      </c>
      <c r="B165" s="10"/>
      <c r="C165" s="10"/>
      <c r="D165" s="10"/>
      <c r="E165" s="14" t="str">
        <f>CAPA!$B$6</f>
        <v>Soybean meal in bulk</v>
      </c>
      <c r="G165" s="13"/>
      <c r="H165" s="13"/>
      <c r="I165" s="10"/>
      <c r="L165" s="456"/>
      <c r="M165" s="456"/>
      <c r="N165" s="456"/>
      <c r="O165" s="456"/>
      <c r="P165" s="456"/>
    </row>
    <row r="166" spans="1:21" ht="15.75" x14ac:dyDescent="0.25">
      <c r="A166" s="266" t="s">
        <v>98</v>
      </c>
      <c r="B166" s="10"/>
      <c r="C166" s="10"/>
      <c r="D166" s="10"/>
      <c r="E166" s="14" t="str">
        <f>_xlfn.CONCAT("Port of ",Draft!$E$5)</f>
        <v>Port of Paranaguá, Br - Brazil</v>
      </c>
      <c r="G166" s="13"/>
      <c r="H166" s="13"/>
      <c r="I166" s="10"/>
      <c r="L166" s="456"/>
      <c r="M166" s="456"/>
      <c r="N166" s="456"/>
      <c r="O166" s="456"/>
      <c r="P166" s="456"/>
    </row>
    <row r="167" spans="1:21" ht="15.75" x14ac:dyDescent="0.25">
      <c r="A167" s="266" t="s">
        <v>99</v>
      </c>
      <c r="B167" s="10"/>
      <c r="C167" s="10"/>
      <c r="D167" s="10"/>
      <c r="E167" s="14" t="str">
        <f>CAPA!$B$38</f>
        <v>B.I.K - Iran</v>
      </c>
      <c r="G167" s="13"/>
      <c r="H167" s="13"/>
      <c r="I167" s="10"/>
      <c r="L167" s="456"/>
      <c r="M167" s="456"/>
      <c r="N167" s="456"/>
      <c r="O167" s="456"/>
      <c r="P167" s="456"/>
    </row>
    <row r="168" spans="1:21" ht="15.75" x14ac:dyDescent="0.25">
      <c r="A168" s="266" t="s">
        <v>100</v>
      </c>
      <c r="B168" s="10"/>
      <c r="C168" s="10"/>
      <c r="D168" s="10"/>
      <c r="E168" s="14" t="str">
        <f>CAPA!$B$36</f>
        <v>Maize in bulk</v>
      </c>
      <c r="G168" s="13"/>
      <c r="H168" s="13"/>
      <c r="I168" s="10"/>
      <c r="L168" s="456"/>
      <c r="M168" s="457" t="s">
        <v>557</v>
      </c>
      <c r="N168" s="458" t="s">
        <v>317</v>
      </c>
      <c r="O168" s="459"/>
      <c r="P168" s="459"/>
      <c r="Q168" s="10"/>
      <c r="R168" s="10"/>
      <c r="S168" s="10"/>
      <c r="T168" s="10"/>
      <c r="U168" s="10"/>
    </row>
    <row r="169" spans="1:21" ht="15.75" x14ac:dyDescent="0.25">
      <c r="A169" s="266" t="s">
        <v>101</v>
      </c>
      <c r="B169" s="10"/>
      <c r="C169" s="10"/>
      <c r="D169" s="10"/>
      <c r="E169" s="14" t="str">
        <f>CAPA!$B$37</f>
        <v>Bandar Abbas -  Iran</v>
      </c>
      <c r="G169" s="13"/>
      <c r="H169" s="13"/>
      <c r="I169" s="10"/>
      <c r="L169" s="456"/>
      <c r="M169" s="457" t="s">
        <v>558</v>
      </c>
      <c r="N169" s="458" t="s">
        <v>319</v>
      </c>
      <c r="O169" s="459"/>
      <c r="P169" s="459"/>
      <c r="Q169" s="10"/>
      <c r="R169" s="10"/>
      <c r="S169" s="10"/>
      <c r="T169" s="10"/>
      <c r="U169" s="10"/>
    </row>
    <row r="170" spans="1:21" ht="15.75" x14ac:dyDescent="0.25">
      <c r="A170" s="266"/>
      <c r="B170" s="10"/>
      <c r="C170" s="10"/>
      <c r="D170" s="10"/>
      <c r="E170" s="10"/>
      <c r="F170" s="13"/>
      <c r="G170" s="13"/>
      <c r="H170" s="13"/>
      <c r="I170" s="10"/>
      <c r="L170" s="456"/>
      <c r="M170" s="457" t="s">
        <v>559</v>
      </c>
      <c r="N170" s="458" t="s">
        <v>320</v>
      </c>
      <c r="O170" s="459"/>
      <c r="P170" s="459"/>
      <c r="Q170" s="10"/>
      <c r="R170" s="10"/>
      <c r="S170" s="10"/>
      <c r="T170" s="10"/>
      <c r="U170" s="10"/>
    </row>
    <row r="171" spans="1:21" ht="15.75" x14ac:dyDescent="0.25">
      <c r="A171" s="266"/>
      <c r="B171" s="10"/>
      <c r="C171" s="10"/>
      <c r="D171" s="10"/>
      <c r="E171" s="10"/>
      <c r="F171" s="10"/>
      <c r="G171" s="10"/>
      <c r="H171" s="10"/>
      <c r="I171" s="10"/>
      <c r="L171" s="456"/>
      <c r="M171" s="457" t="s">
        <v>560</v>
      </c>
      <c r="N171" s="458" t="s">
        <v>322</v>
      </c>
      <c r="O171" s="459"/>
      <c r="P171" s="459"/>
      <c r="Q171" s="10"/>
      <c r="R171" s="10"/>
      <c r="S171" s="10"/>
      <c r="T171" s="10"/>
      <c r="U171" s="10"/>
    </row>
    <row r="172" spans="1:21" ht="15.75" x14ac:dyDescent="0.25">
      <c r="A172" s="283" t="s">
        <v>102</v>
      </c>
      <c r="B172" s="283"/>
      <c r="C172" s="10"/>
      <c r="D172" s="10"/>
      <c r="E172" s="10"/>
      <c r="F172" s="10"/>
      <c r="G172" s="17"/>
      <c r="H172" s="749">
        <f>$I$232</f>
        <v>58913.228999999999</v>
      </c>
      <c r="I172" s="749"/>
      <c r="J172" s="10" t="s">
        <v>103</v>
      </c>
      <c r="L172" s="456"/>
      <c r="M172" s="457" t="s">
        <v>561</v>
      </c>
      <c r="N172" s="458" t="s">
        <v>323</v>
      </c>
      <c r="O172" s="459"/>
      <c r="P172" s="459"/>
      <c r="Q172" s="10"/>
      <c r="R172" s="10"/>
      <c r="S172" s="10"/>
      <c r="T172" s="10"/>
      <c r="U172" s="10"/>
    </row>
    <row r="173" spans="1:21" ht="15.75" x14ac:dyDescent="0.25">
      <c r="A173" s="266"/>
      <c r="B173" s="10"/>
      <c r="C173" s="10"/>
      <c r="D173" s="10"/>
      <c r="E173" s="10"/>
      <c r="F173" s="10"/>
      <c r="G173" s="12"/>
      <c r="H173" s="10"/>
      <c r="I173" s="10"/>
      <c r="J173" s="10"/>
      <c r="L173" s="456"/>
      <c r="M173" s="457" t="s">
        <v>559</v>
      </c>
      <c r="N173" s="458" t="s">
        <v>324</v>
      </c>
      <c r="O173" s="459"/>
      <c r="P173" s="459"/>
      <c r="Q173" s="10"/>
      <c r="R173" s="10"/>
      <c r="S173" s="10"/>
      <c r="T173" s="10"/>
      <c r="U173" s="10"/>
    </row>
    <row r="174" spans="1:21" ht="15.75" x14ac:dyDescent="0.25">
      <c r="A174" s="283" t="s">
        <v>700</v>
      </c>
      <c r="B174" s="283"/>
      <c r="C174" s="13"/>
      <c r="D174" s="13" t="s">
        <v>104</v>
      </c>
      <c r="E174" s="10"/>
      <c r="G174" s="17"/>
      <c r="H174" s="749">
        <f>$I$233</f>
        <v>59226.553736159498</v>
      </c>
      <c r="I174" s="749"/>
      <c r="J174" s="10" t="s">
        <v>103</v>
      </c>
      <c r="L174" s="456"/>
      <c r="M174" s="457" t="s">
        <v>562</v>
      </c>
      <c r="N174" s="458" t="s">
        <v>325</v>
      </c>
      <c r="O174" s="459"/>
      <c r="P174" s="459"/>
      <c r="Q174" s="10"/>
      <c r="R174" s="10"/>
      <c r="S174" s="10"/>
      <c r="T174" s="10"/>
      <c r="U174" s="10"/>
    </row>
    <row r="175" spans="1:21" ht="15.75" x14ac:dyDescent="0.25">
      <c r="A175" s="284"/>
      <c r="B175" s="284"/>
      <c r="C175" s="14"/>
      <c r="D175" s="14" t="s">
        <v>105</v>
      </c>
      <c r="E175" s="10"/>
      <c r="G175" s="17"/>
      <c r="H175" s="749">
        <f>$H$237</f>
        <v>59159.82</v>
      </c>
      <c r="I175" s="749"/>
      <c r="J175" s="10" t="s">
        <v>103</v>
      </c>
      <c r="L175" s="456"/>
      <c r="M175" s="456" t="s">
        <v>608</v>
      </c>
      <c r="N175" s="75" t="s">
        <v>63</v>
      </c>
      <c r="O175" s="456"/>
      <c r="P175" s="456"/>
    </row>
    <row r="176" spans="1:21" ht="15.75" x14ac:dyDescent="0.25">
      <c r="A176" s="284"/>
      <c r="B176" s="284"/>
      <c r="C176" s="13"/>
      <c r="D176" s="13" t="s">
        <v>106</v>
      </c>
      <c r="E176" s="13"/>
      <c r="G176" s="17"/>
      <c r="H176" s="749">
        <f>$H$238</f>
        <v>59196.66</v>
      </c>
      <c r="I176" s="749"/>
      <c r="J176" s="10" t="s">
        <v>103</v>
      </c>
      <c r="L176" s="456"/>
      <c r="M176" s="456" t="s">
        <v>609</v>
      </c>
      <c r="N176" s="75" t="s">
        <v>607</v>
      </c>
      <c r="O176" s="456"/>
      <c r="P176" s="456"/>
    </row>
    <row r="177" spans="1:16" ht="15.75" x14ac:dyDescent="0.25">
      <c r="A177" s="284"/>
      <c r="B177" s="284"/>
      <c r="C177" s="15"/>
      <c r="D177" s="15" t="str">
        <f>IFERROR(_xlfn.IFS(Draft!U84=N168,M168,Draft!U84=N169,M169,Draft!U84=N170,M170,Draft!U84=N171,M171,Draft!U84=N172,M172,Draft!U84=N173,M173,Draft!U84=N174,M174,Draft!U84=N175,M175,Draft!U84=N176,M176),"")</f>
        <v>OWNERS:</v>
      </c>
      <c r="E177" s="15"/>
      <c r="G177" s="17"/>
      <c r="H177" s="749">
        <f>Draft!$X$84</f>
        <v>59161.493999999999</v>
      </c>
      <c r="I177" s="749"/>
      <c r="J177" s="10" t="s">
        <v>103</v>
      </c>
      <c r="L177" s="456"/>
      <c r="M177" s="456"/>
      <c r="N177" s="456"/>
      <c r="O177" s="456"/>
      <c r="P177" s="456"/>
    </row>
    <row r="178" spans="1:16" ht="15.75" x14ac:dyDescent="0.25">
      <c r="A178" s="284"/>
      <c r="B178" s="284"/>
      <c r="C178" s="15"/>
      <c r="D178" s="15" t="str">
        <f>IFERROR(_xlfn.IFS(Draft!U85=N168,M168,Draft!U85=N169,M169,Draft!U85=N170,M170,Draft!U85=N171,M171,Draft!U85=N172,M172,Draft!U85=N173,M173,Draft!U85=N174,M174,Draft!U85=N175,M175,Draft!U85=N176,M176),"")</f>
        <v>CONSIGNEES SURVEYOR:</v>
      </c>
      <c r="E178" s="15"/>
      <c r="G178" s="17"/>
      <c r="H178" s="749">
        <f>Draft!$X$85</f>
        <v>59165.608</v>
      </c>
      <c r="I178" s="749"/>
      <c r="J178" s="10" t="s">
        <v>103</v>
      </c>
      <c r="L178" s="456"/>
      <c r="M178" s="456"/>
      <c r="N178" s="456"/>
      <c r="O178" s="456"/>
      <c r="P178" s="456"/>
    </row>
    <row r="179" spans="1:16" ht="15.75" x14ac:dyDescent="0.25">
      <c r="A179" s="284"/>
      <c r="B179" s="284"/>
      <c r="C179" s="15"/>
      <c r="D179" s="15" t="str">
        <f>IFERROR(_xlfn.IFS(Draft!U86=N168,M168,Draft!U86=N169,M169,Draft!U86=N170,M170,Draft!U86=N171,M171,Draft!U86=N172,M172,Draft!U86=N173,M173,Draft!U86=N174,M174,Draft!U86=N175,M175,Draft!U86=N176,M176),"")</f>
        <v>SHIPPERS SURVEYOR:</v>
      </c>
      <c r="E179" s="15"/>
      <c r="G179" s="17"/>
      <c r="H179" s="749">
        <f>Draft!$X$86</f>
        <v>59150.286999999997</v>
      </c>
      <c r="I179" s="749"/>
      <c r="J179" s="10" t="s">
        <v>103</v>
      </c>
      <c r="L179" s="456"/>
      <c r="M179" s="456"/>
      <c r="N179" s="456"/>
      <c r="O179" s="456"/>
      <c r="P179" s="456"/>
    </row>
    <row r="180" spans="1:16" ht="15.75" x14ac:dyDescent="0.25">
      <c r="A180" s="284"/>
      <c r="B180" s="284"/>
      <c r="C180" s="15"/>
      <c r="D180" s="15" t="str">
        <f>IFERROR(_xlfn.IFS(Draft!U87=N168,M168,Draft!U87=N169,M169,Draft!U87=N170,M170,Draft!U87=N171,M171,Draft!U87=N172,M172,Draft!U87=N173,M173,Draft!U87=N174,M174,Draft!U87=N175,M175,Draft!U87=N176,M176),"")</f>
        <v/>
      </c>
      <c r="E180" s="15"/>
      <c r="G180" s="17"/>
      <c r="H180" s="749">
        <f>Draft!$X$87</f>
        <v>0</v>
      </c>
      <c r="I180" s="749"/>
      <c r="J180" s="10" t="s">
        <v>103</v>
      </c>
      <c r="L180" s="456"/>
      <c r="M180" s="456"/>
      <c r="N180" s="456"/>
      <c r="O180" s="456"/>
      <c r="P180" s="456"/>
    </row>
    <row r="181" spans="1:16" ht="15.75" x14ac:dyDescent="0.25">
      <c r="A181" s="284"/>
      <c r="B181" s="284"/>
      <c r="C181" s="285"/>
      <c r="D181" s="285"/>
      <c r="E181" s="285"/>
      <c r="F181" s="285"/>
      <c r="G181" s="11"/>
      <c r="H181" s="10"/>
      <c r="I181" s="10"/>
      <c r="L181" s="456"/>
      <c r="M181" s="456"/>
      <c r="N181" s="456"/>
      <c r="O181" s="456"/>
      <c r="P181" s="456"/>
    </row>
    <row r="182" spans="1:16" ht="7.5" customHeight="1" thickBot="1" x14ac:dyDescent="0.3">
      <c r="A182" s="294"/>
      <c r="B182" s="294"/>
      <c r="C182" s="295"/>
      <c r="D182" s="295"/>
      <c r="E182" s="295"/>
      <c r="F182" s="295"/>
      <c r="G182" s="296"/>
      <c r="H182" s="297"/>
      <c r="I182" s="298"/>
      <c r="J182" s="299"/>
      <c r="L182" s="456"/>
      <c r="M182" s="456"/>
      <c r="N182" s="456"/>
      <c r="O182" s="456"/>
      <c r="P182" s="456"/>
    </row>
    <row r="183" spans="1:16" ht="21" customHeight="1" thickBot="1" x14ac:dyDescent="0.45">
      <c r="A183" s="300"/>
      <c r="B183" s="297"/>
      <c r="C183" s="297"/>
      <c r="D183" s="297"/>
      <c r="E183" s="297"/>
      <c r="F183" s="301"/>
      <c r="G183" s="760" t="s">
        <v>107</v>
      </c>
      <c r="H183" s="761"/>
      <c r="I183" s="762" t="s">
        <v>108</v>
      </c>
      <c r="J183" s="763"/>
      <c r="L183" s="456"/>
      <c r="M183" s="456"/>
      <c r="N183" s="456"/>
      <c r="O183" s="456"/>
      <c r="P183" s="456"/>
    </row>
    <row r="184" spans="1:16" ht="14.1" customHeight="1" x14ac:dyDescent="0.25">
      <c r="A184" s="764" t="str">
        <f>$A$1</f>
        <v xml:space="preserve">M/V "GEORGIA S" </v>
      </c>
      <c r="B184" s="765"/>
      <c r="C184" s="765"/>
      <c r="D184" s="765"/>
      <c r="E184" s="765"/>
      <c r="F184" s="766"/>
      <c r="G184" s="773" t="str">
        <f>_xlfn.CONCAT(Draft!$E$6," ",Draft!$H$6)</f>
        <v>Inner roads 9.2</v>
      </c>
      <c r="H184" s="773"/>
      <c r="I184" s="774" t="str">
        <f>_xlfn.CONCAT(Draft!$X$6," ",Draft!$AA$6)</f>
        <v>Wharf 214</v>
      </c>
      <c r="J184" s="775"/>
      <c r="L184" s="456"/>
      <c r="M184" s="456"/>
      <c r="N184" s="456"/>
      <c r="O184" s="456"/>
      <c r="P184" s="456"/>
    </row>
    <row r="185" spans="1:16" ht="14.1" customHeight="1" x14ac:dyDescent="0.25">
      <c r="A185" s="767"/>
      <c r="B185" s="768"/>
      <c r="C185" s="768"/>
      <c r="D185" s="768"/>
      <c r="E185" s="768"/>
      <c r="F185" s="769"/>
      <c r="G185" s="779" t="str">
        <f>_xlfn.CONCAT(TEXT(Draft!$E$4,"dd.mm.aaaa")," - ",TEXT(Draft!$O$5,"hh:mm")," h")</f>
        <v>21.02.2026 - 11:10 h</v>
      </c>
      <c r="H185" s="781"/>
      <c r="I185" s="779" t="str">
        <f>_xlfn.CONCAT(TEXT(Draft!$X$4,"dd.mm.aaaa")," - ",TEXT(Draft!$AH$5,"hh:mm")," h")</f>
        <v>28.02.2026 - 12:10 h</v>
      </c>
      <c r="J185" s="780"/>
      <c r="L185" s="456" t="str">
        <f>_xlfn.CONCAT(OrdinalDate(Draft!$X$4),", ",YEAR(Draft!$X$4))</f>
        <v xml:space="preserve"> February 28th, 2026</v>
      </c>
      <c r="M185" s="456"/>
      <c r="N185" s="456"/>
      <c r="O185" s="456"/>
      <c r="P185" s="456"/>
    </row>
    <row r="186" spans="1:16" ht="14.1" customHeight="1" x14ac:dyDescent="0.25">
      <c r="A186" s="770"/>
      <c r="B186" s="771"/>
      <c r="C186" s="771"/>
      <c r="D186" s="771"/>
      <c r="E186" s="771"/>
      <c r="F186" s="772"/>
      <c r="G186" s="776">
        <f>Draft!$O$7</f>
        <v>0.3</v>
      </c>
      <c r="H186" s="777"/>
      <c r="I186" s="776">
        <f>Draft!$AH$7</f>
        <v>0.15</v>
      </c>
      <c r="J186" s="778"/>
      <c r="L186" s="456"/>
      <c r="M186" s="456"/>
      <c r="N186" s="456"/>
      <c r="O186" s="456"/>
      <c r="P186" s="456"/>
    </row>
    <row r="187" spans="1:16" ht="14.1" customHeight="1" x14ac:dyDescent="0.25">
      <c r="A187" s="750" t="str">
        <f>_xlfn.CONCAT("IMO NO.  ",CAPA!$B$10)</f>
        <v>IMO NO.  9502647</v>
      </c>
      <c r="B187" s="751"/>
      <c r="C187" s="751" t="str">
        <f>_xlfn.CONCAT("FLAG:  ",CAPA!$B$14)</f>
        <v>FLAG:  Portuguese</v>
      </c>
      <c r="D187" s="751"/>
      <c r="E187" s="751" t="str">
        <f>_xlfn.CONCAT("BUILD:  ",CAPA!$B$9)</f>
        <v>BUILD:  2011</v>
      </c>
      <c r="F187" s="752"/>
      <c r="G187" s="753" t="str">
        <f>CONCATENATE("Wind force ",TEXT(Draft!$O$8,"00"))</f>
        <v>Wind force 02</v>
      </c>
      <c r="H187" s="754"/>
      <c r="I187" s="753" t="str">
        <f>CONCATENATE("Wind force ",TEXT(Draft!$AH$8,"00"))</f>
        <v>Wind force 02</v>
      </c>
      <c r="J187" s="754"/>
      <c r="L187" s="456"/>
      <c r="M187" s="456"/>
      <c r="N187" s="456"/>
      <c r="O187" s="456"/>
      <c r="P187" s="456"/>
    </row>
    <row r="188" spans="1:16" ht="14.1" customHeight="1" x14ac:dyDescent="0.25">
      <c r="A188" s="443" t="str">
        <f>IF(Draft!H84="NÃO","DRAUGHT SURVEY CERTIFICATE","FULL DISPLACEMENT SURVEY CERTIFICATE")</f>
        <v>DRAUGHT SURVEY CERTIFICATE</v>
      </c>
      <c r="B188" s="302"/>
      <c r="C188" s="302"/>
      <c r="D188" s="302"/>
      <c r="E188" s="302"/>
      <c r="F188" s="303"/>
      <c r="G188" s="753" t="str">
        <f>Draft!$E$8</f>
        <v>No tide flow</v>
      </c>
      <c r="H188" s="754"/>
      <c r="I188" s="753" t="str">
        <f>Draft!$X$8</f>
        <v>Flood tide, &lt; 1knot</v>
      </c>
      <c r="J188" s="755"/>
      <c r="L188" s="456"/>
      <c r="M188" s="456"/>
      <c r="N188" s="456"/>
      <c r="O188" s="456"/>
      <c r="P188" s="456"/>
    </row>
    <row r="189" spans="1:16" ht="14.1" customHeight="1" thickBot="1" x14ac:dyDescent="0.3">
      <c r="A189" s="444" t="str">
        <f>$G$3</f>
        <v>PGUA/DS/058/26</v>
      </c>
      <c r="B189" s="304"/>
      <c r="C189" s="304"/>
      <c r="D189" s="304"/>
      <c r="E189" s="304"/>
      <c r="F189" s="305"/>
      <c r="G189" s="782" t="str">
        <f>_xlfn.CONCAT("Weather:   ",Draft!$E$7)</f>
        <v>Weather:   Rainy</v>
      </c>
      <c r="H189" s="783"/>
      <c r="I189" s="782" t="str">
        <f>_xlfn.CONCAT("Weather:   ",Draft!$X$7)</f>
        <v>Weather:   Fine</v>
      </c>
      <c r="J189" s="1178"/>
      <c r="L189" s="456"/>
      <c r="M189" s="456"/>
      <c r="N189" s="456"/>
      <c r="O189" s="456"/>
      <c r="P189" s="456"/>
    </row>
    <row r="190" spans="1:16" ht="3.75" customHeight="1" thickBot="1" x14ac:dyDescent="0.3">
      <c r="A190" s="306"/>
      <c r="B190" s="306"/>
      <c r="C190" s="306"/>
      <c r="D190" s="306"/>
      <c r="E190" s="306"/>
      <c r="F190" s="307"/>
      <c r="G190" s="306"/>
      <c r="H190" s="306"/>
      <c r="I190" s="308"/>
      <c r="J190" s="309"/>
      <c r="L190" s="456"/>
      <c r="M190" s="456"/>
      <c r="N190" s="456"/>
      <c r="O190" s="456"/>
      <c r="P190" s="456"/>
    </row>
    <row r="191" spans="1:16" ht="12.95" customHeight="1" x14ac:dyDescent="0.25">
      <c r="A191" s="326" t="s">
        <v>701</v>
      </c>
      <c r="B191" s="336"/>
      <c r="C191" s="336"/>
      <c r="D191" s="336"/>
      <c r="E191" s="336"/>
      <c r="F191" s="337"/>
      <c r="G191" s="756" t="s">
        <v>109</v>
      </c>
      <c r="H191" s="757"/>
      <c r="I191" s="758" t="s">
        <v>110</v>
      </c>
      <c r="J191" s="759"/>
      <c r="L191" s="456"/>
      <c r="M191" s="456"/>
      <c r="N191" s="456"/>
      <c r="O191" s="456"/>
      <c r="P191" s="456"/>
    </row>
    <row r="192" spans="1:16" ht="12.95" customHeight="1" x14ac:dyDescent="0.25">
      <c r="A192" s="338" t="s">
        <v>111</v>
      </c>
      <c r="B192" s="312"/>
      <c r="C192" s="312"/>
      <c r="D192" s="312"/>
      <c r="E192" s="312"/>
      <c r="F192" s="313"/>
      <c r="G192" s="794">
        <f>Draft!$C$25</f>
        <v>5.05</v>
      </c>
      <c r="H192" s="795"/>
      <c r="I192" s="796">
        <f>Draft!$U$25</f>
        <v>12.32</v>
      </c>
      <c r="J192" s="797"/>
      <c r="L192" s="456"/>
      <c r="M192" s="456"/>
      <c r="N192" s="456"/>
      <c r="O192" s="456"/>
      <c r="P192" s="456"/>
    </row>
    <row r="193" spans="1:16" ht="12.95" customHeight="1" x14ac:dyDescent="0.25">
      <c r="A193" s="448" t="s">
        <v>112</v>
      </c>
      <c r="B193" s="315"/>
      <c r="C193" s="315"/>
      <c r="D193" s="315"/>
      <c r="E193" s="315"/>
      <c r="F193" s="316"/>
      <c r="G193" s="798">
        <f>Draft!$G$25</f>
        <v>5.09</v>
      </c>
      <c r="H193" s="799"/>
      <c r="I193" s="800">
        <f>Draft!$Y$25</f>
        <v>12.28</v>
      </c>
      <c r="J193" s="801"/>
      <c r="L193" s="456"/>
      <c r="M193" s="456"/>
      <c r="N193" s="456"/>
      <c r="O193" s="456"/>
      <c r="P193" s="456"/>
    </row>
    <row r="194" spans="1:16" ht="12.95" customHeight="1" x14ac:dyDescent="0.25">
      <c r="A194" s="339" t="s">
        <v>113</v>
      </c>
      <c r="B194" s="315"/>
      <c r="C194" s="315"/>
      <c r="D194" s="315"/>
      <c r="E194" s="315"/>
      <c r="F194" s="316"/>
      <c r="G194" s="798">
        <f>($G$192+$G$193)/2</f>
        <v>5.07</v>
      </c>
      <c r="H194" s="799"/>
      <c r="I194" s="798">
        <f>($I$192+$I$193)/2</f>
        <v>12.3</v>
      </c>
      <c r="J194" s="801"/>
      <c r="L194" s="456"/>
      <c r="M194" s="456"/>
      <c r="N194" s="456"/>
      <c r="O194" s="456"/>
      <c r="P194" s="456"/>
    </row>
    <row r="195" spans="1:16" ht="12.95" customHeight="1" x14ac:dyDescent="0.25">
      <c r="A195" s="448" t="s">
        <v>114</v>
      </c>
      <c r="B195" s="314"/>
      <c r="C195" s="314"/>
      <c r="D195" s="314"/>
      <c r="E195" s="314"/>
      <c r="F195" s="317"/>
      <c r="G195" s="786">
        <f>Draft!$M$25</f>
        <v>-5.740000000000034E-2</v>
      </c>
      <c r="H195" s="787"/>
      <c r="I195" s="788">
        <f>Draft!$AE$25</f>
        <v>-1.980000000000004E-2</v>
      </c>
      <c r="J195" s="789"/>
      <c r="L195" s="456"/>
      <c r="M195" s="456"/>
      <c r="N195" s="456"/>
      <c r="O195" s="456"/>
      <c r="P195" s="456"/>
    </row>
    <row r="196" spans="1:16" ht="12.95" customHeight="1" x14ac:dyDescent="0.25">
      <c r="A196" s="330" t="s">
        <v>702</v>
      </c>
      <c r="B196" s="310"/>
      <c r="C196" s="310"/>
      <c r="D196" s="310"/>
      <c r="E196" s="310"/>
      <c r="F196" s="311"/>
      <c r="G196" s="790">
        <f>Draft!$P$25</f>
        <v>5.0125999999999999</v>
      </c>
      <c r="H196" s="791"/>
      <c r="I196" s="792">
        <f>Draft!$AH$25</f>
        <v>12.280200000000001</v>
      </c>
      <c r="J196" s="793"/>
      <c r="L196" s="456"/>
      <c r="M196" s="456"/>
      <c r="N196" s="456"/>
      <c r="O196" s="456"/>
      <c r="P196" s="456"/>
    </row>
    <row r="197" spans="1:16" ht="12.95" customHeight="1" x14ac:dyDescent="0.25">
      <c r="A197" s="338" t="s">
        <v>115</v>
      </c>
      <c r="B197" s="312"/>
      <c r="C197" s="312"/>
      <c r="D197" s="312"/>
      <c r="E197" s="312"/>
      <c r="F197" s="313"/>
      <c r="G197" s="794">
        <f>Draft!$C$26</f>
        <v>6.26</v>
      </c>
      <c r="H197" s="795"/>
      <c r="I197" s="796">
        <f>Draft!$U$26</f>
        <v>12.47</v>
      </c>
      <c r="J197" s="797"/>
      <c r="L197" s="456"/>
      <c r="M197" s="456"/>
      <c r="N197" s="456"/>
      <c r="O197" s="456"/>
      <c r="P197" s="456"/>
    </row>
    <row r="198" spans="1:16" ht="12.95" customHeight="1" x14ac:dyDescent="0.25">
      <c r="A198" s="448" t="s">
        <v>116</v>
      </c>
      <c r="B198" s="315"/>
      <c r="C198" s="315"/>
      <c r="D198" s="315"/>
      <c r="E198" s="315"/>
      <c r="F198" s="316"/>
      <c r="G198" s="798">
        <f>Draft!$G$26</f>
        <v>6.3</v>
      </c>
      <c r="H198" s="799"/>
      <c r="I198" s="800">
        <f>Draft!$Y$26</f>
        <v>12.24</v>
      </c>
      <c r="J198" s="801"/>
      <c r="L198" s="456"/>
      <c r="M198" s="456"/>
      <c r="N198" s="456"/>
      <c r="O198" s="456"/>
      <c r="P198" s="456"/>
    </row>
    <row r="199" spans="1:16" ht="12.95" customHeight="1" x14ac:dyDescent="0.25">
      <c r="A199" s="339" t="s">
        <v>117</v>
      </c>
      <c r="B199" s="315"/>
      <c r="C199" s="315"/>
      <c r="D199" s="315"/>
      <c r="E199" s="315"/>
      <c r="F199" s="316"/>
      <c r="G199" s="798">
        <f>($G$197+$G$198)/2</f>
        <v>6.2799999999999994</v>
      </c>
      <c r="H199" s="799"/>
      <c r="I199" s="798">
        <f>($I$197+$I$198)/2</f>
        <v>12.355</v>
      </c>
      <c r="J199" s="801"/>
      <c r="L199" s="456"/>
      <c r="M199" s="456"/>
      <c r="N199" s="456"/>
      <c r="O199" s="456"/>
      <c r="P199" s="456"/>
    </row>
    <row r="200" spans="1:16" ht="12.95" customHeight="1" x14ac:dyDescent="0.25">
      <c r="A200" s="448" t="s">
        <v>118</v>
      </c>
      <c r="B200" s="314"/>
      <c r="C200" s="314"/>
      <c r="D200" s="314"/>
      <c r="E200" s="314"/>
      <c r="F200" s="317"/>
      <c r="G200" s="786">
        <f>Draft!$M$26</f>
        <v>-3.4299999999999109E-2</v>
      </c>
      <c r="H200" s="787"/>
      <c r="I200" s="788">
        <f>Draft!$AE$26</f>
        <v>-1.9300000000001205E-2</v>
      </c>
      <c r="J200" s="789"/>
      <c r="L200" s="456"/>
      <c r="M200" s="456"/>
      <c r="N200" s="456"/>
      <c r="O200" s="456"/>
      <c r="P200" s="456"/>
    </row>
    <row r="201" spans="1:16" ht="12.95" customHeight="1" x14ac:dyDescent="0.25">
      <c r="A201" s="330" t="s">
        <v>703</v>
      </c>
      <c r="B201" s="310"/>
      <c r="C201" s="310"/>
      <c r="D201" s="310"/>
      <c r="E201" s="310"/>
      <c r="F201" s="311"/>
      <c r="G201" s="790">
        <f>Draft!$P$26</f>
        <v>6.2457000000000003</v>
      </c>
      <c r="H201" s="791"/>
      <c r="I201" s="792">
        <f>Draft!$AH$26</f>
        <v>12.335699999999999</v>
      </c>
      <c r="J201" s="793"/>
      <c r="L201" s="456"/>
      <c r="M201" s="456"/>
      <c r="N201" s="456"/>
      <c r="O201" s="456"/>
      <c r="P201" s="456"/>
    </row>
    <row r="202" spans="1:16" ht="12.95" customHeight="1" x14ac:dyDescent="0.25">
      <c r="A202" s="338" t="s">
        <v>119</v>
      </c>
      <c r="B202" s="312"/>
      <c r="C202" s="312"/>
      <c r="D202" s="312"/>
      <c r="E202" s="312"/>
      <c r="F202" s="313"/>
      <c r="G202" s="794">
        <f>Draft!$C$27</f>
        <v>7.6</v>
      </c>
      <c r="H202" s="795"/>
      <c r="I202" s="796">
        <f>Draft!$U$27</f>
        <v>12.43</v>
      </c>
      <c r="J202" s="797"/>
      <c r="L202" s="456"/>
      <c r="M202" s="456"/>
      <c r="N202" s="456"/>
      <c r="O202" s="456"/>
      <c r="P202" s="456"/>
    </row>
    <row r="203" spans="1:16" ht="12.95" customHeight="1" x14ac:dyDescent="0.25">
      <c r="A203" s="339" t="s">
        <v>120</v>
      </c>
      <c r="B203" s="315"/>
      <c r="C203" s="315"/>
      <c r="D203" s="315"/>
      <c r="E203" s="315"/>
      <c r="F203" s="316"/>
      <c r="G203" s="798">
        <f>Draft!$G$27</f>
        <v>7.6</v>
      </c>
      <c r="H203" s="799"/>
      <c r="I203" s="800">
        <f>Draft!$Y$27</f>
        <v>12.28</v>
      </c>
      <c r="J203" s="801"/>
      <c r="L203" s="456"/>
      <c r="M203" s="456"/>
      <c r="N203" s="456"/>
      <c r="O203" s="456"/>
      <c r="P203" s="456"/>
    </row>
    <row r="204" spans="1:16" ht="12.95" customHeight="1" x14ac:dyDescent="0.25">
      <c r="A204" s="339" t="s">
        <v>121</v>
      </c>
      <c r="B204" s="315"/>
      <c r="C204" s="315"/>
      <c r="D204" s="315"/>
      <c r="E204" s="315"/>
      <c r="F204" s="316"/>
      <c r="G204" s="798">
        <f>($G$202+$G$203)/2</f>
        <v>7.6</v>
      </c>
      <c r="H204" s="799"/>
      <c r="I204" s="798">
        <f>($I$202+$I$203)/2</f>
        <v>12.355</v>
      </c>
      <c r="J204" s="801"/>
      <c r="L204" s="456"/>
      <c r="M204" s="456"/>
      <c r="N204" s="456"/>
      <c r="O204" s="456"/>
      <c r="P204" s="456"/>
    </row>
    <row r="205" spans="1:16" ht="12.95" customHeight="1" x14ac:dyDescent="0.25">
      <c r="A205" s="448" t="s">
        <v>122</v>
      </c>
      <c r="B205" s="314"/>
      <c r="C205" s="314"/>
      <c r="D205" s="314"/>
      <c r="E205" s="314"/>
      <c r="F205" s="317"/>
      <c r="G205" s="786">
        <f>Draft!$M$27</f>
        <v>7.2900000000000631E-2</v>
      </c>
      <c r="H205" s="787"/>
      <c r="I205" s="788">
        <f>Draft!$AE$27</f>
        <v>-1.7000000000001236E-2</v>
      </c>
      <c r="J205" s="789"/>
      <c r="L205" s="456"/>
      <c r="M205" s="456"/>
      <c r="N205" s="456"/>
      <c r="O205" s="456"/>
      <c r="P205" s="456"/>
    </row>
    <row r="206" spans="1:16" ht="12.95" customHeight="1" x14ac:dyDescent="0.25">
      <c r="A206" s="330" t="s">
        <v>704</v>
      </c>
      <c r="B206" s="310"/>
      <c r="C206" s="310"/>
      <c r="D206" s="310"/>
      <c r="E206" s="310"/>
      <c r="F206" s="311"/>
      <c r="G206" s="790">
        <f>Draft!$P$27</f>
        <v>7.6729000000000003</v>
      </c>
      <c r="H206" s="791"/>
      <c r="I206" s="792">
        <f>Draft!$AH$27</f>
        <v>12.337999999999999</v>
      </c>
      <c r="J206" s="793"/>
      <c r="L206" s="456"/>
      <c r="M206" s="456"/>
      <c r="N206" s="456"/>
      <c r="O206" s="456"/>
      <c r="P206" s="456"/>
    </row>
    <row r="207" spans="1:16" ht="12.95" customHeight="1" thickBot="1" x14ac:dyDescent="0.3">
      <c r="A207" s="449" t="s">
        <v>123</v>
      </c>
      <c r="B207" s="318"/>
      <c r="C207" s="318"/>
      <c r="D207" s="318"/>
      <c r="E207" s="318"/>
      <c r="F207" s="319"/>
      <c r="G207" s="802">
        <f>Draft!$O$20+Draft!$H$18</f>
        <v>1.9E-2</v>
      </c>
      <c r="H207" s="803"/>
      <c r="I207" s="804">
        <f>$G$207</f>
        <v>1.9E-2</v>
      </c>
      <c r="J207" s="805"/>
      <c r="L207" s="456"/>
      <c r="M207" s="456"/>
      <c r="N207" s="456"/>
      <c r="O207" s="456"/>
      <c r="P207" s="456"/>
    </row>
    <row r="208" spans="1:16" ht="12.95" customHeight="1" thickBot="1" x14ac:dyDescent="0.3">
      <c r="A208" s="450" t="s">
        <v>124</v>
      </c>
      <c r="B208" s="320"/>
      <c r="C208" s="320"/>
      <c r="D208" s="320"/>
      <c r="E208" s="320"/>
      <c r="F208" s="321"/>
      <c r="G208" s="806">
        <f>Draft!$K$31</f>
        <v>6.2699625000000001</v>
      </c>
      <c r="H208" s="807"/>
      <c r="I208" s="806">
        <f>Draft!$AC$31</f>
        <v>12.329049999999999</v>
      </c>
      <c r="J208" s="808"/>
      <c r="L208" s="456"/>
      <c r="M208" s="456"/>
      <c r="N208" s="456"/>
      <c r="O208" s="456"/>
      <c r="P208" s="456"/>
    </row>
    <row r="209" spans="1:16" ht="3.75" customHeight="1" thickBot="1" x14ac:dyDescent="0.3">
      <c r="A209" s="455"/>
      <c r="B209" s="322"/>
      <c r="C209" s="322"/>
      <c r="D209" s="322"/>
      <c r="E209" s="322"/>
      <c r="F209" s="322"/>
      <c r="G209" s="323"/>
      <c r="H209" s="324"/>
      <c r="I209" s="325"/>
      <c r="J209" s="351"/>
      <c r="L209" s="456"/>
      <c r="M209" s="456"/>
      <c r="N209" s="456"/>
      <c r="O209" s="456"/>
      <c r="P209" s="456"/>
    </row>
    <row r="210" spans="1:16" ht="12.95" customHeight="1" x14ac:dyDescent="0.25">
      <c r="A210" s="326" t="s">
        <v>125</v>
      </c>
      <c r="B210" s="327"/>
      <c r="C210" s="327"/>
      <c r="D210" s="327"/>
      <c r="E210" s="327"/>
      <c r="F210" s="328"/>
      <c r="G210" s="329" t="str">
        <f>IF(G206=0,"",IF(G206&gt;G196,"BY STERN","BY HEAD"))</f>
        <v>BY STERN</v>
      </c>
      <c r="H210" s="396">
        <f>Draft!$P$29</f>
        <v>2.6603000000000003</v>
      </c>
      <c r="I210" s="329" t="str">
        <f>IF(I206=0,"",IF(I206&gt;I196,"BY STERN","BY HEAD"))</f>
        <v>BY STERN</v>
      </c>
      <c r="J210" s="445">
        <f>Draft!$AH$29</f>
        <v>5.7799999999998519E-2</v>
      </c>
      <c r="L210" s="456"/>
      <c r="M210" s="456"/>
      <c r="N210" s="456"/>
      <c r="O210" s="456"/>
      <c r="P210" s="456"/>
    </row>
    <row r="211" spans="1:16" ht="12.95" customHeight="1" x14ac:dyDescent="0.25">
      <c r="A211" s="330" t="s">
        <v>126</v>
      </c>
      <c r="B211" s="331"/>
      <c r="C211" s="331"/>
      <c r="D211" s="331"/>
      <c r="E211" s="331"/>
      <c r="F211" s="332"/>
      <c r="G211" s="333" t="str">
        <f>_xlfn.CONCAT(Draft!$P$35," ",TEXT(Draft!$M$35,"0.00")," º")</f>
        <v>S 0.07 º</v>
      </c>
      <c r="H211" s="397">
        <f>Draft!$G$35</f>
        <v>4</v>
      </c>
      <c r="I211" s="333" t="str">
        <f>_xlfn.CONCAT(Draft!$AH$35," ",TEXT(Draft!$AE$35,"0.00")," º")</f>
        <v>P 0.41 º</v>
      </c>
      <c r="J211" s="446">
        <f>Draft!$Y$35</f>
        <v>23</v>
      </c>
      <c r="L211" s="456"/>
      <c r="M211" s="456"/>
      <c r="N211" s="456"/>
      <c r="O211" s="456"/>
      <c r="P211" s="456"/>
    </row>
    <row r="212" spans="1:16" ht="12.95" customHeight="1" thickBot="1" x14ac:dyDescent="0.3">
      <c r="A212" s="334" t="s">
        <v>128</v>
      </c>
      <c r="B212" s="299"/>
      <c r="C212" s="299"/>
      <c r="D212" s="299"/>
      <c r="E212" s="299"/>
      <c r="F212" s="335"/>
      <c r="G212" s="399" t="str">
        <f>Draft!$M$33</f>
        <v>HOGGING</v>
      </c>
      <c r="H212" s="398">
        <f>Draft!$G$33</f>
        <v>9.7050000000000303</v>
      </c>
      <c r="I212" s="399" t="str">
        <f>Draft!$AE$33</f>
        <v>SAGGING</v>
      </c>
      <c r="J212" s="447">
        <f>Draft!$Y$33</f>
        <v>2.6599999999998403</v>
      </c>
      <c r="L212" s="456"/>
      <c r="M212" s="456"/>
      <c r="N212" s="456"/>
      <c r="O212" s="456"/>
      <c r="P212" s="456"/>
    </row>
    <row r="213" spans="1:16" ht="3.75" customHeight="1" thickBot="1" x14ac:dyDescent="0.3">
      <c r="A213" s="314"/>
      <c r="B213" s="314"/>
      <c r="C213" s="314"/>
      <c r="D213" s="314"/>
      <c r="E213" s="314"/>
      <c r="F213" s="314"/>
      <c r="G213" s="314"/>
      <c r="H213" s="314"/>
      <c r="I213" s="325"/>
      <c r="J213" s="309"/>
      <c r="L213" s="456"/>
      <c r="M213" s="456"/>
      <c r="N213" s="456"/>
      <c r="O213" s="456"/>
      <c r="P213" s="456"/>
    </row>
    <row r="214" spans="1:16" ht="12.95" customHeight="1" x14ac:dyDescent="0.25">
      <c r="A214" s="326" t="s">
        <v>129</v>
      </c>
      <c r="B214" s="336"/>
      <c r="C214" s="336"/>
      <c r="D214" s="336"/>
      <c r="E214" s="336"/>
      <c r="F214" s="337"/>
      <c r="G214" s="756" t="s">
        <v>109</v>
      </c>
      <c r="H214" s="757"/>
      <c r="I214" s="809" t="s">
        <v>110</v>
      </c>
      <c r="J214" s="810"/>
      <c r="L214" s="456"/>
      <c r="M214" s="456"/>
      <c r="N214" s="456"/>
      <c r="O214" s="456"/>
      <c r="P214" s="456"/>
    </row>
    <row r="215" spans="1:16" ht="12.95" customHeight="1" x14ac:dyDescent="0.25">
      <c r="A215" s="338" t="s">
        <v>130</v>
      </c>
      <c r="B215" s="312"/>
      <c r="C215" s="312"/>
      <c r="D215" s="312"/>
      <c r="E215" s="312"/>
      <c r="F215" s="313"/>
      <c r="G215" s="817">
        <f>Draft!$J$43</f>
        <v>36627.19</v>
      </c>
      <c r="H215" s="818"/>
      <c r="I215" s="817">
        <f>Draft!$AB$43</f>
        <v>75948.56</v>
      </c>
      <c r="J215" s="819"/>
      <c r="L215" s="456"/>
      <c r="M215" s="456"/>
      <c r="N215" s="456"/>
      <c r="O215" s="456"/>
      <c r="P215" s="456"/>
    </row>
    <row r="216" spans="1:16" ht="12.95" customHeight="1" x14ac:dyDescent="0.25">
      <c r="A216" s="339" t="s">
        <v>131</v>
      </c>
      <c r="B216" s="315"/>
      <c r="C216" s="315"/>
      <c r="D216" s="315"/>
      <c r="E216" s="315"/>
      <c r="F216" s="316"/>
      <c r="G216" s="820">
        <f>Draft!$H$57</f>
        <v>-496.52762360878387</v>
      </c>
      <c r="H216" s="821"/>
      <c r="I216" s="820">
        <f>Draft!$Z$57</f>
        <v>3.0638915423870126</v>
      </c>
      <c r="J216" s="822"/>
      <c r="L216" s="456"/>
      <c r="M216" s="456"/>
      <c r="N216" s="456"/>
      <c r="O216" s="456"/>
      <c r="P216" s="456"/>
    </row>
    <row r="217" spans="1:16" ht="12.95" customHeight="1" x14ac:dyDescent="0.25">
      <c r="A217" s="339" t="s">
        <v>132</v>
      </c>
      <c r="B217" s="315"/>
      <c r="C217" s="315"/>
      <c r="D217" s="315"/>
      <c r="E217" s="315"/>
      <c r="F217" s="316"/>
      <c r="G217" s="820">
        <f>Draft!$H$58</f>
        <v>41.817423164046104</v>
      </c>
      <c r="H217" s="821"/>
      <c r="I217" s="820">
        <f>Draft!$Z$58</f>
        <v>2.3669928377878992E-2</v>
      </c>
      <c r="J217" s="822"/>
      <c r="L217" s="456"/>
      <c r="M217" s="456"/>
      <c r="N217" s="456"/>
      <c r="O217" s="456"/>
      <c r="P217" s="456"/>
    </row>
    <row r="218" spans="1:16" ht="12.95" customHeight="1" x14ac:dyDescent="0.25">
      <c r="A218" s="339" t="s">
        <v>133</v>
      </c>
      <c r="B218" s="315"/>
      <c r="C218" s="315"/>
      <c r="D218" s="315"/>
      <c r="E218" s="315"/>
      <c r="F218" s="316"/>
      <c r="G218" s="811">
        <f>Draft!$H$61</f>
        <v>36172.479799555265</v>
      </c>
      <c r="H218" s="812"/>
      <c r="I218" s="811">
        <f>Draft!$Z$61</f>
        <v>75951.64756147076</v>
      </c>
      <c r="J218" s="813"/>
      <c r="L218" s="456"/>
      <c r="M218" s="456"/>
      <c r="N218" s="456"/>
      <c r="O218" s="456"/>
      <c r="P218" s="456"/>
    </row>
    <row r="219" spans="1:16" ht="12.95" customHeight="1" x14ac:dyDescent="0.25">
      <c r="A219" s="339" t="s">
        <v>134</v>
      </c>
      <c r="B219" s="315"/>
      <c r="C219" s="315"/>
      <c r="D219" s="315"/>
      <c r="E219" s="315"/>
      <c r="F219" s="316"/>
      <c r="G219" s="814">
        <f>Draft!$H$62</f>
        <v>1.0149999999999999</v>
      </c>
      <c r="H219" s="815"/>
      <c r="I219" s="814">
        <f>Draft!$Z$62</f>
        <v>1.0145</v>
      </c>
      <c r="J219" s="816"/>
      <c r="L219" s="456"/>
      <c r="M219" s="456"/>
      <c r="N219" s="456"/>
      <c r="O219" s="456"/>
      <c r="P219" s="456"/>
    </row>
    <row r="220" spans="1:16" ht="12.95" customHeight="1" x14ac:dyDescent="0.25">
      <c r="A220" s="339" t="s">
        <v>705</v>
      </c>
      <c r="B220" s="315"/>
      <c r="C220" s="315"/>
      <c r="D220" s="315"/>
      <c r="E220" s="315"/>
      <c r="F220" s="316"/>
      <c r="G220" s="811">
        <f>Draft!$H$63</f>
        <v>35819.577557608391</v>
      </c>
      <c r="H220" s="812"/>
      <c r="I220" s="811">
        <f>Draft!$Z$63</f>
        <v>75173.606293767894</v>
      </c>
      <c r="J220" s="813"/>
      <c r="L220" s="456"/>
      <c r="M220" s="456"/>
      <c r="N220" s="456"/>
      <c r="O220" s="456"/>
      <c r="P220" s="456"/>
    </row>
    <row r="221" spans="1:16" ht="12.95" customHeight="1" thickBot="1" x14ac:dyDescent="0.3">
      <c r="A221" s="340" t="s">
        <v>706</v>
      </c>
      <c r="B221" s="341"/>
      <c r="C221" s="341"/>
      <c r="D221" s="341"/>
      <c r="E221" s="341"/>
      <c r="F221" s="342"/>
      <c r="G221" s="834">
        <f>Draft!$H$72</f>
        <v>21557.986000000001</v>
      </c>
      <c r="H221" s="835"/>
      <c r="I221" s="834">
        <f>Draft!$AF$72</f>
        <v>1656.8610000000001</v>
      </c>
      <c r="J221" s="836"/>
      <c r="L221" s="456"/>
      <c r="M221" s="456"/>
      <c r="N221" s="456"/>
      <c r="O221" s="456"/>
      <c r="P221" s="456"/>
    </row>
    <row r="222" spans="1:16" ht="12.95" customHeight="1" thickBot="1" x14ac:dyDescent="0.3">
      <c r="A222" s="619" t="s">
        <v>707</v>
      </c>
      <c r="B222" s="620"/>
      <c r="C222" s="620"/>
      <c r="D222" s="620"/>
      <c r="E222" s="620"/>
      <c r="F222" s="620"/>
      <c r="G222" s="837">
        <f>Draft!$H$74</f>
        <v>14261.59155760839</v>
      </c>
      <c r="H222" s="838"/>
      <c r="I222" s="837">
        <f>Draft!$Z$74</f>
        <v>73516.74529376789</v>
      </c>
      <c r="J222" s="839"/>
      <c r="K222" s="451"/>
      <c r="L222" s="456"/>
      <c r="M222" s="456"/>
      <c r="N222" s="456"/>
      <c r="O222" s="456"/>
      <c r="P222" s="456"/>
    </row>
    <row r="223" spans="1:16" ht="12.95" customHeight="1" x14ac:dyDescent="0.25">
      <c r="A223" s="343" t="s">
        <v>611</v>
      </c>
      <c r="B223" s="344"/>
      <c r="C223" s="344"/>
      <c r="D223" s="344"/>
      <c r="E223" s="344"/>
      <c r="F223" s="345"/>
      <c r="G223" s="840">
        <f>Draft!$H$75</f>
        <v>13719</v>
      </c>
      <c r="H223" s="841"/>
      <c r="I223" s="346"/>
      <c r="J223" s="347"/>
      <c r="L223" s="456"/>
      <c r="M223" s="456"/>
      <c r="N223" s="456"/>
      <c r="O223" s="456"/>
      <c r="P223" s="456"/>
    </row>
    <row r="224" spans="1:16" ht="12.95" customHeight="1" x14ac:dyDescent="0.25">
      <c r="A224" s="348" t="str">
        <f>IF(Draft!H84="NÃO","Calculated constant","Declared constant")</f>
        <v>Calculated constant</v>
      </c>
      <c r="B224" s="349"/>
      <c r="C224" s="349"/>
      <c r="D224" s="349"/>
      <c r="E224" s="349"/>
      <c r="F224" s="350"/>
      <c r="G224" s="842">
        <f>Draft!$H$77</f>
        <v>571.19155760839021</v>
      </c>
      <c r="H224" s="843"/>
      <c r="I224" s="325"/>
      <c r="J224" s="351"/>
      <c r="L224" s="456"/>
      <c r="M224" s="456"/>
      <c r="N224" s="456"/>
      <c r="O224" s="456"/>
      <c r="P224" s="456"/>
    </row>
    <row r="225" spans="1:16" ht="12.95" customHeight="1" x14ac:dyDescent="0.25">
      <c r="A225" s="352" t="s">
        <v>708</v>
      </c>
      <c r="B225" s="353"/>
      <c r="C225" s="353"/>
      <c r="D225" s="353"/>
      <c r="E225" s="353"/>
      <c r="F225" s="354"/>
      <c r="G225" s="824">
        <f>Draft!$H$76</f>
        <v>28.6</v>
      </c>
      <c r="H225" s="825"/>
      <c r="I225" s="824">
        <f>Draft!$Z$76</f>
        <v>0</v>
      </c>
      <c r="J225" s="826"/>
      <c r="L225" s="456"/>
      <c r="M225" s="456"/>
      <c r="N225" s="456"/>
      <c r="O225" s="456"/>
      <c r="P225" s="456"/>
    </row>
    <row r="226" spans="1:16" ht="12.95" customHeight="1" thickBot="1" x14ac:dyDescent="0.3">
      <c r="A226" s="355" t="str">
        <f>IF(I222=0,"",IF(I222&gt;G222,"Total cargo loaded on board as per draught survey","Total cargo discharged as per draught survey"))</f>
        <v>Total cargo loaded on board as per draught survey</v>
      </c>
      <c r="B226" s="356"/>
      <c r="C226" s="356"/>
      <c r="D226" s="356"/>
      <c r="E226" s="356"/>
      <c r="F226" s="356"/>
      <c r="G226" s="357"/>
      <c r="H226" s="358"/>
      <c r="I226" s="827">
        <f>Draft!$Z$77</f>
        <v>59226.553736159498</v>
      </c>
      <c r="J226" s="828"/>
      <c r="L226" s="456"/>
      <c r="M226" s="456"/>
      <c r="N226" s="456"/>
      <c r="O226" s="456"/>
      <c r="P226" s="456"/>
    </row>
    <row r="227" spans="1:16" ht="3.75" customHeight="1" thickBot="1" x14ac:dyDescent="0.3">
      <c r="A227" s="306"/>
      <c r="B227" s="306"/>
      <c r="C227" s="306"/>
      <c r="D227" s="306"/>
      <c r="E227" s="306"/>
      <c r="F227" s="306"/>
      <c r="G227" s="306"/>
      <c r="H227" s="306"/>
      <c r="I227" s="308"/>
      <c r="J227" s="309"/>
      <c r="L227" s="456"/>
      <c r="M227" s="456"/>
      <c r="N227" s="456"/>
      <c r="O227" s="456"/>
      <c r="P227" s="456"/>
    </row>
    <row r="228" spans="1:16" ht="12.95" customHeight="1" x14ac:dyDescent="0.25">
      <c r="A228" s="359" t="str">
        <f>_xlfn.CONCAT("Loading terminals: ",CAPA!E58,CAPA!E59,CAPA!E60,CAPA!E61,CAPA!E62,CAPA!E63,CAPA!E64,CAPA!E65,CAPA!E66,CAPA!E67,CAPA!E68,CAPA!E69,CAPA!E70,CAPA!E71,".")</f>
        <v>Loading terminals: CB, CT, IT, RO, BTG H, .</v>
      </c>
      <c r="B228" s="360"/>
      <c r="C228" s="360"/>
      <c r="D228" s="360"/>
      <c r="E228" s="360"/>
      <c r="F228" s="632"/>
      <c r="G228" s="9" t="s">
        <v>135</v>
      </c>
      <c r="H228" s="403">
        <f>Draft!$J$47</f>
        <v>62.247</v>
      </c>
      <c r="I228" s="9" t="s">
        <v>135</v>
      </c>
      <c r="J228" s="452">
        <f>Draft!$AB$47</f>
        <v>67.500999999999991</v>
      </c>
      <c r="L228" s="456"/>
      <c r="M228" s="456"/>
      <c r="N228" s="456"/>
      <c r="O228" s="456"/>
      <c r="P228" s="456"/>
    </row>
    <row r="229" spans="1:16" ht="12.95" customHeight="1" x14ac:dyDescent="0.25">
      <c r="A229" s="400" t="str">
        <f>_xlfn.CONCAT("Cargo: ",CAPA!B6)</f>
        <v>Cargo: Soybean meal in bulk</v>
      </c>
      <c r="B229" s="402"/>
      <c r="C229" s="402"/>
      <c r="D229" s="402"/>
      <c r="E229" s="402"/>
      <c r="F229" s="401"/>
      <c r="G229" s="361" t="s">
        <v>141</v>
      </c>
      <c r="H229" s="404">
        <f>Draft!$J$53</f>
        <v>919.02</v>
      </c>
      <c r="I229" s="361" t="s">
        <v>141</v>
      </c>
      <c r="J229" s="453">
        <f>Draft!$AB$53</f>
        <v>1136.123</v>
      </c>
      <c r="L229" s="456"/>
      <c r="M229" s="456"/>
      <c r="N229" s="456"/>
      <c r="O229" s="456"/>
      <c r="P229" s="456"/>
    </row>
    <row r="230" spans="1:16" ht="12.95" customHeight="1" thickBot="1" x14ac:dyDescent="0.3">
      <c r="A230" s="1174" t="str">
        <f>CONCATENATE(Draft!$E$5,". ",$L$185)</f>
        <v>Paranaguá, Br - Brazil.  February 28th, 2026</v>
      </c>
      <c r="B230" s="1175"/>
      <c r="C230" s="1175"/>
      <c r="D230" s="1175"/>
      <c r="E230" s="1175"/>
      <c r="F230" s="1176"/>
      <c r="G230" s="362" t="s">
        <v>142</v>
      </c>
      <c r="H230" s="405">
        <f>Draft!$J$54</f>
        <v>893.37599999999998</v>
      </c>
      <c r="I230" s="362" t="s">
        <v>142</v>
      </c>
      <c r="J230" s="454">
        <f>Draft!$AB$54</f>
        <v>1105.374</v>
      </c>
      <c r="L230" s="456"/>
      <c r="M230" s="456"/>
      <c r="N230" s="456"/>
      <c r="O230" s="456"/>
      <c r="P230" s="456"/>
    </row>
    <row r="231" spans="1:16" ht="3.75" customHeight="1" thickBot="1" x14ac:dyDescent="0.3">
      <c r="A231" s="363"/>
      <c r="B231" s="364"/>
      <c r="C231" s="364"/>
      <c r="D231" s="364"/>
      <c r="E231" s="364"/>
      <c r="F231" s="365"/>
      <c r="G231" s="365"/>
      <c r="H231" s="365"/>
      <c r="I231" s="365"/>
      <c r="J231" s="309"/>
      <c r="L231" s="456"/>
      <c r="M231" s="456"/>
      <c r="N231" s="456"/>
      <c r="O231" s="456"/>
      <c r="P231" s="456"/>
    </row>
    <row r="232" spans="1:16" ht="12.95" customHeight="1" thickTop="1" x14ac:dyDescent="0.25">
      <c r="A232" s="366" t="str">
        <f>IF(I222=0,"",IF(I222&gt;G222,"Total cargo loaded on board as per shore scales","Total manifested cargo"))</f>
        <v>Total cargo loaded on board as per shore scales</v>
      </c>
      <c r="B232" s="367"/>
      <c r="C232" s="367"/>
      <c r="D232" s="367"/>
      <c r="E232" s="367"/>
      <c r="F232" s="367"/>
      <c r="G232" s="368"/>
      <c r="H232" s="369"/>
      <c r="I232" s="832">
        <f>Draft!$Z$78</f>
        <v>58913.228999999999</v>
      </c>
      <c r="J232" s="833"/>
      <c r="L232" s="456"/>
      <c r="M232" s="456"/>
      <c r="N232" s="456"/>
      <c r="O232" s="456"/>
      <c r="P232" s="456"/>
    </row>
    <row r="233" spans="1:16" ht="12.95" customHeight="1" x14ac:dyDescent="0.25">
      <c r="A233" s="370" t="str">
        <f>A226</f>
        <v>Total cargo loaded on board as per draught survey</v>
      </c>
      <c r="B233" s="621"/>
      <c r="C233" s="621"/>
      <c r="D233" s="621"/>
      <c r="E233" s="621"/>
      <c r="F233" s="621"/>
      <c r="G233" s="622"/>
      <c r="H233" s="623"/>
      <c r="I233" s="857">
        <f>Draft!$Z$77</f>
        <v>59226.553736159498</v>
      </c>
      <c r="J233" s="858"/>
      <c r="L233" s="456"/>
      <c r="M233" s="456"/>
      <c r="N233" s="456"/>
      <c r="O233" s="456"/>
      <c r="P233" s="456"/>
    </row>
    <row r="234" spans="1:16" ht="12.95" customHeight="1" thickBot="1" x14ac:dyDescent="0.3">
      <c r="A234" s="624" t="str">
        <f>IF($G$234&gt;0,"Surplus","Shortage")</f>
        <v>Surplus</v>
      </c>
      <c r="B234" s="371"/>
      <c r="C234" s="371"/>
      <c r="D234" s="371"/>
      <c r="E234" s="371"/>
      <c r="F234" s="371"/>
      <c r="G234" s="859">
        <f>$I$233-$I$232</f>
        <v>313.32473615949857</v>
      </c>
      <c r="H234" s="859"/>
      <c r="I234" s="860">
        <f>($G$234/$I$232)*100</f>
        <v>0.53184105077570709</v>
      </c>
      <c r="J234" s="861"/>
      <c r="L234" s="456"/>
      <c r="M234" s="456"/>
      <c r="N234" s="456"/>
      <c r="O234" s="456"/>
      <c r="P234" s="456"/>
    </row>
    <row r="235" spans="1:16" ht="30" customHeight="1" thickTop="1" x14ac:dyDescent="0.25">
      <c r="A235" s="372"/>
      <c r="B235" s="372"/>
      <c r="C235" s="372"/>
      <c r="D235" s="372"/>
      <c r="E235" s="372"/>
      <c r="F235" s="372"/>
      <c r="G235" s="372"/>
      <c r="H235" s="372"/>
      <c r="I235" s="308"/>
      <c r="J235" s="309"/>
      <c r="L235" s="456"/>
      <c r="M235" s="456"/>
      <c r="N235" s="456"/>
      <c r="O235" s="456"/>
      <c r="P235" s="456"/>
    </row>
    <row r="236" spans="1:16" ht="12.95" customHeight="1" x14ac:dyDescent="0.25">
      <c r="A236" s="10"/>
      <c r="B236" s="10"/>
      <c r="C236" s="10"/>
      <c r="D236" s="10"/>
      <c r="E236" s="10"/>
      <c r="F236" s="10"/>
      <c r="G236" s="10"/>
      <c r="H236" s="10"/>
      <c r="I236" s="10"/>
      <c r="L236" s="456"/>
      <c r="M236" s="456"/>
      <c r="N236" s="456"/>
      <c r="O236" s="456"/>
      <c r="P236" s="456"/>
    </row>
    <row r="237" spans="1:16" ht="12.95" customHeight="1" x14ac:dyDescent="0.25">
      <c r="A237" s="413" t="s">
        <v>137</v>
      </c>
      <c r="B237" s="413"/>
      <c r="C237" s="413"/>
      <c r="D237" s="413"/>
      <c r="E237" s="413"/>
      <c r="F237" s="414"/>
      <c r="G237" s="415" t="s">
        <v>138</v>
      </c>
      <c r="H237" s="582">
        <f>Draft!$X$82</f>
        <v>59159.82</v>
      </c>
      <c r="I237" s="583">
        <f>H237-I232</f>
        <v>246.59100000000035</v>
      </c>
      <c r="J237" s="625">
        <f>IFERROR((I237/I232)*100,"")</f>
        <v>0.41856643097936519</v>
      </c>
      <c r="L237" s="456"/>
      <c r="M237" s="456"/>
      <c r="N237" s="456"/>
      <c r="O237" s="456"/>
      <c r="P237" s="456"/>
    </row>
    <row r="238" spans="1:16" ht="12.95" customHeight="1" x14ac:dyDescent="0.25">
      <c r="A238" s="416" t="str">
        <f>_xlfn.CONCAT("José Antonio Machado Gomes Pereira"," / ",CAPA!A97)</f>
        <v>José Antonio Machado Gomes Pereira / Thiago Henrique Barbosa Verhagen</v>
      </c>
      <c r="B238" s="416"/>
      <c r="C238" s="416"/>
      <c r="D238" s="416"/>
      <c r="E238" s="416"/>
      <c r="F238" s="414"/>
      <c r="G238" s="415" t="s">
        <v>139</v>
      </c>
      <c r="H238" s="582">
        <f>Draft!$X$83</f>
        <v>59196.66</v>
      </c>
      <c r="I238" s="583">
        <f>H238-I232</f>
        <v>283.43100000000413</v>
      </c>
      <c r="J238" s="625">
        <f>IFERROR((I238/I232)*100,"")</f>
        <v>0.48109907538764196</v>
      </c>
      <c r="L238" s="456"/>
      <c r="M238" s="456"/>
      <c r="N238" s="456"/>
      <c r="O238" s="456"/>
      <c r="P238" s="456"/>
    </row>
    <row r="239" spans="1:16" ht="12.95" customHeight="1" x14ac:dyDescent="0.25">
      <c r="A239" s="416" t="s">
        <v>140</v>
      </c>
      <c r="B239" s="416"/>
      <c r="C239" s="416"/>
      <c r="D239" s="416"/>
      <c r="E239" s="416"/>
      <c r="F239" s="417"/>
      <c r="G239" s="418" t="str">
        <f>Draft!$U$84</f>
        <v>Owners:</v>
      </c>
      <c r="H239" s="582">
        <f>Draft!$X$84</f>
        <v>59161.493999999999</v>
      </c>
      <c r="I239" s="583">
        <f>H239-I232</f>
        <v>248.26499999999942</v>
      </c>
      <c r="J239" s="625">
        <f>IFERROR((I239/I232)*100,"")</f>
        <v>0.42140789804612377</v>
      </c>
      <c r="L239" s="456"/>
      <c r="M239" s="456"/>
      <c r="N239" s="456"/>
      <c r="O239" s="456"/>
      <c r="P239" s="456"/>
    </row>
    <row r="240" spans="1:16" ht="12.95" customHeight="1" x14ac:dyDescent="0.25">
      <c r="A240" s="10"/>
      <c r="B240" s="416"/>
      <c r="C240" s="416"/>
      <c r="D240" s="416"/>
      <c r="E240" s="416"/>
      <c r="F240" s="417"/>
      <c r="G240" s="418" t="str">
        <f>Draft!$U$85</f>
        <v>Consignees:</v>
      </c>
      <c r="H240" s="582">
        <f>Draft!$X$85</f>
        <v>59165.608</v>
      </c>
      <c r="I240" s="583">
        <f>H240-I232</f>
        <v>252.37900000000081</v>
      </c>
      <c r="J240" s="625">
        <f>IFERROR((I240/I232)*100,"")</f>
        <v>0.42839104948737539</v>
      </c>
      <c r="L240" s="456"/>
      <c r="M240" s="456"/>
      <c r="N240" s="456"/>
      <c r="O240" s="456"/>
      <c r="P240" s="456"/>
    </row>
    <row r="241" spans="1:16" ht="12.95" customHeight="1" x14ac:dyDescent="0.25">
      <c r="A241" s="10"/>
      <c r="B241" s="10"/>
      <c r="C241" s="10"/>
      <c r="D241" s="10"/>
      <c r="E241" s="10"/>
      <c r="F241" s="418"/>
      <c r="G241" s="418" t="str">
        <f>Draft!$U$86</f>
        <v>Shippers:</v>
      </c>
      <c r="H241" s="582">
        <f>Draft!$X$86</f>
        <v>59150.286999999997</v>
      </c>
      <c r="I241" s="583">
        <f>H241-I232</f>
        <v>237.05799999999726</v>
      </c>
      <c r="J241" s="625">
        <f>IFERROR((I241/I232)*100,"")</f>
        <v>0.40238500592116122</v>
      </c>
      <c r="L241" s="456"/>
      <c r="M241" s="456"/>
      <c r="N241" s="456"/>
      <c r="O241" s="456"/>
      <c r="P241" s="456"/>
    </row>
    <row r="242" spans="1:16" ht="12.95" customHeight="1" x14ac:dyDescent="0.25">
      <c r="A242" s="10"/>
      <c r="B242" s="10"/>
      <c r="C242" s="10"/>
      <c r="D242" s="10"/>
      <c r="E242" s="10"/>
      <c r="F242" s="418"/>
      <c r="G242" s="418"/>
      <c r="H242" s="582"/>
      <c r="I242" s="583"/>
      <c r="J242" s="625"/>
      <c r="L242" s="456"/>
      <c r="M242" s="456"/>
      <c r="N242" s="456"/>
      <c r="O242" s="456"/>
      <c r="P242" s="456"/>
    </row>
    <row r="243" spans="1:16" ht="12.95" customHeight="1" x14ac:dyDescent="0.25">
      <c r="A243" s="10"/>
      <c r="B243" s="10"/>
      <c r="C243" s="10"/>
      <c r="D243" s="10"/>
      <c r="E243" s="10"/>
      <c r="F243" s="418"/>
      <c r="G243" s="418"/>
      <c r="H243" s="582"/>
      <c r="I243" s="583"/>
      <c r="J243" s="625"/>
      <c r="L243" s="456"/>
      <c r="M243" s="456"/>
      <c r="N243" s="456"/>
      <c r="O243" s="456"/>
      <c r="P243" s="456"/>
    </row>
    <row r="244" spans="1:16" ht="12.95" customHeight="1" x14ac:dyDescent="0.25">
      <c r="A244" s="10"/>
      <c r="B244" s="10"/>
      <c r="C244" s="10"/>
      <c r="D244" s="10"/>
      <c r="E244" s="10"/>
      <c r="F244" s="10"/>
      <c r="L244" s="456"/>
      <c r="M244" s="456"/>
      <c r="N244" s="456"/>
      <c r="O244" s="456"/>
      <c r="P244" s="456"/>
    </row>
    <row r="245" spans="1:16" ht="12.95" customHeight="1" x14ac:dyDescent="0.25">
      <c r="A245" s="10"/>
      <c r="B245" s="10"/>
      <c r="C245" s="10"/>
      <c r="D245" s="1177" t="s">
        <v>138</v>
      </c>
      <c r="E245" s="1177"/>
      <c r="F245" s="1177"/>
      <c r="G245" s="1177"/>
      <c r="H245" s="582"/>
      <c r="I245" s="583"/>
      <c r="J245" s="625"/>
      <c r="L245" s="456"/>
      <c r="M245" s="456"/>
      <c r="N245" s="456"/>
      <c r="O245" s="456"/>
      <c r="P245" s="456"/>
    </row>
    <row r="246" spans="1:16" ht="12.95" customHeight="1" x14ac:dyDescent="0.25">
      <c r="A246" s="10"/>
      <c r="B246" s="10"/>
      <c r="C246" s="10"/>
      <c r="D246" s="10"/>
      <c r="E246" s="10"/>
      <c r="F246" s="10"/>
      <c r="G246" s="418"/>
      <c r="H246" s="582"/>
      <c r="I246" s="583"/>
      <c r="J246" s="625"/>
      <c r="L246" s="456"/>
      <c r="M246" s="456"/>
      <c r="N246" s="456"/>
      <c r="O246" s="456"/>
      <c r="P246" s="456"/>
    </row>
    <row r="247" spans="1:16" ht="12.95" customHeight="1" x14ac:dyDescent="0.25">
      <c r="A247" s="10"/>
      <c r="B247" s="10"/>
      <c r="C247" s="10"/>
      <c r="D247" s="10"/>
      <c r="E247" s="10"/>
      <c r="F247" s="10"/>
      <c r="G247" s="418"/>
      <c r="H247" s="582"/>
      <c r="I247" s="583"/>
      <c r="J247" s="625"/>
      <c r="L247" s="456"/>
      <c r="M247" s="456"/>
      <c r="N247" s="456"/>
      <c r="O247" s="456"/>
      <c r="P247" s="456"/>
    </row>
    <row r="248" spans="1:16" ht="12.95" customHeight="1" x14ac:dyDescent="0.25">
      <c r="A248" s="308"/>
      <c r="B248" s="373"/>
      <c r="C248" s="373"/>
      <c r="D248" s="373"/>
      <c r="E248" s="373"/>
      <c r="F248" s="373"/>
      <c r="G248" s="308"/>
      <c r="H248" s="308"/>
      <c r="I248" s="308"/>
      <c r="J248" s="309"/>
      <c r="L248" s="456"/>
      <c r="M248" s="456"/>
      <c r="N248" s="456"/>
      <c r="O248" s="456"/>
      <c r="P248" s="456"/>
    </row>
    <row r="249" spans="1:16" ht="12.95" customHeight="1" x14ac:dyDescent="0.25">
      <c r="A249" s="308"/>
      <c r="B249" s="373"/>
      <c r="C249" s="373"/>
      <c r="D249" s="373"/>
      <c r="E249" s="373"/>
      <c r="F249" s="373"/>
      <c r="G249" s="308"/>
      <c r="H249" s="308"/>
      <c r="I249" s="308"/>
      <c r="J249" s="309"/>
      <c r="L249" s="456"/>
      <c r="M249" s="456"/>
      <c r="N249" s="456"/>
      <c r="O249" s="456"/>
      <c r="P249" s="456"/>
    </row>
    <row r="250" spans="1:16" ht="15.75" x14ac:dyDescent="0.25">
      <c r="A250" s="3" t="s">
        <v>538</v>
      </c>
      <c r="B250" s="16"/>
      <c r="C250" s="16"/>
      <c r="D250" s="16"/>
      <c r="E250" s="16"/>
      <c r="F250" s="292" t="s">
        <v>539</v>
      </c>
      <c r="G250" s="410">
        <f>Draft!$E$4</f>
        <v>46074</v>
      </c>
      <c r="H250" s="377">
        <v>0.54166666666666663</v>
      </c>
      <c r="I250" s="378" t="s">
        <v>540</v>
      </c>
      <c r="J250" s="379">
        <f>IFERROR(ROUND(Draft!$P$29,2),"")</f>
        <v>2.66</v>
      </c>
      <c r="L250" s="456"/>
      <c r="M250" s="456"/>
      <c r="N250" s="456"/>
      <c r="O250" s="456"/>
      <c r="P250" s="456"/>
    </row>
    <row r="251" spans="1:16" x14ac:dyDescent="0.25">
      <c r="A251" s="286" t="s">
        <v>0</v>
      </c>
      <c r="B251" s="286" t="s">
        <v>1</v>
      </c>
      <c r="C251" s="286" t="s">
        <v>2</v>
      </c>
      <c r="D251" s="286" t="s">
        <v>1</v>
      </c>
      <c r="E251" s="823" t="s">
        <v>566</v>
      </c>
      <c r="F251" s="823"/>
      <c r="G251" s="286" t="s">
        <v>3</v>
      </c>
      <c r="H251" s="286" t="s">
        <v>1</v>
      </c>
      <c r="I251" s="286" t="s">
        <v>1</v>
      </c>
      <c r="J251" s="286" t="s">
        <v>4</v>
      </c>
      <c r="L251" s="456"/>
      <c r="M251" s="456"/>
      <c r="N251" s="456"/>
      <c r="O251" s="456"/>
      <c r="P251" s="456"/>
    </row>
    <row r="252" spans="1:16" x14ac:dyDescent="0.25">
      <c r="A252" s="287" t="s">
        <v>709</v>
      </c>
      <c r="B252" s="287" t="s">
        <v>5</v>
      </c>
      <c r="C252" s="287" t="s">
        <v>6</v>
      </c>
      <c r="D252" s="287" t="s">
        <v>7</v>
      </c>
      <c r="E252" s="288" t="s">
        <v>8</v>
      </c>
      <c r="F252" s="288" t="s">
        <v>9</v>
      </c>
      <c r="G252" s="287" t="s">
        <v>7</v>
      </c>
      <c r="H252" s="287" t="s">
        <v>537</v>
      </c>
      <c r="I252" s="287" t="s">
        <v>10</v>
      </c>
      <c r="J252" s="287" t="s">
        <v>11</v>
      </c>
      <c r="L252" s="456"/>
      <c r="M252" s="456"/>
      <c r="N252" s="456"/>
      <c r="O252" s="456"/>
      <c r="P252" s="456"/>
    </row>
    <row r="253" spans="1:16" x14ac:dyDescent="0.25">
      <c r="A253" s="376" t="s">
        <v>12</v>
      </c>
      <c r="B253" s="525">
        <v>23.92</v>
      </c>
      <c r="C253" s="525">
        <v>0.14000000000000001</v>
      </c>
      <c r="D253" s="525">
        <v>23.92</v>
      </c>
      <c r="E253" s="525">
        <v>0</v>
      </c>
      <c r="F253" s="525">
        <v>0</v>
      </c>
      <c r="G253" s="525">
        <f>IFERROR(D253+(E253+F253),D253)</f>
        <v>23.92</v>
      </c>
      <c r="H253" s="525">
        <v>1214.03</v>
      </c>
      <c r="I253" s="526">
        <v>1.0269999999999999</v>
      </c>
      <c r="J253" s="527">
        <f>ROUND(H253*I253,1)</f>
        <v>1246.8</v>
      </c>
      <c r="L253" s="456"/>
      <c r="M253" s="456"/>
      <c r="N253" s="456"/>
      <c r="O253" s="456"/>
      <c r="P253" s="456"/>
    </row>
    <row r="254" spans="1:16" x14ac:dyDescent="0.25">
      <c r="A254" s="374" t="s">
        <v>785</v>
      </c>
      <c r="B254" s="1">
        <v>20.93</v>
      </c>
      <c r="C254" s="1">
        <v>0.14000000000000001</v>
      </c>
      <c r="D254" s="1">
        <v>17.47</v>
      </c>
      <c r="E254" s="1">
        <v>-0.11</v>
      </c>
      <c r="F254" s="1">
        <v>0</v>
      </c>
      <c r="G254" s="1">
        <f>IFERROR(D254+(E254+F254),D254)</f>
        <v>17.36</v>
      </c>
      <c r="H254" s="1">
        <v>794.85</v>
      </c>
      <c r="I254" s="274">
        <v>1.0269999999999999</v>
      </c>
      <c r="J254" s="528">
        <f>IFERROR(ROUND(H254*I254,1),"")</f>
        <v>816.3</v>
      </c>
      <c r="L254" s="456"/>
      <c r="M254" s="456"/>
      <c r="N254" s="456"/>
      <c r="O254" s="456"/>
      <c r="P254" s="456"/>
    </row>
    <row r="255" spans="1:16" x14ac:dyDescent="0.25">
      <c r="A255" s="374" t="s">
        <v>786</v>
      </c>
      <c r="B255" s="1">
        <v>20.92</v>
      </c>
      <c r="C255" s="1">
        <v>0.12</v>
      </c>
      <c r="D255" s="1">
        <v>17.21</v>
      </c>
      <c r="E255" s="1">
        <v>-0.11</v>
      </c>
      <c r="F255" s="1">
        <v>0</v>
      </c>
      <c r="G255" s="1">
        <f t="shared" ref="G255:G261" si="0">IFERROR(D255+(E255+F255),D255)</f>
        <v>17.100000000000001</v>
      </c>
      <c r="H255" s="1">
        <v>774.85</v>
      </c>
      <c r="I255" s="274">
        <v>1.0269999999999999</v>
      </c>
      <c r="J255" s="528">
        <f t="shared" ref="J255:J262" si="1">IFERROR(ROUND(H255*I255,1),"")</f>
        <v>795.8</v>
      </c>
      <c r="L255" s="456"/>
      <c r="M255" s="456"/>
      <c r="N255" s="456"/>
      <c r="O255" s="456"/>
      <c r="P255" s="456"/>
    </row>
    <row r="256" spans="1:16" x14ac:dyDescent="0.25">
      <c r="A256" s="374" t="s">
        <v>787</v>
      </c>
      <c r="B256" s="1">
        <v>20.350000000000001</v>
      </c>
      <c r="C256" s="1">
        <v>0.12</v>
      </c>
      <c r="D256" s="1">
        <v>20.350000000000001</v>
      </c>
      <c r="E256" s="1">
        <v>0</v>
      </c>
      <c r="F256" s="1">
        <v>0</v>
      </c>
      <c r="G256" s="1">
        <f t="shared" si="0"/>
        <v>20.350000000000001</v>
      </c>
      <c r="H256" s="1">
        <v>3133.85</v>
      </c>
      <c r="I256" s="274">
        <v>1.0269999999999999</v>
      </c>
      <c r="J256" s="528">
        <f t="shared" si="1"/>
        <v>3218.5</v>
      </c>
      <c r="L256" s="456"/>
      <c r="M256" s="456"/>
      <c r="N256" s="456"/>
      <c r="O256" s="456"/>
      <c r="P256" s="456"/>
    </row>
    <row r="257" spans="1:16" x14ac:dyDescent="0.25">
      <c r="A257" s="374" t="s">
        <v>788</v>
      </c>
      <c r="B257" s="1">
        <v>20.21</v>
      </c>
      <c r="C257" s="1">
        <v>0.14000000000000001</v>
      </c>
      <c r="D257" s="1">
        <v>20.21</v>
      </c>
      <c r="E257" s="1">
        <v>0</v>
      </c>
      <c r="F257" s="1">
        <v>0</v>
      </c>
      <c r="G257" s="1">
        <f t="shared" si="0"/>
        <v>20.21</v>
      </c>
      <c r="H257" s="1">
        <v>3133.85</v>
      </c>
      <c r="I257" s="274">
        <v>1.0269999999999999</v>
      </c>
      <c r="J257" s="528">
        <f t="shared" si="1"/>
        <v>3218.5</v>
      </c>
      <c r="L257" s="456"/>
      <c r="M257" s="456"/>
      <c r="N257" s="456"/>
      <c r="O257" s="456"/>
      <c r="P257" s="456"/>
    </row>
    <row r="258" spans="1:16" x14ac:dyDescent="0.25">
      <c r="A258" s="374" t="s">
        <v>789</v>
      </c>
      <c r="B258" s="1">
        <v>20.2</v>
      </c>
      <c r="C258" s="1">
        <v>0.04</v>
      </c>
      <c r="D258" s="1">
        <v>20.2</v>
      </c>
      <c r="E258" s="1">
        <v>0</v>
      </c>
      <c r="F258" s="1">
        <v>0</v>
      </c>
      <c r="G258" s="1">
        <f t="shared" si="0"/>
        <v>20.2</v>
      </c>
      <c r="H258" s="1">
        <v>3150.92</v>
      </c>
      <c r="I258" s="274">
        <v>1.0269999999999999</v>
      </c>
      <c r="J258" s="528">
        <f t="shared" si="1"/>
        <v>3236</v>
      </c>
      <c r="L258" s="456"/>
      <c r="M258" s="456"/>
      <c r="N258" s="456"/>
      <c r="O258" s="456"/>
      <c r="P258" s="456"/>
    </row>
    <row r="259" spans="1:16" x14ac:dyDescent="0.25">
      <c r="A259" s="374" t="s">
        <v>790</v>
      </c>
      <c r="B259" s="1">
        <v>20.100000000000001</v>
      </c>
      <c r="C259" s="1">
        <v>0.14000000000000001</v>
      </c>
      <c r="D259" s="1">
        <v>20.21</v>
      </c>
      <c r="E259" s="1">
        <v>-0.37</v>
      </c>
      <c r="F259" s="1">
        <v>0</v>
      </c>
      <c r="G259" s="1">
        <f t="shared" si="0"/>
        <v>19.84</v>
      </c>
      <c r="H259" s="1">
        <v>3131.22</v>
      </c>
      <c r="I259" s="274">
        <v>1.0269999999999999</v>
      </c>
      <c r="J259" s="528">
        <f t="shared" si="1"/>
        <v>3215.8</v>
      </c>
      <c r="L259" s="456"/>
      <c r="M259" s="456"/>
      <c r="N259" s="456"/>
      <c r="O259" s="456"/>
      <c r="P259" s="456"/>
    </row>
    <row r="260" spans="1:16" x14ac:dyDescent="0.25">
      <c r="A260" s="374" t="s">
        <v>791</v>
      </c>
      <c r="B260" s="1">
        <v>20.010000000000002</v>
      </c>
      <c r="C260" s="1">
        <v>0.04</v>
      </c>
      <c r="D260" s="1">
        <v>20.010000000000002</v>
      </c>
      <c r="E260" s="1">
        <v>-0.43</v>
      </c>
      <c r="F260" s="1">
        <v>0</v>
      </c>
      <c r="G260" s="1">
        <f t="shared" si="0"/>
        <v>19.580000000000002</v>
      </c>
      <c r="H260" s="1">
        <v>1931.88</v>
      </c>
      <c r="I260" s="274">
        <v>1.0269999999999999</v>
      </c>
      <c r="J260" s="528">
        <f t="shared" si="1"/>
        <v>1984</v>
      </c>
      <c r="L260" s="456"/>
      <c r="M260" s="456"/>
      <c r="N260" s="456"/>
      <c r="O260" s="456"/>
      <c r="P260" s="456"/>
    </row>
    <row r="261" spans="1:16" x14ac:dyDescent="0.25">
      <c r="A261" s="374" t="s">
        <v>792</v>
      </c>
      <c r="B261" s="1">
        <v>20.45</v>
      </c>
      <c r="C261" s="1">
        <v>0.14000000000000001</v>
      </c>
      <c r="D261" s="1">
        <v>20.309999999999999</v>
      </c>
      <c r="E261" s="1">
        <v>-0.3</v>
      </c>
      <c r="F261" s="1">
        <v>0</v>
      </c>
      <c r="G261" s="1">
        <f t="shared" si="0"/>
        <v>20.009999999999998</v>
      </c>
      <c r="H261" s="1">
        <v>1931.88</v>
      </c>
      <c r="I261" s="274">
        <v>1.0269999999999999</v>
      </c>
      <c r="J261" s="528">
        <f t="shared" si="1"/>
        <v>1984</v>
      </c>
      <c r="L261" s="456"/>
      <c r="M261" s="456"/>
      <c r="N261" s="456"/>
      <c r="O261" s="456"/>
      <c r="P261" s="456"/>
    </row>
    <row r="262" spans="1:16" x14ac:dyDescent="0.25">
      <c r="A262" s="375" t="s">
        <v>13</v>
      </c>
      <c r="B262" s="2">
        <v>17.46</v>
      </c>
      <c r="C262" s="2">
        <v>0.03</v>
      </c>
      <c r="D262" s="2">
        <v>6.74</v>
      </c>
      <c r="E262" s="2">
        <v>0.06</v>
      </c>
      <c r="F262" s="2">
        <v>0</v>
      </c>
      <c r="G262" s="2">
        <f>IFERROR(D262+(E262+F262),D262)</f>
        <v>6.8</v>
      </c>
      <c r="H262" s="2">
        <v>536.02</v>
      </c>
      <c r="I262" s="274">
        <v>1.0269999999999999</v>
      </c>
      <c r="J262" s="531">
        <f t="shared" si="1"/>
        <v>550.5</v>
      </c>
      <c r="L262" s="456"/>
      <c r="M262" s="456"/>
      <c r="N262" s="456"/>
      <c r="O262" s="456"/>
      <c r="P262" s="456"/>
    </row>
    <row r="263" spans="1:16" x14ac:dyDescent="0.25">
      <c r="A263" s="289" t="s">
        <v>14</v>
      </c>
      <c r="B263" s="290"/>
      <c r="C263" s="290"/>
      <c r="D263" s="290"/>
      <c r="E263" s="290"/>
      <c r="F263" s="290"/>
      <c r="G263" s="291"/>
      <c r="H263" s="532">
        <f>SUM($H$253:$H$262)</f>
        <v>19733.350000000002</v>
      </c>
      <c r="I263" s="533"/>
      <c r="J263" s="532">
        <f>SUM($J$253:$J$262)</f>
        <v>20266.2</v>
      </c>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 t="s">
        <v>541</v>
      </c>
      <c r="F266" s="292" t="s">
        <v>539</v>
      </c>
      <c r="G266" s="410">
        <f>Draft!$X$4</f>
        <v>46081</v>
      </c>
      <c r="H266" s="377"/>
      <c r="I266" s="378" t="s">
        <v>540</v>
      </c>
      <c r="J266" s="379">
        <f>IFERROR(ROUND(Draft!$AH$29,2),"")</f>
        <v>0.06</v>
      </c>
      <c r="L266" s="456"/>
      <c r="M266" s="456"/>
      <c r="N266" s="456"/>
      <c r="O266" s="456"/>
      <c r="P266" s="456"/>
    </row>
    <row r="267" spans="1:16" x14ac:dyDescent="0.25">
      <c r="A267" s="286" t="s">
        <v>0</v>
      </c>
      <c r="B267" s="286" t="s">
        <v>1</v>
      </c>
      <c r="C267" s="286" t="s">
        <v>2</v>
      </c>
      <c r="D267" s="286" t="s">
        <v>1</v>
      </c>
      <c r="E267" s="823" t="s">
        <v>566</v>
      </c>
      <c r="F267" s="823"/>
      <c r="G267" s="286" t="s">
        <v>3</v>
      </c>
      <c r="H267" s="286" t="s">
        <v>1</v>
      </c>
      <c r="I267" s="286" t="s">
        <v>1</v>
      </c>
      <c r="J267" s="286" t="s">
        <v>4</v>
      </c>
      <c r="L267" s="456"/>
      <c r="M267" s="456"/>
      <c r="N267" s="456"/>
      <c r="O267" s="456"/>
      <c r="P267" s="456"/>
    </row>
    <row r="268" spans="1:16" x14ac:dyDescent="0.25">
      <c r="A268" s="287" t="s">
        <v>709</v>
      </c>
      <c r="B268" s="287" t="s">
        <v>5</v>
      </c>
      <c r="C268" s="287" t="s">
        <v>6</v>
      </c>
      <c r="D268" s="287" t="s">
        <v>7</v>
      </c>
      <c r="E268" s="288" t="s">
        <v>8</v>
      </c>
      <c r="F268" s="288" t="s">
        <v>9</v>
      </c>
      <c r="G268" s="287" t="s">
        <v>7</v>
      </c>
      <c r="H268" s="287" t="s">
        <v>537</v>
      </c>
      <c r="I268" s="287" t="s">
        <v>10</v>
      </c>
      <c r="J268" s="287" t="s">
        <v>11</v>
      </c>
      <c r="L268" s="456"/>
      <c r="M268" s="456"/>
      <c r="N268" s="456"/>
      <c r="O268" s="456"/>
      <c r="P268" s="456"/>
    </row>
    <row r="269" spans="1:16" x14ac:dyDescent="0.25">
      <c r="A269" s="376" t="str">
        <f t="shared" ref="A269:C278" si="2">A253</f>
        <v>F.PK</v>
      </c>
      <c r="B269" s="525">
        <f t="shared" si="2"/>
        <v>23.92</v>
      </c>
      <c r="C269" s="525">
        <f t="shared" si="2"/>
        <v>0.14000000000000001</v>
      </c>
      <c r="D269" s="575">
        <v>7.0000000000000007E-2</v>
      </c>
      <c r="E269" s="575"/>
      <c r="F269" s="575"/>
      <c r="G269" s="578">
        <f>IFERROR(D269+(E269+F269),D269)</f>
        <v>7.0000000000000007E-2</v>
      </c>
      <c r="H269" s="575">
        <v>1.8819999999999999</v>
      </c>
      <c r="I269" s="526">
        <f t="shared" ref="I269:I278" si="3">I253</f>
        <v>1.0269999999999999</v>
      </c>
      <c r="J269" s="527">
        <f>ROUND(H269*I269,1)</f>
        <v>1.9</v>
      </c>
      <c r="L269" s="456"/>
      <c r="M269" s="456"/>
      <c r="N269" s="456"/>
      <c r="O269" s="456"/>
      <c r="P269" s="456"/>
    </row>
    <row r="270" spans="1:16" x14ac:dyDescent="0.25">
      <c r="A270" s="374" t="str">
        <f t="shared" si="2"/>
        <v>1 WBT (P)</v>
      </c>
      <c r="B270" s="1">
        <f t="shared" si="2"/>
        <v>20.93</v>
      </c>
      <c r="C270" s="1">
        <f t="shared" si="2"/>
        <v>0.14000000000000001</v>
      </c>
      <c r="D270" s="576">
        <v>0</v>
      </c>
      <c r="E270" s="576"/>
      <c r="F270" s="576"/>
      <c r="G270" s="674">
        <f>IFERROR(D270+(E270+F270),D270)</f>
        <v>0</v>
      </c>
      <c r="H270" s="576">
        <v>5.85</v>
      </c>
      <c r="I270" s="274">
        <f t="shared" si="3"/>
        <v>1.0269999999999999</v>
      </c>
      <c r="J270" s="528">
        <f>IFERROR(ROUND(H270*I270,1),"")</f>
        <v>6</v>
      </c>
      <c r="L270" s="456"/>
      <c r="M270" s="456"/>
      <c r="N270" s="456"/>
      <c r="O270" s="456"/>
      <c r="P270" s="456"/>
    </row>
    <row r="271" spans="1:16" x14ac:dyDescent="0.25">
      <c r="A271" s="374" t="str">
        <f t="shared" si="2"/>
        <v>1 WBT (S)</v>
      </c>
      <c r="B271" s="1">
        <f t="shared" si="2"/>
        <v>20.92</v>
      </c>
      <c r="C271" s="1">
        <f t="shared" si="2"/>
        <v>0.12</v>
      </c>
      <c r="D271" s="576">
        <v>0</v>
      </c>
      <c r="E271" s="576"/>
      <c r="F271" s="576"/>
      <c r="G271" s="674">
        <f t="shared" ref="G271:G277" si="4">IFERROR(D271+(E271+F271),D271)</f>
        <v>0</v>
      </c>
      <c r="H271" s="576">
        <v>5.85</v>
      </c>
      <c r="I271" s="274">
        <f t="shared" si="3"/>
        <v>1.0269999999999999</v>
      </c>
      <c r="J271" s="528">
        <f t="shared" ref="J271:J278" si="5">IFERROR(ROUND(H271*I271,1),"")</f>
        <v>6</v>
      </c>
      <c r="L271" s="456"/>
      <c r="M271" s="456"/>
      <c r="N271" s="456"/>
      <c r="O271" s="456"/>
      <c r="P271" s="456"/>
    </row>
    <row r="272" spans="1:16" x14ac:dyDescent="0.25">
      <c r="A272" s="374" t="str">
        <f t="shared" si="2"/>
        <v>2 WBT (P)</v>
      </c>
      <c r="B272" s="1">
        <f t="shared" si="2"/>
        <v>20.350000000000001</v>
      </c>
      <c r="C272" s="1">
        <f t="shared" si="2"/>
        <v>0.12</v>
      </c>
      <c r="D272" s="576">
        <v>0</v>
      </c>
      <c r="E272" s="576"/>
      <c r="F272" s="576"/>
      <c r="G272" s="674">
        <f t="shared" si="4"/>
        <v>0</v>
      </c>
      <c r="H272" s="576">
        <v>19.489999999999998</v>
      </c>
      <c r="I272" s="274">
        <f t="shared" si="3"/>
        <v>1.0269999999999999</v>
      </c>
      <c r="J272" s="528">
        <f t="shared" si="5"/>
        <v>20</v>
      </c>
      <c r="L272" s="456"/>
      <c r="M272" s="456"/>
      <c r="N272" s="456"/>
      <c r="O272" s="456"/>
      <c r="P272" s="456"/>
    </row>
    <row r="273" spans="1:16" x14ac:dyDescent="0.25">
      <c r="A273" s="374" t="str">
        <f t="shared" si="2"/>
        <v>2 WBT (S)</v>
      </c>
      <c r="B273" s="1">
        <f t="shared" si="2"/>
        <v>20.21</v>
      </c>
      <c r="C273" s="1">
        <f t="shared" si="2"/>
        <v>0.14000000000000001</v>
      </c>
      <c r="D273" s="576">
        <v>0.01</v>
      </c>
      <c r="E273" s="576"/>
      <c r="F273" s="576"/>
      <c r="G273" s="674">
        <f t="shared" si="4"/>
        <v>0.01</v>
      </c>
      <c r="H273" s="576">
        <v>32.81</v>
      </c>
      <c r="I273" s="274">
        <f t="shared" si="3"/>
        <v>1.0269999999999999</v>
      </c>
      <c r="J273" s="528">
        <f t="shared" si="5"/>
        <v>33.700000000000003</v>
      </c>
      <c r="L273" s="456"/>
      <c r="M273" s="456"/>
      <c r="N273" s="456"/>
      <c r="O273" s="456"/>
      <c r="P273" s="456"/>
    </row>
    <row r="274" spans="1:16" x14ac:dyDescent="0.25">
      <c r="A274" s="374" t="str">
        <f t="shared" si="2"/>
        <v>3 WBT (P)</v>
      </c>
      <c r="B274" s="1">
        <f t="shared" si="2"/>
        <v>20.2</v>
      </c>
      <c r="C274" s="1">
        <f t="shared" si="2"/>
        <v>0.04</v>
      </c>
      <c r="D274" s="576">
        <v>0.02</v>
      </c>
      <c r="E274" s="576"/>
      <c r="F274" s="576"/>
      <c r="G274" s="674">
        <f t="shared" si="4"/>
        <v>0.02</v>
      </c>
      <c r="H274" s="576">
        <v>42.107999999999997</v>
      </c>
      <c r="I274" s="274">
        <f t="shared" si="3"/>
        <v>1.0269999999999999</v>
      </c>
      <c r="J274" s="528">
        <f t="shared" si="5"/>
        <v>43.2</v>
      </c>
      <c r="L274" s="456"/>
      <c r="M274" s="456"/>
      <c r="N274" s="456"/>
      <c r="O274" s="456"/>
      <c r="P274" s="456"/>
    </row>
    <row r="275" spans="1:16" x14ac:dyDescent="0.25">
      <c r="A275" s="374" t="str">
        <f t="shared" si="2"/>
        <v>3 WBT (S)</v>
      </c>
      <c r="B275" s="1">
        <f t="shared" si="2"/>
        <v>20.100000000000001</v>
      </c>
      <c r="C275" s="1">
        <f t="shared" si="2"/>
        <v>0.14000000000000001</v>
      </c>
      <c r="D275" s="576">
        <v>0.01</v>
      </c>
      <c r="E275" s="576"/>
      <c r="F275" s="576"/>
      <c r="G275" s="674">
        <f t="shared" si="4"/>
        <v>0.01</v>
      </c>
      <c r="H275" s="576">
        <v>34.74</v>
      </c>
      <c r="I275" s="274">
        <f t="shared" si="3"/>
        <v>1.0269999999999999</v>
      </c>
      <c r="J275" s="528">
        <f t="shared" si="5"/>
        <v>35.700000000000003</v>
      </c>
      <c r="L275" s="456"/>
      <c r="M275" s="456"/>
      <c r="N275" s="456"/>
      <c r="O275" s="456"/>
      <c r="P275" s="456"/>
    </row>
    <row r="276" spans="1:16" x14ac:dyDescent="0.25">
      <c r="A276" s="374" t="str">
        <f t="shared" si="2"/>
        <v>4 WBT (P)</v>
      </c>
      <c r="B276" s="1">
        <f t="shared" si="2"/>
        <v>20.010000000000002</v>
      </c>
      <c r="C276" s="1">
        <f t="shared" si="2"/>
        <v>0.04</v>
      </c>
      <c r="D276" s="576">
        <v>0.04</v>
      </c>
      <c r="E276" s="576"/>
      <c r="F276" s="576"/>
      <c r="G276" s="674">
        <f t="shared" si="4"/>
        <v>0.04</v>
      </c>
      <c r="H276" s="576">
        <v>37.82</v>
      </c>
      <c r="I276" s="274">
        <f t="shared" si="3"/>
        <v>1.0269999999999999</v>
      </c>
      <c r="J276" s="528">
        <f t="shared" si="5"/>
        <v>38.799999999999997</v>
      </c>
      <c r="L276" s="456"/>
      <c r="M276" s="456"/>
      <c r="N276" s="456"/>
      <c r="O276" s="456"/>
      <c r="P276" s="456"/>
    </row>
    <row r="277" spans="1:16" x14ac:dyDescent="0.25">
      <c r="A277" s="374" t="str">
        <f t="shared" si="2"/>
        <v>4 WBT (S)</v>
      </c>
      <c r="B277" s="1">
        <f t="shared" si="2"/>
        <v>20.45</v>
      </c>
      <c r="C277" s="1">
        <f t="shared" si="2"/>
        <v>0.14000000000000001</v>
      </c>
      <c r="D277" s="576">
        <v>0.03</v>
      </c>
      <c r="E277" s="576"/>
      <c r="F277" s="576"/>
      <c r="G277" s="674">
        <f t="shared" si="4"/>
        <v>0.03</v>
      </c>
      <c r="H277" s="576">
        <v>30.9</v>
      </c>
      <c r="I277" s="274">
        <f t="shared" si="3"/>
        <v>1.0269999999999999</v>
      </c>
      <c r="J277" s="528">
        <f t="shared" si="5"/>
        <v>31.7</v>
      </c>
      <c r="L277" s="456"/>
      <c r="M277" s="456"/>
      <c r="N277" s="456"/>
      <c r="O277" s="456"/>
      <c r="P277" s="456"/>
    </row>
    <row r="278" spans="1:16" x14ac:dyDescent="0.25">
      <c r="A278" s="375" t="str">
        <f t="shared" si="2"/>
        <v>A.PK</v>
      </c>
      <c r="B278" s="2">
        <f t="shared" si="2"/>
        <v>17.46</v>
      </c>
      <c r="C278" s="2">
        <f t="shared" si="2"/>
        <v>0.03</v>
      </c>
      <c r="D278" s="576">
        <v>4.72</v>
      </c>
      <c r="E278" s="577"/>
      <c r="F278" s="577"/>
      <c r="G278" s="579">
        <f>IFERROR(D278+(E278+F278),D278)</f>
        <v>4.72</v>
      </c>
      <c r="H278" s="577">
        <v>166.17</v>
      </c>
      <c r="I278" s="530">
        <f t="shared" si="3"/>
        <v>1.0269999999999999</v>
      </c>
      <c r="J278" s="531">
        <f t="shared" si="5"/>
        <v>170.7</v>
      </c>
      <c r="L278" s="456"/>
      <c r="M278" s="456"/>
      <c r="N278" s="456"/>
      <c r="O278" s="456"/>
      <c r="P278" s="456"/>
    </row>
    <row r="279" spans="1:16" x14ac:dyDescent="0.25">
      <c r="A279" s="289" t="s">
        <v>14</v>
      </c>
      <c r="B279" s="290"/>
      <c r="C279" s="290"/>
      <c r="D279" s="290"/>
      <c r="E279" s="290"/>
      <c r="F279" s="290"/>
      <c r="G279" s="291"/>
      <c r="H279" s="532">
        <f>SUM($H$269:$H$278)</f>
        <v>377.62</v>
      </c>
      <c r="I279" s="533"/>
      <c r="J279" s="532">
        <f>SUM($J$269:$J$278)</f>
        <v>387.7</v>
      </c>
      <c r="L279" s="456"/>
      <c r="M279" s="456"/>
      <c r="N279" s="456"/>
      <c r="O279" s="456"/>
      <c r="P279" s="456"/>
    </row>
    <row r="280" spans="1:16" x14ac:dyDescent="0.25">
      <c r="L280" s="456"/>
      <c r="M280" s="456"/>
      <c r="N280" s="456"/>
      <c r="O280" s="456"/>
      <c r="P280" s="456"/>
    </row>
    <row r="281" spans="1:16" x14ac:dyDescent="0.25">
      <c r="L281" s="456"/>
      <c r="M281" s="456"/>
      <c r="N281" s="456"/>
      <c r="O281" s="456"/>
      <c r="P281" s="456"/>
    </row>
    <row r="282" spans="1:16" x14ac:dyDescent="0.25">
      <c r="L282" s="456"/>
      <c r="M282" s="456"/>
      <c r="N282" s="456"/>
      <c r="O282" s="456"/>
      <c r="P282" s="456"/>
    </row>
    <row r="283" spans="1:16" ht="15.75" x14ac:dyDescent="0.25">
      <c r="A283" s="380" t="s">
        <v>542</v>
      </c>
      <c r="L283" s="456"/>
      <c r="M283" s="456"/>
      <c r="N283" s="456"/>
      <c r="O283" s="456"/>
      <c r="P283" s="456"/>
    </row>
    <row r="284" spans="1:16" x14ac:dyDescent="0.25">
      <c r="A284" s="286" t="s">
        <v>0</v>
      </c>
      <c r="B284" s="286" t="s">
        <v>1</v>
      </c>
      <c r="C284" s="286" t="s">
        <v>2</v>
      </c>
      <c r="D284" s="286" t="s">
        <v>1</v>
      </c>
      <c r="E284" s="823" t="s">
        <v>566</v>
      </c>
      <c r="F284" s="823"/>
      <c r="G284" s="286" t="s">
        <v>3</v>
      </c>
      <c r="H284" s="286" t="s">
        <v>1</v>
      </c>
      <c r="I284" s="286" t="s">
        <v>1</v>
      </c>
      <c r="J284" s="286" t="s">
        <v>4</v>
      </c>
      <c r="L284" s="456"/>
      <c r="M284" s="456"/>
      <c r="N284" s="456"/>
      <c r="O284" s="456"/>
      <c r="P284" s="456"/>
    </row>
    <row r="285" spans="1:16" x14ac:dyDescent="0.25">
      <c r="A285" s="287" t="s">
        <v>709</v>
      </c>
      <c r="B285" s="412" t="s">
        <v>5</v>
      </c>
      <c r="C285" s="412" t="s">
        <v>6</v>
      </c>
      <c r="D285" s="287" t="s">
        <v>7</v>
      </c>
      <c r="E285" s="288" t="s">
        <v>8</v>
      </c>
      <c r="F285" s="288" t="s">
        <v>9</v>
      </c>
      <c r="G285" s="412" t="s">
        <v>7</v>
      </c>
      <c r="H285" s="287" t="s">
        <v>537</v>
      </c>
      <c r="I285" s="287" t="s">
        <v>10</v>
      </c>
      <c r="J285" s="412" t="s">
        <v>11</v>
      </c>
      <c r="L285" s="456"/>
      <c r="M285" s="456"/>
      <c r="N285" s="456"/>
      <c r="O285" s="456"/>
      <c r="P285" s="456"/>
    </row>
    <row r="286" spans="1:16" x14ac:dyDescent="0.25">
      <c r="A286" s="376" t="s">
        <v>544</v>
      </c>
      <c r="B286" s="1">
        <v>5.68</v>
      </c>
      <c r="C286" s="1">
        <v>0.15</v>
      </c>
      <c r="D286" s="727"/>
      <c r="E286" s="725"/>
      <c r="F286" s="725"/>
      <c r="G286" s="1">
        <f>IFERROR(D286+(E286+F286),"GAUGE")</f>
        <v>0</v>
      </c>
      <c r="H286" s="525">
        <v>77</v>
      </c>
      <c r="I286" s="526">
        <v>1</v>
      </c>
      <c r="J286" s="528">
        <f t="shared" ref="J286:J288" si="6">IFERROR(ROUND(H286*I286,1),"")</f>
        <v>77</v>
      </c>
      <c r="L286" s="456"/>
      <c r="M286" s="456"/>
      <c r="N286" s="456"/>
      <c r="O286" s="456"/>
      <c r="P286" s="456"/>
    </row>
    <row r="287" spans="1:16" x14ac:dyDescent="0.25">
      <c r="A287" s="374" t="s">
        <v>545</v>
      </c>
      <c r="B287" s="1">
        <v>5.7</v>
      </c>
      <c r="C287" s="1">
        <v>0.15</v>
      </c>
      <c r="D287" s="728"/>
      <c r="E287" s="726"/>
      <c r="F287" s="726"/>
      <c r="G287" s="1">
        <f t="shared" ref="G287:G288" si="7">IFERROR(D287+(E287+F287),"GAUGE")</f>
        <v>0</v>
      </c>
      <c r="H287" s="1">
        <v>32</v>
      </c>
      <c r="I287" s="529">
        <v>1</v>
      </c>
      <c r="J287" s="528">
        <f t="shared" si="6"/>
        <v>32</v>
      </c>
      <c r="L287" s="456"/>
      <c r="M287" s="456"/>
      <c r="N287" s="456"/>
      <c r="O287" s="456"/>
      <c r="P287" s="456"/>
    </row>
    <row r="288" spans="1:16" x14ac:dyDescent="0.25">
      <c r="A288" s="382" t="s">
        <v>784</v>
      </c>
      <c r="B288" s="2">
        <v>5.77</v>
      </c>
      <c r="C288" s="2">
        <v>0.15</v>
      </c>
      <c r="D288" s="729"/>
      <c r="E288" s="534"/>
      <c r="F288" s="534"/>
      <c r="G288" s="2">
        <f t="shared" si="7"/>
        <v>0</v>
      </c>
      <c r="H288" s="2">
        <v>50</v>
      </c>
      <c r="I288" s="530">
        <v>1</v>
      </c>
      <c r="J288" s="531">
        <f t="shared" si="6"/>
        <v>50</v>
      </c>
      <c r="L288" s="456"/>
      <c r="M288" s="456"/>
      <c r="N288" s="456"/>
      <c r="O288" s="456"/>
      <c r="P288" s="456"/>
    </row>
    <row r="289" spans="1:16" x14ac:dyDescent="0.25">
      <c r="A289" s="381" t="s">
        <v>14</v>
      </c>
      <c r="B289" s="291"/>
      <c r="C289" s="291"/>
      <c r="D289" s="291"/>
      <c r="E289" s="291"/>
      <c r="F289" s="291"/>
      <c r="G289" s="291"/>
      <c r="H289" s="534">
        <f>SUM($H$286:$H$288)</f>
        <v>159</v>
      </c>
      <c r="I289" s="535"/>
      <c r="J289" s="534">
        <f>SUM($J$286:$J$288)</f>
        <v>159</v>
      </c>
      <c r="L289" s="456"/>
      <c r="M289" s="456"/>
      <c r="N289" s="456"/>
      <c r="O289" s="456"/>
      <c r="P289" s="456"/>
    </row>
    <row r="290" spans="1:16" x14ac:dyDescent="0.25">
      <c r="L290" s="456"/>
      <c r="M290" s="456"/>
      <c r="N290" s="456"/>
      <c r="O290" s="456"/>
      <c r="P290" s="456"/>
    </row>
    <row r="291" spans="1:16" x14ac:dyDescent="0.25">
      <c r="L291" s="456"/>
      <c r="M291" s="456"/>
      <c r="N291" s="456"/>
      <c r="O291" s="456"/>
      <c r="P291" s="456"/>
    </row>
    <row r="292" spans="1:16" ht="15.75" x14ac:dyDescent="0.25">
      <c r="A292" s="3" t="s">
        <v>543</v>
      </c>
      <c r="L292" s="456"/>
      <c r="M292" s="456"/>
      <c r="N292" s="456"/>
      <c r="O292" s="456"/>
      <c r="P292" s="456"/>
    </row>
    <row r="293" spans="1:16" x14ac:dyDescent="0.25">
      <c r="A293" s="286" t="s">
        <v>0</v>
      </c>
      <c r="B293" s="286" t="s">
        <v>1</v>
      </c>
      <c r="C293" s="286" t="s">
        <v>2</v>
      </c>
      <c r="D293" s="286" t="s">
        <v>1</v>
      </c>
      <c r="E293" s="823" t="s">
        <v>566</v>
      </c>
      <c r="F293" s="823"/>
      <c r="G293" s="286" t="s">
        <v>3</v>
      </c>
      <c r="H293" s="286" t="s">
        <v>1</v>
      </c>
      <c r="I293" s="286" t="s">
        <v>1</v>
      </c>
      <c r="J293" s="286" t="s">
        <v>4</v>
      </c>
      <c r="L293" s="456"/>
      <c r="M293" s="456"/>
      <c r="N293" s="456"/>
      <c r="O293" s="456"/>
      <c r="P293" s="456"/>
    </row>
    <row r="294" spans="1:16" x14ac:dyDescent="0.25">
      <c r="A294" s="287" t="s">
        <v>709</v>
      </c>
      <c r="B294" s="287" t="s">
        <v>5</v>
      </c>
      <c r="C294" s="287" t="s">
        <v>6</v>
      </c>
      <c r="D294" s="287" t="s">
        <v>7</v>
      </c>
      <c r="E294" s="288" t="s">
        <v>8</v>
      </c>
      <c r="F294" s="288" t="s">
        <v>9</v>
      </c>
      <c r="G294" s="412" t="s">
        <v>7</v>
      </c>
      <c r="H294" s="287" t="s">
        <v>537</v>
      </c>
      <c r="I294" s="287" t="s">
        <v>10</v>
      </c>
      <c r="J294" s="412" t="s">
        <v>11</v>
      </c>
      <c r="L294" s="456"/>
      <c r="M294" s="456"/>
      <c r="N294" s="456"/>
      <c r="O294" s="456"/>
      <c r="P294" s="456"/>
    </row>
    <row r="295" spans="1:16" x14ac:dyDescent="0.25">
      <c r="A295" s="376" t="s">
        <v>544</v>
      </c>
      <c r="B295" s="525">
        <f>$B$286</f>
        <v>5.68</v>
      </c>
      <c r="C295" s="525">
        <f>$C$286</f>
        <v>0.15</v>
      </c>
      <c r="D295" s="525">
        <v>1.56</v>
      </c>
      <c r="E295" s="525"/>
      <c r="F295" s="525"/>
      <c r="G295" s="1">
        <f>IFERROR(D295+(E295+F295),"GAUGE")</f>
        <v>1.56</v>
      </c>
      <c r="H295" s="525">
        <v>47.88</v>
      </c>
      <c r="I295" s="526">
        <v>1</v>
      </c>
      <c r="J295" s="528">
        <f t="shared" ref="J295:J297" si="8">IFERROR(ROUND(H295*I295,1),"")</f>
        <v>47.9</v>
      </c>
      <c r="L295" s="456"/>
      <c r="M295" s="456"/>
      <c r="N295" s="456"/>
      <c r="O295" s="456"/>
      <c r="P295" s="456"/>
    </row>
    <row r="296" spans="1:16" x14ac:dyDescent="0.25">
      <c r="A296" s="374" t="s">
        <v>545</v>
      </c>
      <c r="B296" s="1">
        <f>$B$287</f>
        <v>5.7</v>
      </c>
      <c r="C296" s="1">
        <f>$C$287</f>
        <v>0.15</v>
      </c>
      <c r="D296" s="1">
        <v>2.54</v>
      </c>
      <c r="E296" s="1"/>
      <c r="F296" s="1"/>
      <c r="G296" s="1">
        <f t="shared" ref="G296:G297" si="9">IFERROR(D296+(E296+F296),"GAUGE")</f>
        <v>2.54</v>
      </c>
      <c r="H296" s="1">
        <v>32.5</v>
      </c>
      <c r="I296" s="529">
        <v>1</v>
      </c>
      <c r="J296" s="528">
        <f t="shared" si="8"/>
        <v>32.5</v>
      </c>
      <c r="L296" s="456"/>
      <c r="M296" s="456"/>
      <c r="N296" s="456"/>
      <c r="O296" s="456"/>
      <c r="P296" s="456"/>
    </row>
    <row r="297" spans="1:16" x14ac:dyDescent="0.25">
      <c r="A297" s="382" t="s">
        <v>784</v>
      </c>
      <c r="B297" s="2">
        <f>$B$288</f>
        <v>5.77</v>
      </c>
      <c r="C297" s="2">
        <f>$C$288</f>
        <v>0.15</v>
      </c>
      <c r="D297" s="2">
        <v>2.5499999999999998</v>
      </c>
      <c r="E297" s="2"/>
      <c r="F297" s="2"/>
      <c r="G297" s="2">
        <f t="shared" si="9"/>
        <v>2.5499999999999998</v>
      </c>
      <c r="H297" s="2">
        <v>50.08</v>
      </c>
      <c r="I297" s="530">
        <v>1</v>
      </c>
      <c r="J297" s="531">
        <f t="shared" si="8"/>
        <v>50.1</v>
      </c>
      <c r="L297" s="456"/>
      <c r="M297" s="456"/>
      <c r="N297" s="456"/>
      <c r="O297" s="456"/>
      <c r="P297" s="456"/>
    </row>
    <row r="298" spans="1:16" x14ac:dyDescent="0.25">
      <c r="A298" s="381" t="s">
        <v>14</v>
      </c>
      <c r="B298" s="291"/>
      <c r="C298" s="291"/>
      <c r="D298" s="291"/>
      <c r="E298" s="291"/>
      <c r="F298" s="291"/>
      <c r="G298" s="291"/>
      <c r="H298" s="534">
        <f>SUM($H$295:$H$297)</f>
        <v>130.45999999999998</v>
      </c>
      <c r="I298" s="535"/>
      <c r="J298" s="534">
        <f>SUM($J$295:$J$297)</f>
        <v>130.5</v>
      </c>
      <c r="L298" s="456"/>
      <c r="M298" s="456"/>
      <c r="N298" s="456"/>
      <c r="O298" s="456"/>
      <c r="P298" s="456"/>
    </row>
    <row r="299" spans="1:16" x14ac:dyDescent="0.25">
      <c r="L299" s="456"/>
      <c r="M299" s="456"/>
      <c r="N299" s="456"/>
      <c r="O299" s="456"/>
      <c r="P299" s="456"/>
    </row>
    <row r="300" spans="1:16" x14ac:dyDescent="0.25">
      <c r="L300" s="456"/>
      <c r="M300" s="456"/>
      <c r="N300" s="456"/>
      <c r="O300" s="456"/>
      <c r="P300" s="456"/>
    </row>
    <row r="301" spans="1:16" ht="15.75" x14ac:dyDescent="0.25">
      <c r="A301" s="380" t="s">
        <v>691</v>
      </c>
      <c r="B301" s="7"/>
      <c r="C301" s="7"/>
      <c r="D301" s="7"/>
      <c r="E301" s="7"/>
      <c r="F301" s="7"/>
      <c r="G301" s="7"/>
      <c r="H301" s="7"/>
      <c r="I301" s="7"/>
      <c r="J301" s="7"/>
      <c r="L301" s="456"/>
      <c r="M301" s="456"/>
      <c r="N301" s="456"/>
      <c r="O301" s="456"/>
      <c r="P301" s="456"/>
    </row>
    <row r="302" spans="1:16" x14ac:dyDescent="0.25">
      <c r="A302" s="383"/>
      <c r="B302" s="8"/>
      <c r="C302" s="8"/>
      <c r="D302" s="388"/>
      <c r="E302" s="8"/>
      <c r="F302" s="852" t="s">
        <v>546</v>
      </c>
      <c r="G302" s="852"/>
      <c r="H302" s="384"/>
      <c r="I302" s="853" t="s">
        <v>547</v>
      </c>
      <c r="J302" s="854"/>
      <c r="L302" s="456"/>
      <c r="M302" s="456"/>
      <c r="N302" s="456"/>
      <c r="O302" s="456"/>
      <c r="P302" s="456"/>
    </row>
    <row r="303" spans="1:16" ht="15.75" x14ac:dyDescent="0.25">
      <c r="A303" s="389" t="s">
        <v>548</v>
      </c>
      <c r="B303" s="390"/>
      <c r="C303" s="390"/>
      <c r="D303" s="419"/>
      <c r="E303" s="390"/>
      <c r="F303" s="855">
        <f>Draft!$H$65</f>
        <v>853.93600000000004</v>
      </c>
      <c r="G303" s="855"/>
      <c r="H303" s="406"/>
      <c r="I303" s="855">
        <f>Draft!$Z$65</f>
        <v>833.81100000000004</v>
      </c>
      <c r="J303" s="856"/>
      <c r="L303" s="456"/>
      <c r="M303" s="456"/>
      <c r="N303" s="456"/>
      <c r="O303" s="456"/>
      <c r="P303" s="456"/>
    </row>
    <row r="304" spans="1:16" ht="15.75" x14ac:dyDescent="0.25">
      <c r="A304" s="385" t="s">
        <v>549</v>
      </c>
      <c r="D304" s="420"/>
      <c r="F304" s="850">
        <f>Draft!$H$66</f>
        <v>239.85</v>
      </c>
      <c r="G304" s="850"/>
      <c r="H304" s="407"/>
      <c r="I304" s="850">
        <f>Draft!$Z$66</f>
        <v>239.35</v>
      </c>
      <c r="J304" s="851"/>
      <c r="L304" s="456"/>
      <c r="M304" s="456"/>
      <c r="N304" s="456"/>
      <c r="O304" s="456"/>
      <c r="P304" s="456"/>
    </row>
    <row r="305" spans="1:16" ht="15.75" x14ac:dyDescent="0.25">
      <c r="A305" s="385" t="s">
        <v>550</v>
      </c>
      <c r="D305" s="420"/>
      <c r="F305" s="850">
        <f>Draft!$H$67</f>
        <v>39</v>
      </c>
      <c r="G305" s="850"/>
      <c r="H305" s="407"/>
      <c r="I305" s="850">
        <f>Draft!$Z$67</f>
        <v>37</v>
      </c>
      <c r="J305" s="851"/>
      <c r="L305" s="456"/>
      <c r="M305" s="456"/>
      <c r="N305" s="456"/>
      <c r="O305" s="456"/>
      <c r="P305" s="456"/>
    </row>
    <row r="306" spans="1:16" ht="15.75" x14ac:dyDescent="0.25">
      <c r="A306" s="385" t="s">
        <v>551</v>
      </c>
      <c r="D306" s="420"/>
      <c r="F306" s="850">
        <f>$J$289</f>
        <v>159</v>
      </c>
      <c r="G306" s="850"/>
      <c r="H306" s="407"/>
      <c r="I306" s="850">
        <f>$J$298</f>
        <v>130.5</v>
      </c>
      <c r="J306" s="851"/>
      <c r="L306" s="456"/>
      <c r="M306" s="456"/>
      <c r="N306" s="456"/>
      <c r="O306" s="456"/>
      <c r="P306" s="456"/>
    </row>
    <row r="307" spans="1:16" ht="15.75" x14ac:dyDescent="0.25">
      <c r="A307" s="385" t="s">
        <v>552</v>
      </c>
      <c r="D307" s="420"/>
      <c r="F307" s="850">
        <f>$J$263</f>
        <v>20266.2</v>
      </c>
      <c r="G307" s="850"/>
      <c r="H307" s="407"/>
      <c r="I307" s="850">
        <f>$J$279</f>
        <v>387.7</v>
      </c>
      <c r="J307" s="851"/>
      <c r="L307" s="456"/>
      <c r="M307" s="456"/>
      <c r="N307" s="456"/>
      <c r="O307" s="456"/>
      <c r="P307" s="456"/>
    </row>
    <row r="308" spans="1:16" ht="15.75" x14ac:dyDescent="0.25">
      <c r="A308" s="391" t="s">
        <v>553</v>
      </c>
      <c r="B308" s="392"/>
      <c r="C308" s="392"/>
      <c r="D308" s="421"/>
      <c r="E308" s="392"/>
      <c r="F308" s="844">
        <f>Draft!$H$71</f>
        <v>0</v>
      </c>
      <c r="G308" s="844"/>
      <c r="H308" s="408"/>
      <c r="I308" s="844">
        <f>Draft!$Z$71</f>
        <v>28.5</v>
      </c>
      <c r="J308" s="845"/>
      <c r="L308" s="456"/>
      <c r="M308" s="456"/>
      <c r="N308" s="456"/>
      <c r="O308" s="456"/>
      <c r="P308" s="456"/>
    </row>
    <row r="309" spans="1:16" ht="15.75" x14ac:dyDescent="0.25">
      <c r="A309" s="386" t="s">
        <v>14</v>
      </c>
      <c r="B309" s="8"/>
      <c r="C309" s="8"/>
      <c r="D309" s="387"/>
      <c r="E309" s="8"/>
      <c r="F309" s="846">
        <f>SUM($F$303:$G$308)</f>
        <v>21557.986000000001</v>
      </c>
      <c r="G309" s="846"/>
      <c r="H309" s="409"/>
      <c r="I309" s="844">
        <f>SUM($I$303:$J$308)</f>
        <v>1656.8610000000001</v>
      </c>
      <c r="J309" s="844"/>
      <c r="L309" s="456"/>
      <c r="M309" s="456"/>
      <c r="N309" s="456"/>
      <c r="O309" s="456"/>
      <c r="P309" s="456"/>
    </row>
    <row r="310" spans="1:16" x14ac:dyDescent="0.25">
      <c r="L310" s="456"/>
      <c r="M310" s="456"/>
      <c r="N310" s="456"/>
      <c r="O310" s="456"/>
      <c r="P310" s="456"/>
    </row>
  </sheetData>
  <mergeCells count="173">
    <mergeCell ref="A38:J39"/>
    <mergeCell ref="A40:J40"/>
    <mergeCell ref="A41:J41"/>
    <mergeCell ref="F113:I113"/>
    <mergeCell ref="E100:J100"/>
    <mergeCell ref="E101:J101"/>
    <mergeCell ref="E102:J102"/>
    <mergeCell ref="I226:J226"/>
    <mergeCell ref="G221:H221"/>
    <mergeCell ref="I219:J219"/>
    <mergeCell ref="I215:J215"/>
    <mergeCell ref="I216:J216"/>
    <mergeCell ref="I217:J217"/>
    <mergeCell ref="I218:J218"/>
    <mergeCell ref="I220:J220"/>
    <mergeCell ref="I221:J221"/>
    <mergeCell ref="I225:J225"/>
    <mergeCell ref="G225:H225"/>
    <mergeCell ref="G223:H223"/>
    <mergeCell ref="G224:H224"/>
    <mergeCell ref="G192:H192"/>
    <mergeCell ref="G193:H193"/>
    <mergeCell ref="G137:H137"/>
    <mergeCell ref="B120:C120"/>
    <mergeCell ref="B121:C121"/>
    <mergeCell ref="B122:C122"/>
    <mergeCell ref="I135:J135"/>
    <mergeCell ref="G135:H135"/>
    <mergeCell ref="G139:H139"/>
    <mergeCell ref="G140:H140"/>
    <mergeCell ref="E251:F251"/>
    <mergeCell ref="A1:J1"/>
    <mergeCell ref="G183:H183"/>
    <mergeCell ref="I183:J183"/>
    <mergeCell ref="H174:I174"/>
    <mergeCell ref="H175:I175"/>
    <mergeCell ref="H172:I172"/>
    <mergeCell ref="F117:I117"/>
    <mergeCell ref="A36:J36"/>
    <mergeCell ref="A34:J34"/>
    <mergeCell ref="A35:J35"/>
    <mergeCell ref="G3:I3"/>
    <mergeCell ref="G215:H215"/>
    <mergeCell ref="G216:H216"/>
    <mergeCell ref="G217:H217"/>
    <mergeCell ref="G218:H218"/>
    <mergeCell ref="G219:H219"/>
    <mergeCell ref="B113:C113"/>
    <mergeCell ref="B114:C114"/>
    <mergeCell ref="B115:C115"/>
    <mergeCell ref="B116:C116"/>
    <mergeCell ref="B117:C117"/>
    <mergeCell ref="B118:C118"/>
    <mergeCell ref="B119:C119"/>
    <mergeCell ref="F118:I118"/>
    <mergeCell ref="F119:I119"/>
    <mergeCell ref="D113:E113"/>
    <mergeCell ref="D115:E115"/>
    <mergeCell ref="D116:E116"/>
    <mergeCell ref="D117:E117"/>
    <mergeCell ref="D118:E118"/>
    <mergeCell ref="D119:E119"/>
    <mergeCell ref="D120:E120"/>
    <mergeCell ref="D121:E121"/>
    <mergeCell ref="F120:I120"/>
    <mergeCell ref="F121:I121"/>
    <mergeCell ref="F122:I122"/>
    <mergeCell ref="H176:I176"/>
    <mergeCell ref="H177:I177"/>
    <mergeCell ref="F114:I114"/>
    <mergeCell ref="F115:I115"/>
    <mergeCell ref="F116:I116"/>
    <mergeCell ref="G138:H138"/>
    <mergeCell ref="E155:J155"/>
    <mergeCell ref="H178:I178"/>
    <mergeCell ref="H179:I179"/>
    <mergeCell ref="I136:J136"/>
    <mergeCell ref="I137:J137"/>
    <mergeCell ref="I138:J138"/>
    <mergeCell ref="I139:J139"/>
    <mergeCell ref="I140:J140"/>
    <mergeCell ref="G194:H194"/>
    <mergeCell ref="G195:H195"/>
    <mergeCell ref="G136:H136"/>
    <mergeCell ref="G191:H191"/>
    <mergeCell ref="I191:J191"/>
    <mergeCell ref="H180:I180"/>
    <mergeCell ref="G185:H185"/>
    <mergeCell ref="I185:J185"/>
    <mergeCell ref="G189:H189"/>
    <mergeCell ref="I189:J189"/>
    <mergeCell ref="G197:H197"/>
    <mergeCell ref="G198:H198"/>
    <mergeCell ref="G199:H199"/>
    <mergeCell ref="A184:F186"/>
    <mergeCell ref="G184:H184"/>
    <mergeCell ref="I184:J184"/>
    <mergeCell ref="G186:H186"/>
    <mergeCell ref="I186:J186"/>
    <mergeCell ref="E187:F187"/>
    <mergeCell ref="I197:J197"/>
    <mergeCell ref="I198:J198"/>
    <mergeCell ref="G188:H188"/>
    <mergeCell ref="I188:J188"/>
    <mergeCell ref="I192:J192"/>
    <mergeCell ref="I193:J193"/>
    <mergeCell ref="I194:J194"/>
    <mergeCell ref="I195:J195"/>
    <mergeCell ref="I196:J196"/>
    <mergeCell ref="C187:D187"/>
    <mergeCell ref="A187:B187"/>
    <mergeCell ref="G187:H187"/>
    <mergeCell ref="I187:J187"/>
    <mergeCell ref="I199:J199"/>
    <mergeCell ref="F309:G309"/>
    <mergeCell ref="I304:J304"/>
    <mergeCell ref="I305:J305"/>
    <mergeCell ref="I306:J306"/>
    <mergeCell ref="I307:J307"/>
    <mergeCell ref="I308:J308"/>
    <mergeCell ref="I309:J309"/>
    <mergeCell ref="F304:G304"/>
    <mergeCell ref="F305:G305"/>
    <mergeCell ref="F306:G306"/>
    <mergeCell ref="F307:G307"/>
    <mergeCell ref="F308:G308"/>
    <mergeCell ref="G220:H220"/>
    <mergeCell ref="I205:J205"/>
    <mergeCell ref="I206:J206"/>
    <mergeCell ref="I207:J207"/>
    <mergeCell ref="I208:J208"/>
    <mergeCell ref="G214:H214"/>
    <mergeCell ref="I214:J214"/>
    <mergeCell ref="G206:H206"/>
    <mergeCell ref="G207:H207"/>
    <mergeCell ref="G208:H208"/>
    <mergeCell ref="E267:F267"/>
    <mergeCell ref="E284:F284"/>
    <mergeCell ref="E293:F293"/>
    <mergeCell ref="I303:J303"/>
    <mergeCell ref="F302:G302"/>
    <mergeCell ref="I302:J302"/>
    <mergeCell ref="F303:G303"/>
    <mergeCell ref="A230:F230"/>
    <mergeCell ref="I232:J232"/>
    <mergeCell ref="I233:J233"/>
    <mergeCell ref="I234:J234"/>
    <mergeCell ref="G234:H234"/>
    <mergeCell ref="D245:G245"/>
    <mergeCell ref="G222:H222"/>
    <mergeCell ref="I222:J222"/>
    <mergeCell ref="G204:H204"/>
    <mergeCell ref="G205:H205"/>
    <mergeCell ref="E108:J108"/>
    <mergeCell ref="E109:J109"/>
    <mergeCell ref="F88:J88"/>
    <mergeCell ref="E103:F103"/>
    <mergeCell ref="E95:F95"/>
    <mergeCell ref="E91:J91"/>
    <mergeCell ref="E92:F92"/>
    <mergeCell ref="E93:G93"/>
    <mergeCell ref="E94:J94"/>
    <mergeCell ref="E104:J104"/>
    <mergeCell ref="G200:H200"/>
    <mergeCell ref="G201:H201"/>
    <mergeCell ref="G202:H202"/>
    <mergeCell ref="I200:J200"/>
    <mergeCell ref="I201:J201"/>
    <mergeCell ref="I202:J202"/>
    <mergeCell ref="I203:J203"/>
    <mergeCell ref="I204:J204"/>
    <mergeCell ref="G203:H203"/>
    <mergeCell ref="G196:H196"/>
  </mergeCells>
  <conditionalFormatting sqref="B115">
    <cfRule type="cellIs" dxfId="33" priority="34" operator="equal">
      <formula>0</formula>
    </cfRule>
  </conditionalFormatting>
  <conditionalFormatting sqref="F115">
    <cfRule type="cellIs" dxfId="32" priority="32" operator="equal">
      <formula>0</formula>
    </cfRule>
  </conditionalFormatting>
  <conditionalFormatting sqref="F116:F121">
    <cfRule type="cellIs" dxfId="31" priority="30" operator="equal">
      <formula>0</formula>
    </cfRule>
  </conditionalFormatting>
  <conditionalFormatting sqref="B116:B121">
    <cfRule type="cellIs" dxfId="30" priority="27" operator="equal">
      <formula>0</formula>
    </cfRule>
  </conditionalFormatting>
  <conditionalFormatting sqref="D115">
    <cfRule type="cellIs" dxfId="29" priority="29" operator="equal">
      <formula>0</formula>
    </cfRule>
  </conditionalFormatting>
  <conditionalFormatting sqref="D116:D121">
    <cfRule type="cellIs" dxfId="28" priority="28" operator="equal">
      <formula>0</formula>
    </cfRule>
  </conditionalFormatting>
  <conditionalFormatting sqref="G240:I240">
    <cfRule type="expression" dxfId="27" priority="40">
      <formula>$G$240=0</formula>
    </cfRule>
  </conditionalFormatting>
  <conditionalFormatting sqref="F240:F243">
    <cfRule type="expression" dxfId="26" priority="41">
      <formula>#REF!=0</formula>
    </cfRule>
  </conditionalFormatting>
  <conditionalFormatting sqref="G239:I239">
    <cfRule type="expression" dxfId="25" priority="15">
      <formula>$G$239=0</formula>
    </cfRule>
  </conditionalFormatting>
  <conditionalFormatting sqref="G241:I243">
    <cfRule type="expression" dxfId="24" priority="14">
      <formula>$G$241=0</formula>
    </cfRule>
  </conditionalFormatting>
  <conditionalFormatting sqref="H177:I177">
    <cfRule type="cellIs" dxfId="23" priority="12" operator="equal">
      <formula>0</formula>
    </cfRule>
  </conditionalFormatting>
  <conditionalFormatting sqref="H178:I180">
    <cfRule type="cellIs" dxfId="22" priority="11" operator="equal">
      <formula>0</formula>
    </cfRule>
  </conditionalFormatting>
  <conditionalFormatting sqref="J177">
    <cfRule type="expression" dxfId="21" priority="10">
      <formula>$D$177=""</formula>
    </cfRule>
  </conditionalFormatting>
  <conditionalFormatting sqref="J178">
    <cfRule type="expression" dxfId="20" priority="9">
      <formula>$D$178=""</formula>
    </cfRule>
  </conditionalFormatting>
  <conditionalFormatting sqref="J179">
    <cfRule type="expression" dxfId="19" priority="8">
      <formula>$D$179=""</formula>
    </cfRule>
  </conditionalFormatting>
  <conditionalFormatting sqref="J180">
    <cfRule type="expression" dxfId="18" priority="7">
      <formula>$D$180=""</formula>
    </cfRule>
  </conditionalFormatting>
  <conditionalFormatting sqref="H250">
    <cfRule type="cellIs" dxfId="17" priority="6" operator="equal">
      <formula>0</formula>
    </cfRule>
  </conditionalFormatting>
  <conditionalFormatting sqref="H266">
    <cfRule type="cellIs" dxfId="16" priority="5" operator="equal">
      <formula>0</formula>
    </cfRule>
  </conditionalFormatting>
  <conditionalFormatting sqref="G246:I247 H245:I245">
    <cfRule type="expression" dxfId="15" priority="43">
      <formula>#REF!=0</formula>
    </cfRule>
  </conditionalFormatting>
  <printOptions horizontalCentered="1"/>
  <pageMargins left="0.70866141732283472" right="0.27559055118110237" top="1.1811023622047245" bottom="0.55118110236220474" header="0.94488188976377963" footer="0.6692913385826772"/>
  <pageSetup paperSize="9" scale="86" orientation="portrait" horizontalDpi="300" verticalDpi="300" r:id="rId1"/>
  <headerFooter>
    <oddHeader>&amp;RPGUA/DS/058/26</oddHeader>
    <oddFooter>&amp;C&amp;P</oddFooter>
  </headerFooter>
  <rowBreaks count="6" manualBreakCount="6">
    <brk id="33" max="9" man="1"/>
    <brk id="88" max="9" man="1"/>
    <brk id="132" max="9" man="1"/>
    <brk id="181" max="9" man="1"/>
    <brk id="247" max="9" man="1"/>
    <brk id="280"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G183 G184 G192:H208 G210:H212 G225 H228:H230 G188 G187 G186 G185 G189 G215:H221</xm:sqref>
        </x14:conditionalFormatting>
        <x14:conditionalFormatting xmlns:xm="http://schemas.microsoft.com/office/excel/2006/main">
          <x14:cfRule type="expression" priority="3" id="{9812FFDA-1BB7-4138-B278-76AE458E9AC1}">
            <xm:f>Draft!$H$84="SIM"</xm:f>
            <x14:dxf>
              <font>
                <color theme="0"/>
              </font>
            </x14:dxf>
          </x14:cfRule>
          <xm:sqref>G214:H221</xm:sqref>
        </x14:conditionalFormatting>
        <x14:conditionalFormatting xmlns:xm="http://schemas.microsoft.com/office/excel/2006/main">
          <x14:cfRule type="expression" priority="2" id="{991F06B3-7661-425C-8A84-EF499B5BFF2F}">
            <xm:f>Draft!$H$84="SIM"</xm:f>
            <x14:dxf>
              <font>
                <color theme="0"/>
              </font>
            </x14:dxf>
          </x14:cfRule>
          <xm:sqref>I187</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3"/>
  <sheetViews>
    <sheetView tabSelected="1" view="pageBreakPreview" topLeftCell="A258" zoomScaleNormal="93" zoomScaleSheetLayoutView="100" workbookViewId="0">
      <selection activeCell="C242" sqref="C242"/>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730" t="str">
        <f>_xlfn.CONCAT("MV"," """,CAPA!B8,""" ")</f>
        <v xml:space="preserve">MV "GEORGIA S" </v>
      </c>
      <c r="B1" s="730"/>
      <c r="C1" s="730"/>
      <c r="D1" s="730"/>
      <c r="E1" s="730"/>
      <c r="F1" s="730"/>
      <c r="G1" s="730"/>
      <c r="H1" s="730"/>
      <c r="I1" s="730"/>
      <c r="J1" s="730"/>
    </row>
    <row r="2" spans="1:10" ht="15.75" x14ac:dyDescent="0.3">
      <c r="A2" s="256"/>
      <c r="B2" s="256"/>
      <c r="C2" s="256"/>
      <c r="D2" s="256"/>
      <c r="E2" s="256"/>
      <c r="F2" s="256"/>
      <c r="G2" s="256"/>
      <c r="H2" s="256"/>
      <c r="I2" s="10"/>
    </row>
    <row r="3" spans="1:10" ht="22.5" x14ac:dyDescent="0.45">
      <c r="A3" s="257" t="str">
        <f>IF(Draft!$H$84="NÃO","DRAUGHT SURVEY REPORT","DISPLACEMENT SURVEY REPORT")</f>
        <v>DRAUGHT SURVEY REPORT</v>
      </c>
      <c r="B3" s="257"/>
      <c r="C3" s="257"/>
      <c r="D3" s="257"/>
      <c r="E3" s="257"/>
      <c r="F3" s="257"/>
      <c r="G3" s="731" t="str">
        <f>_xlfn.CONCAT(CAPA!A5,CAPA!B5)</f>
        <v>PGUA/DS/058/26</v>
      </c>
      <c r="H3" s="731"/>
      <c r="I3" s="731"/>
      <c r="J3" s="257"/>
    </row>
    <row r="4" spans="1:10" ht="15.75" x14ac:dyDescent="0.3">
      <c r="A4" s="256"/>
      <c r="B4" s="256"/>
      <c r="C4" s="256"/>
      <c r="D4" s="256"/>
      <c r="E4" s="256"/>
      <c r="F4" s="256"/>
      <c r="G4" s="256"/>
      <c r="H4" s="256"/>
      <c r="I4" s="10"/>
    </row>
    <row r="5" spans="1:10" ht="15.75" hidden="1" x14ac:dyDescent="0.3">
      <c r="A5" s="256"/>
      <c r="B5" s="256"/>
      <c r="C5" s="256"/>
      <c r="D5" s="256"/>
      <c r="E5" s="256"/>
      <c r="F5" s="256"/>
      <c r="G5" s="256"/>
      <c r="H5" s="256"/>
      <c r="I5" s="10"/>
    </row>
    <row r="6" spans="1:10" ht="15.75" x14ac:dyDescent="0.3">
      <c r="A6" s="256"/>
      <c r="B6" s="256"/>
      <c r="C6" s="256"/>
      <c r="D6" s="256"/>
      <c r="E6" s="256"/>
      <c r="F6" s="256"/>
      <c r="G6" s="256"/>
      <c r="H6" s="256"/>
      <c r="I6" s="10"/>
    </row>
    <row r="7" spans="1:10" ht="19.5" x14ac:dyDescent="0.4">
      <c r="A7" s="258" t="s">
        <v>15</v>
      </c>
      <c r="B7" s="258"/>
      <c r="C7" s="258"/>
      <c r="D7" s="258"/>
      <c r="E7" s="258"/>
      <c r="F7" s="258"/>
      <c r="G7" s="258"/>
      <c r="H7" s="258"/>
      <c r="I7" s="258" t="s">
        <v>16</v>
      </c>
    </row>
    <row r="8" spans="1:10" ht="15.75" x14ac:dyDescent="0.3">
      <c r="A8" s="259"/>
      <c r="B8" s="259"/>
      <c r="C8" s="259"/>
      <c r="D8" s="259"/>
      <c r="E8" s="259"/>
      <c r="F8" s="259"/>
      <c r="G8" s="259"/>
      <c r="H8" s="259"/>
      <c r="I8" s="259"/>
    </row>
    <row r="9" spans="1:10" ht="19.5" x14ac:dyDescent="0.4">
      <c r="A9" s="260" t="s">
        <v>692</v>
      </c>
      <c r="B9" s="259"/>
      <c r="C9" s="259"/>
      <c r="D9" s="259"/>
      <c r="E9" s="259"/>
      <c r="F9" s="259"/>
      <c r="G9" s="259"/>
      <c r="H9" s="261"/>
      <c r="I9" s="261" t="s">
        <v>17</v>
      </c>
    </row>
    <row r="10" spans="1:10" ht="19.5" x14ac:dyDescent="0.4">
      <c r="A10" s="260" t="s">
        <v>18</v>
      </c>
      <c r="B10" s="259"/>
      <c r="C10" s="259"/>
      <c r="D10" s="259"/>
      <c r="E10" s="259"/>
      <c r="F10" s="259"/>
      <c r="G10" s="259"/>
      <c r="H10" s="261"/>
      <c r="I10" s="261" t="s">
        <v>19</v>
      </c>
    </row>
    <row r="11" spans="1:10" ht="19.5" x14ac:dyDescent="0.4">
      <c r="A11" s="260" t="s">
        <v>20</v>
      </c>
      <c r="B11" s="259"/>
      <c r="C11" s="259"/>
      <c r="D11" s="259"/>
      <c r="E11" s="259"/>
      <c r="F11" s="259"/>
      <c r="G11" s="259"/>
      <c r="H11" s="261"/>
      <c r="I11" s="261" t="s">
        <v>19</v>
      </c>
    </row>
    <row r="12" spans="1:10" ht="19.5" x14ac:dyDescent="0.4">
      <c r="A12" s="262" t="s">
        <v>694</v>
      </c>
      <c r="B12" s="259"/>
      <c r="C12" s="259"/>
      <c r="D12" s="259"/>
      <c r="E12" s="259"/>
      <c r="F12" s="259"/>
      <c r="G12" s="259"/>
      <c r="H12" s="261"/>
      <c r="I12" s="261" t="s">
        <v>19</v>
      </c>
    </row>
    <row r="13" spans="1:10" ht="19.5" x14ac:dyDescent="0.4">
      <c r="A13" s="260" t="s">
        <v>21</v>
      </c>
      <c r="B13" s="259"/>
      <c r="C13" s="259"/>
      <c r="D13" s="259"/>
      <c r="E13" s="259"/>
      <c r="F13" s="259"/>
      <c r="G13" s="259"/>
      <c r="H13" s="261"/>
      <c r="I13" s="261" t="s">
        <v>22</v>
      </c>
    </row>
    <row r="14" spans="1:10" ht="19.5" x14ac:dyDescent="0.4">
      <c r="A14" s="260" t="s">
        <v>698</v>
      </c>
      <c r="B14" s="259"/>
      <c r="C14" s="259"/>
      <c r="D14" s="259"/>
      <c r="E14" s="259"/>
      <c r="F14" s="259"/>
      <c r="G14" s="259"/>
      <c r="H14" s="261"/>
      <c r="I14" s="261" t="s">
        <v>22</v>
      </c>
    </row>
    <row r="15" spans="1:10" ht="19.5" x14ac:dyDescent="0.4">
      <c r="A15" s="260" t="s">
        <v>699</v>
      </c>
      <c r="B15" s="259"/>
      <c r="C15" s="259"/>
      <c r="D15" s="259"/>
      <c r="E15" s="259"/>
      <c r="F15" s="259"/>
      <c r="G15" s="259"/>
      <c r="H15" s="261"/>
      <c r="I15" s="261" t="s">
        <v>22</v>
      </c>
    </row>
    <row r="16" spans="1:10" ht="19.5" x14ac:dyDescent="0.4">
      <c r="A16" s="260" t="s">
        <v>23</v>
      </c>
      <c r="B16" s="259"/>
      <c r="C16" s="259"/>
      <c r="D16" s="259"/>
      <c r="E16" s="259"/>
      <c r="F16" s="259"/>
      <c r="G16" s="259"/>
      <c r="H16" s="261"/>
      <c r="I16" s="261" t="s">
        <v>22</v>
      </c>
    </row>
    <row r="17" spans="1:16" ht="19.5" x14ac:dyDescent="0.4">
      <c r="A17" s="260" t="s">
        <v>690</v>
      </c>
      <c r="B17" s="259"/>
      <c r="C17" s="259"/>
      <c r="D17" s="259"/>
      <c r="E17" s="259"/>
      <c r="F17" s="259"/>
      <c r="G17" s="259"/>
      <c r="H17" s="261"/>
      <c r="I17" s="261" t="s">
        <v>24</v>
      </c>
    </row>
    <row r="18" spans="1:16" ht="19.5" x14ac:dyDescent="0.4">
      <c r="A18" s="260" t="s">
        <v>25</v>
      </c>
      <c r="B18" s="259"/>
      <c r="C18" s="259"/>
      <c r="D18" s="259"/>
      <c r="E18" s="259"/>
      <c r="F18" s="259"/>
      <c r="G18" s="259"/>
      <c r="H18" s="261"/>
      <c r="I18" s="261" t="s">
        <v>26</v>
      </c>
    </row>
    <row r="19" spans="1:16" ht="20.25" x14ac:dyDescent="0.4">
      <c r="A19" s="260" t="s">
        <v>27</v>
      </c>
      <c r="B19" s="259"/>
      <c r="C19" s="259"/>
      <c r="D19" s="259"/>
      <c r="E19" s="259"/>
      <c r="F19" s="259"/>
      <c r="G19" s="259"/>
      <c r="H19" s="261"/>
      <c r="I19" s="261" t="s">
        <v>26</v>
      </c>
      <c r="L19" s="431" t="s">
        <v>570</v>
      </c>
    </row>
    <row r="20" spans="1:16" ht="19.5" x14ac:dyDescent="0.4">
      <c r="A20" s="260" t="s">
        <v>28</v>
      </c>
      <c r="B20" s="259"/>
      <c r="C20" s="259"/>
      <c r="D20" s="259"/>
      <c r="E20" s="259"/>
      <c r="F20" s="259"/>
      <c r="G20" s="259"/>
      <c r="H20" s="261"/>
      <c r="I20" s="260" t="str">
        <f>IF($I$19="07","08","07")</f>
        <v>07</v>
      </c>
    </row>
    <row r="21" spans="1:16" ht="19.5" x14ac:dyDescent="0.4">
      <c r="A21" s="260" t="s">
        <v>29</v>
      </c>
      <c r="B21" s="259"/>
      <c r="C21" s="259"/>
      <c r="D21" s="259"/>
      <c r="E21" s="259"/>
      <c r="F21" s="259"/>
      <c r="G21" s="259"/>
      <c r="H21" s="261"/>
      <c r="I21" s="260" t="str">
        <f>$I$20</f>
        <v>07</v>
      </c>
    </row>
    <row r="22" spans="1:16" ht="19.5" x14ac:dyDescent="0.4">
      <c r="A22" s="260" t="s">
        <v>30</v>
      </c>
      <c r="B22" s="259"/>
      <c r="C22" s="259"/>
      <c r="D22" s="259"/>
      <c r="E22" s="259"/>
      <c r="F22" s="259"/>
      <c r="G22" s="259"/>
      <c r="H22" s="261"/>
      <c r="I22" s="260" t="str">
        <f>$I$20</f>
        <v>07</v>
      </c>
    </row>
    <row r="23" spans="1:16" ht="19.5" x14ac:dyDescent="0.4">
      <c r="A23" s="260"/>
      <c r="B23" s="259"/>
      <c r="C23" s="259"/>
      <c r="D23" s="259"/>
      <c r="E23" s="259"/>
      <c r="F23" s="259"/>
      <c r="G23" s="259"/>
      <c r="H23" s="259"/>
      <c r="I23" s="263"/>
      <c r="L23" s="460"/>
      <c r="M23" s="460"/>
      <c r="N23" s="460"/>
      <c r="O23" s="460"/>
      <c r="P23" s="460"/>
    </row>
    <row r="24" spans="1:16" ht="19.5" x14ac:dyDescent="0.4">
      <c r="A24" s="264" t="s">
        <v>31</v>
      </c>
      <c r="B24" s="259"/>
      <c r="C24" s="259"/>
      <c r="D24" s="259"/>
      <c r="E24" s="259"/>
      <c r="F24" s="259"/>
      <c r="G24" s="259"/>
      <c r="H24" s="259"/>
      <c r="I24" s="263"/>
      <c r="L24" s="460"/>
      <c r="M24" s="460"/>
      <c r="N24" s="460"/>
      <c r="O24" s="460"/>
      <c r="P24" s="460"/>
    </row>
    <row r="25" spans="1:16" ht="19.5" x14ac:dyDescent="0.4">
      <c r="A25" s="260" t="s">
        <v>32</v>
      </c>
      <c r="B25" s="260"/>
      <c r="C25" s="260"/>
      <c r="D25" s="260"/>
      <c r="E25" s="260"/>
      <c r="F25" s="260"/>
      <c r="G25" s="260"/>
      <c r="H25" s="260"/>
      <c r="I25" s="263"/>
      <c r="L25" s="460"/>
      <c r="M25" s="460"/>
      <c r="N25" s="460"/>
      <c r="O25" s="460"/>
      <c r="P25" s="460"/>
    </row>
    <row r="26" spans="1:16" ht="19.5" x14ac:dyDescent="0.4">
      <c r="A26" s="260" t="s">
        <v>33</v>
      </c>
      <c r="B26" s="260"/>
      <c r="C26" s="260"/>
      <c r="D26" s="260"/>
      <c r="E26" s="260"/>
      <c r="F26" s="260"/>
      <c r="G26" s="260"/>
      <c r="H26" s="260"/>
      <c r="I26" s="263"/>
      <c r="L26" s="460"/>
      <c r="M26" s="460"/>
      <c r="N26" s="460"/>
      <c r="O26" s="460"/>
      <c r="P26" s="460"/>
    </row>
    <row r="27" spans="1:16" ht="19.5" x14ac:dyDescent="0.4">
      <c r="A27" s="260" t="s">
        <v>34</v>
      </c>
      <c r="B27" s="260"/>
      <c r="C27" s="260"/>
      <c r="D27" s="260"/>
      <c r="E27" s="260"/>
      <c r="F27" s="260"/>
      <c r="G27" s="260"/>
      <c r="H27" s="260"/>
      <c r="I27" s="263"/>
      <c r="L27" s="460"/>
      <c r="M27" s="460"/>
      <c r="N27" s="460"/>
      <c r="O27" s="460"/>
      <c r="P27" s="460"/>
    </row>
    <row r="28" spans="1:16" ht="19.5" x14ac:dyDescent="0.4">
      <c r="A28" s="260" t="s">
        <v>35</v>
      </c>
      <c r="B28" s="260"/>
      <c r="C28" s="260"/>
      <c r="D28" s="260"/>
      <c r="E28" s="260"/>
      <c r="F28" s="260"/>
      <c r="G28" s="260"/>
      <c r="H28" s="260"/>
      <c r="I28" s="263"/>
      <c r="L28" s="460"/>
      <c r="M28" s="460"/>
      <c r="N28" s="460"/>
      <c r="O28" s="460"/>
      <c r="P28" s="460"/>
    </row>
    <row r="29" spans="1:16" ht="19.5" x14ac:dyDescent="0.4">
      <c r="A29" s="260" t="str">
        <f>Relato!A29</f>
        <v xml:space="preserve"> - DRAUGHT SURVEY CERTIFICATE</v>
      </c>
      <c r="B29" s="260"/>
      <c r="C29" s="260"/>
      <c r="D29" s="260"/>
      <c r="E29" s="260"/>
      <c r="F29" s="260"/>
      <c r="G29" s="260"/>
      <c r="H29" s="260"/>
      <c r="I29" s="263"/>
      <c r="L29" s="460"/>
      <c r="M29" s="460"/>
      <c r="N29" s="460"/>
      <c r="O29" s="460"/>
      <c r="P29" s="460"/>
    </row>
    <row r="30" spans="1:16" ht="19.5" x14ac:dyDescent="0.4">
      <c r="A30" s="260" t="s">
        <v>37</v>
      </c>
      <c r="B30" s="260"/>
      <c r="C30" s="260"/>
      <c r="D30" s="260"/>
      <c r="E30" s="260"/>
      <c r="F30" s="260"/>
      <c r="G30" s="260"/>
      <c r="H30" s="260"/>
      <c r="I30" s="263"/>
      <c r="L30" s="460"/>
      <c r="M30" s="460"/>
      <c r="N30" s="460"/>
      <c r="O30" s="460"/>
      <c r="P30" s="460"/>
    </row>
    <row r="31" spans="1:16" ht="19.5" x14ac:dyDescent="0.4">
      <c r="A31" s="260" t="s">
        <v>38</v>
      </c>
      <c r="B31" s="260"/>
      <c r="C31" s="260"/>
      <c r="D31" s="260"/>
      <c r="E31" s="260"/>
      <c r="F31" s="260"/>
      <c r="G31" s="260"/>
      <c r="H31" s="260"/>
      <c r="I31" s="263"/>
      <c r="L31" s="460"/>
      <c r="M31" s="460"/>
      <c r="N31" s="460"/>
      <c r="O31" s="460"/>
      <c r="P31" s="460"/>
    </row>
    <row r="32" spans="1:16" ht="19.5" x14ac:dyDescent="0.4">
      <c r="A32" s="260" t="str">
        <f>Relato!A33</f>
        <v xml:space="preserve"> - LINK TO THE DIGITAL DOCUMENTATION, PHOTOGRAPHS AND VIDEOS;</v>
      </c>
      <c r="B32" s="260"/>
      <c r="C32" s="260"/>
      <c r="D32" s="260"/>
      <c r="E32" s="260"/>
      <c r="F32" s="260"/>
      <c r="G32" s="260"/>
      <c r="H32" s="260"/>
      <c r="I32" s="260"/>
      <c r="L32" s="460"/>
      <c r="M32" s="460"/>
      <c r="N32" s="460"/>
      <c r="O32" s="460"/>
      <c r="P32" s="460"/>
    </row>
    <row r="33" spans="1:16" ht="23.25" x14ac:dyDescent="0.35">
      <c r="A33" s="732" t="str">
        <f>$A$1</f>
        <v xml:space="preserve">MV "GEORGIA S" </v>
      </c>
      <c r="B33" s="732"/>
      <c r="C33" s="732"/>
      <c r="D33" s="732"/>
      <c r="E33" s="732"/>
      <c r="F33" s="732"/>
      <c r="G33" s="732"/>
      <c r="H33" s="732"/>
      <c r="I33" s="732"/>
      <c r="J33" s="732"/>
      <c r="L33" s="460"/>
      <c r="M33" s="460"/>
      <c r="N33" s="460"/>
      <c r="O33" s="460"/>
      <c r="P33" s="460"/>
    </row>
    <row r="34" spans="1:16" ht="15.75" x14ac:dyDescent="0.25">
      <c r="A34" s="733" t="str">
        <f>$G$3</f>
        <v>PGUA/DS/058/26</v>
      </c>
      <c r="B34" s="733"/>
      <c r="C34" s="733"/>
      <c r="D34" s="733"/>
      <c r="E34" s="733"/>
      <c r="F34" s="733"/>
      <c r="G34" s="733"/>
      <c r="H34" s="733"/>
      <c r="I34" s="733"/>
      <c r="J34" s="733"/>
      <c r="L34" s="460"/>
      <c r="M34" s="460"/>
      <c r="N34" s="460"/>
      <c r="O34" s="460"/>
      <c r="P34" s="460"/>
    </row>
    <row r="35" spans="1:16" ht="15.75" x14ac:dyDescent="0.25">
      <c r="A35" s="733" t="str">
        <f>A3</f>
        <v>DRAUGHT SURVEY REPORT</v>
      </c>
      <c r="B35" s="733"/>
      <c r="C35" s="733"/>
      <c r="D35" s="733"/>
      <c r="E35" s="733"/>
      <c r="F35" s="733"/>
      <c r="G35" s="733"/>
      <c r="H35" s="733"/>
      <c r="I35" s="733"/>
      <c r="J35" s="733"/>
      <c r="L35" s="460"/>
      <c r="M35" s="460"/>
      <c r="N35" s="460"/>
      <c r="O35" s="460"/>
      <c r="P35" s="460"/>
    </row>
    <row r="36" spans="1:16" ht="23.25" customHeight="1" x14ac:dyDescent="0.25">
      <c r="A36" s="10"/>
      <c r="B36" s="10"/>
      <c r="C36" s="10"/>
      <c r="D36" s="10"/>
      <c r="E36" s="10"/>
      <c r="F36" s="10"/>
      <c r="G36" s="10"/>
      <c r="H36" s="10"/>
      <c r="I36" s="10"/>
      <c r="L36" s="460"/>
      <c r="M36" s="460"/>
      <c r="N36" s="460"/>
      <c r="O36" s="460"/>
      <c r="P36" s="460"/>
    </row>
    <row r="37" spans="1:16" ht="15" customHeight="1" x14ac:dyDescent="0.25">
      <c r="A37" s="734" t="s">
        <v>39</v>
      </c>
      <c r="B37" s="734"/>
      <c r="C37" s="734"/>
      <c r="D37" s="734"/>
      <c r="E37" s="734"/>
      <c r="F37" s="734"/>
      <c r="G37" s="734"/>
      <c r="H37" s="734"/>
      <c r="I37" s="734"/>
      <c r="J37" s="734"/>
      <c r="L37" s="460"/>
      <c r="M37" s="460"/>
      <c r="N37" s="460"/>
      <c r="O37" s="460"/>
      <c r="P37" s="460"/>
    </row>
    <row r="38" spans="1:16" ht="15" customHeight="1" x14ac:dyDescent="0.25">
      <c r="A38" s="734"/>
      <c r="B38" s="734"/>
      <c r="C38" s="734"/>
      <c r="D38" s="734"/>
      <c r="E38" s="734"/>
      <c r="F38" s="734"/>
      <c r="G38" s="734"/>
      <c r="H38" s="734"/>
      <c r="I38" s="734"/>
      <c r="J38" s="734"/>
      <c r="L38" s="460"/>
      <c r="M38" s="460"/>
      <c r="N38" s="460"/>
      <c r="O38" s="460"/>
      <c r="P38" s="460"/>
    </row>
    <row r="39" spans="1:16" ht="47.25" x14ac:dyDescent="0.25">
      <c r="A39" s="734" t="str">
        <f>_xlfn.CONCAT(CAPA!$E$46:$E$55,".")</f>
        <v xml:space="preserve"> Messrs. Cimbessul Terminal Portuario S/A, Messrs. Cotriguaçu Cooperativa Central Regional Iguaçu Ltda., Messrs. Interalli Administração e Participações S.A.,  Messrs. Rocha Terminais Portuários e Logística .</v>
      </c>
      <c r="B39" s="734"/>
      <c r="C39" s="734"/>
      <c r="D39" s="734"/>
      <c r="E39" s="734"/>
      <c r="F39" s="734"/>
      <c r="G39" s="734"/>
      <c r="H39" s="734"/>
      <c r="I39" s="734"/>
      <c r="J39" s="734"/>
      <c r="L39" s="628" t="str">
        <f>_xlfn.CONCAT(CAPA!$E$46:$E$55,".")</f>
        <v xml:space="preserve"> Messrs. Cimbessul Terminal Portuario S/A, Messrs. Cotriguaçu Cooperativa Central Regional Iguaçu Ltda., Messrs. Interalli Administração e Participações S.A.,  Messrs. Rocha Terminais Portuários e Logística .</v>
      </c>
      <c r="M39" s="460"/>
      <c r="N39" s="460"/>
      <c r="O39" s="460"/>
      <c r="P39" s="460"/>
    </row>
    <row r="40" spans="1:16" ht="60" x14ac:dyDescent="0.25">
      <c r="A40" s="738" t="str">
        <f>$L$40</f>
        <v>Attend on board the referenced vessel on  February 21st, 2026 from 10:45 until 14:00 hours, whilst she was anchored at inner roads area 9.2, and on  February 28th, 2026 from 12:00 until 14:00 hours, whilst she was berthed alongside wharf 214 at port of Paranaguá, Br - Brazil, with views to perform the initial and final draft surveys, ascertaining the following figures:</v>
      </c>
      <c r="B40" s="738"/>
      <c r="C40" s="738"/>
      <c r="D40" s="738"/>
      <c r="E40" s="738"/>
      <c r="F40" s="738"/>
      <c r="G40" s="738"/>
      <c r="H40" s="738"/>
      <c r="I40" s="738"/>
      <c r="J40" s="738"/>
      <c r="L40" s="463"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February 21st, 2026 from 10:45 until 14:00 hours, whilst she was anchored at inner roads area 9.2, and on  February 28th, 2026 from 12:00 until 14:00 hours, whilst she was berthed alongside wharf 214 at port of Paranaguá, Br - Brazil, with views to perform the initial and final draft surveys, ascertaining the following figures:</v>
      </c>
      <c r="M40" s="460"/>
      <c r="N40" s="460"/>
      <c r="O40" s="460"/>
      <c r="P40" s="460"/>
    </row>
    <row r="41" spans="1:16" x14ac:dyDescent="0.25">
      <c r="A41" s="10"/>
      <c r="B41" s="10"/>
      <c r="C41" s="10"/>
      <c r="D41" s="10"/>
      <c r="E41" s="10"/>
      <c r="F41" s="10"/>
      <c r="G41" s="10"/>
      <c r="H41" s="10"/>
      <c r="I41" s="10"/>
      <c r="L41" s="460"/>
      <c r="M41" s="460"/>
      <c r="N41" s="460"/>
      <c r="O41" s="460"/>
      <c r="P41" s="460"/>
    </row>
    <row r="42" spans="1:16" x14ac:dyDescent="0.25">
      <c r="A42" s="10"/>
      <c r="B42" s="10"/>
      <c r="C42" s="10"/>
      <c r="D42" s="10"/>
      <c r="E42" s="10"/>
      <c r="F42" s="10"/>
      <c r="G42" s="10"/>
      <c r="H42" s="10"/>
      <c r="I42" s="10"/>
      <c r="L42" s="460"/>
      <c r="M42" s="460"/>
      <c r="N42" s="460"/>
      <c r="O42" s="460"/>
      <c r="P42" s="460"/>
    </row>
    <row r="43" spans="1:16" ht="15.75" x14ac:dyDescent="0.25">
      <c r="A43" s="3" t="s">
        <v>692</v>
      </c>
      <c r="B43" s="10"/>
      <c r="C43" s="10"/>
      <c r="D43" s="10"/>
      <c r="E43" s="10"/>
      <c r="F43" s="10"/>
      <c r="G43" s="10"/>
      <c r="H43" s="10"/>
      <c r="I43" s="10"/>
      <c r="L43" s="460"/>
      <c r="M43" s="460"/>
      <c r="N43" s="460"/>
      <c r="O43" s="460"/>
      <c r="P43" s="460"/>
    </row>
    <row r="44" spans="1:16" x14ac:dyDescent="0.25">
      <c r="A44" s="10"/>
      <c r="B44" s="10"/>
      <c r="C44" s="10"/>
      <c r="D44" s="10"/>
      <c r="E44" s="10"/>
      <c r="F44" s="10"/>
      <c r="G44" s="10"/>
      <c r="H44" s="10"/>
      <c r="I44" s="10"/>
      <c r="L44" s="460"/>
      <c r="M44" s="460"/>
      <c r="N44" s="460"/>
      <c r="O44" s="460"/>
      <c r="P44" s="460"/>
    </row>
    <row r="45" spans="1:16" ht="15.75" x14ac:dyDescent="0.25">
      <c r="A45" s="13" t="s">
        <v>40</v>
      </c>
      <c r="B45" s="13"/>
      <c r="C45" s="13"/>
      <c r="D45" s="13"/>
      <c r="E45" s="13"/>
      <c r="F45" s="13"/>
      <c r="G45" s="13"/>
      <c r="H45" s="13"/>
      <c r="I45" s="10"/>
      <c r="L45" s="460"/>
      <c r="M45" s="460"/>
      <c r="N45" s="460"/>
      <c r="O45" s="460"/>
      <c r="P45" s="460"/>
    </row>
    <row r="46" spans="1:16" ht="15.75" x14ac:dyDescent="0.25">
      <c r="A46" s="13"/>
      <c r="B46" s="13"/>
      <c r="C46" s="13"/>
      <c r="D46" s="13"/>
      <c r="E46" s="13"/>
      <c r="F46" s="13"/>
      <c r="G46" s="13"/>
      <c r="H46" s="13"/>
      <c r="I46" s="10"/>
      <c r="L46" s="460"/>
      <c r="M46" s="460"/>
      <c r="N46" s="460"/>
      <c r="O46" s="460"/>
      <c r="P46" s="460"/>
    </row>
    <row r="47" spans="1:16" ht="15.75" x14ac:dyDescent="0.25">
      <c r="A47" s="14" t="str">
        <f>$A$33</f>
        <v xml:space="preserve">MV "GEORGIA S" </v>
      </c>
      <c r="B47" s="13"/>
      <c r="C47" s="13"/>
      <c r="D47" s="13"/>
      <c r="E47" s="13"/>
      <c r="F47" s="14" t="str">
        <f>_xlfn.CONCAT("Mr. ",CAPA!$B$30,", ",$L$47)</f>
        <v>Mr. Marlowe J. Sevilla, the Master</v>
      </c>
      <c r="H47" s="14"/>
      <c r="I47" s="14"/>
      <c r="J47" s="13"/>
      <c r="K47" s="13"/>
      <c r="L47" s="461" t="s">
        <v>554</v>
      </c>
      <c r="M47" s="461"/>
      <c r="N47" s="460"/>
      <c r="O47" s="460"/>
      <c r="P47" s="460"/>
    </row>
    <row r="48" spans="1:16" ht="15.75" x14ac:dyDescent="0.25">
      <c r="A48" s="13"/>
      <c r="B48" s="13"/>
      <c r="C48" s="13"/>
      <c r="D48" s="13"/>
      <c r="E48" s="13"/>
      <c r="F48" s="14" t="str">
        <f>_xlfn.CONCAT("Mr. ",CAPA!$B$31,", ",$L$48)</f>
        <v>Mr. Aldrin J. Baclig, the Chief Officer</v>
      </c>
      <c r="H48" s="13"/>
      <c r="I48" s="13"/>
      <c r="J48" s="13"/>
      <c r="K48" s="13"/>
      <c r="L48" s="461" t="s">
        <v>555</v>
      </c>
      <c r="M48" s="461"/>
      <c r="N48" s="460"/>
      <c r="O48" s="460"/>
      <c r="P48" s="460"/>
    </row>
    <row r="49" spans="1:16" ht="15.75" x14ac:dyDescent="0.25">
      <c r="A49" s="13"/>
      <c r="B49" s="13"/>
      <c r="C49" s="13"/>
      <c r="D49" s="13"/>
      <c r="E49" s="13"/>
      <c r="F49" s="14" t="str">
        <f>_xlfn.CONCAT("Mr. ",CAPA!$B$32,", ",$L$49)</f>
        <v>Mr. Prospero C. Viadnes, the Chief Engineer</v>
      </c>
      <c r="H49" s="13"/>
      <c r="I49" s="13"/>
      <c r="J49" s="13"/>
      <c r="K49" s="13"/>
      <c r="L49" s="462" t="s">
        <v>556</v>
      </c>
      <c r="M49" s="462"/>
      <c r="N49" s="460"/>
      <c r="O49" s="460"/>
      <c r="P49" s="460"/>
    </row>
    <row r="50" spans="1:16" ht="15.75" x14ac:dyDescent="0.25">
      <c r="A50" s="13"/>
      <c r="B50" s="13"/>
      <c r="C50" s="13"/>
      <c r="D50" s="13"/>
      <c r="E50" s="13"/>
      <c r="F50" s="14"/>
      <c r="H50" s="13"/>
      <c r="I50" s="13"/>
      <c r="J50" s="13"/>
      <c r="K50" s="13"/>
      <c r="L50" s="462"/>
      <c r="M50" s="462"/>
      <c r="N50" s="460"/>
      <c r="O50" s="460"/>
      <c r="P50" s="460"/>
    </row>
    <row r="51" spans="1:16" ht="12.75" customHeight="1" x14ac:dyDescent="0.25">
      <c r="A51" s="13"/>
      <c r="B51" s="13"/>
      <c r="C51" s="13"/>
      <c r="D51" s="13"/>
      <c r="E51" s="13"/>
      <c r="F51" s="14"/>
      <c r="H51" s="13"/>
      <c r="I51" s="13"/>
      <c r="J51" s="13"/>
      <c r="K51" s="13"/>
      <c r="L51" s="462"/>
      <c r="M51" s="462"/>
      <c r="N51" s="460"/>
      <c r="O51" s="460"/>
      <c r="P51" s="460"/>
    </row>
    <row r="52" spans="1:16" ht="15.75" x14ac:dyDescent="0.25">
      <c r="A52" s="441" t="str">
        <f>CAPA!$A$41</f>
        <v>AGÊNCIA MARITIMA CARGONAVE LTDA</v>
      </c>
      <c r="B52" s="6"/>
      <c r="C52" s="6"/>
      <c r="D52" s="6"/>
      <c r="E52" s="6"/>
      <c r="F52" s="441" t="str">
        <f>Clients!$D$50</f>
        <v>Mr. Renan Calixto</v>
      </c>
      <c r="H52" s="13"/>
      <c r="I52" s="13"/>
      <c r="J52" s="13"/>
      <c r="K52" s="13"/>
      <c r="L52" s="462"/>
      <c r="M52" s="462"/>
      <c r="N52" s="460"/>
      <c r="O52" s="460"/>
      <c r="P52" s="460"/>
    </row>
    <row r="53" spans="1:16" ht="15.75" x14ac:dyDescent="0.25">
      <c r="A53" s="6" t="s">
        <v>42</v>
      </c>
      <c r="B53" s="6"/>
      <c r="C53" s="6"/>
      <c r="D53" s="6"/>
      <c r="E53" s="6"/>
      <c r="F53" s="441" t="str">
        <f>Clients!$D$51</f>
        <v>Mr. Rafael Nogueira</v>
      </c>
      <c r="H53" s="13"/>
      <c r="I53" s="13"/>
      <c r="J53" s="13"/>
      <c r="K53" s="13"/>
      <c r="L53" s="462"/>
      <c r="M53" s="462"/>
      <c r="N53" s="460"/>
      <c r="O53" s="460"/>
      <c r="P53" s="460"/>
    </row>
    <row r="54" spans="1:16" ht="15.75" x14ac:dyDescent="0.25">
      <c r="A54" s="6"/>
      <c r="B54" s="6"/>
      <c r="C54" s="6"/>
      <c r="D54" s="6"/>
      <c r="E54" s="6"/>
      <c r="F54" s="441" t="str">
        <f>Clients!$D$52</f>
        <v>Mr. Lorram Gabriel Florentino</v>
      </c>
      <c r="H54" s="13"/>
      <c r="I54" s="13"/>
      <c r="J54" s="13"/>
      <c r="K54" s="13"/>
      <c r="L54" s="462"/>
      <c r="M54" s="462"/>
      <c r="N54" s="460"/>
      <c r="O54" s="460"/>
      <c r="P54" s="460"/>
    </row>
    <row r="55" spans="1:16" ht="12.75" customHeight="1" x14ac:dyDescent="0.25">
      <c r="A55" s="13"/>
      <c r="B55" s="13"/>
      <c r="C55" s="13"/>
      <c r="D55" s="13"/>
      <c r="E55" s="13"/>
      <c r="F55" s="12"/>
      <c r="H55" s="13"/>
      <c r="I55" s="13"/>
      <c r="J55" s="13"/>
      <c r="K55" s="13"/>
      <c r="L55" s="462"/>
      <c r="M55" s="462"/>
      <c r="N55" s="460"/>
      <c r="O55" s="460"/>
      <c r="P55" s="460"/>
    </row>
    <row r="56" spans="1:16" ht="15.75" x14ac:dyDescent="0.25">
      <c r="A56" s="13"/>
      <c r="B56" s="13"/>
      <c r="C56" s="13"/>
      <c r="D56" s="13"/>
      <c r="E56" s="13"/>
      <c r="F56" s="12"/>
      <c r="H56" s="13"/>
      <c r="I56" s="13"/>
      <c r="J56" s="13"/>
      <c r="K56" s="13"/>
      <c r="L56" s="462"/>
      <c r="M56" s="462"/>
      <c r="N56" s="460"/>
      <c r="O56" s="460"/>
      <c r="P56" s="460"/>
    </row>
    <row r="57" spans="1:16" ht="15.75" x14ac:dyDescent="0.25">
      <c r="A57" s="440" t="str">
        <f>CAPA!$A$43</f>
        <v>TIBAGI SERVIÇOS MARÍTIMOS LTDA.</v>
      </c>
      <c r="B57" s="5"/>
      <c r="C57" s="5"/>
      <c r="D57" s="5"/>
      <c r="E57" s="5"/>
      <c r="F57" s="285" t="str">
        <f>Clients!$D$181</f>
        <v>Mr. Antonio Celso Silva</v>
      </c>
      <c r="H57" s="6"/>
      <c r="I57" s="6"/>
      <c r="J57" s="442"/>
      <c r="L57" s="460"/>
      <c r="M57" s="460"/>
      <c r="N57" s="460"/>
      <c r="O57" s="460"/>
      <c r="P57" s="460"/>
    </row>
    <row r="58" spans="1:16" ht="15.75" x14ac:dyDescent="0.25">
      <c r="A58" s="440" t="s">
        <v>41</v>
      </c>
      <c r="B58" s="5"/>
      <c r="C58" s="5"/>
      <c r="D58" s="5"/>
      <c r="E58" s="5"/>
      <c r="F58" s="285" t="str">
        <f>Clients!$D$182</f>
        <v>Mr. João Victor Lacerda</v>
      </c>
      <c r="H58" s="6"/>
      <c r="I58" s="6"/>
      <c r="J58" s="442"/>
      <c r="L58" s="460"/>
      <c r="M58" s="460"/>
      <c r="N58" s="460"/>
      <c r="O58" s="460"/>
      <c r="P58" s="460"/>
    </row>
    <row r="59" spans="1:16" ht="9.75" customHeight="1" x14ac:dyDescent="0.25">
      <c r="A59" s="440"/>
      <c r="B59" s="5"/>
      <c r="C59" s="5"/>
      <c r="D59" s="5"/>
      <c r="E59" s="5"/>
      <c r="F59" s="14"/>
      <c r="H59" s="13"/>
      <c r="I59" s="6"/>
      <c r="J59" s="442"/>
      <c r="L59" s="460"/>
      <c r="M59" s="460"/>
      <c r="N59" s="460"/>
      <c r="O59" s="460"/>
      <c r="P59" s="460"/>
    </row>
    <row r="60" spans="1:16" ht="12" customHeight="1" x14ac:dyDescent="0.25">
      <c r="A60" s="5"/>
      <c r="B60" s="6"/>
      <c r="C60" s="6"/>
      <c r="D60" s="6"/>
      <c r="E60" s="6"/>
      <c r="F60" s="441"/>
      <c r="H60" s="6"/>
      <c r="I60" s="6"/>
      <c r="J60" s="442"/>
      <c r="L60" s="460"/>
      <c r="M60" s="460"/>
      <c r="N60" s="460"/>
      <c r="O60" s="460"/>
      <c r="P60" s="460"/>
    </row>
    <row r="61" spans="1:16" ht="15.75" x14ac:dyDescent="0.25">
      <c r="A61" s="5" t="str">
        <f>IF(CAPA!$A$88=0,"",CAPA!$A$88)</f>
        <v>UNISURVEY LTDA.</v>
      </c>
      <c r="B61" s="5"/>
      <c r="C61" s="5"/>
      <c r="D61" s="5"/>
      <c r="E61" s="5"/>
      <c r="F61" s="440" t="str">
        <f>Clients!$D$267</f>
        <v>Mr. Joni Nunes Carvalho</v>
      </c>
      <c r="H61" s="6"/>
      <c r="I61" s="6"/>
      <c r="J61" s="442"/>
      <c r="L61" s="460"/>
      <c r="M61" s="460"/>
      <c r="N61" s="460"/>
      <c r="O61" s="460"/>
      <c r="P61" s="460"/>
    </row>
    <row r="62" spans="1:16" ht="15.75" x14ac:dyDescent="0.25">
      <c r="A62" s="5" t="str">
        <f>IF(CAPA!$A$89=0,"",CAPA!$A$89)</f>
        <v>(On behalf of Owners)</v>
      </c>
      <c r="B62" s="5"/>
      <c r="C62" s="5"/>
      <c r="D62" s="5"/>
      <c r="E62" s="5"/>
      <c r="F62" s="440" t="s">
        <v>793</v>
      </c>
      <c r="H62" s="6"/>
      <c r="I62" s="6"/>
      <c r="J62" s="442"/>
      <c r="L62" s="460"/>
      <c r="M62" s="460"/>
      <c r="N62" s="460"/>
      <c r="O62" s="460"/>
      <c r="P62" s="460"/>
    </row>
    <row r="63" spans="1:16" ht="12" customHeight="1" x14ac:dyDescent="0.25">
      <c r="A63" s="5"/>
      <c r="B63" s="5"/>
      <c r="C63" s="5"/>
      <c r="D63" s="5"/>
      <c r="E63" s="5"/>
      <c r="F63" s="440"/>
      <c r="H63" s="6"/>
      <c r="I63" s="6"/>
      <c r="J63" s="442"/>
      <c r="L63" s="460"/>
      <c r="M63" s="460"/>
      <c r="N63" s="460"/>
      <c r="O63" s="460"/>
      <c r="P63" s="460"/>
    </row>
    <row r="64" spans="1:16" ht="13.5" customHeight="1" x14ac:dyDescent="0.25">
      <c r="A64" s="5"/>
      <c r="B64" s="5"/>
      <c r="C64" s="5"/>
      <c r="D64" s="5"/>
      <c r="E64" s="5"/>
      <c r="F64" s="440"/>
      <c r="H64" s="6"/>
      <c r="I64" s="6"/>
      <c r="J64" s="442"/>
      <c r="L64" s="460"/>
      <c r="M64" s="460"/>
      <c r="N64" s="460"/>
      <c r="O64" s="460"/>
      <c r="P64" s="460"/>
    </row>
    <row r="65" spans="1:16" ht="15.75" x14ac:dyDescent="0.25">
      <c r="A65" s="5" t="s">
        <v>794</v>
      </c>
      <c r="B65" s="5"/>
      <c r="C65" s="5"/>
      <c r="D65" s="5"/>
      <c r="E65" s="5"/>
      <c r="F65" s="440" t="s">
        <v>731</v>
      </c>
      <c r="H65" s="6"/>
      <c r="I65" s="6"/>
      <c r="J65" s="442"/>
      <c r="L65" s="460"/>
      <c r="M65" s="460"/>
      <c r="N65" s="460"/>
      <c r="O65" s="460"/>
      <c r="P65" s="460"/>
    </row>
    <row r="66" spans="1:16" ht="15.75" x14ac:dyDescent="0.25">
      <c r="A66" s="5" t="str">
        <f>IF(CAPA!$A$92=0,"",CAPA!$A$92)</f>
        <v>(As Consignees surveyors)</v>
      </c>
      <c r="B66" s="5"/>
      <c r="C66" s="5"/>
      <c r="D66" s="5"/>
      <c r="E66" s="5"/>
      <c r="F66" s="440"/>
      <c r="H66" s="6"/>
      <c r="I66" s="6"/>
      <c r="J66" s="442"/>
      <c r="L66" s="460"/>
      <c r="M66" s="460"/>
      <c r="N66" s="460"/>
      <c r="O66" s="460"/>
      <c r="P66" s="460"/>
    </row>
    <row r="67" spans="1:16" ht="13.5" customHeight="1" x14ac:dyDescent="0.25">
      <c r="A67" s="6"/>
      <c r="B67" s="6"/>
      <c r="C67" s="6"/>
      <c r="D67" s="6"/>
      <c r="E67" s="6"/>
      <c r="F67" s="440"/>
      <c r="H67" s="6"/>
      <c r="I67" s="13"/>
      <c r="J67" s="442"/>
      <c r="L67" s="460"/>
      <c r="M67" s="460"/>
      <c r="N67" s="460"/>
      <c r="O67" s="460"/>
      <c r="P67" s="460"/>
    </row>
    <row r="68" spans="1:16" ht="13.5" customHeight="1" x14ac:dyDescent="0.25">
      <c r="A68" s="5"/>
      <c r="B68" s="5"/>
      <c r="C68" s="5"/>
      <c r="D68" s="5"/>
      <c r="E68" s="5"/>
      <c r="F68" s="440"/>
      <c r="H68" s="13"/>
      <c r="I68" s="13"/>
      <c r="J68" s="442"/>
      <c r="L68" s="460"/>
      <c r="M68" s="460"/>
      <c r="N68" s="460"/>
      <c r="O68" s="460"/>
      <c r="P68" s="460"/>
    </row>
    <row r="69" spans="1:16" ht="15.75" x14ac:dyDescent="0.25">
      <c r="A69" s="5" t="s">
        <v>797</v>
      </c>
      <c r="B69" s="5"/>
      <c r="C69" s="5"/>
      <c r="D69" s="5"/>
      <c r="E69" s="5"/>
      <c r="F69" s="440" t="s">
        <v>448</v>
      </c>
      <c r="H69" s="13"/>
      <c r="I69" s="13"/>
      <c r="J69" s="442"/>
      <c r="L69" s="460"/>
      <c r="M69" s="460"/>
      <c r="N69" s="460"/>
      <c r="O69" s="460"/>
      <c r="P69" s="460"/>
    </row>
    <row r="70" spans="1:16" ht="15.75" x14ac:dyDescent="0.25">
      <c r="A70" s="5" t="s">
        <v>796</v>
      </c>
      <c r="B70" s="5"/>
      <c r="C70" s="5"/>
      <c r="D70" s="5"/>
      <c r="E70" s="5"/>
      <c r="F70" s="440"/>
      <c r="H70" s="13"/>
      <c r="I70" s="13"/>
      <c r="J70" s="442"/>
      <c r="L70" s="460"/>
      <c r="M70" s="460"/>
      <c r="N70" s="460"/>
      <c r="O70" s="460"/>
      <c r="P70" s="460"/>
    </row>
    <row r="71" spans="1:16" ht="11.25" customHeight="1" x14ac:dyDescent="0.25">
      <c r="A71" s="5"/>
      <c r="B71" s="5"/>
      <c r="C71" s="5"/>
      <c r="D71" s="5"/>
      <c r="E71" s="5"/>
      <c r="F71" s="440"/>
      <c r="H71" s="13"/>
      <c r="I71" s="13"/>
      <c r="J71" s="442"/>
      <c r="L71" s="460"/>
      <c r="M71" s="460"/>
      <c r="N71" s="460"/>
      <c r="O71" s="460"/>
      <c r="P71" s="460"/>
    </row>
    <row r="72" spans="1:16" ht="9.75" customHeight="1" x14ac:dyDescent="0.25">
      <c r="A72" s="5"/>
      <c r="B72" s="5"/>
      <c r="C72" s="5"/>
      <c r="D72" s="5"/>
      <c r="E72" s="5"/>
      <c r="F72" s="440"/>
      <c r="H72" s="13"/>
      <c r="I72" s="13"/>
      <c r="J72" s="442"/>
      <c r="L72" s="460"/>
      <c r="M72" s="460"/>
      <c r="N72" s="460"/>
      <c r="O72" s="460"/>
      <c r="P72" s="460"/>
    </row>
    <row r="73" spans="1:16" ht="15.75" x14ac:dyDescent="0.25">
      <c r="A73" s="5" t="s">
        <v>43</v>
      </c>
      <c r="B73" s="5"/>
      <c r="C73" s="5"/>
      <c r="D73" s="5"/>
      <c r="E73" s="5"/>
      <c r="F73" s="441" t="str">
        <f>CAPA!$A$85</f>
        <v>Mr. Heron Lullez</v>
      </c>
      <c r="H73" s="13"/>
      <c r="I73" s="13"/>
      <c r="J73" s="442"/>
      <c r="L73" s="460"/>
      <c r="M73" s="460"/>
      <c r="N73" s="460"/>
      <c r="O73" s="460"/>
      <c r="P73" s="460"/>
    </row>
    <row r="74" spans="1:16" ht="9" customHeight="1" x14ac:dyDescent="0.25">
      <c r="A74" s="5"/>
      <c r="B74" s="5"/>
      <c r="C74" s="5"/>
      <c r="D74" s="5"/>
      <c r="E74" s="5"/>
      <c r="F74" s="293"/>
      <c r="G74" s="293"/>
      <c r="H74" s="13"/>
      <c r="I74" s="13"/>
      <c r="J74" s="442"/>
      <c r="L74" s="460"/>
      <c r="M74" s="460"/>
      <c r="N74" s="460"/>
      <c r="O74" s="460"/>
      <c r="P74" s="460"/>
    </row>
    <row r="75" spans="1:16" ht="12" customHeight="1" x14ac:dyDescent="0.25">
      <c r="A75" s="5"/>
      <c r="B75" s="5"/>
      <c r="C75" s="5"/>
      <c r="D75" s="5"/>
      <c r="E75" s="5"/>
      <c r="F75" s="293"/>
      <c r="G75" s="13"/>
      <c r="H75" s="13"/>
      <c r="I75" s="13"/>
      <c r="J75" s="442"/>
      <c r="L75" s="460"/>
      <c r="M75" s="460"/>
      <c r="N75" s="460"/>
      <c r="O75" s="460"/>
      <c r="P75" s="460"/>
    </row>
    <row r="76" spans="1:16" ht="15.75" x14ac:dyDescent="0.25">
      <c r="A76" s="266" t="s">
        <v>44</v>
      </c>
      <c r="B76" s="13"/>
      <c r="C76" s="13"/>
      <c r="D76" s="13"/>
      <c r="E76" s="13"/>
      <c r="F76" s="266" t="s">
        <v>567</v>
      </c>
      <c r="H76" s="266"/>
      <c r="I76" s="13"/>
      <c r="J76" s="442"/>
      <c r="L76" s="460"/>
      <c r="M76" s="460"/>
      <c r="N76" s="460"/>
      <c r="O76" s="460"/>
      <c r="P76" s="460"/>
    </row>
    <row r="77" spans="1:16" ht="15.75" x14ac:dyDescent="0.25">
      <c r="A77" s="266" t="s">
        <v>45</v>
      </c>
      <c r="B77" s="13"/>
      <c r="C77" s="13"/>
      <c r="D77" s="13"/>
      <c r="E77" s="13"/>
      <c r="F77" s="13" t="s">
        <v>46</v>
      </c>
      <c r="H77" s="13"/>
      <c r="I77" s="13"/>
      <c r="J77" s="13"/>
      <c r="L77" s="460"/>
      <c r="M77" s="460"/>
      <c r="N77" s="460"/>
      <c r="O77" s="460"/>
      <c r="P77" s="460"/>
    </row>
    <row r="78" spans="1:16" ht="15.75" x14ac:dyDescent="0.25">
      <c r="A78" s="13"/>
      <c r="B78" s="13"/>
      <c r="C78" s="13"/>
      <c r="D78" s="13"/>
      <c r="E78" s="13"/>
      <c r="F78" s="739" t="str">
        <f>_xlfn.CONCAT("Mr. ",CAPA!$A$97)</f>
        <v>Mr. Thiago Henrique Barbosa Verhagen</v>
      </c>
      <c r="G78" s="739"/>
      <c r="H78" s="739"/>
      <c r="I78" s="739"/>
      <c r="J78" s="739"/>
      <c r="L78" s="460"/>
      <c r="M78" s="460"/>
      <c r="N78" s="460"/>
      <c r="O78" s="460"/>
      <c r="P78" s="460"/>
    </row>
    <row r="79" spans="1:16" ht="15.75" x14ac:dyDescent="0.25">
      <c r="A79" s="267" t="s">
        <v>47</v>
      </c>
      <c r="B79" s="13"/>
      <c r="C79" s="13"/>
      <c r="D79" s="13"/>
      <c r="E79" s="13"/>
      <c r="F79" s="13"/>
      <c r="G79" s="13"/>
      <c r="H79" s="13"/>
      <c r="I79" s="13"/>
      <c r="L79" s="460"/>
      <c r="M79" s="460"/>
      <c r="N79" s="460"/>
      <c r="O79" s="460"/>
      <c r="P79" s="460"/>
    </row>
    <row r="80" spans="1:16" ht="15.75" x14ac:dyDescent="0.25">
      <c r="A80" s="267"/>
      <c r="B80" s="13"/>
      <c r="C80" s="13"/>
      <c r="D80" s="13"/>
      <c r="E80" s="13"/>
      <c r="F80" s="13"/>
      <c r="G80" s="13"/>
      <c r="H80" s="13"/>
      <c r="I80" s="13"/>
      <c r="L80" s="460"/>
      <c r="M80" s="460"/>
      <c r="N80" s="460"/>
      <c r="O80" s="460"/>
      <c r="P80" s="460"/>
    </row>
    <row r="81" spans="1:16" ht="15.75" x14ac:dyDescent="0.25">
      <c r="A81" s="266" t="s">
        <v>48</v>
      </c>
      <c r="B81" s="13"/>
      <c r="C81" s="13"/>
      <c r="D81" s="13"/>
      <c r="E81" s="735" t="str">
        <f>CAPA!$B$8</f>
        <v>GEORGIA S</v>
      </c>
      <c r="F81" s="735"/>
      <c r="G81" s="735"/>
      <c r="H81" s="735"/>
      <c r="I81" s="735"/>
      <c r="J81" s="735"/>
      <c r="L81" s="460"/>
      <c r="M81" s="460"/>
      <c r="N81" s="460"/>
      <c r="O81" s="460"/>
      <c r="P81" s="460"/>
    </row>
    <row r="82" spans="1:16" ht="15.75" x14ac:dyDescent="0.25">
      <c r="A82" s="266" t="s">
        <v>49</v>
      </c>
      <c r="B82" s="13"/>
      <c r="C82" s="13"/>
      <c r="D82" s="13"/>
      <c r="E82" s="735" t="str">
        <f>CAPA!$B$12</f>
        <v>CQ2432</v>
      </c>
      <c r="F82" s="735"/>
      <c r="G82" s="5"/>
      <c r="H82" s="5"/>
      <c r="I82" s="13"/>
      <c r="L82" s="460"/>
      <c r="M82" s="460"/>
      <c r="N82" s="460"/>
      <c r="O82" s="460"/>
      <c r="P82" s="460"/>
    </row>
    <row r="83" spans="1:16" ht="15.75" x14ac:dyDescent="0.25">
      <c r="A83" s="266" t="s">
        <v>50</v>
      </c>
      <c r="B83" s="13"/>
      <c r="C83" s="13"/>
      <c r="D83" s="13"/>
      <c r="E83" s="735" t="str">
        <f>CAPA!$B$13</f>
        <v>Madeira</v>
      </c>
      <c r="F83" s="735"/>
      <c r="G83" s="735"/>
      <c r="H83" s="5"/>
      <c r="I83" s="13"/>
      <c r="L83" s="460"/>
      <c r="M83" s="460"/>
      <c r="N83" s="460"/>
      <c r="O83" s="460"/>
      <c r="P83" s="460"/>
    </row>
    <row r="84" spans="1:16" ht="15.75" x14ac:dyDescent="0.25">
      <c r="A84" s="266" t="s">
        <v>51</v>
      </c>
      <c r="B84" s="13"/>
      <c r="C84" s="13"/>
      <c r="D84" s="13"/>
      <c r="E84" s="735" t="str">
        <f>CAPA!$B$14</f>
        <v>Portuguese</v>
      </c>
      <c r="F84" s="735"/>
      <c r="G84" s="735"/>
      <c r="H84" s="735"/>
      <c r="I84" s="735"/>
      <c r="J84" s="735"/>
      <c r="L84" s="460"/>
      <c r="M84" s="460"/>
      <c r="N84" s="460"/>
      <c r="O84" s="460"/>
      <c r="P84" s="460"/>
    </row>
    <row r="85" spans="1:16" ht="15.75" x14ac:dyDescent="0.25">
      <c r="A85" s="266" t="s">
        <v>52</v>
      </c>
      <c r="B85" s="13"/>
      <c r="C85" s="13"/>
      <c r="D85" s="13"/>
      <c r="E85" s="735">
        <f>CAPA!$B$10</f>
        <v>9502647</v>
      </c>
      <c r="F85" s="735"/>
      <c r="G85" s="5"/>
      <c r="H85" s="5"/>
      <c r="I85" s="13"/>
      <c r="L85" s="460"/>
      <c r="M85" s="460"/>
      <c r="N85" s="460"/>
      <c r="O85" s="460"/>
      <c r="P85" s="460"/>
    </row>
    <row r="86" spans="1:16" ht="15.75" x14ac:dyDescent="0.25">
      <c r="A86" s="266" t="s">
        <v>53</v>
      </c>
      <c r="B86" s="13"/>
      <c r="C86" s="13"/>
      <c r="D86" s="13"/>
      <c r="E86" s="268">
        <f>CAPA!$B$15</f>
        <v>225</v>
      </c>
      <c r="F86" s="268"/>
      <c r="G86" s="5"/>
      <c r="H86" s="5"/>
      <c r="I86" s="13"/>
      <c r="L86" s="460"/>
      <c r="M86" s="460"/>
      <c r="N86" s="460"/>
      <c r="O86" s="460"/>
      <c r="P86" s="460"/>
    </row>
    <row r="87" spans="1:16" ht="15.75" x14ac:dyDescent="0.25">
      <c r="A87" s="266" t="s">
        <v>54</v>
      </c>
      <c r="B87" s="13"/>
      <c r="C87" s="13"/>
      <c r="D87" s="13"/>
      <c r="E87" s="268">
        <f>CAPA!$B$16</f>
        <v>217</v>
      </c>
      <c r="F87" s="268"/>
      <c r="G87" s="5"/>
      <c r="H87" s="5"/>
      <c r="I87" s="13"/>
      <c r="L87" s="460"/>
      <c r="M87" s="460"/>
      <c r="N87" s="460"/>
      <c r="O87" s="460"/>
      <c r="P87" s="460"/>
    </row>
    <row r="88" spans="1:16" ht="15.75" x14ac:dyDescent="0.25">
      <c r="A88" s="266" t="s">
        <v>55</v>
      </c>
      <c r="B88" s="13"/>
      <c r="C88" s="13"/>
      <c r="D88" s="13"/>
      <c r="E88" s="268">
        <f>CAPA!$B$17</f>
        <v>19.600000000000001</v>
      </c>
      <c r="F88" s="268"/>
      <c r="G88" s="5"/>
      <c r="H88" s="5"/>
      <c r="I88" s="13"/>
      <c r="L88" s="460"/>
      <c r="M88" s="460"/>
      <c r="N88" s="460"/>
      <c r="O88" s="460"/>
      <c r="P88" s="460"/>
    </row>
    <row r="89" spans="1:16" ht="15.75" x14ac:dyDescent="0.25">
      <c r="A89" s="266" t="s">
        <v>56</v>
      </c>
      <c r="B89" s="13"/>
      <c r="C89" s="13"/>
      <c r="D89" s="13"/>
      <c r="E89" s="268">
        <f>CAPA!$B$18</f>
        <v>32.26</v>
      </c>
      <c r="F89" s="268"/>
      <c r="G89" s="5"/>
      <c r="H89" s="5"/>
      <c r="I89" s="13"/>
      <c r="L89" s="460"/>
      <c r="M89" s="460"/>
      <c r="N89" s="460"/>
      <c r="O89" s="460"/>
      <c r="P89" s="460"/>
    </row>
    <row r="90" spans="1:16" ht="15.75" x14ac:dyDescent="0.25">
      <c r="A90" s="266" t="s">
        <v>57</v>
      </c>
      <c r="B90" s="13"/>
      <c r="C90" s="13"/>
      <c r="D90" s="13"/>
      <c r="E90" s="736">
        <f>CAPA!$B$20</f>
        <v>41101</v>
      </c>
      <c r="F90" s="736"/>
      <c r="G90" s="736"/>
      <c r="H90" s="736"/>
      <c r="I90" s="736"/>
      <c r="J90" s="736"/>
      <c r="L90" s="460"/>
      <c r="M90" s="460"/>
      <c r="N90" s="460"/>
      <c r="O90" s="460"/>
      <c r="P90" s="460"/>
    </row>
    <row r="91" spans="1:16" ht="15.75" x14ac:dyDescent="0.25">
      <c r="A91" s="266" t="s">
        <v>58</v>
      </c>
      <c r="B91" s="13"/>
      <c r="C91" s="13"/>
      <c r="D91" s="13"/>
      <c r="E91" s="736">
        <f>CAPA!$B$21</f>
        <v>25643</v>
      </c>
      <c r="F91" s="736"/>
      <c r="G91" s="736"/>
      <c r="H91" s="736"/>
      <c r="I91" s="736"/>
      <c r="J91" s="736"/>
      <c r="L91" s="460"/>
      <c r="M91" s="460"/>
      <c r="N91" s="460"/>
      <c r="O91" s="460"/>
      <c r="P91" s="460"/>
    </row>
    <row r="92" spans="1:16" ht="18.75" customHeight="1" x14ac:dyDescent="0.25">
      <c r="A92" s="439" t="s">
        <v>59</v>
      </c>
      <c r="B92" s="13"/>
      <c r="C92" s="13"/>
      <c r="D92" s="13"/>
      <c r="E92" s="737" t="str">
        <f>CAPA!$B$23</f>
        <v>LR, Bulk Carrier CSR, BC-A, ESP, GRAB[20]</v>
      </c>
      <c r="F92" s="737"/>
      <c r="G92" s="737"/>
      <c r="H92" s="737"/>
      <c r="I92" s="737"/>
      <c r="J92" s="737"/>
      <c r="L92" s="460"/>
      <c r="M92" s="463" t="str">
        <f>CAPA!$B$23</f>
        <v>LR, Bulk Carrier CSR, BC-A, ESP, GRAB[20]</v>
      </c>
      <c r="N92" s="460"/>
      <c r="O92" s="460"/>
      <c r="P92" s="460"/>
    </row>
    <row r="93" spans="1:16" ht="15.75" x14ac:dyDescent="0.25">
      <c r="A93" s="266" t="s">
        <v>60</v>
      </c>
      <c r="B93" s="13"/>
      <c r="C93" s="13"/>
      <c r="D93" s="13"/>
      <c r="E93" s="736">
        <f>CAPA!$B$19</f>
        <v>13719</v>
      </c>
      <c r="F93" s="736"/>
      <c r="G93" s="5"/>
      <c r="H93" s="5"/>
      <c r="I93" s="13"/>
      <c r="L93" s="460"/>
      <c r="M93" s="464"/>
      <c r="N93" s="460"/>
      <c r="O93" s="460"/>
      <c r="P93" s="460"/>
    </row>
    <row r="94" spans="1:16" ht="15.75" x14ac:dyDescent="0.25">
      <c r="A94" s="266" t="s">
        <v>61</v>
      </c>
      <c r="B94" s="13"/>
      <c r="C94" s="13"/>
      <c r="D94" s="13"/>
      <c r="E94" s="736" t="str">
        <f>_xlfn.CONCAT(TEXT($I$129,"#,##0.0")," on ",TEXT(F129,"#,##0.00")," m")</f>
        <v>75081,00 on 14,21900 m</v>
      </c>
      <c r="F94" s="736"/>
      <c r="G94" s="736"/>
      <c r="H94" s="736"/>
      <c r="I94" s="736"/>
      <c r="J94" s="736"/>
      <c r="L94" s="460"/>
      <c r="M94" s="460"/>
      <c r="N94" s="460"/>
      <c r="O94" s="460"/>
      <c r="P94" s="460"/>
    </row>
    <row r="95" spans="1:16" ht="15.75" x14ac:dyDescent="0.25">
      <c r="A95" s="266"/>
      <c r="B95" s="13"/>
      <c r="C95" s="13"/>
      <c r="D95" s="13"/>
      <c r="E95" s="269"/>
      <c r="F95" s="269"/>
      <c r="G95" s="13"/>
      <c r="H95" s="13"/>
      <c r="I95" s="13"/>
      <c r="L95" s="460"/>
      <c r="M95" s="460"/>
      <c r="N95" s="460"/>
      <c r="O95" s="460"/>
      <c r="P95" s="460"/>
    </row>
    <row r="96" spans="1:16" ht="15.75" x14ac:dyDescent="0.25">
      <c r="A96" s="266" t="s">
        <v>62</v>
      </c>
      <c r="B96" s="13"/>
      <c r="C96" s="13"/>
      <c r="D96" s="13"/>
      <c r="E96" s="14" t="str">
        <f>CAPA!$B$11</f>
        <v>Penglai Zhongbai Jinglu Shipyard</v>
      </c>
      <c r="F96" s="13"/>
      <c r="G96" s="13"/>
      <c r="H96" s="13"/>
      <c r="I96" s="13"/>
      <c r="L96" s="460"/>
      <c r="M96" s="460"/>
      <c r="N96" s="460"/>
      <c r="O96" s="460"/>
      <c r="P96" s="460"/>
    </row>
    <row r="97" spans="1:16" ht="15.75" x14ac:dyDescent="0.25">
      <c r="A97" s="266"/>
      <c r="B97" s="13"/>
      <c r="C97" s="13"/>
      <c r="D97" s="13"/>
      <c r="E97" s="269"/>
      <c r="F97" s="269"/>
      <c r="G97" s="13"/>
      <c r="H97" s="13"/>
      <c r="I97" s="13"/>
      <c r="L97" s="460"/>
      <c r="M97" s="460"/>
      <c r="N97" s="460"/>
      <c r="O97" s="460"/>
      <c r="P97" s="460"/>
    </row>
    <row r="98" spans="1:16" ht="15.75" x14ac:dyDescent="0.25">
      <c r="A98" s="266" t="s">
        <v>63</v>
      </c>
      <c r="B98" s="13"/>
      <c r="C98" s="13"/>
      <c r="D98" s="13"/>
      <c r="E98" s="739" t="str">
        <f>CAPA!$B$24</f>
        <v>Brothers Stars Maritime S.A.</v>
      </c>
      <c r="F98" s="739"/>
      <c r="G98" s="739"/>
      <c r="H98" s="739"/>
      <c r="I98" s="739"/>
      <c r="J98" s="739"/>
      <c r="L98" s="460"/>
      <c r="M98" s="460"/>
      <c r="N98" s="460"/>
      <c r="O98" s="460"/>
      <c r="P98" s="460"/>
    </row>
    <row r="99" spans="1:16" ht="15.75" x14ac:dyDescent="0.25">
      <c r="A99" s="266" t="s">
        <v>64</v>
      </c>
      <c r="B99" s="13"/>
      <c r="C99" s="13"/>
      <c r="D99" s="13"/>
      <c r="E99" s="739" t="str">
        <f>CAPA!$B$25</f>
        <v>Neptune Tradebulk Inc.</v>
      </c>
      <c r="F99" s="739"/>
      <c r="G99" s="739"/>
      <c r="H99" s="739"/>
      <c r="I99" s="739"/>
      <c r="J99" s="739"/>
      <c r="L99" s="460"/>
      <c r="M99" s="460"/>
      <c r="N99" s="460"/>
      <c r="O99" s="460"/>
      <c r="P99" s="460"/>
    </row>
    <row r="100" spans="1:16" ht="15.75" x14ac:dyDescent="0.25">
      <c r="A100" s="266"/>
      <c r="B100" s="13"/>
      <c r="C100" s="13"/>
      <c r="D100" s="13"/>
      <c r="E100" s="13"/>
      <c r="F100" s="13"/>
      <c r="G100" s="13"/>
      <c r="H100" s="13"/>
      <c r="I100" s="13"/>
      <c r="L100" s="460"/>
      <c r="M100" s="460"/>
      <c r="N100" s="460"/>
      <c r="O100" s="460"/>
      <c r="P100" s="460"/>
    </row>
    <row r="101" spans="1:16" ht="15.75" x14ac:dyDescent="0.25">
      <c r="A101" s="3" t="s">
        <v>20</v>
      </c>
      <c r="B101" s="13"/>
      <c r="C101" s="13"/>
      <c r="D101" s="13"/>
      <c r="E101" s="13"/>
      <c r="F101" s="13"/>
      <c r="G101" s="13"/>
      <c r="H101" s="13"/>
      <c r="I101" s="13"/>
      <c r="L101" s="460"/>
      <c r="M101" s="460"/>
      <c r="N101" s="460"/>
      <c r="O101" s="460"/>
      <c r="P101" s="460"/>
    </row>
    <row r="102" spans="1:16" ht="15.75" x14ac:dyDescent="0.25">
      <c r="A102" s="266"/>
      <c r="B102" s="13"/>
      <c r="C102" s="13"/>
      <c r="D102" s="13"/>
      <c r="E102" s="13"/>
      <c r="F102" s="13"/>
      <c r="G102" s="13"/>
      <c r="H102" s="13"/>
      <c r="I102" s="13"/>
      <c r="L102" s="460"/>
      <c r="M102" s="460"/>
      <c r="N102" s="460"/>
      <c r="O102" s="460"/>
      <c r="P102" s="460"/>
    </row>
    <row r="103" spans="1:16" ht="15.75" x14ac:dyDescent="0.25">
      <c r="A103" s="3" t="s">
        <v>65</v>
      </c>
      <c r="B103" s="740" t="s">
        <v>66</v>
      </c>
      <c r="C103" s="740"/>
      <c r="D103" s="744" t="s">
        <v>67</v>
      </c>
      <c r="E103" s="744"/>
      <c r="F103" s="733" t="s">
        <v>68</v>
      </c>
      <c r="G103" s="733"/>
      <c r="H103" s="733"/>
      <c r="I103" s="733"/>
      <c r="J103" s="270" t="s">
        <v>69</v>
      </c>
      <c r="L103" s="460"/>
      <c r="M103" s="460"/>
      <c r="N103" s="460"/>
      <c r="O103" s="460"/>
      <c r="P103" s="460"/>
    </row>
    <row r="104" spans="1:16" ht="15.75" x14ac:dyDescent="0.25">
      <c r="A104" s="3"/>
      <c r="B104" s="740" t="s">
        <v>70</v>
      </c>
      <c r="C104" s="740"/>
      <c r="D104" s="271"/>
      <c r="F104" s="733" t="s">
        <v>71</v>
      </c>
      <c r="G104" s="733"/>
      <c r="H104" s="733"/>
      <c r="I104" s="733"/>
      <c r="J104" s="13"/>
      <c r="L104" s="460"/>
      <c r="M104" s="460"/>
      <c r="N104" s="460"/>
      <c r="O104" s="460"/>
      <c r="P104" s="460"/>
    </row>
    <row r="105" spans="1:16" ht="15.75" x14ac:dyDescent="0.25">
      <c r="A105" s="265" t="s">
        <v>72</v>
      </c>
      <c r="B105" s="741">
        <f>DCP!$B$28</f>
        <v>377832</v>
      </c>
      <c r="C105" s="741"/>
      <c r="D105" s="742" t="str">
        <f>DCP!$B$15</f>
        <v>SBMP</v>
      </c>
      <c r="E105" s="742"/>
      <c r="F105" s="743">
        <f>DCP!$B$27</f>
        <v>7281.4650000000001</v>
      </c>
      <c r="G105" s="743"/>
      <c r="H105" s="743"/>
      <c r="I105" s="743"/>
      <c r="J105" s="272">
        <f>Relato!J115</f>
        <v>51.889557939233384</v>
      </c>
      <c r="L105" s="460"/>
      <c r="M105" s="460"/>
      <c r="N105" s="460"/>
      <c r="O105" s="460"/>
      <c r="P105" s="460"/>
    </row>
    <row r="106" spans="1:16" ht="15.75" x14ac:dyDescent="0.25">
      <c r="A106" s="265" t="s">
        <v>73</v>
      </c>
      <c r="B106" s="741">
        <f>DCP!$C$28</f>
        <v>480573</v>
      </c>
      <c r="C106" s="741"/>
      <c r="D106" s="742" t="str">
        <f>DCP!$C$15</f>
        <v>SBMP</v>
      </c>
      <c r="E106" s="742"/>
      <c r="F106" s="743">
        <f>DCP!$C$27</f>
        <v>9023.1740000000009</v>
      </c>
      <c r="G106" s="743"/>
      <c r="H106" s="743"/>
      <c r="I106" s="743" t="e">
        <f>C106/H106</f>
        <v>#DIV/0!</v>
      </c>
      <c r="J106" s="272">
        <f>Relato!J116</f>
        <v>53.25986177369515</v>
      </c>
      <c r="L106" s="460"/>
      <c r="M106" s="460"/>
      <c r="N106" s="460"/>
      <c r="O106" s="460"/>
      <c r="P106" s="460"/>
    </row>
    <row r="107" spans="1:16" ht="15.75" x14ac:dyDescent="0.25">
      <c r="A107" s="265" t="s">
        <v>74</v>
      </c>
      <c r="B107" s="741">
        <f>DCP!$D$28</f>
        <v>469466</v>
      </c>
      <c r="C107" s="741"/>
      <c r="D107" s="742" t="str">
        <f>DCP!$D$15</f>
        <v>SBMP</v>
      </c>
      <c r="E107" s="742"/>
      <c r="F107" s="743">
        <f>DCP!$D$27</f>
        <v>8755.1749999999993</v>
      </c>
      <c r="G107" s="743"/>
      <c r="H107" s="743"/>
      <c r="I107" s="743" t="e">
        <f>D107/H107</f>
        <v>#VALUE!</v>
      </c>
      <c r="J107" s="272">
        <f>Relato!J117</f>
        <v>53.621543829792095</v>
      </c>
      <c r="L107" s="460"/>
      <c r="M107" s="460"/>
      <c r="N107" s="460"/>
      <c r="O107" s="460"/>
      <c r="P107" s="460"/>
    </row>
    <row r="108" spans="1:16" ht="15.75" x14ac:dyDescent="0.25">
      <c r="A108" s="265" t="s">
        <v>75</v>
      </c>
      <c r="B108" s="741">
        <f>DCP!$E$28</f>
        <v>468474</v>
      </c>
      <c r="C108" s="741"/>
      <c r="D108" s="742" t="str">
        <f>DCP!$E$15</f>
        <v>SBMP</v>
      </c>
      <c r="E108" s="742"/>
      <c r="F108" s="743">
        <f>DCP!$E$27</f>
        <v>8569.2900000000009</v>
      </c>
      <c r="G108" s="743"/>
      <c r="H108" s="743"/>
      <c r="I108" s="743" t="e">
        <f>D108/H108</f>
        <v>#VALUE!</v>
      </c>
      <c r="J108" s="272">
        <f>Relato!J118</f>
        <v>54.668939900505173</v>
      </c>
      <c r="L108" s="460"/>
      <c r="M108" s="460"/>
      <c r="N108" s="460"/>
      <c r="O108" s="460"/>
      <c r="P108" s="460"/>
    </row>
    <row r="109" spans="1:16" ht="15.75" x14ac:dyDescent="0.25">
      <c r="A109" s="265" t="s">
        <v>76</v>
      </c>
      <c r="B109" s="741">
        <f>DCP!$F$28</f>
        <v>470494</v>
      </c>
      <c r="C109" s="741"/>
      <c r="D109" s="742" t="str">
        <f>DCP!$F$15</f>
        <v>SBMP</v>
      </c>
      <c r="E109" s="742"/>
      <c r="F109" s="743">
        <f>DCP!$F$27</f>
        <v>8636.34</v>
      </c>
      <c r="G109" s="743"/>
      <c r="H109" s="743"/>
      <c r="I109" s="743" t="e">
        <f>D109/H109</f>
        <v>#VALUE!</v>
      </c>
      <c r="J109" s="272">
        <f>Relato!J119</f>
        <v>54.478401730362627</v>
      </c>
      <c r="L109" s="460"/>
      <c r="M109" s="460"/>
      <c r="N109" s="460"/>
      <c r="O109" s="460"/>
      <c r="P109" s="460"/>
    </row>
    <row r="110" spans="1:16" ht="15.75" x14ac:dyDescent="0.25">
      <c r="A110" s="265" t="s">
        <v>77</v>
      </c>
      <c r="B110" s="741">
        <f>DCP!$G$28</f>
        <v>469809</v>
      </c>
      <c r="C110" s="741"/>
      <c r="D110" s="742" t="str">
        <f>DCP!$G$15</f>
        <v>SBMP</v>
      </c>
      <c r="E110" s="742"/>
      <c r="F110" s="743">
        <f>DCP!$G$27</f>
        <v>8700.18</v>
      </c>
      <c r="G110" s="743"/>
      <c r="H110" s="743"/>
      <c r="I110" s="743" t="e">
        <f>D110/H110</f>
        <v>#VALUE!</v>
      </c>
      <c r="J110" s="272">
        <f>Relato!J120</f>
        <v>53.999917243091524</v>
      </c>
      <c r="L110" s="460"/>
      <c r="M110" s="460"/>
      <c r="N110" s="460"/>
      <c r="O110" s="460"/>
      <c r="P110" s="460"/>
    </row>
    <row r="111" spans="1:16" ht="15.75" x14ac:dyDescent="0.25">
      <c r="A111" s="265" t="s">
        <v>78</v>
      </c>
      <c r="B111" s="741">
        <f>DCP!$H$28</f>
        <v>446476</v>
      </c>
      <c r="C111" s="741"/>
      <c r="D111" s="742" t="str">
        <f>DCP!$H$15</f>
        <v>SBMP</v>
      </c>
      <c r="E111" s="742"/>
      <c r="F111" s="743">
        <f>DCP!$H$27</f>
        <v>7947.6049999999996</v>
      </c>
      <c r="G111" s="743"/>
      <c r="H111" s="743"/>
      <c r="I111" s="743" t="e">
        <f>D111/H111</f>
        <v>#VALUE!</v>
      </c>
      <c r="J111" s="272">
        <f>Relato!J121</f>
        <v>56.177427036195184</v>
      </c>
      <c r="L111" s="460"/>
      <c r="M111" s="460"/>
      <c r="N111" s="460"/>
      <c r="O111" s="460"/>
      <c r="P111" s="460"/>
    </row>
    <row r="112" spans="1:16" ht="15.75" x14ac:dyDescent="0.25">
      <c r="A112" s="3" t="s">
        <v>79</v>
      </c>
      <c r="B112" s="746">
        <f>SUM(B105:B111)</f>
        <v>3183124</v>
      </c>
      <c r="C112" s="746"/>
      <c r="D112" s="13"/>
      <c r="F112" s="747">
        <f>SUM(F105:F111)</f>
        <v>58913.229000000007</v>
      </c>
      <c r="G112" s="747"/>
      <c r="H112" s="747"/>
      <c r="I112" s="747"/>
      <c r="L112" s="460"/>
      <c r="M112" s="460"/>
      <c r="N112" s="460"/>
      <c r="O112" s="460"/>
      <c r="P112" s="460"/>
    </row>
    <row r="113" spans="1:16" ht="15.75" x14ac:dyDescent="0.25">
      <c r="A113" s="3"/>
      <c r="B113" s="273"/>
      <c r="C113" s="13"/>
      <c r="D113" s="13"/>
      <c r="E113" s="274"/>
      <c r="F113" s="275"/>
      <c r="G113" s="13"/>
      <c r="H113" s="13"/>
      <c r="I113" s="13"/>
      <c r="L113" s="460"/>
      <c r="M113" s="460"/>
      <c r="N113" s="460"/>
      <c r="O113" s="460"/>
      <c r="P113" s="460"/>
    </row>
    <row r="114" spans="1:16" ht="15.75" x14ac:dyDescent="0.25">
      <c r="A114" s="266"/>
      <c r="B114" s="13"/>
      <c r="C114" s="13"/>
      <c r="D114" s="13"/>
      <c r="E114" s="13"/>
      <c r="F114" s="13"/>
      <c r="G114" s="13"/>
      <c r="H114" s="13"/>
      <c r="I114" s="13"/>
      <c r="L114" s="460"/>
      <c r="M114" s="460"/>
      <c r="N114" s="460"/>
      <c r="O114" s="460"/>
      <c r="P114" s="460"/>
    </row>
    <row r="115" spans="1:16" ht="15.75" x14ac:dyDescent="0.25">
      <c r="A115" s="267" t="s">
        <v>693</v>
      </c>
      <c r="B115" s="13"/>
      <c r="C115" s="13"/>
      <c r="D115" s="13"/>
      <c r="E115" s="13"/>
      <c r="F115" s="13"/>
      <c r="G115" s="13"/>
      <c r="H115" s="13"/>
      <c r="I115" s="13"/>
      <c r="L115" s="460"/>
      <c r="M115" s="460"/>
      <c r="N115" s="460"/>
      <c r="O115" s="460"/>
      <c r="P115" s="460"/>
    </row>
    <row r="116" spans="1:16" ht="15.75" x14ac:dyDescent="0.25">
      <c r="A116" s="267"/>
      <c r="B116" s="13"/>
      <c r="C116" s="13"/>
      <c r="D116" s="13"/>
      <c r="E116" s="13"/>
      <c r="F116" s="13"/>
      <c r="G116" s="13"/>
      <c r="H116" s="13"/>
      <c r="I116" s="13"/>
      <c r="L116" s="460"/>
      <c r="M116" s="460"/>
      <c r="N116" s="460"/>
      <c r="O116" s="460"/>
      <c r="P116" s="460"/>
    </row>
    <row r="117" spans="1:16" ht="15.75" x14ac:dyDescent="0.25">
      <c r="A117" s="266" t="s">
        <v>80</v>
      </c>
      <c r="B117" s="13"/>
      <c r="C117" s="13"/>
      <c r="D117" s="13"/>
      <c r="E117" s="13" t="str">
        <f>_xlfn.CONCAT("Issued by ",CAPA!$B$67)</f>
        <v>Issued by CS Marine for Penglai Zhongbai Jinglu Shipyard</v>
      </c>
      <c r="G117" s="13"/>
      <c r="H117" s="13"/>
      <c r="I117" s="13"/>
      <c r="L117" s="460"/>
      <c r="M117" s="460"/>
      <c r="N117" s="460"/>
      <c r="O117" s="460"/>
      <c r="P117" s="460"/>
    </row>
    <row r="118" spans="1:16" ht="15.75" x14ac:dyDescent="0.25">
      <c r="A118" s="266"/>
      <c r="B118" s="13"/>
      <c r="C118" s="13"/>
      <c r="D118" s="13"/>
      <c r="E118" s="13" t="str">
        <f>_xlfn.CONCAT("on ",CAPA!$B$68,", Dwg. No. ",CAPA!$B$69)</f>
        <v>on 17.10.2011, Dwg. No. B1 - 0203</v>
      </c>
      <c r="G118" s="13"/>
      <c r="H118" s="13"/>
      <c r="I118" s="13"/>
      <c r="L118" s="460"/>
      <c r="M118" s="460"/>
      <c r="N118" s="460"/>
      <c r="O118" s="460"/>
      <c r="P118" s="460"/>
    </row>
    <row r="119" spans="1:16" ht="15.75" x14ac:dyDescent="0.25">
      <c r="A119" s="266"/>
      <c r="B119" s="13"/>
      <c r="C119" s="13"/>
      <c r="D119" s="13"/>
      <c r="E119" s="13" t="str">
        <f>_xlfn.CONCAT("Approved by  ",CAPA!$B$70," on  ",CAPA!$B$71)</f>
        <v>Approved by  LR on  03.06.2023</v>
      </c>
      <c r="G119" s="13"/>
      <c r="H119" s="13"/>
      <c r="I119" s="13"/>
      <c r="L119" s="460"/>
      <c r="M119" s="460"/>
      <c r="N119" s="460"/>
      <c r="O119" s="460"/>
      <c r="P119" s="460"/>
    </row>
    <row r="120" spans="1:16" ht="15.75" x14ac:dyDescent="0.25">
      <c r="A120" s="266"/>
      <c r="B120" s="13"/>
      <c r="C120" s="13"/>
      <c r="D120" s="13"/>
      <c r="E120" s="14"/>
      <c r="G120" s="14"/>
      <c r="H120" s="14"/>
      <c r="I120" s="13"/>
      <c r="L120" s="460"/>
      <c r="M120" s="460"/>
      <c r="N120" s="460"/>
      <c r="O120" s="460"/>
      <c r="P120" s="460"/>
    </row>
    <row r="121" spans="1:16" ht="15.75" x14ac:dyDescent="0.25">
      <c r="A121" s="266" t="s">
        <v>81</v>
      </c>
      <c r="B121" s="13"/>
      <c r="C121" s="13"/>
      <c r="D121" s="13"/>
      <c r="E121" s="13" t="str">
        <f>$E$117</f>
        <v>Issued by CS Marine for Penglai Zhongbai Jinglu Shipyard</v>
      </c>
      <c r="G121" s="13"/>
      <c r="H121" s="13"/>
      <c r="I121" s="13"/>
      <c r="L121" s="460"/>
      <c r="M121" s="460"/>
      <c r="N121" s="460"/>
      <c r="O121" s="460"/>
      <c r="P121" s="460"/>
    </row>
    <row r="122" spans="1:16" ht="15.75" x14ac:dyDescent="0.25">
      <c r="A122" s="13"/>
      <c r="B122" s="13"/>
      <c r="C122" s="13"/>
      <c r="D122" s="13"/>
      <c r="E122" s="13" t="str">
        <f>_xlfn.CONCAT("on ",CAPA!$B$73," Dwg. no. ",CAPA!$B$74)</f>
        <v>on 21.10.2011 Dwg. no. B1 - 0210</v>
      </c>
      <c r="G122" s="13"/>
      <c r="H122" s="13"/>
      <c r="I122" s="13"/>
      <c r="L122" s="460"/>
      <c r="M122" s="460"/>
      <c r="N122" s="460"/>
      <c r="O122" s="460"/>
      <c r="P122" s="460"/>
    </row>
    <row r="123" spans="1:16" ht="15.75" x14ac:dyDescent="0.25">
      <c r="A123" s="13"/>
      <c r="B123" s="13"/>
      <c r="C123" s="13"/>
      <c r="D123" s="13"/>
      <c r="E123" s="13"/>
      <c r="F123" s="13"/>
      <c r="G123" s="13"/>
      <c r="H123" s="13"/>
      <c r="I123" s="13"/>
      <c r="L123" s="460"/>
      <c r="M123" s="460"/>
      <c r="N123" s="460"/>
      <c r="O123" s="460"/>
      <c r="P123" s="460"/>
    </row>
    <row r="124" spans="1:16" ht="15.75" x14ac:dyDescent="0.25">
      <c r="A124" s="267" t="s">
        <v>21</v>
      </c>
      <c r="B124" s="13"/>
      <c r="C124" s="13"/>
      <c r="D124" s="13"/>
      <c r="E124" s="13"/>
      <c r="F124" s="13"/>
      <c r="G124" s="13"/>
      <c r="H124" s="13"/>
      <c r="I124" s="13"/>
      <c r="L124" s="460"/>
      <c r="M124" s="460"/>
      <c r="N124" s="460"/>
      <c r="O124" s="460"/>
      <c r="P124" s="460"/>
    </row>
    <row r="125" spans="1:16" ht="15.75" x14ac:dyDescent="0.25">
      <c r="A125" s="266"/>
      <c r="B125" s="13"/>
      <c r="E125" s="710" t="s">
        <v>82</v>
      </c>
      <c r="F125" s="711" t="s">
        <v>695</v>
      </c>
      <c r="G125" s="748" t="s">
        <v>84</v>
      </c>
      <c r="H125" s="748"/>
      <c r="I125" s="748" t="s">
        <v>85</v>
      </c>
      <c r="J125" s="748"/>
      <c r="K125" s="276"/>
      <c r="L125" s="465"/>
      <c r="M125" s="466"/>
      <c r="N125" s="460"/>
      <c r="O125" s="460"/>
      <c r="P125" s="460"/>
    </row>
    <row r="126" spans="1:16" ht="15.75" x14ac:dyDescent="0.25">
      <c r="A126" s="266" t="s">
        <v>86</v>
      </c>
      <c r="B126" s="10"/>
      <c r="E126" s="277">
        <f>CAPA!$L$78</f>
        <v>4.8010000000000002</v>
      </c>
      <c r="F126" s="277">
        <f>CAPA!$M$78</f>
        <v>14.837999999999999</v>
      </c>
      <c r="G126" s="745">
        <f>CAPA!$N$78</f>
        <v>90773.6</v>
      </c>
      <c r="H126" s="745"/>
      <c r="I126" s="745">
        <f>CAPA!$O$78</f>
        <v>77054.600000000006</v>
      </c>
      <c r="J126" s="745"/>
      <c r="K126" s="278"/>
      <c r="L126" s="467"/>
      <c r="M126" s="468"/>
      <c r="N126" s="460"/>
      <c r="O126" s="460"/>
      <c r="P126" s="460"/>
    </row>
    <row r="127" spans="1:16" ht="15.75" x14ac:dyDescent="0.25">
      <c r="A127" s="266" t="s">
        <v>87</v>
      </c>
      <c r="B127" s="10"/>
      <c r="E127" s="277">
        <f>CAPA!$L$79</f>
        <v>5.0970000000000004</v>
      </c>
      <c r="F127" s="277">
        <f>CAPA!$M$79</f>
        <v>14.542</v>
      </c>
      <c r="G127" s="745">
        <f>CAPA!$N$79</f>
        <v>88792.3</v>
      </c>
      <c r="H127" s="745"/>
      <c r="I127" s="745">
        <f>CAPA!$O$79</f>
        <v>75073.3</v>
      </c>
      <c r="J127" s="745"/>
      <c r="K127" s="278"/>
      <c r="L127" s="467"/>
      <c r="M127" s="468"/>
      <c r="N127" s="460"/>
      <c r="O127" s="460"/>
      <c r="P127" s="460"/>
    </row>
    <row r="128" spans="1:16" ht="15.75" x14ac:dyDescent="0.25">
      <c r="A128" s="266" t="s">
        <v>88</v>
      </c>
      <c r="B128" s="10"/>
      <c r="E128" s="277">
        <f>CAPA!$L$80</f>
        <v>5.1239999999999997</v>
      </c>
      <c r="F128" s="277">
        <f>CAPA!$M$80</f>
        <v>14.515000000000001</v>
      </c>
      <c r="G128" s="745">
        <f>CAPA!$N$80</f>
        <v>90827</v>
      </c>
      <c r="H128" s="745"/>
      <c r="I128" s="745">
        <f>CAPA!$O$80</f>
        <v>77108</v>
      </c>
      <c r="J128" s="745"/>
      <c r="K128" s="278"/>
      <c r="L128" s="467"/>
      <c r="M128" s="468"/>
      <c r="N128" s="460"/>
      <c r="O128" s="460"/>
      <c r="P128" s="460"/>
    </row>
    <row r="129" spans="1:16" ht="15.75" x14ac:dyDescent="0.25">
      <c r="A129" s="266" t="s">
        <v>89</v>
      </c>
      <c r="B129" s="10"/>
      <c r="E129" s="277">
        <f>CAPA!$L$81</f>
        <v>5.42</v>
      </c>
      <c r="F129" s="277">
        <f>CAPA!$M$81</f>
        <v>14.218999999999999</v>
      </c>
      <c r="G129" s="745">
        <f>CAPA!$N$81</f>
        <v>88800</v>
      </c>
      <c r="H129" s="745"/>
      <c r="I129" s="745">
        <f>CAPA!$O$81</f>
        <v>75081</v>
      </c>
      <c r="J129" s="745"/>
      <c r="K129" s="278"/>
      <c r="L129" s="467"/>
      <c r="M129" s="468"/>
      <c r="N129" s="460"/>
      <c r="O129" s="460"/>
      <c r="P129" s="460"/>
    </row>
    <row r="130" spans="1:16" ht="15.75" x14ac:dyDescent="0.25">
      <c r="A130" s="266" t="s">
        <v>90</v>
      </c>
      <c r="B130" s="10"/>
      <c r="E130" s="277">
        <f>CAPA!$L$82</f>
        <v>5.7160000000000002</v>
      </c>
      <c r="F130" s="277">
        <f>CAPA!$M$82</f>
        <v>13.923</v>
      </c>
      <c r="G130" s="745">
        <f>CAPA!$N$82</f>
        <v>86776</v>
      </c>
      <c r="H130" s="745"/>
      <c r="I130" s="745">
        <f>CAPA!$O$82</f>
        <v>73057</v>
      </c>
      <c r="J130" s="745"/>
      <c r="K130" s="278"/>
      <c r="L130" s="467"/>
      <c r="M130" s="468"/>
      <c r="N130" s="460"/>
      <c r="O130" s="460"/>
      <c r="P130" s="460"/>
    </row>
    <row r="131" spans="1:16" ht="15.75" x14ac:dyDescent="0.25">
      <c r="A131" s="266"/>
      <c r="B131" s="10"/>
      <c r="C131" s="10"/>
      <c r="D131" s="10"/>
      <c r="E131" s="10"/>
      <c r="F131" s="10"/>
      <c r="G131" s="10"/>
      <c r="H131" s="10"/>
      <c r="I131" s="10"/>
      <c r="L131" s="460"/>
      <c r="M131" s="460"/>
      <c r="N131" s="460"/>
      <c r="O131" s="460"/>
      <c r="P131" s="460"/>
    </row>
    <row r="132" spans="1:16" ht="15.75" x14ac:dyDescent="0.25">
      <c r="A132" s="266"/>
      <c r="B132" s="10"/>
      <c r="C132" s="10"/>
      <c r="D132" s="10"/>
      <c r="E132" s="10"/>
      <c r="F132" s="10"/>
      <c r="G132" s="10"/>
      <c r="H132" s="10"/>
      <c r="I132" s="10"/>
      <c r="L132" s="460"/>
      <c r="M132" s="460"/>
      <c r="N132" s="460"/>
      <c r="O132" s="460"/>
      <c r="P132" s="460"/>
    </row>
    <row r="133" spans="1:16" ht="15.75" x14ac:dyDescent="0.25">
      <c r="A133" s="267" t="s">
        <v>696</v>
      </c>
      <c r="B133" s="10"/>
      <c r="C133" s="10"/>
      <c r="D133" s="10"/>
      <c r="E133" s="10"/>
      <c r="F133" s="10"/>
      <c r="G133" s="10"/>
      <c r="H133" s="10"/>
      <c r="I133" s="10"/>
      <c r="L133" s="460"/>
      <c r="M133" s="460"/>
      <c r="N133" s="460"/>
      <c r="O133" s="460"/>
      <c r="P133" s="460"/>
    </row>
    <row r="134" spans="1:16" x14ac:dyDescent="0.25">
      <c r="A134" s="279"/>
      <c r="B134" s="10"/>
      <c r="C134" s="10"/>
      <c r="D134" s="10"/>
      <c r="E134" s="10"/>
      <c r="F134" s="10"/>
      <c r="G134" s="10"/>
      <c r="H134" s="10"/>
      <c r="I134" s="10"/>
      <c r="L134" s="460"/>
      <c r="M134" s="460"/>
      <c r="N134" s="460"/>
      <c r="O134" s="460"/>
      <c r="P134" s="460"/>
    </row>
    <row r="135" spans="1:16" ht="15.75" x14ac:dyDescent="0.25">
      <c r="A135" s="266" t="s">
        <v>91</v>
      </c>
      <c r="B135" s="10"/>
      <c r="C135" s="10"/>
      <c r="D135" s="10"/>
      <c r="E135" s="394" t="str">
        <f>Relato!$E$145</f>
        <v xml:space="preserve"> February 21st, 2026 from 10:45 until 14:00 hrs</v>
      </c>
      <c r="G135" s="280"/>
      <c r="H135" s="280"/>
      <c r="I135" s="10"/>
      <c r="L135" s="460"/>
      <c r="M135" s="460"/>
      <c r="N135" s="460"/>
      <c r="O135" s="460"/>
      <c r="P135" s="460"/>
    </row>
    <row r="136" spans="1:16" ht="15.75" x14ac:dyDescent="0.25">
      <c r="A136" s="266" t="s">
        <v>92</v>
      </c>
      <c r="B136" s="10"/>
      <c r="C136" s="10"/>
      <c r="D136" s="10"/>
      <c r="E136" s="14" t="str">
        <f>Relato!$E$146</f>
        <v>Paranaguá, Br - Brazil (inner roads 9.2)</v>
      </c>
      <c r="G136" s="13"/>
      <c r="H136" s="13"/>
      <c r="I136" s="10"/>
      <c r="L136" s="460"/>
      <c r="M136" s="460"/>
      <c r="N136" s="460"/>
      <c r="O136" s="460"/>
      <c r="P136" s="460"/>
    </row>
    <row r="137" spans="1:16" ht="15.75" x14ac:dyDescent="0.25">
      <c r="A137" s="266" t="s">
        <v>93</v>
      </c>
      <c r="B137" s="10"/>
      <c r="C137" s="10"/>
      <c r="D137" s="10"/>
      <c r="E137" s="395">
        <f>Draft!$O$7</f>
        <v>0.3</v>
      </c>
      <c r="G137" s="13"/>
      <c r="H137" s="13"/>
      <c r="I137" s="10"/>
      <c r="L137" s="460"/>
      <c r="M137" s="460"/>
      <c r="N137" s="460"/>
      <c r="O137" s="460"/>
      <c r="P137" s="460"/>
    </row>
    <row r="138" spans="1:16" ht="15.75" x14ac:dyDescent="0.25">
      <c r="A138" s="266" t="s">
        <v>597</v>
      </c>
      <c r="B138" s="10"/>
      <c r="C138" s="10"/>
      <c r="D138" s="10"/>
      <c r="E138" s="626">
        <f>Draft!$O$8</f>
        <v>2</v>
      </c>
      <c r="F138" s="393"/>
      <c r="G138" s="281"/>
      <c r="H138" s="281"/>
      <c r="I138" s="281"/>
      <c r="L138" s="460"/>
      <c r="M138" s="460"/>
      <c r="N138" s="460"/>
      <c r="O138" s="460"/>
      <c r="P138" s="460"/>
    </row>
    <row r="139" spans="1:16" ht="15.75" x14ac:dyDescent="0.25">
      <c r="A139" s="266" t="s">
        <v>94</v>
      </c>
      <c r="B139" s="10"/>
      <c r="C139" s="10"/>
      <c r="D139" s="10"/>
      <c r="E139" s="14" t="str">
        <f>Draft!$E$8</f>
        <v>No tide flow</v>
      </c>
      <c r="G139" s="13"/>
      <c r="H139" s="13"/>
      <c r="I139" s="10"/>
      <c r="L139" s="460"/>
      <c r="M139" s="460"/>
      <c r="N139" s="460"/>
      <c r="O139" s="460"/>
      <c r="P139" s="460"/>
    </row>
    <row r="140" spans="1:16" ht="15.75" x14ac:dyDescent="0.25">
      <c r="A140" s="266" t="s">
        <v>95</v>
      </c>
      <c r="B140" s="10"/>
      <c r="C140" s="10"/>
      <c r="D140" s="10"/>
      <c r="E140" s="14" t="str">
        <f>Draft!$E$7</f>
        <v>Rainy</v>
      </c>
      <c r="G140" s="13"/>
      <c r="H140" s="13"/>
      <c r="I140" s="10"/>
      <c r="L140" s="460"/>
      <c r="M140" s="460"/>
      <c r="N140" s="460"/>
      <c r="O140" s="460"/>
      <c r="P140" s="460"/>
    </row>
    <row r="141" spans="1:16" ht="15.75" x14ac:dyDescent="0.25">
      <c r="A141" s="266"/>
      <c r="B141" s="10"/>
      <c r="C141" s="10"/>
      <c r="D141" s="10"/>
      <c r="E141" s="10"/>
      <c r="F141" s="13"/>
      <c r="G141" s="13"/>
      <c r="H141" s="13"/>
      <c r="I141" s="10"/>
      <c r="L141" s="460"/>
      <c r="M141" s="460"/>
      <c r="N141" s="460"/>
      <c r="O141" s="460"/>
      <c r="P141" s="460"/>
    </row>
    <row r="142" spans="1:16" ht="15.75" x14ac:dyDescent="0.25">
      <c r="A142" s="266"/>
      <c r="B142" s="10"/>
      <c r="C142" s="10"/>
      <c r="D142" s="10"/>
      <c r="E142" s="10"/>
      <c r="F142" s="13"/>
      <c r="G142" s="13"/>
      <c r="H142" s="13"/>
      <c r="I142" s="10"/>
      <c r="L142" s="460"/>
      <c r="M142" s="460"/>
      <c r="N142" s="460"/>
      <c r="O142" s="460"/>
      <c r="P142" s="460"/>
    </row>
    <row r="143" spans="1:16" ht="15.75" x14ac:dyDescent="0.25">
      <c r="A143" s="267" t="s">
        <v>697</v>
      </c>
      <c r="B143" s="10"/>
      <c r="C143" s="10"/>
      <c r="D143" s="10"/>
      <c r="E143" s="10"/>
      <c r="F143" s="13"/>
      <c r="G143" s="13"/>
      <c r="H143" s="13"/>
      <c r="I143" s="10"/>
      <c r="L143" s="460"/>
      <c r="M143" s="460"/>
      <c r="N143" s="460"/>
      <c r="O143" s="460"/>
      <c r="P143" s="460"/>
    </row>
    <row r="144" spans="1:16" ht="15.75" x14ac:dyDescent="0.25">
      <c r="A144" s="266"/>
      <c r="B144" s="10"/>
      <c r="C144" s="10"/>
      <c r="D144" s="10"/>
      <c r="E144" s="10"/>
      <c r="F144" s="13"/>
      <c r="G144" s="13"/>
      <c r="H144" s="13"/>
      <c r="I144" s="10"/>
      <c r="L144" s="460"/>
      <c r="M144" s="460"/>
      <c r="N144" s="460"/>
      <c r="O144" s="460"/>
      <c r="P144" s="460"/>
    </row>
    <row r="145" spans="1:21" ht="15.75" x14ac:dyDescent="0.25">
      <c r="A145" s="266" t="s">
        <v>91</v>
      </c>
      <c r="B145" s="10"/>
      <c r="C145" s="10"/>
      <c r="D145" s="10"/>
      <c r="E145" s="394" t="str">
        <f>Relato!$E$155</f>
        <v xml:space="preserve"> February 28th, 2026 from 12:00 until 14:00 hrs</v>
      </c>
      <c r="G145" s="13"/>
      <c r="H145" s="13"/>
      <c r="I145" s="10"/>
      <c r="L145" s="460"/>
      <c r="M145" s="460"/>
      <c r="N145" s="460"/>
      <c r="O145" s="460"/>
      <c r="P145" s="460"/>
    </row>
    <row r="146" spans="1:21" ht="15.75" x14ac:dyDescent="0.25">
      <c r="A146" s="266" t="s">
        <v>92</v>
      </c>
      <c r="B146" s="10"/>
      <c r="C146" s="10"/>
      <c r="D146" s="10"/>
      <c r="E146" s="14" t="str">
        <f>Relato!$E$156</f>
        <v>Paranaguá, Br - Brazil (wharf 214)</v>
      </c>
      <c r="G146" s="13"/>
      <c r="H146" s="13"/>
      <c r="I146" s="10"/>
      <c r="L146" s="460"/>
      <c r="M146" s="460"/>
      <c r="N146" s="460"/>
      <c r="O146" s="460"/>
      <c r="P146" s="460"/>
    </row>
    <row r="147" spans="1:21" ht="15.75" x14ac:dyDescent="0.25">
      <c r="A147" s="266" t="s">
        <v>93</v>
      </c>
      <c r="B147" s="10"/>
      <c r="C147" s="10"/>
      <c r="D147" s="10"/>
      <c r="E147" s="395">
        <f>Draft!$AH$7</f>
        <v>0.15</v>
      </c>
      <c r="G147" s="13"/>
      <c r="H147" s="13"/>
      <c r="I147" s="10"/>
      <c r="L147" s="460"/>
      <c r="M147" s="460"/>
      <c r="N147" s="460"/>
      <c r="O147" s="460"/>
      <c r="P147" s="460"/>
    </row>
    <row r="148" spans="1:21" ht="15.75" x14ac:dyDescent="0.25">
      <c r="A148" s="266" t="s">
        <v>597</v>
      </c>
      <c r="B148" s="10"/>
      <c r="C148" s="10"/>
      <c r="D148" s="10"/>
      <c r="E148" s="626">
        <f>Draft!$AH$8</f>
        <v>2</v>
      </c>
      <c r="G148" s="282"/>
      <c r="H148" s="282"/>
      <c r="I148" s="10"/>
      <c r="L148" s="456"/>
      <c r="M148" s="456"/>
      <c r="N148" s="456"/>
      <c r="O148" s="456"/>
      <c r="P148" s="456"/>
    </row>
    <row r="149" spans="1:21" ht="15.75" x14ac:dyDescent="0.25">
      <c r="A149" s="266" t="s">
        <v>94</v>
      </c>
      <c r="B149" s="10"/>
      <c r="C149" s="10"/>
      <c r="D149" s="10"/>
      <c r="E149" s="14" t="str">
        <f>Draft!$X$8</f>
        <v>Flood tide, &lt; 1knot</v>
      </c>
      <c r="G149" s="13"/>
      <c r="H149" s="13"/>
      <c r="I149" s="10"/>
      <c r="L149" s="456"/>
      <c r="M149" s="456"/>
      <c r="N149" s="456"/>
      <c r="O149" s="456"/>
      <c r="P149" s="456"/>
    </row>
    <row r="150" spans="1:21" ht="15.75" x14ac:dyDescent="0.25">
      <c r="A150" s="266" t="s">
        <v>95</v>
      </c>
      <c r="B150" s="10"/>
      <c r="C150" s="10"/>
      <c r="D150" s="10"/>
      <c r="E150" s="14" t="str">
        <f>Draft!$X$7</f>
        <v>Fine</v>
      </c>
      <c r="G150" s="13"/>
      <c r="H150" s="13"/>
      <c r="I150" s="10"/>
      <c r="L150" s="456"/>
      <c r="M150" s="456"/>
      <c r="N150" s="456"/>
      <c r="O150" s="456"/>
      <c r="P150" s="456"/>
    </row>
    <row r="151" spans="1:21" ht="15.75" x14ac:dyDescent="0.25">
      <c r="A151" s="266"/>
      <c r="B151" s="10"/>
      <c r="C151" s="10"/>
      <c r="D151" s="10"/>
      <c r="E151" s="10"/>
      <c r="F151" s="13"/>
      <c r="G151" s="13"/>
      <c r="H151" s="13"/>
      <c r="I151" s="10"/>
      <c r="L151" s="456"/>
      <c r="M151" s="456"/>
      <c r="N151" s="456"/>
      <c r="O151" s="456"/>
      <c r="P151" s="456"/>
    </row>
    <row r="152" spans="1:21" ht="15.75" x14ac:dyDescent="0.25">
      <c r="A152" s="266"/>
      <c r="B152" s="10"/>
      <c r="C152" s="10"/>
      <c r="D152" s="10"/>
      <c r="E152" s="10"/>
      <c r="F152" s="13"/>
      <c r="G152" s="13"/>
      <c r="H152" s="13"/>
      <c r="I152" s="10"/>
      <c r="L152" s="456"/>
      <c r="M152" s="456"/>
      <c r="N152" s="456"/>
      <c r="O152" s="456"/>
      <c r="P152" s="456"/>
    </row>
    <row r="153" spans="1:21" ht="15.75" x14ac:dyDescent="0.25">
      <c r="A153" s="267" t="s">
        <v>96</v>
      </c>
      <c r="B153" s="10"/>
      <c r="C153" s="10"/>
      <c r="D153" s="10"/>
      <c r="E153" s="10"/>
      <c r="F153" s="13"/>
      <c r="G153" s="13"/>
      <c r="H153" s="13"/>
      <c r="I153" s="10"/>
      <c r="L153" s="456"/>
      <c r="M153" s="456"/>
      <c r="N153" s="456"/>
      <c r="O153" s="456"/>
      <c r="P153" s="456"/>
    </row>
    <row r="154" spans="1:21" ht="15.75" x14ac:dyDescent="0.25">
      <c r="A154" s="266"/>
      <c r="B154" s="10"/>
      <c r="C154" s="10"/>
      <c r="D154" s="10"/>
      <c r="E154" s="10"/>
      <c r="F154" s="13"/>
      <c r="G154" s="13"/>
      <c r="H154" s="13"/>
      <c r="I154" s="10"/>
      <c r="L154" s="456"/>
      <c r="M154" s="456"/>
      <c r="N154" s="456"/>
      <c r="O154" s="456"/>
      <c r="P154" s="456"/>
    </row>
    <row r="155" spans="1:21" ht="15.75" x14ac:dyDescent="0.25">
      <c r="A155" s="266" t="s">
        <v>97</v>
      </c>
      <c r="B155" s="10"/>
      <c r="C155" s="10"/>
      <c r="D155" s="10"/>
      <c r="E155" s="14" t="str">
        <f>CAPA!$B$6</f>
        <v>Soybean meal in bulk</v>
      </c>
      <c r="G155" s="13"/>
      <c r="H155" s="13"/>
      <c r="I155" s="10"/>
      <c r="L155" s="456"/>
      <c r="M155" s="456"/>
      <c r="N155" s="456"/>
      <c r="O155" s="456"/>
      <c r="P155" s="456"/>
    </row>
    <row r="156" spans="1:21" ht="15.75" x14ac:dyDescent="0.25">
      <c r="A156" s="266" t="s">
        <v>98</v>
      </c>
      <c r="B156" s="10"/>
      <c r="C156" s="10"/>
      <c r="D156" s="10"/>
      <c r="E156" s="14" t="str">
        <f>_xlfn.CONCAT("Port of ",Draft!$E$5)</f>
        <v>Port of Paranaguá, Br - Brazil</v>
      </c>
      <c r="G156" s="13"/>
      <c r="H156" s="13"/>
      <c r="I156" s="10"/>
      <c r="L156" s="456"/>
      <c r="M156" s="456"/>
      <c r="N156" s="456"/>
      <c r="O156" s="456"/>
      <c r="P156" s="456"/>
    </row>
    <row r="157" spans="1:21" ht="15.75" x14ac:dyDescent="0.25">
      <c r="A157" s="266" t="s">
        <v>99</v>
      </c>
      <c r="B157" s="10"/>
      <c r="C157" s="10"/>
      <c r="D157" s="10"/>
      <c r="E157" s="14" t="str">
        <f>CAPA!$B$38</f>
        <v>B.I.K - Iran</v>
      </c>
      <c r="G157" s="13"/>
      <c r="H157" s="13"/>
      <c r="I157" s="10"/>
      <c r="L157" s="456"/>
      <c r="M157" s="456"/>
      <c r="N157" s="456"/>
      <c r="O157" s="456"/>
      <c r="P157" s="456"/>
    </row>
    <row r="158" spans="1:21" ht="15.75" x14ac:dyDescent="0.25">
      <c r="A158" s="266" t="s">
        <v>100</v>
      </c>
      <c r="B158" s="10"/>
      <c r="C158" s="10"/>
      <c r="D158" s="10"/>
      <c r="E158" s="14" t="str">
        <f>CAPA!$B$36</f>
        <v>Maize in bulk</v>
      </c>
      <c r="G158" s="13"/>
      <c r="H158" s="13"/>
      <c r="I158" s="10"/>
      <c r="L158" s="456"/>
      <c r="M158" s="457" t="s">
        <v>557</v>
      </c>
      <c r="N158" s="458" t="s">
        <v>317</v>
      </c>
      <c r="O158" s="459"/>
      <c r="P158" s="459"/>
      <c r="Q158" s="10"/>
      <c r="R158" s="10"/>
      <c r="S158" s="10"/>
      <c r="T158" s="10"/>
      <c r="U158" s="10"/>
    </row>
    <row r="159" spans="1:21" ht="15.75" x14ac:dyDescent="0.25">
      <c r="A159" s="266" t="s">
        <v>101</v>
      </c>
      <c r="B159" s="10"/>
      <c r="C159" s="10"/>
      <c r="D159" s="10"/>
      <c r="E159" s="14" t="str">
        <f>CAPA!$B$37</f>
        <v>Bandar Abbas -  Iran</v>
      </c>
      <c r="G159" s="13"/>
      <c r="H159" s="13"/>
      <c r="I159" s="10"/>
      <c r="L159" s="456"/>
      <c r="M159" s="457" t="s">
        <v>558</v>
      </c>
      <c r="N159" s="458" t="s">
        <v>319</v>
      </c>
      <c r="O159" s="459"/>
      <c r="P159" s="459"/>
      <c r="Q159" s="10"/>
      <c r="R159" s="10"/>
      <c r="S159" s="10"/>
      <c r="T159" s="10"/>
      <c r="U159" s="10"/>
    </row>
    <row r="160" spans="1:21" ht="15.75" x14ac:dyDescent="0.25">
      <c r="A160" s="266"/>
      <c r="B160" s="10"/>
      <c r="C160" s="10"/>
      <c r="D160" s="10"/>
      <c r="E160" s="10"/>
      <c r="F160" s="13"/>
      <c r="G160" s="13"/>
      <c r="H160" s="13"/>
      <c r="I160" s="10"/>
      <c r="L160" s="456"/>
      <c r="M160" s="457" t="s">
        <v>559</v>
      </c>
      <c r="N160" s="458" t="s">
        <v>320</v>
      </c>
      <c r="O160" s="459"/>
      <c r="P160" s="459"/>
      <c r="Q160" s="10"/>
      <c r="R160" s="10"/>
      <c r="S160" s="10"/>
      <c r="T160" s="10"/>
      <c r="U160" s="10"/>
    </row>
    <row r="161" spans="1:21" ht="15.75" x14ac:dyDescent="0.25">
      <c r="A161" s="266"/>
      <c r="B161" s="10"/>
      <c r="C161" s="10"/>
      <c r="D161" s="10"/>
      <c r="E161" s="10"/>
      <c r="F161" s="10"/>
      <c r="G161" s="10"/>
      <c r="H161" s="10"/>
      <c r="I161" s="10"/>
      <c r="L161" s="456"/>
      <c r="M161" s="457" t="s">
        <v>560</v>
      </c>
      <c r="N161" s="458" t="s">
        <v>322</v>
      </c>
      <c r="O161" s="459"/>
      <c r="P161" s="459"/>
      <c r="Q161" s="10"/>
      <c r="R161" s="10"/>
      <c r="S161" s="10"/>
      <c r="T161" s="10"/>
      <c r="U161" s="10"/>
    </row>
    <row r="162" spans="1:21" ht="15.75" x14ac:dyDescent="0.25">
      <c r="A162" s="283" t="s">
        <v>102</v>
      </c>
      <c r="B162" s="283"/>
      <c r="C162" s="10"/>
      <c r="D162" s="10"/>
      <c r="E162" s="10"/>
      <c r="F162" s="10"/>
      <c r="G162" s="17"/>
      <c r="H162" s="749">
        <f>$I$221</f>
        <v>58913.228999999999</v>
      </c>
      <c r="I162" s="749"/>
      <c r="J162" s="10" t="s">
        <v>103</v>
      </c>
      <c r="L162" s="456"/>
      <c r="M162" s="457" t="s">
        <v>561</v>
      </c>
      <c r="N162" s="458" t="s">
        <v>323</v>
      </c>
      <c r="O162" s="459"/>
      <c r="P162" s="459"/>
      <c r="Q162" s="10"/>
      <c r="R162" s="10"/>
      <c r="S162" s="10"/>
      <c r="T162" s="10"/>
      <c r="U162" s="10"/>
    </row>
    <row r="163" spans="1:21" ht="15.75" x14ac:dyDescent="0.25">
      <c r="A163" s="266"/>
      <c r="B163" s="10"/>
      <c r="C163" s="10"/>
      <c r="D163" s="10"/>
      <c r="E163" s="10"/>
      <c r="F163" s="10"/>
      <c r="G163" s="12"/>
      <c r="H163" s="10"/>
      <c r="I163" s="10"/>
      <c r="J163" s="10"/>
      <c r="L163" s="456"/>
      <c r="M163" s="457" t="s">
        <v>559</v>
      </c>
      <c r="N163" s="458" t="s">
        <v>324</v>
      </c>
      <c r="O163" s="459"/>
      <c r="P163" s="459"/>
      <c r="Q163" s="10"/>
      <c r="R163" s="10"/>
      <c r="S163" s="10"/>
      <c r="T163" s="10"/>
      <c r="U163" s="10"/>
    </row>
    <row r="164" spans="1:21" ht="15.75" x14ac:dyDescent="0.25">
      <c r="A164" s="283" t="s">
        <v>700</v>
      </c>
      <c r="B164" s="283"/>
      <c r="C164" s="13"/>
      <c r="D164" s="13" t="s">
        <v>104</v>
      </c>
      <c r="E164" s="10"/>
      <c r="G164" s="17"/>
      <c r="H164" s="749">
        <f>$I$222</f>
        <v>59138.71079290202</v>
      </c>
      <c r="I164" s="749"/>
      <c r="J164" s="10" t="s">
        <v>103</v>
      </c>
      <c r="L164" s="456"/>
      <c r="M164" s="457" t="s">
        <v>562</v>
      </c>
      <c r="N164" s="458" t="s">
        <v>325</v>
      </c>
      <c r="O164" s="459"/>
      <c r="P164" s="459"/>
      <c r="Q164" s="10"/>
      <c r="R164" s="10"/>
      <c r="S164" s="10"/>
      <c r="T164" s="10"/>
      <c r="U164" s="10"/>
    </row>
    <row r="165" spans="1:21" ht="15.75" x14ac:dyDescent="0.25">
      <c r="A165" s="284"/>
      <c r="B165" s="284"/>
      <c r="C165" s="14"/>
      <c r="D165" s="14" t="s">
        <v>105</v>
      </c>
      <c r="E165" s="10"/>
      <c r="G165" s="17"/>
      <c r="H165" s="749">
        <f>$H$226</f>
        <v>59159.82</v>
      </c>
      <c r="I165" s="749"/>
      <c r="J165" s="10" t="s">
        <v>103</v>
      </c>
      <c r="L165" s="456"/>
      <c r="M165" s="456"/>
      <c r="N165" s="456"/>
      <c r="O165" s="456"/>
      <c r="P165" s="456"/>
    </row>
    <row r="166" spans="1:21" ht="15.75" x14ac:dyDescent="0.25">
      <c r="A166" s="284"/>
      <c r="B166" s="284"/>
      <c r="C166" s="13"/>
      <c r="D166" s="13" t="s">
        <v>106</v>
      </c>
      <c r="E166" s="13"/>
      <c r="G166" s="17"/>
      <c r="H166" s="749">
        <f>$H$227</f>
        <v>59196.66</v>
      </c>
      <c r="I166" s="749"/>
      <c r="J166" s="10" t="s">
        <v>103</v>
      </c>
      <c r="L166" s="456"/>
      <c r="M166" s="456"/>
      <c r="N166" s="456"/>
      <c r="O166" s="456"/>
      <c r="P166" s="456"/>
    </row>
    <row r="167" spans="1:21" ht="15.75" x14ac:dyDescent="0.25">
      <c r="A167" s="284"/>
      <c r="B167" s="284"/>
      <c r="C167" s="15"/>
      <c r="D167" s="15" t="str">
        <f>Relato!$D$177</f>
        <v>OWNERS:</v>
      </c>
      <c r="E167" s="15"/>
      <c r="G167" s="17"/>
      <c r="H167" s="749">
        <f>Draft!$X$84</f>
        <v>59161.493999999999</v>
      </c>
      <c r="I167" s="749"/>
      <c r="J167" s="10" t="s">
        <v>103</v>
      </c>
      <c r="L167" s="456"/>
      <c r="M167" s="456"/>
      <c r="N167" s="456"/>
      <c r="O167" s="456"/>
      <c r="P167" s="456"/>
    </row>
    <row r="168" spans="1:21" ht="15.75" x14ac:dyDescent="0.25">
      <c r="A168" s="284"/>
      <c r="B168" s="284"/>
      <c r="C168" s="15"/>
      <c r="D168" s="15" t="str">
        <f>Relato!$D$178</f>
        <v>CONSIGNEES SURVEYOR:</v>
      </c>
      <c r="E168" s="15"/>
      <c r="G168" s="17"/>
      <c r="H168" s="749">
        <f>Draft!$X$85</f>
        <v>59165.608</v>
      </c>
      <c r="I168" s="749"/>
      <c r="J168" s="10" t="s">
        <v>103</v>
      </c>
      <c r="L168" s="456"/>
      <c r="M168" s="456"/>
      <c r="N168" s="456"/>
      <c r="O168" s="456"/>
      <c r="P168" s="456"/>
    </row>
    <row r="169" spans="1:21" ht="15.75" x14ac:dyDescent="0.25">
      <c r="A169" s="284"/>
      <c r="B169" s="284"/>
      <c r="C169" s="15"/>
      <c r="D169" s="15" t="str">
        <f>Relato!$D$179</f>
        <v>SHIPPERS SURVEYOR:</v>
      </c>
      <c r="E169" s="15"/>
      <c r="G169" s="17"/>
      <c r="H169" s="749">
        <f>Draft!$X$86</f>
        <v>59150.286999999997</v>
      </c>
      <c r="I169" s="749"/>
      <c r="J169" s="10" t="s">
        <v>103</v>
      </c>
      <c r="L169" s="456"/>
      <c r="M169" s="456"/>
      <c r="N169" s="456"/>
      <c r="O169" s="456"/>
      <c r="P169" s="456"/>
    </row>
    <row r="170" spans="1:21" ht="7.5" customHeight="1" thickBot="1" x14ac:dyDescent="0.3">
      <c r="A170" s="294"/>
      <c r="B170" s="294"/>
      <c r="C170" s="295"/>
      <c r="D170" s="295"/>
      <c r="E170" s="295"/>
      <c r="F170" s="295"/>
      <c r="G170" s="296"/>
      <c r="H170" s="297"/>
      <c r="I170" s="298"/>
      <c r="J170" s="299"/>
      <c r="L170" s="456"/>
      <c r="M170" s="456"/>
      <c r="N170" s="456"/>
      <c r="O170" s="456"/>
      <c r="P170" s="456"/>
    </row>
    <row r="171" spans="1:21" ht="21" customHeight="1" thickBot="1" x14ac:dyDescent="0.45">
      <c r="A171" s="300"/>
      <c r="B171" s="297"/>
      <c r="C171" s="297"/>
      <c r="D171" s="297"/>
      <c r="E171" s="297"/>
      <c r="F171" s="301"/>
      <c r="G171" s="760" t="s">
        <v>107</v>
      </c>
      <c r="H171" s="761"/>
      <c r="I171" s="762" t="s">
        <v>108</v>
      </c>
      <c r="J171" s="763"/>
      <c r="L171" s="456"/>
      <c r="M171" s="456"/>
      <c r="N171" s="456"/>
      <c r="O171" s="456"/>
      <c r="P171" s="456"/>
    </row>
    <row r="172" spans="1:21" ht="14.1" customHeight="1" x14ac:dyDescent="0.25">
      <c r="A172" s="764" t="str">
        <f>$A$1</f>
        <v xml:space="preserve">MV "GEORGIA S" </v>
      </c>
      <c r="B172" s="765"/>
      <c r="C172" s="765"/>
      <c r="D172" s="765"/>
      <c r="E172" s="765"/>
      <c r="F172" s="766"/>
      <c r="G172" s="773" t="str">
        <f>Relato!$G$184</f>
        <v>Inner roads 9.2</v>
      </c>
      <c r="H172" s="773"/>
      <c r="I172" s="774" t="str">
        <f>Relato!$I$184</f>
        <v>Wharf 214</v>
      </c>
      <c r="J172" s="775"/>
      <c r="L172" s="456"/>
      <c r="M172" s="456"/>
      <c r="N172" s="456"/>
      <c r="O172" s="456"/>
      <c r="P172" s="456"/>
    </row>
    <row r="173" spans="1:21" ht="14.1" customHeight="1" x14ac:dyDescent="0.25">
      <c r="A173" s="767"/>
      <c r="B173" s="768"/>
      <c r="C173" s="768"/>
      <c r="D173" s="768"/>
      <c r="E173" s="768"/>
      <c r="F173" s="769"/>
      <c r="G173" s="779" t="str">
        <f>Relato!$G$185</f>
        <v>21.02.2026 - 11:10 h</v>
      </c>
      <c r="H173" s="781"/>
      <c r="I173" s="779" t="str">
        <f>Relato!$I$185</f>
        <v>28.02.2026 - 12:10 h</v>
      </c>
      <c r="J173" s="780"/>
      <c r="L173" s="456"/>
      <c r="M173" s="456"/>
      <c r="N173" s="456"/>
      <c r="O173" s="456"/>
      <c r="P173" s="456"/>
    </row>
    <row r="174" spans="1:21" ht="14.1" customHeight="1" x14ac:dyDescent="0.25">
      <c r="A174" s="770"/>
      <c r="B174" s="771"/>
      <c r="C174" s="771"/>
      <c r="D174" s="771"/>
      <c r="E174" s="771"/>
      <c r="F174" s="772"/>
      <c r="G174" s="776">
        <f>Relato!$G$186</f>
        <v>0.3</v>
      </c>
      <c r="H174" s="777"/>
      <c r="I174" s="776">
        <f>Relato!$I$186</f>
        <v>0.15</v>
      </c>
      <c r="J174" s="778"/>
      <c r="L174" s="456"/>
      <c r="M174" s="456"/>
      <c r="N174" s="456"/>
      <c r="O174" s="456"/>
      <c r="P174" s="456"/>
    </row>
    <row r="175" spans="1:21" ht="14.1" customHeight="1" x14ac:dyDescent="0.25">
      <c r="A175" s="750" t="str">
        <f>_xlfn.CONCAT("IMO NO.  ",CAPA!$B$10)</f>
        <v>IMO NO.  9502647</v>
      </c>
      <c r="B175" s="751"/>
      <c r="C175" s="751" t="str">
        <f>_xlfn.CONCAT("FLAG:  ",CAPA!$B$14)</f>
        <v>FLAG:  Portuguese</v>
      </c>
      <c r="D175" s="751"/>
      <c r="E175" s="751" t="str">
        <f>_xlfn.CONCAT("BUILD:  ",CAPA!$B$9)</f>
        <v>BUILD:  2011</v>
      </c>
      <c r="F175" s="752"/>
      <c r="G175" s="753" t="str">
        <f>CONCATENATE("Wind force ",TEXT(Draft!$O$8,"00"))</f>
        <v>Wind force 02</v>
      </c>
      <c r="H175" s="754"/>
      <c r="I175" s="753" t="str">
        <f>Relato!$I$187</f>
        <v>Wind force 02</v>
      </c>
      <c r="J175" s="755"/>
      <c r="L175" s="456"/>
      <c r="M175" s="456"/>
      <c r="N175" s="456"/>
      <c r="O175" s="456"/>
      <c r="P175" s="456"/>
    </row>
    <row r="176" spans="1:21" ht="14.1" customHeight="1" x14ac:dyDescent="0.25">
      <c r="A176" s="443" t="str">
        <f>IF(Draft!H84="NÃO","DRAUGHT SURVEY CERTIFICATE","FULL DISPLACEMENT SURVEY CERTIFICATE")</f>
        <v>DRAUGHT SURVEY CERTIFICATE</v>
      </c>
      <c r="B176" s="302"/>
      <c r="C176" s="302"/>
      <c r="D176" s="302"/>
      <c r="E176" s="302"/>
      <c r="F176" s="303"/>
      <c r="G176" s="753" t="str">
        <f>Draft!$E$8</f>
        <v>No tide flow</v>
      </c>
      <c r="H176" s="754"/>
      <c r="I176" s="753" t="str">
        <f>Relato!$I$188</f>
        <v>Flood tide, &lt; 1knot</v>
      </c>
      <c r="J176" s="755"/>
      <c r="L176" s="456"/>
      <c r="M176" s="456"/>
      <c r="N176" s="456"/>
      <c r="O176" s="456"/>
      <c r="P176" s="456"/>
    </row>
    <row r="177" spans="1:16" ht="14.1" customHeight="1" thickBot="1" x14ac:dyDescent="0.3">
      <c r="A177" s="444" t="str">
        <f>$G$3</f>
        <v>PGUA/DS/058/26</v>
      </c>
      <c r="B177" s="304"/>
      <c r="C177" s="304"/>
      <c r="D177" s="304"/>
      <c r="E177" s="304"/>
      <c r="F177" s="305"/>
      <c r="G177" s="782" t="str">
        <f>Relato!$G$189</f>
        <v>Weather:   Rainy</v>
      </c>
      <c r="H177" s="783"/>
      <c r="I177" s="784" t="str">
        <f>Relato!$I$189</f>
        <v>Weather:   Fine</v>
      </c>
      <c r="J177" s="785"/>
      <c r="L177" s="456"/>
      <c r="M177" s="456"/>
      <c r="N177" s="456"/>
      <c r="O177" s="456"/>
      <c r="P177" s="456"/>
    </row>
    <row r="178" spans="1:16" ht="3.75" customHeight="1" thickBot="1" x14ac:dyDescent="0.3">
      <c r="A178" s="306"/>
      <c r="B178" s="306"/>
      <c r="C178" s="306"/>
      <c r="D178" s="306"/>
      <c r="E178" s="306"/>
      <c r="F178" s="307"/>
      <c r="G178" s="306"/>
      <c r="H178" s="306"/>
      <c r="I178" s="308"/>
      <c r="J178" s="309"/>
      <c r="L178" s="456"/>
      <c r="M178" s="456"/>
      <c r="N178" s="456"/>
      <c r="O178" s="456"/>
      <c r="P178" s="456"/>
    </row>
    <row r="179" spans="1:16" ht="12.95" customHeight="1" x14ac:dyDescent="0.25">
      <c r="A179" s="326" t="s">
        <v>701</v>
      </c>
      <c r="B179" s="336"/>
      <c r="C179" s="336"/>
      <c r="D179" s="336"/>
      <c r="E179" s="336"/>
      <c r="F179" s="337"/>
      <c r="G179" s="756" t="s">
        <v>109</v>
      </c>
      <c r="H179" s="757"/>
      <c r="I179" s="758" t="s">
        <v>110</v>
      </c>
      <c r="J179" s="759"/>
      <c r="L179" s="456"/>
      <c r="M179" s="456"/>
      <c r="N179" s="456"/>
      <c r="O179" s="456"/>
      <c r="P179" s="456"/>
    </row>
    <row r="180" spans="1:16" ht="12.95" customHeight="1" x14ac:dyDescent="0.25">
      <c r="A180" s="338" t="s">
        <v>111</v>
      </c>
      <c r="B180" s="312"/>
      <c r="C180" s="312"/>
      <c r="D180" s="312"/>
      <c r="E180" s="312"/>
      <c r="F180" s="313"/>
      <c r="G180" s="794">
        <f>Draft!$C$25</f>
        <v>5.05</v>
      </c>
      <c r="H180" s="795"/>
      <c r="I180" s="796">
        <f>Draft!$U$25</f>
        <v>12.32</v>
      </c>
      <c r="J180" s="797"/>
      <c r="L180" s="456"/>
      <c r="M180" s="456"/>
      <c r="N180" s="456"/>
      <c r="O180" s="456"/>
      <c r="P180" s="456"/>
    </row>
    <row r="181" spans="1:16" ht="12.95" customHeight="1" x14ac:dyDescent="0.25">
      <c r="A181" s="448" t="s">
        <v>112</v>
      </c>
      <c r="B181" s="315"/>
      <c r="C181" s="315"/>
      <c r="D181" s="315"/>
      <c r="E181" s="315"/>
      <c r="F181" s="316"/>
      <c r="G181" s="798">
        <f>Draft!$G$25</f>
        <v>5.09</v>
      </c>
      <c r="H181" s="799"/>
      <c r="I181" s="800">
        <f>Draft!$Y$25</f>
        <v>12.28</v>
      </c>
      <c r="J181" s="801"/>
      <c r="L181" s="456"/>
      <c r="M181" s="456"/>
      <c r="N181" s="456"/>
      <c r="O181" s="456"/>
      <c r="P181" s="456"/>
    </row>
    <row r="182" spans="1:16" ht="12.95" customHeight="1" x14ac:dyDescent="0.25">
      <c r="A182" s="339" t="s">
        <v>113</v>
      </c>
      <c r="B182" s="315"/>
      <c r="C182" s="315"/>
      <c r="D182" s="315"/>
      <c r="E182" s="315"/>
      <c r="F182" s="316"/>
      <c r="G182" s="798">
        <f>($G$180+$G$181)/2</f>
        <v>5.07</v>
      </c>
      <c r="H182" s="799"/>
      <c r="I182" s="798">
        <f>($I$180+$I$181)/2</f>
        <v>12.3</v>
      </c>
      <c r="J182" s="801"/>
      <c r="L182" s="456"/>
      <c r="M182" s="456"/>
      <c r="N182" s="456"/>
      <c r="O182" s="456"/>
      <c r="P182" s="456"/>
    </row>
    <row r="183" spans="1:16" ht="12.95" customHeight="1" x14ac:dyDescent="0.25">
      <c r="A183" s="448" t="s">
        <v>114</v>
      </c>
      <c r="B183" s="314"/>
      <c r="C183" s="314"/>
      <c r="D183" s="314"/>
      <c r="E183" s="314"/>
      <c r="F183" s="317"/>
      <c r="G183" s="786">
        <f>Draft!$M$25</f>
        <v>-5.740000000000034E-2</v>
      </c>
      <c r="H183" s="787"/>
      <c r="I183" s="788">
        <f>Draft!$AE$25</f>
        <v>-1.980000000000004E-2</v>
      </c>
      <c r="J183" s="789"/>
      <c r="L183" s="456"/>
      <c r="M183" s="456"/>
      <c r="N183" s="456"/>
      <c r="O183" s="456"/>
      <c r="P183" s="456"/>
    </row>
    <row r="184" spans="1:16" ht="12.95" customHeight="1" x14ac:dyDescent="0.25">
      <c r="A184" s="330" t="s">
        <v>702</v>
      </c>
      <c r="B184" s="310"/>
      <c r="C184" s="310"/>
      <c r="D184" s="310"/>
      <c r="E184" s="310"/>
      <c r="F184" s="311"/>
      <c r="G184" s="790">
        <f>Draft!$P$25</f>
        <v>5.0125999999999999</v>
      </c>
      <c r="H184" s="791"/>
      <c r="I184" s="792">
        <f>Draft!$AH$25</f>
        <v>12.280200000000001</v>
      </c>
      <c r="J184" s="793"/>
      <c r="L184" s="456"/>
      <c r="M184" s="456"/>
      <c r="N184" s="456"/>
      <c r="O184" s="456"/>
      <c r="P184" s="456"/>
    </row>
    <row r="185" spans="1:16" ht="12.95" customHeight="1" x14ac:dyDescent="0.25">
      <c r="A185" s="338" t="s">
        <v>115</v>
      </c>
      <c r="B185" s="312"/>
      <c r="C185" s="312"/>
      <c r="D185" s="312"/>
      <c r="E185" s="312"/>
      <c r="F185" s="313"/>
      <c r="G185" s="794">
        <f>Draft!$C$26</f>
        <v>6.26</v>
      </c>
      <c r="H185" s="795"/>
      <c r="I185" s="796">
        <f>Draft!$U$26</f>
        <v>12.47</v>
      </c>
      <c r="J185" s="797"/>
      <c r="L185" s="456"/>
      <c r="M185" s="456"/>
      <c r="N185" s="456"/>
      <c r="O185" s="456"/>
      <c r="P185" s="456"/>
    </row>
    <row r="186" spans="1:16" ht="12.95" customHeight="1" x14ac:dyDescent="0.25">
      <c r="A186" s="448" t="s">
        <v>116</v>
      </c>
      <c r="B186" s="315"/>
      <c r="C186" s="315"/>
      <c r="D186" s="315"/>
      <c r="E186" s="315"/>
      <c r="F186" s="316"/>
      <c r="G186" s="798">
        <f>Draft!$G$26</f>
        <v>6.3</v>
      </c>
      <c r="H186" s="799"/>
      <c r="I186" s="800">
        <f>Draft!$Y$26</f>
        <v>12.24</v>
      </c>
      <c r="J186" s="801"/>
      <c r="L186" s="456"/>
      <c r="M186" s="456"/>
      <c r="N186" s="456"/>
      <c r="O186" s="456"/>
      <c r="P186" s="456"/>
    </row>
    <row r="187" spans="1:16" ht="12.95" customHeight="1" x14ac:dyDescent="0.25">
      <c r="A187" s="339" t="s">
        <v>117</v>
      </c>
      <c r="B187" s="315"/>
      <c r="C187" s="315"/>
      <c r="D187" s="315"/>
      <c r="E187" s="315"/>
      <c r="F187" s="316"/>
      <c r="G187" s="798">
        <f>($G$185+$G$186)/2</f>
        <v>6.2799999999999994</v>
      </c>
      <c r="H187" s="799"/>
      <c r="I187" s="798">
        <f>($I$185+$I$186)/2</f>
        <v>12.355</v>
      </c>
      <c r="J187" s="801"/>
      <c r="L187" s="456"/>
      <c r="M187" s="456"/>
      <c r="N187" s="456"/>
      <c r="O187" s="456"/>
      <c r="P187" s="456"/>
    </row>
    <row r="188" spans="1:16" ht="12.95" customHeight="1" x14ac:dyDescent="0.25">
      <c r="A188" s="448" t="s">
        <v>118</v>
      </c>
      <c r="B188" s="314"/>
      <c r="C188" s="314"/>
      <c r="D188" s="314"/>
      <c r="E188" s="314"/>
      <c r="F188" s="317"/>
      <c r="G188" s="786">
        <f>Draft!$M$26</f>
        <v>-3.4299999999999109E-2</v>
      </c>
      <c r="H188" s="787"/>
      <c r="I188" s="788">
        <f>Draft!$AE$26</f>
        <v>-1.9300000000001205E-2</v>
      </c>
      <c r="J188" s="789"/>
      <c r="L188" s="456"/>
      <c r="M188" s="456"/>
      <c r="N188" s="456"/>
      <c r="O188" s="456"/>
      <c r="P188" s="456"/>
    </row>
    <row r="189" spans="1:16" ht="12.95" customHeight="1" x14ac:dyDescent="0.25">
      <c r="A189" s="330" t="s">
        <v>703</v>
      </c>
      <c r="B189" s="310"/>
      <c r="C189" s="310"/>
      <c r="D189" s="310"/>
      <c r="E189" s="310"/>
      <c r="F189" s="311"/>
      <c r="G189" s="790">
        <f>Draft!$P$26</f>
        <v>6.2457000000000003</v>
      </c>
      <c r="H189" s="791"/>
      <c r="I189" s="792">
        <f>Draft!$AH$26</f>
        <v>12.335699999999999</v>
      </c>
      <c r="J189" s="793"/>
      <c r="L189" s="456"/>
      <c r="M189" s="456"/>
      <c r="N189" s="456"/>
      <c r="O189" s="456"/>
      <c r="P189" s="456"/>
    </row>
    <row r="190" spans="1:16" ht="12.95" customHeight="1" x14ac:dyDescent="0.25">
      <c r="A190" s="338" t="s">
        <v>119</v>
      </c>
      <c r="B190" s="312"/>
      <c r="C190" s="312"/>
      <c r="D190" s="312"/>
      <c r="E190" s="312"/>
      <c r="F190" s="313"/>
      <c r="G190" s="794">
        <f>Draft!$C$27</f>
        <v>7.6</v>
      </c>
      <c r="H190" s="795"/>
      <c r="I190" s="796">
        <f>Draft!$U$27</f>
        <v>12.43</v>
      </c>
      <c r="J190" s="797"/>
      <c r="L190" s="456"/>
      <c r="M190" s="456"/>
      <c r="N190" s="456"/>
      <c r="O190" s="456"/>
      <c r="P190" s="456"/>
    </row>
    <row r="191" spans="1:16" ht="12.95" customHeight="1" x14ac:dyDescent="0.25">
      <c r="A191" s="339" t="s">
        <v>120</v>
      </c>
      <c r="B191" s="315"/>
      <c r="C191" s="315"/>
      <c r="D191" s="315"/>
      <c r="E191" s="315"/>
      <c r="F191" s="316"/>
      <c r="G191" s="798">
        <f>Draft!$G$27</f>
        <v>7.6</v>
      </c>
      <c r="H191" s="799"/>
      <c r="I191" s="800">
        <f>Draft!$Y$27</f>
        <v>12.28</v>
      </c>
      <c r="J191" s="801"/>
      <c r="L191" s="456"/>
      <c r="M191" s="456"/>
      <c r="N191" s="456"/>
      <c r="O191" s="456"/>
      <c r="P191" s="456"/>
    </row>
    <row r="192" spans="1:16" ht="12.95" customHeight="1" x14ac:dyDescent="0.25">
      <c r="A192" s="339" t="s">
        <v>121</v>
      </c>
      <c r="B192" s="315"/>
      <c r="C192" s="315"/>
      <c r="D192" s="315"/>
      <c r="E192" s="315"/>
      <c r="F192" s="316"/>
      <c r="G192" s="798">
        <f>($G$190+$G$191)/2</f>
        <v>7.6</v>
      </c>
      <c r="H192" s="799"/>
      <c r="I192" s="798">
        <f>($I$190+$I$191)/2</f>
        <v>12.355</v>
      </c>
      <c r="J192" s="801"/>
      <c r="L192" s="456"/>
      <c r="M192" s="456"/>
      <c r="N192" s="456"/>
      <c r="O192" s="456"/>
      <c r="P192" s="456"/>
    </row>
    <row r="193" spans="1:16" ht="12.95" customHeight="1" x14ac:dyDescent="0.25">
      <c r="A193" s="448" t="s">
        <v>122</v>
      </c>
      <c r="B193" s="314"/>
      <c r="C193" s="314"/>
      <c r="D193" s="314"/>
      <c r="E193" s="314"/>
      <c r="F193" s="317"/>
      <c r="G193" s="786">
        <f>Draft!$M$27</f>
        <v>7.2900000000000631E-2</v>
      </c>
      <c r="H193" s="787"/>
      <c r="I193" s="788">
        <f>Draft!$AE$27</f>
        <v>-1.7000000000001236E-2</v>
      </c>
      <c r="J193" s="789"/>
      <c r="L193" s="456"/>
      <c r="M193" s="456"/>
      <c r="N193" s="456"/>
      <c r="O193" s="456"/>
      <c r="P193" s="456"/>
    </row>
    <row r="194" spans="1:16" ht="12.95" customHeight="1" x14ac:dyDescent="0.25">
      <c r="A194" s="330" t="s">
        <v>704</v>
      </c>
      <c r="B194" s="310"/>
      <c r="C194" s="310"/>
      <c r="D194" s="310"/>
      <c r="E194" s="310"/>
      <c r="F194" s="311"/>
      <c r="G194" s="790">
        <f>Draft!$P$27</f>
        <v>7.6729000000000003</v>
      </c>
      <c r="H194" s="791"/>
      <c r="I194" s="792">
        <f>Draft!$AH$27</f>
        <v>12.337999999999999</v>
      </c>
      <c r="J194" s="793"/>
      <c r="L194" s="456"/>
      <c r="M194" s="456"/>
      <c r="N194" s="456"/>
      <c r="O194" s="456"/>
      <c r="P194" s="456"/>
    </row>
    <row r="195" spans="1:16" ht="12.95" customHeight="1" thickBot="1" x14ac:dyDescent="0.3">
      <c r="A195" s="449" t="s">
        <v>123</v>
      </c>
      <c r="B195" s="318"/>
      <c r="C195" s="318"/>
      <c r="D195" s="318"/>
      <c r="E195" s="318"/>
      <c r="F195" s="319"/>
      <c r="G195" s="802">
        <f>Draft!$O$20+Draft!$H$18</f>
        <v>1.9E-2</v>
      </c>
      <c r="H195" s="803"/>
      <c r="I195" s="804">
        <f>$G$195</f>
        <v>1.9E-2</v>
      </c>
      <c r="J195" s="805"/>
      <c r="L195" s="456"/>
      <c r="M195" s="456"/>
      <c r="N195" s="456"/>
      <c r="O195" s="456"/>
      <c r="P195" s="456"/>
    </row>
    <row r="196" spans="1:16" ht="12.95" customHeight="1" thickBot="1" x14ac:dyDescent="0.3">
      <c r="A196" s="340" t="s">
        <v>574</v>
      </c>
      <c r="B196" s="341"/>
      <c r="C196" s="341"/>
      <c r="D196" s="341"/>
      <c r="E196" s="341"/>
      <c r="F196" s="342"/>
      <c r="G196" s="848">
        <f>Draft!$M$37</f>
        <v>1.0062139312766227E-2</v>
      </c>
      <c r="H196" s="849"/>
      <c r="I196" s="848">
        <f>Draft!$AE$37</f>
        <v>-3.7315810106388625E-3</v>
      </c>
      <c r="J196" s="849"/>
      <c r="L196" s="456"/>
      <c r="M196" s="456"/>
      <c r="N196" s="456"/>
      <c r="O196" s="456"/>
      <c r="P196" s="456"/>
    </row>
    <row r="197" spans="1:16" ht="12.95" customHeight="1" thickBot="1" x14ac:dyDescent="0.3">
      <c r="A197" s="450" t="s">
        <v>575</v>
      </c>
      <c r="B197" s="320"/>
      <c r="C197" s="320"/>
      <c r="D197" s="320"/>
      <c r="E197" s="320"/>
      <c r="F197" s="321"/>
      <c r="G197" s="806">
        <f>Draft!$M$39</f>
        <v>6.2800246393127663</v>
      </c>
      <c r="H197" s="807"/>
      <c r="I197" s="806">
        <f>Draft!$AE$39</f>
        <v>12.32531841898936</v>
      </c>
      <c r="J197" s="808"/>
      <c r="L197" s="456"/>
      <c r="M197" s="456"/>
      <c r="N197" s="456"/>
      <c r="O197" s="456"/>
      <c r="P197" s="456"/>
    </row>
    <row r="198" spans="1:16" ht="3.75" customHeight="1" thickBot="1" x14ac:dyDescent="0.3">
      <c r="A198" s="455"/>
      <c r="B198" s="322"/>
      <c r="C198" s="322"/>
      <c r="D198" s="322"/>
      <c r="E198" s="322"/>
      <c r="F198" s="322"/>
      <c r="G198" s="323"/>
      <c r="H198" s="324"/>
      <c r="I198" s="325"/>
      <c r="J198" s="351"/>
      <c r="L198" s="456"/>
      <c r="M198" s="456"/>
      <c r="N198" s="456"/>
      <c r="O198" s="456"/>
      <c r="P198" s="456"/>
    </row>
    <row r="199" spans="1:16" ht="12.95" customHeight="1" x14ac:dyDescent="0.25">
      <c r="A199" s="326" t="s">
        <v>125</v>
      </c>
      <c r="B199" s="327"/>
      <c r="C199" s="327"/>
      <c r="D199" s="327"/>
      <c r="E199" s="327"/>
      <c r="F199" s="328"/>
      <c r="G199" s="329" t="str">
        <f>IF(G194=0,"",IF(G194&gt;G184,"BY STERN","BY HEAD"))</f>
        <v>BY STERN</v>
      </c>
      <c r="H199" s="396">
        <f>Draft!$P$29</f>
        <v>2.6603000000000003</v>
      </c>
      <c r="I199" s="329" t="str">
        <f>IF(I194=0,"",IF(I194&gt;I184,"BY STERN","BY HEAD"))</f>
        <v>BY STERN</v>
      </c>
      <c r="J199" s="445">
        <f>Draft!$AH$29</f>
        <v>5.7799999999998519E-2</v>
      </c>
      <c r="L199" s="456"/>
      <c r="M199" s="456"/>
      <c r="N199" s="456"/>
      <c r="O199" s="456"/>
      <c r="P199" s="456"/>
    </row>
    <row r="200" spans="1:16" ht="12.95" customHeight="1" x14ac:dyDescent="0.25">
      <c r="A200" s="330" t="s">
        <v>126</v>
      </c>
      <c r="B200" s="331"/>
      <c r="C200" s="331"/>
      <c r="D200" s="331"/>
      <c r="E200" s="331"/>
      <c r="F200" s="332"/>
      <c r="G200" s="333" t="str">
        <f>_xlfn.CONCAT(Draft!$P$35," ",TEXT(Draft!$M$35,"0.00")," º")</f>
        <v>S 000 º</v>
      </c>
      <c r="H200" s="397">
        <f>Draft!$G$35</f>
        <v>4</v>
      </c>
      <c r="I200" s="333" t="str">
        <f>_xlfn.CONCAT(Draft!$AH$35," ",TEXT(Draft!$AE$35,"0.00")," º")</f>
        <v>P 000 º</v>
      </c>
      <c r="J200" s="446">
        <f>Draft!$Y$35</f>
        <v>23</v>
      </c>
      <c r="L200" s="456"/>
      <c r="M200" s="456"/>
      <c r="N200" s="456"/>
      <c r="O200" s="456"/>
      <c r="P200" s="456"/>
    </row>
    <row r="201" spans="1:16" ht="12.95" customHeight="1" thickBot="1" x14ac:dyDescent="0.3">
      <c r="A201" s="334" t="s">
        <v>128</v>
      </c>
      <c r="B201" s="299"/>
      <c r="C201" s="299"/>
      <c r="D201" s="299"/>
      <c r="E201" s="299"/>
      <c r="F201" s="335"/>
      <c r="G201" s="399" t="str">
        <f>Draft!$M$33</f>
        <v>HOGGING</v>
      </c>
      <c r="H201" s="398">
        <f>Draft!$G$33</f>
        <v>9.7050000000000303</v>
      </c>
      <c r="I201" s="399" t="str">
        <f>Draft!$AE$33</f>
        <v>SAGGING</v>
      </c>
      <c r="J201" s="447">
        <f>Draft!$Y$33</f>
        <v>2.6599999999998403</v>
      </c>
      <c r="L201" s="456"/>
      <c r="M201" s="456"/>
      <c r="N201" s="456"/>
      <c r="O201" s="456"/>
      <c r="P201" s="456"/>
    </row>
    <row r="202" spans="1:16" ht="3.75" customHeight="1" thickBot="1" x14ac:dyDescent="0.3">
      <c r="A202" s="314"/>
      <c r="B202" s="314"/>
      <c r="C202" s="314"/>
      <c r="D202" s="314"/>
      <c r="E202" s="314"/>
      <c r="F202" s="314"/>
      <c r="G202" s="314"/>
      <c r="H202" s="314"/>
      <c r="I202" s="325"/>
      <c r="J202" s="309"/>
      <c r="L202" s="456"/>
      <c r="M202" s="456"/>
      <c r="N202" s="456"/>
      <c r="O202" s="456"/>
      <c r="P202" s="456"/>
    </row>
    <row r="203" spans="1:16" ht="12.95" customHeight="1" x14ac:dyDescent="0.25">
      <c r="A203" s="326" t="s">
        <v>129</v>
      </c>
      <c r="B203" s="336"/>
      <c r="C203" s="336"/>
      <c r="D203" s="336"/>
      <c r="E203" s="336"/>
      <c r="F203" s="337"/>
      <c r="G203" s="756" t="s">
        <v>109</v>
      </c>
      <c r="H203" s="757"/>
      <c r="I203" s="809" t="s">
        <v>110</v>
      </c>
      <c r="J203" s="810"/>
      <c r="L203" s="456"/>
      <c r="M203" s="456"/>
      <c r="N203" s="456"/>
      <c r="O203" s="456"/>
      <c r="P203" s="456"/>
    </row>
    <row r="204" spans="1:16" ht="12.95" customHeight="1" x14ac:dyDescent="0.25">
      <c r="A204" s="338" t="s">
        <v>130</v>
      </c>
      <c r="B204" s="312"/>
      <c r="C204" s="312"/>
      <c r="D204" s="312"/>
      <c r="E204" s="312"/>
      <c r="F204" s="313"/>
      <c r="G204" s="817">
        <f>Draft!$M$43</f>
        <v>36689.83</v>
      </c>
      <c r="H204" s="818"/>
      <c r="I204" s="817">
        <f>Draft!$AE$43</f>
        <v>75923.350000000006</v>
      </c>
      <c r="J204" s="819"/>
      <c r="L204" s="456"/>
      <c r="M204" s="456"/>
      <c r="N204" s="456"/>
      <c r="O204" s="456"/>
      <c r="P204" s="456"/>
    </row>
    <row r="205" spans="1:16" ht="12.95" customHeight="1" x14ac:dyDescent="0.25">
      <c r="A205" s="339" t="s">
        <v>131</v>
      </c>
      <c r="B205" s="315"/>
      <c r="C205" s="315"/>
      <c r="D205" s="315"/>
      <c r="E205" s="315"/>
      <c r="F205" s="316"/>
      <c r="G205" s="820">
        <f>Draft!$N$57</f>
        <v>-495.66031897769579</v>
      </c>
      <c r="H205" s="821"/>
      <c r="I205" s="820">
        <f>Draft!$AF$57</f>
        <v>3.0603847524607595</v>
      </c>
      <c r="J205" s="822"/>
      <c r="L205" s="456"/>
      <c r="M205" s="456"/>
      <c r="N205" s="456"/>
      <c r="O205" s="456"/>
      <c r="P205" s="456"/>
    </row>
    <row r="206" spans="1:16" ht="12.95" customHeight="1" x14ac:dyDescent="0.25">
      <c r="A206" s="339" t="s">
        <v>132</v>
      </c>
      <c r="B206" s="315"/>
      <c r="C206" s="315"/>
      <c r="D206" s="315"/>
      <c r="E206" s="315"/>
      <c r="F206" s="316"/>
      <c r="G206" s="820">
        <f>Draft!$N$58</f>
        <v>41.817423164046104</v>
      </c>
      <c r="H206" s="821"/>
      <c r="I206" s="820">
        <f>Draft!$AF$58</f>
        <v>2.3669928377878992E-2</v>
      </c>
      <c r="J206" s="822"/>
      <c r="L206" s="456"/>
      <c r="M206" s="456"/>
      <c r="N206" s="456"/>
      <c r="O206" s="456"/>
      <c r="P206" s="456"/>
    </row>
    <row r="207" spans="1:16" ht="12.95" customHeight="1" x14ac:dyDescent="0.25">
      <c r="A207" s="339" t="s">
        <v>133</v>
      </c>
      <c r="B207" s="315"/>
      <c r="C207" s="315"/>
      <c r="D207" s="315"/>
      <c r="E207" s="315"/>
      <c r="F207" s="316"/>
      <c r="G207" s="811">
        <f>Draft!$N$61</f>
        <v>36235.987104186352</v>
      </c>
      <c r="H207" s="812"/>
      <c r="I207" s="811">
        <f>Draft!$AF$61</f>
        <v>75926.434054680838</v>
      </c>
      <c r="J207" s="813"/>
      <c r="L207" s="456"/>
      <c r="M207" s="456"/>
      <c r="N207" s="456"/>
      <c r="O207" s="456"/>
      <c r="P207" s="456"/>
    </row>
    <row r="208" spans="1:16" ht="12.95" customHeight="1" x14ac:dyDescent="0.25">
      <c r="A208" s="339" t="s">
        <v>134</v>
      </c>
      <c r="B208" s="315"/>
      <c r="C208" s="315"/>
      <c r="D208" s="315"/>
      <c r="E208" s="315"/>
      <c r="F208" s="316"/>
      <c r="G208" s="814">
        <f>Draft!$H$62</f>
        <v>1.0149999999999999</v>
      </c>
      <c r="H208" s="815"/>
      <c r="I208" s="814">
        <f>Draft!$Z$62</f>
        <v>1.0145</v>
      </c>
      <c r="J208" s="816"/>
      <c r="L208" s="456"/>
      <c r="M208" s="456"/>
      <c r="N208" s="456"/>
      <c r="O208" s="456"/>
      <c r="P208" s="456"/>
    </row>
    <row r="209" spans="1:16" ht="12.95" customHeight="1" x14ac:dyDescent="0.25">
      <c r="A209" s="339" t="s">
        <v>705</v>
      </c>
      <c r="B209" s="315"/>
      <c r="C209" s="315"/>
      <c r="D209" s="315"/>
      <c r="E209" s="315"/>
      <c r="F209" s="316"/>
      <c r="G209" s="811">
        <f>Draft!$N$63</f>
        <v>35882.465278779651</v>
      </c>
      <c r="H209" s="812"/>
      <c r="I209" s="811">
        <f>Draft!$AF$63</f>
        <v>75148.65107168167</v>
      </c>
      <c r="J209" s="813"/>
      <c r="L209" s="456"/>
      <c r="M209" s="456"/>
      <c r="N209" s="456"/>
      <c r="O209" s="456"/>
      <c r="P209" s="456"/>
    </row>
    <row r="210" spans="1:16" ht="12.95" customHeight="1" thickBot="1" x14ac:dyDescent="0.3">
      <c r="A210" s="340" t="s">
        <v>706</v>
      </c>
      <c r="B210" s="341"/>
      <c r="C210" s="341"/>
      <c r="D210" s="341"/>
      <c r="E210" s="341"/>
      <c r="F210" s="342"/>
      <c r="G210" s="834">
        <f>Draft!$H$72</f>
        <v>21557.986000000001</v>
      </c>
      <c r="H210" s="835"/>
      <c r="I210" s="834">
        <f>Draft!$AF$72</f>
        <v>1656.8610000000001</v>
      </c>
      <c r="J210" s="836"/>
      <c r="L210" s="456"/>
      <c r="M210" s="456"/>
      <c r="N210" s="456"/>
      <c r="O210" s="456"/>
      <c r="P210" s="456"/>
    </row>
    <row r="211" spans="1:16" ht="12.95" customHeight="1" thickBot="1" x14ac:dyDescent="0.3">
      <c r="A211" s="619" t="s">
        <v>707</v>
      </c>
      <c r="B211" s="620"/>
      <c r="C211" s="620"/>
      <c r="D211" s="620"/>
      <c r="E211" s="620"/>
      <c r="F211" s="620"/>
      <c r="G211" s="837">
        <f>Draft!$N$74</f>
        <v>14324.47927877965</v>
      </c>
      <c r="H211" s="838"/>
      <c r="I211" s="837">
        <f>Draft!$AF$74</f>
        <v>73491.790071681666</v>
      </c>
      <c r="J211" s="839"/>
      <c r="K211" s="451"/>
      <c r="L211" s="456"/>
      <c r="M211" s="456"/>
      <c r="N211" s="456"/>
      <c r="O211" s="456"/>
      <c r="P211" s="456"/>
    </row>
    <row r="212" spans="1:16" ht="12.95" customHeight="1" x14ac:dyDescent="0.25">
      <c r="A212" s="343" t="s">
        <v>611</v>
      </c>
      <c r="B212" s="344"/>
      <c r="C212" s="344"/>
      <c r="D212" s="344"/>
      <c r="E212" s="344"/>
      <c r="F212" s="345"/>
      <c r="G212" s="840">
        <f>Draft!$H$75</f>
        <v>13719</v>
      </c>
      <c r="H212" s="841"/>
      <c r="I212" s="346"/>
      <c r="J212" s="347"/>
      <c r="L212" s="456"/>
      <c r="M212" s="456"/>
      <c r="N212" s="456"/>
      <c r="O212" s="456"/>
      <c r="P212" s="456"/>
    </row>
    <row r="213" spans="1:16" ht="12.95" customHeight="1" x14ac:dyDescent="0.25">
      <c r="A213" s="348" t="str">
        <f>IF(Draft!H84="NÃO","Calculated constant","Declared constant")</f>
        <v>Calculated constant</v>
      </c>
      <c r="B213" s="349"/>
      <c r="C213" s="349"/>
      <c r="D213" s="349"/>
      <c r="E213" s="349"/>
      <c r="F213" s="350"/>
      <c r="G213" s="842">
        <f>Draft!$N$77</f>
        <v>634.07927877965085</v>
      </c>
      <c r="H213" s="843"/>
      <c r="I213" s="325"/>
      <c r="J213" s="351"/>
      <c r="L213" s="456"/>
      <c r="M213" s="456"/>
      <c r="N213" s="456"/>
      <c r="O213" s="456"/>
      <c r="P213" s="456"/>
    </row>
    <row r="214" spans="1:16" ht="12.95" customHeight="1" x14ac:dyDescent="0.25">
      <c r="A214" s="352" t="s">
        <v>708</v>
      </c>
      <c r="B214" s="353"/>
      <c r="C214" s="353"/>
      <c r="D214" s="353"/>
      <c r="E214" s="353"/>
      <c r="F214" s="354"/>
      <c r="G214" s="824">
        <f>Draft!$H$76</f>
        <v>28.6</v>
      </c>
      <c r="H214" s="825"/>
      <c r="I214" s="824">
        <f>Draft!$Z$76</f>
        <v>0</v>
      </c>
      <c r="J214" s="826"/>
      <c r="L214" s="456"/>
      <c r="M214" s="456"/>
      <c r="N214" s="456"/>
      <c r="O214" s="456"/>
      <c r="P214" s="456"/>
    </row>
    <row r="215" spans="1:16" ht="12.95" customHeight="1" thickBot="1" x14ac:dyDescent="0.3">
      <c r="A215" s="355" t="str">
        <f>IF(I211=0,"",IF(I211&gt;G211,"Total cargo loaded on board as per draught survey","Total cargo discharged as per draught survey"))</f>
        <v>Total cargo loaded on board as per draught survey</v>
      </c>
      <c r="B215" s="356"/>
      <c r="C215" s="356"/>
      <c r="D215" s="356"/>
      <c r="E215" s="356"/>
      <c r="F215" s="356"/>
      <c r="G215" s="357"/>
      <c r="H215" s="358"/>
      <c r="I215" s="827">
        <f>Draft!$AF$77</f>
        <v>59138.71079290202</v>
      </c>
      <c r="J215" s="828"/>
      <c r="L215" s="469" t="str">
        <f>_xlfn.CONCAT(Draft!$AQ$32,Draft!$AQ$33," on initial draft survey")</f>
        <v>hogging on initial draft survey</v>
      </c>
      <c r="M215" s="469" t="str">
        <f>IF($L$215="sagging on initial draft survey",1,"")</f>
        <v/>
      </c>
      <c r="N215" s="456">
        <f>IF($L$215="hogging on initial draft survey",1,"")</f>
        <v>1</v>
      </c>
      <c r="O215" s="460" t="str">
        <f>IF(SUM($M$215:$N$215)=1,$L$215,"")</f>
        <v>hogging on initial draft survey</v>
      </c>
      <c r="P215" s="470" t="str">
        <f>IF(O215=1,L215,"")</f>
        <v/>
      </c>
    </row>
    <row r="216" spans="1:16" ht="3.75" customHeight="1" thickBot="1" x14ac:dyDescent="0.3">
      <c r="A216" s="306"/>
      <c r="B216" s="306"/>
      <c r="C216" s="306"/>
      <c r="D216" s="306"/>
      <c r="E216" s="306"/>
      <c r="F216" s="306"/>
      <c r="G216" s="306"/>
      <c r="H216" s="306"/>
      <c r="I216" s="308"/>
      <c r="J216" s="309"/>
      <c r="L216" s="469" t="str">
        <f>IFERROR(IF(SUM(M215:N215,M217:N217)=2," and ",""),"")</f>
        <v/>
      </c>
      <c r="M216" s="456"/>
      <c r="N216" s="456"/>
      <c r="O216" s="460"/>
      <c r="P216" s="460"/>
    </row>
    <row r="217" spans="1:16" ht="12.95" customHeight="1" x14ac:dyDescent="0.25">
      <c r="A217" s="359" t="str">
        <f>_xlfn.CONCAT("Loading terminals: ",CAPA!E58,CAPA!E59,CAPA!E60,CAPA!E61,CAPA!E62,CAPA!E63,CAPA!E64,CAPA!E65,CAPA!E66,CAPA!E67,CAPA!E68,CAPA!E69,CAPA!E70,CAPA!E71,".")</f>
        <v>Loading terminals: CB, CT, IT, RO, BTG H, .</v>
      </c>
      <c r="B217" s="360"/>
      <c r="C217" s="360"/>
      <c r="D217" s="360"/>
      <c r="E217" s="360"/>
      <c r="F217" s="632"/>
      <c r="G217" s="9" t="s">
        <v>135</v>
      </c>
      <c r="H217" s="403">
        <f>Draft!$M$47</f>
        <v>62.255000000000003</v>
      </c>
      <c r="I217" s="9" t="s">
        <v>135</v>
      </c>
      <c r="J217" s="452">
        <f>Draft!$AE$47</f>
        <v>67.498999999999995</v>
      </c>
      <c r="L217" s="456" t="str">
        <f>_xlfn.CONCAT(Draft!$AQ$35,Draft!$AQ$36," on final draft survey")</f>
        <v xml:space="preserve"> on final draft survey</v>
      </c>
      <c r="M217" s="469" t="str">
        <f>IF($L$217="hogging on final draft survey",1,"")</f>
        <v/>
      </c>
      <c r="N217" s="456" t="str">
        <f>IF($L$217="sagging on final draft survey",1,"")</f>
        <v/>
      </c>
      <c r="O217" s="460" t="str">
        <f>IF(SUM($M$217:$N$217)=1,$L$217,"")</f>
        <v/>
      </c>
      <c r="P217" s="460" t="str">
        <f>IF(O217=1,L217,"")</f>
        <v/>
      </c>
    </row>
    <row r="218" spans="1:16" ht="12.95" customHeight="1" thickBot="1" x14ac:dyDescent="0.3">
      <c r="A218" s="400" t="str">
        <f>_xlfn.CONCAT("Cargo: ",CAPA!B6)</f>
        <v>Cargo: Soybean meal in bulk</v>
      </c>
      <c r="B218" s="402"/>
      <c r="C218" s="402"/>
      <c r="D218" s="402"/>
      <c r="E218" s="402"/>
      <c r="F218" s="401"/>
      <c r="G218" s="361" t="s">
        <v>141</v>
      </c>
      <c r="H218" s="404">
        <f>Draft!$J$53</f>
        <v>919.02</v>
      </c>
      <c r="I218" s="361" t="s">
        <v>141</v>
      </c>
      <c r="J218" s="453">
        <f>Draft!$AB$53</f>
        <v>1136.123</v>
      </c>
      <c r="L218" s="456" t="s">
        <v>736</v>
      </c>
      <c r="M218" s="456"/>
      <c r="N218" s="456"/>
      <c r="O218" s="460"/>
      <c r="P218" s="460"/>
    </row>
    <row r="219" spans="1:16" ht="12.95" customHeight="1" thickTop="1" thickBot="1" x14ac:dyDescent="0.3">
      <c r="A219" s="829" t="str">
        <f>Relato!A230</f>
        <v>Paranaguá, Br - Brazil.  February 28th, 2026</v>
      </c>
      <c r="B219" s="830"/>
      <c r="C219" s="830"/>
      <c r="D219" s="830"/>
      <c r="E219" s="830"/>
      <c r="F219" s="831"/>
      <c r="G219" s="362" t="s">
        <v>142</v>
      </c>
      <c r="H219" s="405">
        <f>Draft!$J$54</f>
        <v>893.37599999999998</v>
      </c>
      <c r="I219" s="362" t="s">
        <v>142</v>
      </c>
      <c r="J219" s="454">
        <f>Draft!$AB$54</f>
        <v>1105.374</v>
      </c>
      <c r="L219" s="456"/>
      <c r="M219" s="456"/>
      <c r="N219" s="456"/>
      <c r="O219" s="460"/>
      <c r="P219" s="460"/>
    </row>
    <row r="220" spans="1:16" ht="3.75" customHeight="1" thickBot="1" x14ac:dyDescent="0.3">
      <c r="A220" s="363"/>
      <c r="B220" s="364"/>
      <c r="C220" s="364"/>
      <c r="D220" s="364"/>
      <c r="E220" s="364"/>
      <c r="F220" s="365"/>
      <c r="G220" s="365"/>
      <c r="H220" s="365"/>
      <c r="I220" s="365"/>
      <c r="J220" s="309"/>
      <c r="L220" s="456"/>
      <c r="M220" s="456"/>
      <c r="N220" s="456"/>
      <c r="O220" s="456"/>
      <c r="P220" s="456"/>
    </row>
    <row r="221" spans="1:16" ht="12.95" customHeight="1" thickTop="1" x14ac:dyDescent="0.25">
      <c r="A221" s="366" t="str">
        <f>IF(I211=0,"",IF(I211&gt;G211,"Total cargo loaded on board as per shore scales","Total manifested cargo"))</f>
        <v>Total cargo loaded on board as per shore scales</v>
      </c>
      <c r="B221" s="367"/>
      <c r="C221" s="367"/>
      <c r="D221" s="367"/>
      <c r="E221" s="367"/>
      <c r="F221" s="367"/>
      <c r="G221" s="368"/>
      <c r="H221" s="369"/>
      <c r="I221" s="832">
        <f>Draft!$Z$78</f>
        <v>58913.228999999999</v>
      </c>
      <c r="J221" s="833"/>
      <c r="L221" s="456"/>
      <c r="M221" s="456"/>
      <c r="N221" s="456"/>
      <c r="O221" s="456"/>
      <c r="P221" s="456"/>
    </row>
    <row r="222" spans="1:16" ht="12.95" customHeight="1" x14ac:dyDescent="0.25">
      <c r="A222" s="370" t="str">
        <f>A215</f>
        <v>Total cargo loaded on board as per draught survey</v>
      </c>
      <c r="B222" s="621"/>
      <c r="C222" s="621"/>
      <c r="D222" s="621"/>
      <c r="E222" s="621"/>
      <c r="F222" s="621"/>
      <c r="G222" s="622"/>
      <c r="H222" s="623"/>
      <c r="I222" s="857">
        <f>Draft!$AF$77</f>
        <v>59138.71079290202</v>
      </c>
      <c r="J222" s="858"/>
      <c r="L222" s="456"/>
      <c r="M222" s="456"/>
      <c r="N222" s="456"/>
      <c r="O222" s="456"/>
      <c r="P222" s="456"/>
    </row>
    <row r="223" spans="1:16" ht="12.95" customHeight="1" thickBot="1" x14ac:dyDescent="0.3">
      <c r="A223" s="624" t="str">
        <f>IF($G$223&gt;0,"Surplus","Shortage")</f>
        <v>Surplus</v>
      </c>
      <c r="B223" s="371"/>
      <c r="C223" s="371"/>
      <c r="D223" s="371"/>
      <c r="E223" s="371"/>
      <c r="F223" s="371"/>
      <c r="G223" s="859">
        <f>$I$222-$I$221</f>
        <v>225.48179290202097</v>
      </c>
      <c r="H223" s="859"/>
      <c r="I223" s="860">
        <f>($G$223/$I$221)*100</f>
        <v>0.38273541737462902</v>
      </c>
      <c r="J223" s="861"/>
      <c r="L223" s="456"/>
      <c r="M223" s="456"/>
      <c r="N223" s="456"/>
      <c r="O223" s="456"/>
      <c r="P223" s="456"/>
    </row>
    <row r="224" spans="1:16" ht="39" customHeight="1" thickTop="1" x14ac:dyDescent="0.25">
      <c r="A224" s="847" t="str">
        <f>CONCATENATE("Remarks: 1) Due to huge hull deflexion in ",$O$215,$L$216,$O$217,$L$218,Draft!$H$78," t.")</f>
        <v>Remarks: 1) Due to huge hull deflexion in hogging on initial draft survey, it was applied the waterplane area coefficient correction for the deflexion formula as per UN/ECE/Energy/19/1992.  2) According to the Master/Chief Officer usual constant would amount to 500 t.</v>
      </c>
      <c r="B224" s="847"/>
      <c r="C224" s="847"/>
      <c r="D224" s="847"/>
      <c r="E224" s="847"/>
      <c r="F224" s="847"/>
      <c r="G224" s="847"/>
      <c r="H224" s="847"/>
      <c r="I224" s="847"/>
      <c r="J224" s="847"/>
      <c r="L224" s="456"/>
      <c r="M224" s="456"/>
      <c r="N224" s="456"/>
      <c r="O224" s="456"/>
      <c r="P224" s="456"/>
    </row>
    <row r="225" spans="1:16" ht="3.75" hidden="1" customHeight="1" x14ac:dyDescent="0.25">
      <c r="A225" s="10"/>
      <c r="B225" s="10"/>
      <c r="C225" s="10"/>
      <c r="D225" s="10"/>
      <c r="E225" s="10"/>
      <c r="F225" s="10"/>
      <c r="G225" s="10"/>
      <c r="H225" s="10"/>
      <c r="I225" s="10"/>
      <c r="L225" s="456"/>
      <c r="M225" s="456"/>
      <c r="N225" s="456"/>
      <c r="O225" s="460"/>
      <c r="P225" s="460"/>
    </row>
    <row r="226" spans="1:16" ht="12.95" customHeight="1" x14ac:dyDescent="0.25">
      <c r="A226" s="413" t="s">
        <v>137</v>
      </c>
      <c r="B226" s="413"/>
      <c r="C226" s="413"/>
      <c r="D226" s="413"/>
      <c r="E226" s="413"/>
      <c r="F226" s="414"/>
      <c r="G226" s="415" t="s">
        <v>138</v>
      </c>
      <c r="H226" s="582">
        <f>Draft!$X$82</f>
        <v>59159.82</v>
      </c>
      <c r="I226" s="583">
        <f>H226-I221</f>
        <v>246.59100000000035</v>
      </c>
      <c r="J226" s="625">
        <f>IFERROR((I226/I221)*100,"")</f>
        <v>0.41856643097936519</v>
      </c>
      <c r="L226" s="456"/>
      <c r="M226" s="456"/>
      <c r="N226" s="456"/>
      <c r="O226" s="460"/>
      <c r="P226" s="460"/>
    </row>
    <row r="227" spans="1:16" ht="12.95" customHeight="1" x14ac:dyDescent="0.25">
      <c r="A227" s="416" t="str">
        <f>_xlfn.CONCAT("José Antonio Machado Gomes Pereira"," / ",CAPA!A97)</f>
        <v>José Antonio Machado Gomes Pereira / Thiago Henrique Barbosa Verhagen</v>
      </c>
      <c r="B227" s="416"/>
      <c r="C227" s="416"/>
      <c r="D227" s="416"/>
      <c r="E227" s="416"/>
      <c r="F227" s="414"/>
      <c r="G227" s="415" t="s">
        <v>139</v>
      </c>
      <c r="H227" s="582">
        <f>Draft!$X$83</f>
        <v>59196.66</v>
      </c>
      <c r="I227" s="583">
        <f>H227-I221</f>
        <v>283.43100000000413</v>
      </c>
      <c r="J227" s="625">
        <f>IFERROR((I227/I221)*100,"")</f>
        <v>0.48109907538764196</v>
      </c>
    </row>
    <row r="228" spans="1:16" ht="12.95" customHeight="1" x14ac:dyDescent="0.25">
      <c r="A228" s="416" t="s">
        <v>140</v>
      </c>
      <c r="B228" s="416"/>
      <c r="C228" s="416"/>
      <c r="D228" s="416"/>
      <c r="E228" s="416"/>
      <c r="F228" s="417"/>
      <c r="G228" s="418" t="str">
        <f>Draft!$U$84</f>
        <v>Owners:</v>
      </c>
      <c r="H228" s="582">
        <f>Draft!$X$84</f>
        <v>59161.493999999999</v>
      </c>
      <c r="I228" s="583">
        <f>H228-I221</f>
        <v>248.26499999999942</v>
      </c>
      <c r="J228" s="625">
        <f>IFERROR((I228/I221)*100,"")</f>
        <v>0.42140789804612377</v>
      </c>
    </row>
    <row r="229" spans="1:16" ht="12.95" customHeight="1" x14ac:dyDescent="0.25">
      <c r="A229" s="10"/>
      <c r="B229" s="416"/>
      <c r="C229" s="416"/>
      <c r="D229" s="416"/>
      <c r="E229" s="416"/>
      <c r="F229" s="417"/>
      <c r="G229" s="418" t="str">
        <f>Draft!$U$85</f>
        <v>Consignees:</v>
      </c>
      <c r="H229" s="582">
        <f>Draft!$X$85</f>
        <v>59165.608</v>
      </c>
      <c r="I229" s="583">
        <f>H229-I221</f>
        <v>252.37900000000081</v>
      </c>
      <c r="J229" s="625">
        <f>IFERROR((I229/I221)*100,"")</f>
        <v>0.42839104948737539</v>
      </c>
    </row>
    <row r="230" spans="1:16" ht="12.95" customHeight="1" x14ac:dyDescent="0.25">
      <c r="A230" s="10"/>
      <c r="B230" s="10"/>
      <c r="C230" s="10"/>
      <c r="D230" s="10"/>
      <c r="E230" s="10"/>
      <c r="F230" s="418"/>
      <c r="G230" s="418" t="str">
        <f>Draft!$U$86</f>
        <v>Shippers:</v>
      </c>
      <c r="H230" s="582">
        <f>Draft!$X$86</f>
        <v>59150.286999999997</v>
      </c>
      <c r="I230" s="583">
        <f>H230-I221</f>
        <v>237.05799999999726</v>
      </c>
      <c r="J230" s="625">
        <f>IFERROR((I230/I221)*100,"")</f>
        <v>0.40238500592116122</v>
      </c>
    </row>
    <row r="231" spans="1:16" ht="12.95" customHeight="1" x14ac:dyDescent="0.25">
      <c r="A231" s="308"/>
      <c r="B231" s="373"/>
      <c r="C231" s="373"/>
      <c r="D231" s="373"/>
      <c r="E231" s="373"/>
      <c r="F231" s="373"/>
      <c r="G231" s="308"/>
      <c r="H231" s="308"/>
      <c r="I231" s="308"/>
      <c r="J231" s="309"/>
      <c r="L231" s="456"/>
      <c r="M231" s="456"/>
      <c r="N231" s="456"/>
      <c r="O231" s="460"/>
      <c r="P231" s="460"/>
    </row>
    <row r="232" spans="1:16" ht="12.95" customHeight="1" x14ac:dyDescent="0.25">
      <c r="A232" s="308"/>
      <c r="B232" s="373"/>
      <c r="C232" s="373"/>
      <c r="D232" s="373"/>
      <c r="E232" s="373"/>
      <c r="F232" s="373"/>
      <c r="G232" s="308"/>
      <c r="H232" s="308"/>
      <c r="I232" s="308"/>
      <c r="J232" s="309"/>
      <c r="L232" s="456"/>
      <c r="M232" s="456"/>
      <c r="N232" s="456"/>
      <c r="O232" s="460"/>
      <c r="P232" s="460"/>
    </row>
    <row r="233" spans="1:16" ht="15.75" x14ac:dyDescent="0.25">
      <c r="A233" s="3" t="s">
        <v>538</v>
      </c>
      <c r="B233" s="16"/>
      <c r="C233" s="16"/>
      <c r="D233" s="16"/>
      <c r="E233" s="16"/>
      <c r="F233" s="292" t="s">
        <v>539</v>
      </c>
      <c r="G233" s="410">
        <f>Draft!$E$4</f>
        <v>46074</v>
      </c>
      <c r="H233" s="377">
        <f>Relato!H250</f>
        <v>0.54166666666666663</v>
      </c>
      <c r="I233" s="378" t="s">
        <v>540</v>
      </c>
      <c r="J233" s="379">
        <f>IFERROR(ROUND(Draft!$P$29,2),"")</f>
        <v>2.66</v>
      </c>
      <c r="L233" s="456"/>
      <c r="M233" s="456"/>
      <c r="N233" s="456"/>
      <c r="O233" s="460"/>
      <c r="P233" s="460"/>
    </row>
    <row r="234" spans="1:16" x14ac:dyDescent="0.25">
      <c r="A234" s="286" t="s">
        <v>0</v>
      </c>
      <c r="B234" s="286" t="s">
        <v>1</v>
      </c>
      <c r="C234" s="286" t="s">
        <v>2</v>
      </c>
      <c r="D234" s="286" t="s">
        <v>1</v>
      </c>
      <c r="E234" s="823" t="s">
        <v>566</v>
      </c>
      <c r="F234" s="823"/>
      <c r="G234" s="286" t="s">
        <v>3</v>
      </c>
      <c r="H234" s="286" t="s">
        <v>1</v>
      </c>
      <c r="I234" s="286" t="s">
        <v>1</v>
      </c>
      <c r="J234" s="286" t="s">
        <v>4</v>
      </c>
      <c r="L234" s="456"/>
      <c r="M234" s="456"/>
      <c r="N234" s="456"/>
      <c r="O234" s="460"/>
      <c r="P234" s="460"/>
    </row>
    <row r="235" spans="1:16" x14ac:dyDescent="0.25">
      <c r="A235" s="287" t="s">
        <v>709</v>
      </c>
      <c r="B235" s="287" t="s">
        <v>5</v>
      </c>
      <c r="C235" s="287" t="s">
        <v>6</v>
      </c>
      <c r="D235" s="287" t="s">
        <v>7</v>
      </c>
      <c r="E235" s="288" t="s">
        <v>8</v>
      </c>
      <c r="F235" s="288" t="s">
        <v>9</v>
      </c>
      <c r="G235" s="287" t="s">
        <v>7</v>
      </c>
      <c r="H235" s="287" t="s">
        <v>537</v>
      </c>
      <c r="I235" s="287" t="s">
        <v>10</v>
      </c>
      <c r="J235" s="287" t="s">
        <v>11</v>
      </c>
      <c r="L235" s="456"/>
      <c r="M235" s="456"/>
      <c r="N235" s="456"/>
      <c r="O235" s="456"/>
      <c r="P235" s="456"/>
    </row>
    <row r="236" spans="1:16" x14ac:dyDescent="0.25">
      <c r="A236" s="376" t="str">
        <f>Relato!$A$253</f>
        <v>F.PK</v>
      </c>
      <c r="B236" s="525">
        <f>Relato!$B$253</f>
        <v>23.92</v>
      </c>
      <c r="C236" s="525">
        <f>Relato!$C$253</f>
        <v>0.14000000000000001</v>
      </c>
      <c r="D236" s="525">
        <f>Relato!$D$253</f>
        <v>23.92</v>
      </c>
      <c r="E236" s="525">
        <f>Relato!$E$253</f>
        <v>0</v>
      </c>
      <c r="F236" s="525">
        <f>Relato!$F$253</f>
        <v>0</v>
      </c>
      <c r="G236" s="578">
        <f>IFERROR(D236+(E236+F236),D236)</f>
        <v>23.92</v>
      </c>
      <c r="H236" s="525">
        <f>Relato!$H$253</f>
        <v>1214.03</v>
      </c>
      <c r="I236" s="526">
        <f>Relato!$I$253</f>
        <v>1.0269999999999999</v>
      </c>
      <c r="J236" s="527">
        <f>ROUND(H236*I236,1)</f>
        <v>1246.8</v>
      </c>
      <c r="L236" s="456"/>
      <c r="M236" s="456"/>
      <c r="N236" s="456"/>
      <c r="O236" s="456"/>
      <c r="P236" s="456"/>
    </row>
    <row r="237" spans="1:16" x14ac:dyDescent="0.25">
      <c r="A237" s="374" t="str">
        <f>Relato!$A$254</f>
        <v>1 WBT (P)</v>
      </c>
      <c r="B237" s="1">
        <f>Relato!$B$254</f>
        <v>20.93</v>
      </c>
      <c r="C237" s="1">
        <f>Relato!$C$254</f>
        <v>0.14000000000000001</v>
      </c>
      <c r="D237" s="1">
        <f>Relato!$D$254</f>
        <v>17.47</v>
      </c>
      <c r="E237" s="1">
        <f>Relato!$E$254</f>
        <v>-0.11</v>
      </c>
      <c r="F237" s="1">
        <f>Relato!$F$254</f>
        <v>0</v>
      </c>
      <c r="G237" s="674">
        <f>IFERROR(D237+(E237+F237),D237)</f>
        <v>17.36</v>
      </c>
      <c r="H237" s="1">
        <f>Relato!$H$254</f>
        <v>794.85</v>
      </c>
      <c r="I237" s="274">
        <f>Relato!$I$254</f>
        <v>1.0269999999999999</v>
      </c>
      <c r="J237" s="528">
        <f>IFERROR(ROUND(H237*I237,1),"")</f>
        <v>816.3</v>
      </c>
      <c r="L237" s="456"/>
      <c r="M237" s="456"/>
      <c r="N237" s="456"/>
      <c r="O237" s="456"/>
      <c r="P237" s="456"/>
    </row>
    <row r="238" spans="1:16" x14ac:dyDescent="0.25">
      <c r="A238" s="374" t="str">
        <f>Relato!$A$255</f>
        <v>1 WBT (S)</v>
      </c>
      <c r="B238" s="1">
        <f>Relato!$B$255</f>
        <v>20.92</v>
      </c>
      <c r="C238" s="1">
        <f>Relato!$C$255</f>
        <v>0.12</v>
      </c>
      <c r="D238" s="1">
        <f>Relato!$D$255</f>
        <v>17.21</v>
      </c>
      <c r="E238" s="1">
        <f>Relato!$E$255</f>
        <v>-0.11</v>
      </c>
      <c r="F238" s="1">
        <f>Relato!$F$255</f>
        <v>0</v>
      </c>
      <c r="G238" s="674">
        <f t="shared" ref="G238:G244" si="0">IFERROR(D238+(E238+F238),D238)</f>
        <v>17.100000000000001</v>
      </c>
      <c r="H238" s="1">
        <f>Relato!$H$255</f>
        <v>774.85</v>
      </c>
      <c r="I238" s="274">
        <f>Relato!$I$255</f>
        <v>1.0269999999999999</v>
      </c>
      <c r="J238" s="528">
        <f t="shared" ref="J238:J245" si="1">IFERROR(ROUND(H238*I238,1),"")</f>
        <v>795.8</v>
      </c>
      <c r="L238" s="456"/>
      <c r="M238" s="456"/>
      <c r="N238" s="456"/>
      <c r="O238" s="456"/>
      <c r="P238" s="456"/>
    </row>
    <row r="239" spans="1:16" x14ac:dyDescent="0.25">
      <c r="A239" s="374" t="str">
        <f>Relato!$A$256</f>
        <v>2 WBT (P)</v>
      </c>
      <c r="B239" s="1">
        <f>Relato!$B$256</f>
        <v>20.350000000000001</v>
      </c>
      <c r="C239" s="1">
        <f>Relato!$C$256</f>
        <v>0.12</v>
      </c>
      <c r="D239" s="1">
        <f>Relato!$D$256</f>
        <v>20.350000000000001</v>
      </c>
      <c r="E239" s="1">
        <f>Relato!$E$256</f>
        <v>0</v>
      </c>
      <c r="F239" s="1">
        <f>Relato!$F$256</f>
        <v>0</v>
      </c>
      <c r="G239" s="674">
        <f t="shared" si="0"/>
        <v>20.350000000000001</v>
      </c>
      <c r="H239" s="1">
        <f>Relato!$H$256</f>
        <v>3133.85</v>
      </c>
      <c r="I239" s="274">
        <f>Relato!$I$256</f>
        <v>1.0269999999999999</v>
      </c>
      <c r="J239" s="528">
        <f t="shared" si="1"/>
        <v>3218.5</v>
      </c>
      <c r="L239" s="456"/>
      <c r="M239" s="456"/>
      <c r="N239" s="456"/>
      <c r="O239" s="456"/>
      <c r="P239" s="456"/>
    </row>
    <row r="240" spans="1:16" x14ac:dyDescent="0.25">
      <c r="A240" s="374" t="str">
        <f>Relato!$A$257</f>
        <v>2 WBT (S)</v>
      </c>
      <c r="B240" s="1">
        <f>Relato!$B$257</f>
        <v>20.21</v>
      </c>
      <c r="C240" s="1">
        <f>Relato!$C$257</f>
        <v>0.14000000000000001</v>
      </c>
      <c r="D240" s="1">
        <f>Relato!$D$257</f>
        <v>20.21</v>
      </c>
      <c r="E240" s="1">
        <f>Relato!$E$257</f>
        <v>0</v>
      </c>
      <c r="F240" s="1">
        <f>Relato!$F$257</f>
        <v>0</v>
      </c>
      <c r="G240" s="674">
        <f t="shared" si="0"/>
        <v>20.21</v>
      </c>
      <c r="H240" s="1">
        <f>Relato!$H$257</f>
        <v>3133.85</v>
      </c>
      <c r="I240" s="274">
        <f>Relato!$I$257</f>
        <v>1.0269999999999999</v>
      </c>
      <c r="J240" s="528">
        <f t="shared" si="1"/>
        <v>3218.5</v>
      </c>
      <c r="L240" s="456"/>
      <c r="M240" s="456"/>
      <c r="N240" s="456"/>
      <c r="O240" s="456"/>
      <c r="P240" s="456"/>
    </row>
    <row r="241" spans="1:16" x14ac:dyDescent="0.25">
      <c r="A241" s="374" t="str">
        <f>Relato!$A$258</f>
        <v>3 WBT (P)</v>
      </c>
      <c r="B241" s="1">
        <f>Relato!$B$258</f>
        <v>20.2</v>
      </c>
      <c r="C241" s="1">
        <f>Relato!C258</f>
        <v>0.04</v>
      </c>
      <c r="D241" s="1">
        <f>Relato!$D$258</f>
        <v>20.2</v>
      </c>
      <c r="E241" s="1">
        <f>Relato!$E$258</f>
        <v>0</v>
      </c>
      <c r="F241" s="1">
        <f>Relato!$F$258</f>
        <v>0</v>
      </c>
      <c r="G241" s="674">
        <f t="shared" si="0"/>
        <v>20.2</v>
      </c>
      <c r="H241" s="1">
        <f>Relato!$H$258</f>
        <v>3150.92</v>
      </c>
      <c r="I241" s="274">
        <f>Relato!$I$258</f>
        <v>1.0269999999999999</v>
      </c>
      <c r="J241" s="528">
        <f t="shared" si="1"/>
        <v>3236</v>
      </c>
      <c r="L241" s="456"/>
      <c r="M241" s="456"/>
      <c r="N241" s="456"/>
      <c r="O241" s="456"/>
      <c r="P241" s="456"/>
    </row>
    <row r="242" spans="1:16" x14ac:dyDescent="0.25">
      <c r="A242" s="374" t="str">
        <f>Relato!$A$259</f>
        <v>3 WBT (S)</v>
      </c>
      <c r="B242" s="1">
        <f>Relato!$B$259</f>
        <v>20.100000000000001</v>
      </c>
      <c r="C242" s="1">
        <f>Relato!$C$259</f>
        <v>0.14000000000000001</v>
      </c>
      <c r="D242" s="1">
        <f>Relato!$D$259</f>
        <v>20.21</v>
      </c>
      <c r="E242" s="1">
        <f>Relato!$E$259</f>
        <v>-0.37</v>
      </c>
      <c r="F242" s="1">
        <f>Relato!$F$259</f>
        <v>0</v>
      </c>
      <c r="G242" s="674">
        <f t="shared" si="0"/>
        <v>19.84</v>
      </c>
      <c r="H242" s="1">
        <f>Relato!$H$259</f>
        <v>3131.22</v>
      </c>
      <c r="I242" s="274">
        <f>Relato!$I$259</f>
        <v>1.0269999999999999</v>
      </c>
      <c r="J242" s="528">
        <f t="shared" si="1"/>
        <v>3215.8</v>
      </c>
      <c r="L242" s="456"/>
      <c r="M242" s="456"/>
      <c r="N242" s="456"/>
      <c r="O242" s="456"/>
      <c r="P242" s="456"/>
    </row>
    <row r="243" spans="1:16" x14ac:dyDescent="0.25">
      <c r="A243" s="374" t="str">
        <f>Relato!$A$260</f>
        <v>4 WBT (P)</v>
      </c>
      <c r="B243" s="1">
        <f>Relato!$B$260</f>
        <v>20.010000000000002</v>
      </c>
      <c r="C243" s="1">
        <f>Relato!$C$260</f>
        <v>0.04</v>
      </c>
      <c r="D243" s="1">
        <f>Relato!$D$260</f>
        <v>20.010000000000002</v>
      </c>
      <c r="E243" s="1">
        <f>Relato!$E$260</f>
        <v>-0.43</v>
      </c>
      <c r="F243" s="1">
        <f>Relato!$F$260</f>
        <v>0</v>
      </c>
      <c r="G243" s="674">
        <f t="shared" si="0"/>
        <v>19.580000000000002</v>
      </c>
      <c r="H243" s="1">
        <f>Relato!$H$260</f>
        <v>1931.88</v>
      </c>
      <c r="I243" s="274">
        <f>Relato!$I$260</f>
        <v>1.0269999999999999</v>
      </c>
      <c r="J243" s="528">
        <f t="shared" si="1"/>
        <v>1984</v>
      </c>
      <c r="L243" s="456"/>
      <c r="M243" s="456"/>
      <c r="N243" s="456"/>
      <c r="O243" s="456"/>
      <c r="P243" s="456"/>
    </row>
    <row r="244" spans="1:16" x14ac:dyDescent="0.25">
      <c r="A244" s="374" t="str">
        <f>Relato!$A$261</f>
        <v>4 WBT (S)</v>
      </c>
      <c r="B244" s="1">
        <f>Relato!$B$261</f>
        <v>20.45</v>
      </c>
      <c r="C244" s="1">
        <f>Relato!$C$261</f>
        <v>0.14000000000000001</v>
      </c>
      <c r="D244" s="1">
        <f>Relato!$D$261</f>
        <v>20.309999999999999</v>
      </c>
      <c r="E244" s="1">
        <f>Relato!$E$261</f>
        <v>-0.3</v>
      </c>
      <c r="F244" s="1">
        <f>Relato!$F$261</f>
        <v>0</v>
      </c>
      <c r="G244" s="674">
        <f t="shared" si="0"/>
        <v>20.009999999999998</v>
      </c>
      <c r="H244" s="1">
        <f>Relato!$H$261</f>
        <v>1931.88</v>
      </c>
      <c r="I244" s="274">
        <f>Relato!$I$261</f>
        <v>1.0269999999999999</v>
      </c>
      <c r="J244" s="528">
        <f t="shared" si="1"/>
        <v>1984</v>
      </c>
      <c r="L244" s="456"/>
      <c r="M244" s="456"/>
      <c r="N244" s="456"/>
      <c r="O244" s="456"/>
      <c r="P244" s="456"/>
    </row>
    <row r="245" spans="1:16" x14ac:dyDescent="0.25">
      <c r="A245" s="375" t="str">
        <f>Relato!$A$262</f>
        <v>A.PK</v>
      </c>
      <c r="B245" s="1">
        <f>Relato!$B$262</f>
        <v>17.46</v>
      </c>
      <c r="C245" s="2">
        <f>Relato!$C$262</f>
        <v>0.03</v>
      </c>
      <c r="D245" s="2">
        <f>Relato!$D$262</f>
        <v>6.74</v>
      </c>
      <c r="E245" s="2">
        <f>Relato!$E$262</f>
        <v>0.06</v>
      </c>
      <c r="F245" s="2">
        <f>Relato!$F$262</f>
        <v>0</v>
      </c>
      <c r="G245" s="579">
        <f>IFERROR(D245+(E245+F245),D245)</f>
        <v>6.8</v>
      </c>
      <c r="H245" s="2">
        <f>Relato!$H$262</f>
        <v>536.02</v>
      </c>
      <c r="I245" s="530">
        <f>Relato!$I$262</f>
        <v>1.0269999999999999</v>
      </c>
      <c r="J245" s="531">
        <f t="shared" si="1"/>
        <v>550.5</v>
      </c>
      <c r="L245" s="456"/>
      <c r="M245" s="456"/>
      <c r="N245" s="456"/>
      <c r="O245" s="456"/>
      <c r="P245" s="456"/>
    </row>
    <row r="246" spans="1:16" x14ac:dyDescent="0.25">
      <c r="A246" s="289" t="s">
        <v>14</v>
      </c>
      <c r="B246" s="290"/>
      <c r="C246" s="290"/>
      <c r="D246" s="290"/>
      <c r="E246" s="290"/>
      <c r="F246" s="290"/>
      <c r="G246" s="291"/>
      <c r="H246" s="532">
        <f>SUM($H$236:$H$245)</f>
        <v>19733.350000000002</v>
      </c>
      <c r="I246" s="533"/>
      <c r="J246" s="532">
        <f>SUM($J$236:$J$245)</f>
        <v>20266.2</v>
      </c>
      <c r="L246" s="456"/>
      <c r="M246" s="456"/>
      <c r="N246" s="456"/>
      <c r="O246" s="456"/>
      <c r="P246" s="456"/>
    </row>
    <row r="247" spans="1:16" x14ac:dyDescent="0.25">
      <c r="L247" s="456"/>
      <c r="M247" s="456"/>
      <c r="N247" s="456"/>
      <c r="O247" s="456"/>
      <c r="P247" s="456"/>
    </row>
    <row r="248" spans="1:16" x14ac:dyDescent="0.25">
      <c r="L248" s="456"/>
      <c r="M248" s="456"/>
      <c r="N248" s="456"/>
      <c r="O248" s="456"/>
      <c r="P248" s="456"/>
    </row>
    <row r="249" spans="1:16" ht="15.75" x14ac:dyDescent="0.25">
      <c r="A249" s="3" t="str">
        <f>Relato!A266</f>
        <v>11) FINAL BALLAST CONDITION:</v>
      </c>
      <c r="F249" s="292" t="s">
        <v>539</v>
      </c>
      <c r="G249" s="410">
        <f>Draft!$X$4</f>
        <v>46081</v>
      </c>
      <c r="H249" s="377">
        <v>0.47916666666666669</v>
      </c>
      <c r="I249" s="378" t="s">
        <v>540</v>
      </c>
      <c r="J249" s="379">
        <v>0.04</v>
      </c>
      <c r="L249" s="456"/>
      <c r="M249" s="456"/>
      <c r="N249" s="456"/>
      <c r="O249" s="456"/>
      <c r="P249" s="456"/>
    </row>
    <row r="250" spans="1:16" x14ac:dyDescent="0.25">
      <c r="A250" s="286" t="str">
        <f>Relato!A267</f>
        <v>Vessel's</v>
      </c>
      <c r="B250" s="286" t="s">
        <v>1</v>
      </c>
      <c r="C250" s="286" t="s">
        <v>2</v>
      </c>
      <c r="D250" s="286" t="s">
        <v>1</v>
      </c>
      <c r="E250" s="823" t="s">
        <v>566</v>
      </c>
      <c r="F250" s="823"/>
      <c r="G250" s="286" t="s">
        <v>3</v>
      </c>
      <c r="H250" s="286" t="s">
        <v>1</v>
      </c>
      <c r="I250" s="286" t="s">
        <v>1</v>
      </c>
      <c r="J250" s="286" t="s">
        <v>4</v>
      </c>
      <c r="L250" s="456"/>
      <c r="M250" s="456"/>
      <c r="N250" s="456"/>
      <c r="O250" s="456"/>
      <c r="P250" s="456"/>
    </row>
    <row r="251" spans="1:16" x14ac:dyDescent="0.25">
      <c r="A251" s="287" t="str">
        <f>Relato!A268</f>
        <v>Tank No.</v>
      </c>
      <c r="B251" s="287" t="s">
        <v>5</v>
      </c>
      <c r="C251" s="287" t="s">
        <v>6</v>
      </c>
      <c r="D251" s="287" t="s">
        <v>7</v>
      </c>
      <c r="E251" s="288" t="s">
        <v>8</v>
      </c>
      <c r="F251" s="288" t="s">
        <v>9</v>
      </c>
      <c r="G251" s="287" t="s">
        <v>7</v>
      </c>
      <c r="H251" s="287" t="s">
        <v>537</v>
      </c>
      <c r="I251" s="287" t="s">
        <v>10</v>
      </c>
      <c r="J251" s="287" t="s">
        <v>11</v>
      </c>
      <c r="L251" s="456"/>
      <c r="M251" s="456"/>
      <c r="N251" s="456"/>
      <c r="O251" s="456"/>
      <c r="P251" s="456"/>
    </row>
    <row r="252" spans="1:16" x14ac:dyDescent="0.25">
      <c r="A252" s="376" t="str">
        <f>Relato!A269</f>
        <v>F.PK</v>
      </c>
      <c r="B252" s="525">
        <f t="shared" ref="B252:C261" si="2">B236</f>
        <v>23.92</v>
      </c>
      <c r="C252" s="525">
        <f t="shared" si="2"/>
        <v>0.14000000000000001</v>
      </c>
      <c r="D252" s="525">
        <f>Relato!$D$269</f>
        <v>7.0000000000000007E-2</v>
      </c>
      <c r="E252" s="525">
        <f>Relato!$E$269</f>
        <v>0</v>
      </c>
      <c r="F252" s="525">
        <f>Relato!$F$269</f>
        <v>0</v>
      </c>
      <c r="G252" s="578">
        <f>IFERROR(D252+(E252+F252),D252)</f>
        <v>7.0000000000000007E-2</v>
      </c>
      <c r="H252" s="525">
        <f>Relato!$H$269</f>
        <v>1.8819999999999999</v>
      </c>
      <c r="I252" s="526">
        <f>Relato!I269</f>
        <v>1.0269999999999999</v>
      </c>
      <c r="J252" s="527">
        <f>ROUND(H252*I252,1)</f>
        <v>1.9</v>
      </c>
      <c r="L252" s="456"/>
      <c r="M252" s="456"/>
      <c r="N252" s="456"/>
      <c r="O252" s="456"/>
      <c r="P252" s="456"/>
    </row>
    <row r="253" spans="1:16" x14ac:dyDescent="0.25">
      <c r="A253" s="374" t="str">
        <f>Relato!A270</f>
        <v>1 WBT (P)</v>
      </c>
      <c r="B253" s="1">
        <f t="shared" si="2"/>
        <v>20.93</v>
      </c>
      <c r="C253" s="1">
        <f t="shared" si="2"/>
        <v>0.14000000000000001</v>
      </c>
      <c r="D253" s="1">
        <f>Relato!$D$270</f>
        <v>0</v>
      </c>
      <c r="E253" s="1">
        <f>Relato!$E$270</f>
        <v>0</v>
      </c>
      <c r="F253" s="1">
        <f>Relato!$F$270</f>
        <v>0</v>
      </c>
      <c r="G253" s="674">
        <f>IFERROR(D253+(E253+F253),D253)</f>
        <v>0</v>
      </c>
      <c r="H253" s="1">
        <f>Relato!$H$270</f>
        <v>5.85</v>
      </c>
      <c r="I253" s="274">
        <f>Relato!I270</f>
        <v>1.0269999999999999</v>
      </c>
      <c r="J253" s="528">
        <f>IFERROR(ROUND(H253*I253,1),"")</f>
        <v>6</v>
      </c>
      <c r="L253" s="456"/>
      <c r="M253" s="456"/>
      <c r="N253" s="456"/>
      <c r="O253" s="456"/>
      <c r="P253" s="456"/>
    </row>
    <row r="254" spans="1:16" x14ac:dyDescent="0.25">
      <c r="A254" s="374" t="str">
        <f>Relato!A271</f>
        <v>1 WBT (S)</v>
      </c>
      <c r="B254" s="1">
        <f t="shared" si="2"/>
        <v>20.92</v>
      </c>
      <c r="C254" s="1">
        <f t="shared" si="2"/>
        <v>0.12</v>
      </c>
      <c r="D254" s="1">
        <f>Relato!$D$271</f>
        <v>0</v>
      </c>
      <c r="E254" s="1">
        <f>Relato!$E$271</f>
        <v>0</v>
      </c>
      <c r="F254" s="1">
        <f>Relato!$F$271</f>
        <v>0</v>
      </c>
      <c r="G254" s="674">
        <f t="shared" ref="G254:G260" si="3">IFERROR(D254+(E254+F254),D254)</f>
        <v>0</v>
      </c>
      <c r="H254" s="1">
        <f>Relato!$H$271</f>
        <v>5.85</v>
      </c>
      <c r="I254" s="274">
        <f>Relato!I271</f>
        <v>1.0269999999999999</v>
      </c>
      <c r="J254" s="528">
        <f t="shared" ref="J254:J261" si="4">IFERROR(ROUND(H254*I254,1),"")</f>
        <v>6</v>
      </c>
      <c r="L254" s="456"/>
      <c r="M254" s="456"/>
      <c r="N254" s="456"/>
      <c r="O254" s="456"/>
      <c r="P254" s="456"/>
    </row>
    <row r="255" spans="1:16" x14ac:dyDescent="0.25">
      <c r="A255" s="374" t="str">
        <f>Relato!A272</f>
        <v>2 WBT (P)</v>
      </c>
      <c r="B255" s="1">
        <f t="shared" si="2"/>
        <v>20.350000000000001</v>
      </c>
      <c r="C255" s="1">
        <f t="shared" si="2"/>
        <v>0.12</v>
      </c>
      <c r="D255" s="1">
        <f>Relato!$D$272</f>
        <v>0</v>
      </c>
      <c r="E255" s="1">
        <f>Relato!$E$272</f>
        <v>0</v>
      </c>
      <c r="F255" s="1">
        <f>Relato!$F$272</f>
        <v>0</v>
      </c>
      <c r="G255" s="674">
        <f t="shared" si="3"/>
        <v>0</v>
      </c>
      <c r="H255" s="1">
        <f>Relato!$H$272</f>
        <v>19.489999999999998</v>
      </c>
      <c r="I255" s="274">
        <f>Relato!I272</f>
        <v>1.0269999999999999</v>
      </c>
      <c r="J255" s="528">
        <f t="shared" si="4"/>
        <v>20</v>
      </c>
      <c r="L255" s="456"/>
      <c r="M255" s="456"/>
      <c r="N255" s="456"/>
      <c r="O255" s="456"/>
      <c r="P255" s="456"/>
    </row>
    <row r="256" spans="1:16" x14ac:dyDescent="0.25">
      <c r="A256" s="374" t="str">
        <f t="shared" ref="A256:A261" si="5">A240</f>
        <v>2 WBT (S)</v>
      </c>
      <c r="B256" s="1">
        <f t="shared" si="2"/>
        <v>20.21</v>
      </c>
      <c r="C256" s="1">
        <f t="shared" si="2"/>
        <v>0.14000000000000001</v>
      </c>
      <c r="D256" s="1">
        <f>Relato!$D$273</f>
        <v>0.01</v>
      </c>
      <c r="E256" s="1">
        <f>Relato!$E$273</f>
        <v>0</v>
      </c>
      <c r="F256" s="1">
        <f>Relato!$F$273</f>
        <v>0</v>
      </c>
      <c r="G256" s="674">
        <f t="shared" si="3"/>
        <v>0.01</v>
      </c>
      <c r="H256" s="1">
        <f>Relato!$H$273</f>
        <v>32.81</v>
      </c>
      <c r="I256" s="274">
        <f>Relato!I273</f>
        <v>1.0269999999999999</v>
      </c>
      <c r="J256" s="528">
        <f t="shared" si="4"/>
        <v>33.700000000000003</v>
      </c>
      <c r="L256" s="456"/>
      <c r="M256" s="456"/>
      <c r="N256" s="456"/>
      <c r="O256" s="456"/>
      <c r="P256" s="456"/>
    </row>
    <row r="257" spans="1:16" x14ac:dyDescent="0.25">
      <c r="A257" s="374" t="str">
        <f t="shared" si="5"/>
        <v>3 WBT (P)</v>
      </c>
      <c r="B257" s="1">
        <f t="shared" si="2"/>
        <v>20.2</v>
      </c>
      <c r="C257" s="1">
        <f t="shared" si="2"/>
        <v>0.04</v>
      </c>
      <c r="D257" s="1">
        <f>Relato!$D$274</f>
        <v>0.02</v>
      </c>
      <c r="E257" s="1">
        <f>Relato!$E$274</f>
        <v>0</v>
      </c>
      <c r="F257" s="1">
        <f>Relato!$F$274</f>
        <v>0</v>
      </c>
      <c r="G257" s="674">
        <f t="shared" si="3"/>
        <v>0.02</v>
      </c>
      <c r="H257" s="1">
        <f>Relato!$H$274</f>
        <v>42.107999999999997</v>
      </c>
      <c r="I257" s="274">
        <f>Relato!I274</f>
        <v>1.0269999999999999</v>
      </c>
      <c r="J257" s="528">
        <f t="shared" si="4"/>
        <v>43.2</v>
      </c>
      <c r="L257" s="456"/>
      <c r="M257" s="456"/>
      <c r="N257" s="456"/>
      <c r="O257" s="456"/>
      <c r="P257" s="456"/>
    </row>
    <row r="258" spans="1:16" x14ac:dyDescent="0.25">
      <c r="A258" s="374" t="str">
        <f t="shared" si="5"/>
        <v>3 WBT (S)</v>
      </c>
      <c r="B258" s="1">
        <f t="shared" si="2"/>
        <v>20.100000000000001</v>
      </c>
      <c r="C258" s="1">
        <f t="shared" si="2"/>
        <v>0.14000000000000001</v>
      </c>
      <c r="D258" s="1">
        <f>Relato!$D$275</f>
        <v>0.01</v>
      </c>
      <c r="E258" s="1">
        <f>Relato!$E$275</f>
        <v>0</v>
      </c>
      <c r="F258" s="1">
        <f>Relato!$F$275</f>
        <v>0</v>
      </c>
      <c r="G258" s="674">
        <f t="shared" si="3"/>
        <v>0.01</v>
      </c>
      <c r="H258" s="1">
        <f>Relato!$H$275</f>
        <v>34.74</v>
      </c>
      <c r="I258" s="274">
        <f>Relato!I275</f>
        <v>1.0269999999999999</v>
      </c>
      <c r="J258" s="528">
        <f t="shared" si="4"/>
        <v>35.700000000000003</v>
      </c>
      <c r="L258" s="456"/>
      <c r="M258" s="456"/>
      <c r="N258" s="456"/>
      <c r="O258" s="456"/>
      <c r="P258" s="456"/>
    </row>
    <row r="259" spans="1:16" x14ac:dyDescent="0.25">
      <c r="A259" s="374" t="str">
        <f t="shared" si="5"/>
        <v>4 WBT (P)</v>
      </c>
      <c r="B259" s="1">
        <f t="shared" si="2"/>
        <v>20.010000000000002</v>
      </c>
      <c r="C259" s="1">
        <f t="shared" si="2"/>
        <v>0.04</v>
      </c>
      <c r="D259" s="1">
        <f>Relato!$D$276</f>
        <v>0.04</v>
      </c>
      <c r="E259" s="1">
        <f>Relato!$E$276</f>
        <v>0</v>
      </c>
      <c r="F259" s="1">
        <f>Relato!$F$276</f>
        <v>0</v>
      </c>
      <c r="G259" s="674">
        <f t="shared" si="3"/>
        <v>0.04</v>
      </c>
      <c r="H259" s="1">
        <f>Relato!$H$276</f>
        <v>37.82</v>
      </c>
      <c r="I259" s="274">
        <f>Relato!I276</f>
        <v>1.0269999999999999</v>
      </c>
      <c r="J259" s="528">
        <f t="shared" si="4"/>
        <v>38.799999999999997</v>
      </c>
      <c r="L259" s="456"/>
      <c r="M259" s="456"/>
      <c r="N259" s="456"/>
      <c r="O259" s="456"/>
      <c r="P259" s="456"/>
    </row>
    <row r="260" spans="1:16" x14ac:dyDescent="0.25">
      <c r="A260" s="374" t="str">
        <f t="shared" si="5"/>
        <v>4 WBT (S)</v>
      </c>
      <c r="B260" s="1">
        <f t="shared" si="2"/>
        <v>20.45</v>
      </c>
      <c r="C260" s="1">
        <f t="shared" si="2"/>
        <v>0.14000000000000001</v>
      </c>
      <c r="D260" s="1">
        <f>Relato!$D$277</f>
        <v>0.03</v>
      </c>
      <c r="E260" s="1">
        <f>Relato!$E$277</f>
        <v>0</v>
      </c>
      <c r="F260" s="1">
        <f>Relato!$F$277</f>
        <v>0</v>
      </c>
      <c r="G260" s="674">
        <f t="shared" si="3"/>
        <v>0.03</v>
      </c>
      <c r="H260" s="1">
        <f>Relato!$H$277</f>
        <v>30.9</v>
      </c>
      <c r="I260" s="274">
        <f>Relato!I277</f>
        <v>1.0269999999999999</v>
      </c>
      <c r="J260" s="528">
        <f t="shared" si="4"/>
        <v>31.7</v>
      </c>
      <c r="L260" s="456"/>
      <c r="M260" s="456"/>
      <c r="N260" s="456"/>
      <c r="O260" s="456"/>
      <c r="P260" s="456"/>
    </row>
    <row r="261" spans="1:16" x14ac:dyDescent="0.25">
      <c r="A261" s="375" t="str">
        <f t="shared" si="5"/>
        <v>A.PK</v>
      </c>
      <c r="B261" s="2">
        <f t="shared" si="2"/>
        <v>17.46</v>
      </c>
      <c r="C261" s="2">
        <f t="shared" si="2"/>
        <v>0.03</v>
      </c>
      <c r="D261" s="2">
        <f>Relato!$D$278</f>
        <v>4.72</v>
      </c>
      <c r="E261" s="2">
        <f>Relato!$E$278</f>
        <v>0</v>
      </c>
      <c r="F261" s="2">
        <f>Relato!$F$278</f>
        <v>0</v>
      </c>
      <c r="G261" s="579">
        <f>IFERROR(D261+(E261+F261),D261)</f>
        <v>4.72</v>
      </c>
      <c r="H261" s="2">
        <f>Relato!$H$278</f>
        <v>166.17</v>
      </c>
      <c r="I261" s="530">
        <f>Relato!I278</f>
        <v>1.0269999999999999</v>
      </c>
      <c r="J261" s="531">
        <f t="shared" si="4"/>
        <v>170.7</v>
      </c>
      <c r="L261" s="456"/>
      <c r="M261" s="456"/>
      <c r="N261" s="456"/>
      <c r="O261" s="456"/>
      <c r="P261" s="456"/>
    </row>
    <row r="262" spans="1:16" x14ac:dyDescent="0.25">
      <c r="A262" s="289" t="s">
        <v>14</v>
      </c>
      <c r="B262" s="290"/>
      <c r="C262" s="290"/>
      <c r="D262" s="290"/>
      <c r="E262" s="290"/>
      <c r="F262" s="290"/>
      <c r="G262" s="291"/>
      <c r="H262" s="532">
        <f>SUM($H$252:$H$261)</f>
        <v>377.62</v>
      </c>
      <c r="I262" s="533"/>
      <c r="J262" s="532">
        <f>SUM($J$252:$J$261)</f>
        <v>387.7</v>
      </c>
      <c r="L262" s="456"/>
      <c r="M262" s="456"/>
      <c r="N262" s="456"/>
      <c r="O262" s="456"/>
      <c r="P262" s="456"/>
    </row>
    <row r="263" spans="1:16" x14ac:dyDescent="0.25">
      <c r="L263" s="456"/>
      <c r="M263" s="456"/>
      <c r="N263" s="456"/>
      <c r="O263" s="456"/>
      <c r="P263" s="456"/>
    </row>
    <row r="264" spans="1:16" x14ac:dyDescent="0.25">
      <c r="L264" s="456"/>
      <c r="M264" s="456"/>
      <c r="N264" s="456"/>
      <c r="O264" s="456"/>
      <c r="P264" s="456"/>
    </row>
    <row r="265" spans="1:16" x14ac:dyDescent="0.25">
      <c r="L265" s="456"/>
      <c r="M265" s="456"/>
      <c r="N265" s="456"/>
      <c r="O265" s="456"/>
      <c r="P265" s="456"/>
    </row>
    <row r="266" spans="1:16" ht="15.75" x14ac:dyDescent="0.25">
      <c r="A266" s="380" t="s">
        <v>542</v>
      </c>
      <c r="L266" s="456"/>
      <c r="M266" s="456"/>
      <c r="N266" s="456"/>
      <c r="O266" s="456"/>
      <c r="P266" s="456"/>
    </row>
    <row r="267" spans="1:16" x14ac:dyDescent="0.25">
      <c r="A267" s="286" t="s">
        <v>0</v>
      </c>
      <c r="B267" s="286" t="s">
        <v>1</v>
      </c>
      <c r="C267" s="286" t="s">
        <v>2</v>
      </c>
      <c r="D267" s="286" t="s">
        <v>1</v>
      </c>
      <c r="E267" s="823" t="s">
        <v>566</v>
      </c>
      <c r="F267" s="823"/>
      <c r="G267" s="286" t="s">
        <v>3</v>
      </c>
      <c r="H267" s="286" t="s">
        <v>1</v>
      </c>
      <c r="I267" s="286" t="s">
        <v>1</v>
      </c>
      <c r="J267" s="286" t="s">
        <v>4</v>
      </c>
      <c r="L267" s="456"/>
      <c r="M267" s="456"/>
      <c r="N267" s="456"/>
      <c r="O267" s="456"/>
      <c r="P267" s="456"/>
    </row>
    <row r="268" spans="1:16" x14ac:dyDescent="0.25">
      <c r="A268" s="287" t="s">
        <v>709</v>
      </c>
      <c r="B268" s="412" t="s">
        <v>5</v>
      </c>
      <c r="C268" s="412" t="s">
        <v>6</v>
      </c>
      <c r="D268" s="287" t="s">
        <v>7</v>
      </c>
      <c r="E268" s="288" t="s">
        <v>8</v>
      </c>
      <c r="F268" s="288" t="s">
        <v>9</v>
      </c>
      <c r="G268" s="412" t="s">
        <v>7</v>
      </c>
      <c r="H268" s="287" t="s">
        <v>537</v>
      </c>
      <c r="I268" s="287" t="s">
        <v>10</v>
      </c>
      <c r="J268" s="412" t="s">
        <v>11</v>
      </c>
      <c r="L268" s="456"/>
      <c r="M268" s="456"/>
      <c r="N268" s="456"/>
      <c r="O268" s="456"/>
      <c r="P268" s="456"/>
    </row>
    <row r="269" spans="1:16" x14ac:dyDescent="0.25">
      <c r="A269" s="376" t="s">
        <v>544</v>
      </c>
      <c r="B269" s="1">
        <f>Relato!$B$286</f>
        <v>5.68</v>
      </c>
      <c r="C269" s="1">
        <f>Relato!$C$286</f>
        <v>0.15</v>
      </c>
      <c r="D269" s="525">
        <v>2.37</v>
      </c>
      <c r="E269" s="525">
        <f>Relato!$E$286</f>
        <v>0</v>
      </c>
      <c r="F269" s="525">
        <f>Relato!$F$286</f>
        <v>0</v>
      </c>
      <c r="G269" s="1">
        <f>IFERROR(D269+(E269+F269),"GAUGE")</f>
        <v>2.37</v>
      </c>
      <c r="H269" s="525">
        <v>76.2</v>
      </c>
      <c r="I269" s="526">
        <f>Relato!$I$286</f>
        <v>1</v>
      </c>
      <c r="J269" s="528">
        <f t="shared" ref="J269:J271" si="6">IFERROR(ROUND(H269*I269,1),"")</f>
        <v>76.2</v>
      </c>
      <c r="L269" s="456"/>
      <c r="M269" s="456"/>
      <c r="N269" s="456"/>
      <c r="O269" s="456"/>
      <c r="P269" s="456"/>
    </row>
    <row r="270" spans="1:16" x14ac:dyDescent="0.25">
      <c r="A270" s="374" t="s">
        <v>545</v>
      </c>
      <c r="B270" s="1">
        <f>Relato!$B$287</f>
        <v>5.7</v>
      </c>
      <c r="C270" s="1">
        <f>Relato!$C$287</f>
        <v>0.15</v>
      </c>
      <c r="D270" s="1">
        <v>2.4900000000000002</v>
      </c>
      <c r="E270" s="1">
        <f>Relato!$E$287</f>
        <v>0</v>
      </c>
      <c r="F270" s="1">
        <f>Relato!$F$287</f>
        <v>0</v>
      </c>
      <c r="G270" s="1">
        <f t="shared" ref="G270:G271" si="7">IFERROR(D270+(E270+F270),"GAUGE")</f>
        <v>2.4900000000000002</v>
      </c>
      <c r="H270" s="1">
        <v>32.799999999999997</v>
      </c>
      <c r="I270" s="529">
        <f>Relato!$I$287</f>
        <v>1</v>
      </c>
      <c r="J270" s="528">
        <f t="shared" si="6"/>
        <v>32.799999999999997</v>
      </c>
      <c r="L270" s="456"/>
      <c r="M270" s="456"/>
      <c r="N270" s="456"/>
      <c r="O270" s="456"/>
      <c r="P270" s="456"/>
    </row>
    <row r="271" spans="1:16" x14ac:dyDescent="0.25">
      <c r="A271" s="382" t="s">
        <v>784</v>
      </c>
      <c r="B271" s="2">
        <f>Relato!$B$288</f>
        <v>5.77</v>
      </c>
      <c r="C271" s="2">
        <f>Relato!$C$288</f>
        <v>0.15</v>
      </c>
      <c r="D271" s="2">
        <v>2.48</v>
      </c>
      <c r="E271" s="2">
        <f>Relato!$E$288</f>
        <v>0</v>
      </c>
      <c r="F271" s="2">
        <f>Relato!$F$288</f>
        <v>0</v>
      </c>
      <c r="G271" s="2">
        <f t="shared" si="7"/>
        <v>2.48</v>
      </c>
      <c r="H271" s="2">
        <f>Relato!$H$288</f>
        <v>50</v>
      </c>
      <c r="I271" s="530">
        <f>Relato!$I$288</f>
        <v>1</v>
      </c>
      <c r="J271" s="531">
        <f t="shared" si="6"/>
        <v>50</v>
      </c>
      <c r="L271" s="456"/>
      <c r="M271" s="456"/>
      <c r="N271" s="456"/>
      <c r="O271" s="456"/>
      <c r="P271" s="456"/>
    </row>
    <row r="272" spans="1:16" x14ac:dyDescent="0.25">
      <c r="A272" s="381" t="s">
        <v>14</v>
      </c>
      <c r="B272" s="291"/>
      <c r="C272" s="291"/>
      <c r="D272" s="291"/>
      <c r="E272" s="291"/>
      <c r="F272" s="291"/>
      <c r="G272" s="291"/>
      <c r="H272" s="534">
        <f>SUM($H$269:$H$271)</f>
        <v>159</v>
      </c>
      <c r="I272" s="535"/>
      <c r="J272" s="534">
        <f>SUM($J$269:$J$271)</f>
        <v>159</v>
      </c>
      <c r="L272" s="456"/>
      <c r="M272" s="456"/>
      <c r="N272" s="456"/>
      <c r="O272" s="456"/>
      <c r="P272" s="456"/>
    </row>
    <row r="273" spans="1:16" x14ac:dyDescent="0.25">
      <c r="D273" s="536"/>
      <c r="E273" s="536"/>
      <c r="F273" s="536"/>
      <c r="L273" s="456"/>
      <c r="M273" s="456"/>
      <c r="N273" s="456"/>
      <c r="O273" s="456"/>
      <c r="P273" s="456"/>
    </row>
    <row r="274" spans="1:16" x14ac:dyDescent="0.25">
      <c r="D274" s="536"/>
      <c r="E274" s="536"/>
      <c r="F274" s="536"/>
      <c r="L274" s="456"/>
      <c r="M274" s="456"/>
      <c r="N274" s="456"/>
      <c r="O274" s="456"/>
      <c r="P274" s="456"/>
    </row>
    <row r="275" spans="1:16" ht="15.75" x14ac:dyDescent="0.25">
      <c r="A275" s="3" t="s">
        <v>543</v>
      </c>
      <c r="D275" s="536"/>
      <c r="E275" s="536"/>
      <c r="F275" s="536"/>
      <c r="L275" s="456"/>
      <c r="M275" s="456"/>
      <c r="N275" s="456"/>
      <c r="O275" s="456"/>
      <c r="P275" s="456"/>
    </row>
    <row r="276" spans="1:16" x14ac:dyDescent="0.25">
      <c r="A276" s="286" t="s">
        <v>0</v>
      </c>
      <c r="B276" s="286" t="s">
        <v>1</v>
      </c>
      <c r="C276" s="286" t="s">
        <v>2</v>
      </c>
      <c r="D276" s="286" t="s">
        <v>1</v>
      </c>
      <c r="E276" s="823" t="s">
        <v>566</v>
      </c>
      <c r="F276" s="823"/>
      <c r="G276" s="286" t="s">
        <v>3</v>
      </c>
      <c r="H276" s="286" t="s">
        <v>1</v>
      </c>
      <c r="I276" s="286" t="s">
        <v>1</v>
      </c>
      <c r="J276" s="286" t="s">
        <v>4</v>
      </c>
      <c r="L276" s="456"/>
      <c r="M276" s="456"/>
      <c r="N276" s="456"/>
      <c r="O276" s="456"/>
      <c r="P276" s="456"/>
    </row>
    <row r="277" spans="1:16" x14ac:dyDescent="0.25">
      <c r="A277" s="287" t="s">
        <v>709</v>
      </c>
      <c r="B277" s="287" t="s">
        <v>5</v>
      </c>
      <c r="C277" s="287" t="s">
        <v>6</v>
      </c>
      <c r="D277" s="287" t="s">
        <v>7</v>
      </c>
      <c r="E277" s="288" t="s">
        <v>8</v>
      </c>
      <c r="F277" s="288" t="s">
        <v>9</v>
      </c>
      <c r="G277" s="412" t="s">
        <v>7</v>
      </c>
      <c r="H277" s="287" t="s">
        <v>537</v>
      </c>
      <c r="I277" s="287" t="s">
        <v>10</v>
      </c>
      <c r="J277" s="412" t="s">
        <v>11</v>
      </c>
      <c r="L277" s="456"/>
      <c r="M277" s="456"/>
      <c r="N277" s="456"/>
      <c r="O277" s="456"/>
      <c r="P277" s="456"/>
    </row>
    <row r="278" spans="1:16" x14ac:dyDescent="0.25">
      <c r="A278" s="376" t="s">
        <v>544</v>
      </c>
      <c r="B278" s="525">
        <f>$B$269</f>
        <v>5.68</v>
      </c>
      <c r="C278" s="525">
        <f>$C$269</f>
        <v>0.15</v>
      </c>
      <c r="D278" s="525">
        <f>Relato!$D$295</f>
        <v>1.56</v>
      </c>
      <c r="E278" s="525">
        <f>Relato!$E$295</f>
        <v>0</v>
      </c>
      <c r="F278" s="525">
        <f>Relato!$F$295</f>
        <v>0</v>
      </c>
      <c r="G278" s="1">
        <f>IFERROR(D278+(E278+F278),"GAUGE")</f>
        <v>1.56</v>
      </c>
      <c r="H278" s="525">
        <f>Relato!$H$295</f>
        <v>47.88</v>
      </c>
      <c r="I278" s="526">
        <f>I269</f>
        <v>1</v>
      </c>
      <c r="J278" s="528">
        <f t="shared" ref="J278:J280" si="8">IFERROR(ROUND(H278*I278,1),"")</f>
        <v>47.9</v>
      </c>
      <c r="L278" s="456"/>
      <c r="M278" s="456"/>
      <c r="N278" s="456"/>
      <c r="O278" s="456"/>
      <c r="P278" s="456"/>
    </row>
    <row r="279" spans="1:16" x14ac:dyDescent="0.25">
      <c r="A279" s="374" t="s">
        <v>545</v>
      </c>
      <c r="B279" s="1">
        <f>$B$270</f>
        <v>5.7</v>
      </c>
      <c r="C279" s="1">
        <f>$C$270</f>
        <v>0.15</v>
      </c>
      <c r="D279" s="1">
        <f>Relato!$D$296</f>
        <v>2.54</v>
      </c>
      <c r="E279" s="1">
        <f>Relato!$E$296</f>
        <v>0</v>
      </c>
      <c r="F279" s="1">
        <f>Relato!$F$296</f>
        <v>0</v>
      </c>
      <c r="G279" s="1">
        <f t="shared" ref="G279:G280" si="9">IFERROR(D279+(E279+F279),"GAUGE")</f>
        <v>2.54</v>
      </c>
      <c r="H279" s="1">
        <f>Relato!$H$296</f>
        <v>32.5</v>
      </c>
      <c r="I279" s="529">
        <f>I270</f>
        <v>1</v>
      </c>
      <c r="J279" s="528">
        <f t="shared" si="8"/>
        <v>32.5</v>
      </c>
      <c r="L279" s="456"/>
      <c r="M279" s="456"/>
      <c r="N279" s="456"/>
      <c r="O279" s="456"/>
      <c r="P279" s="456"/>
    </row>
    <row r="280" spans="1:16" x14ac:dyDescent="0.25">
      <c r="A280" s="382" t="s">
        <v>784</v>
      </c>
      <c r="B280" s="2">
        <f>$B$271</f>
        <v>5.77</v>
      </c>
      <c r="C280" s="2">
        <f>$C$271</f>
        <v>0.15</v>
      </c>
      <c r="D280" s="2">
        <f>Relato!$D$297</f>
        <v>2.5499999999999998</v>
      </c>
      <c r="E280" s="2">
        <f>Relato!$E$297</f>
        <v>0</v>
      </c>
      <c r="F280" s="2">
        <f>Relato!$F$297</f>
        <v>0</v>
      </c>
      <c r="G280" s="2">
        <f t="shared" si="9"/>
        <v>2.5499999999999998</v>
      </c>
      <c r="H280" s="2">
        <f>Relato!$H$297</f>
        <v>50.08</v>
      </c>
      <c r="I280" s="530">
        <f t="shared" ref="I280" si="10">I271</f>
        <v>1</v>
      </c>
      <c r="J280" s="531">
        <f t="shared" si="8"/>
        <v>50.1</v>
      </c>
      <c r="L280" s="456"/>
      <c r="M280" s="456"/>
      <c r="N280" s="456"/>
      <c r="O280" s="456"/>
      <c r="P280" s="456"/>
    </row>
    <row r="281" spans="1:16" x14ac:dyDescent="0.25">
      <c r="A281" s="381" t="s">
        <v>14</v>
      </c>
      <c r="B281" s="291"/>
      <c r="C281" s="291"/>
      <c r="D281" s="291"/>
      <c r="E281" s="291"/>
      <c r="F281" s="291"/>
      <c r="G281" s="291"/>
      <c r="H281" s="534">
        <f>SUM($H$278:$H$280)</f>
        <v>130.45999999999998</v>
      </c>
      <c r="I281" s="535"/>
      <c r="J281" s="534">
        <f>SUM($J$278:$J$280)</f>
        <v>130.5</v>
      </c>
      <c r="L281" s="456"/>
      <c r="M281" s="456"/>
      <c r="N281" s="456"/>
      <c r="O281" s="456"/>
      <c r="P281" s="456"/>
    </row>
    <row r="282" spans="1:16" x14ac:dyDescent="0.25">
      <c r="L282" s="456"/>
      <c r="M282" s="456"/>
      <c r="N282" s="456"/>
      <c r="O282" s="456"/>
      <c r="P282" s="456"/>
    </row>
    <row r="283" spans="1:16" x14ac:dyDescent="0.25">
      <c r="L283" s="456"/>
      <c r="M283" s="456"/>
      <c r="N283" s="456"/>
      <c r="O283" s="456"/>
      <c r="P283" s="456"/>
    </row>
    <row r="284" spans="1:16" ht="15.75" x14ac:dyDescent="0.25">
      <c r="A284" s="380" t="s">
        <v>691</v>
      </c>
      <c r="B284" s="7"/>
      <c r="C284" s="7"/>
      <c r="D284" s="7"/>
      <c r="E284" s="7"/>
      <c r="F284" s="7"/>
      <c r="G284" s="7"/>
      <c r="H284" s="7"/>
      <c r="I284" s="7"/>
      <c r="J284" s="7"/>
      <c r="L284" s="456"/>
      <c r="M284" s="456"/>
      <c r="N284" s="456"/>
      <c r="O284" s="456"/>
      <c r="P284" s="456"/>
    </row>
    <row r="285" spans="1:16" x14ac:dyDescent="0.25">
      <c r="A285" s="383"/>
      <c r="B285" s="8"/>
      <c r="C285" s="8"/>
      <c r="D285" s="388"/>
      <c r="E285" s="8"/>
      <c r="F285" s="852" t="s">
        <v>546</v>
      </c>
      <c r="G285" s="852"/>
      <c r="H285" s="384"/>
      <c r="I285" s="853" t="s">
        <v>547</v>
      </c>
      <c r="J285" s="854"/>
      <c r="L285" s="456"/>
      <c r="M285" s="456"/>
      <c r="N285" s="456"/>
      <c r="O285" s="456"/>
      <c r="P285" s="456"/>
    </row>
    <row r="286" spans="1:16" ht="15.75" x14ac:dyDescent="0.25">
      <c r="A286" s="389" t="s">
        <v>548</v>
      </c>
      <c r="B286" s="390"/>
      <c r="C286" s="390"/>
      <c r="D286" s="419"/>
      <c r="E286" s="390"/>
      <c r="F286" s="855">
        <f>Draft!$H$65</f>
        <v>853.93600000000004</v>
      </c>
      <c r="G286" s="855"/>
      <c r="H286" s="406"/>
      <c r="I286" s="855">
        <f>Draft!$Z$65</f>
        <v>833.81100000000004</v>
      </c>
      <c r="J286" s="856"/>
      <c r="L286" s="456"/>
      <c r="M286" s="456"/>
      <c r="N286" s="456"/>
      <c r="O286" s="456"/>
      <c r="P286" s="456"/>
    </row>
    <row r="287" spans="1:16" ht="15.75" x14ac:dyDescent="0.25">
      <c r="A287" s="385" t="s">
        <v>549</v>
      </c>
      <c r="D287" s="420"/>
      <c r="F287" s="850">
        <f>Draft!$H$66</f>
        <v>239.85</v>
      </c>
      <c r="G287" s="850"/>
      <c r="H287" s="407"/>
      <c r="I287" s="850">
        <f>Draft!$Z$66</f>
        <v>239.35</v>
      </c>
      <c r="J287" s="851"/>
      <c r="L287" s="456"/>
      <c r="M287" s="456"/>
      <c r="N287" s="456"/>
      <c r="O287" s="456"/>
      <c r="P287" s="456"/>
    </row>
    <row r="288" spans="1:16" ht="15.75" x14ac:dyDescent="0.25">
      <c r="A288" s="385" t="s">
        <v>550</v>
      </c>
      <c r="D288" s="420"/>
      <c r="F288" s="850">
        <f>Draft!$H$67</f>
        <v>39</v>
      </c>
      <c r="G288" s="850"/>
      <c r="H288" s="407"/>
      <c r="I288" s="850">
        <f>Draft!$Z$67</f>
        <v>37</v>
      </c>
      <c r="J288" s="851"/>
      <c r="L288" s="456"/>
      <c r="M288" s="456"/>
      <c r="N288" s="456"/>
      <c r="O288" s="456"/>
      <c r="P288" s="456"/>
    </row>
    <row r="289" spans="1:16" ht="15.75" x14ac:dyDescent="0.25">
      <c r="A289" s="385" t="s">
        <v>551</v>
      </c>
      <c r="D289" s="420"/>
      <c r="F289" s="850">
        <f>$J$272</f>
        <v>159</v>
      </c>
      <c r="G289" s="850"/>
      <c r="H289" s="407"/>
      <c r="I289" s="850">
        <f>$J$281</f>
        <v>130.5</v>
      </c>
      <c r="J289" s="851"/>
      <c r="L289" s="456"/>
      <c r="M289" s="456"/>
      <c r="N289" s="456"/>
      <c r="O289" s="456"/>
      <c r="P289" s="456"/>
    </row>
    <row r="290" spans="1:16" ht="15.75" x14ac:dyDescent="0.25">
      <c r="A290" s="385" t="s">
        <v>552</v>
      </c>
      <c r="D290" s="420"/>
      <c r="F290" s="850">
        <f>$J$246</f>
        <v>20266.2</v>
      </c>
      <c r="G290" s="850"/>
      <c r="H290" s="407"/>
      <c r="I290" s="850">
        <f>$J$262</f>
        <v>387.7</v>
      </c>
      <c r="J290" s="851"/>
      <c r="L290" s="456"/>
      <c r="M290" s="456"/>
      <c r="N290" s="456"/>
      <c r="O290" s="456"/>
      <c r="P290" s="456"/>
    </row>
    <row r="291" spans="1:16" ht="15.75" x14ac:dyDescent="0.25">
      <c r="A291" s="391" t="s">
        <v>553</v>
      </c>
      <c r="B291" s="392"/>
      <c r="C291" s="392"/>
      <c r="D291" s="421"/>
      <c r="E291" s="392"/>
      <c r="F291" s="844">
        <f>Draft!$H$71</f>
        <v>0</v>
      </c>
      <c r="G291" s="844"/>
      <c r="H291" s="408"/>
      <c r="I291" s="844">
        <f>Draft!$Z$71</f>
        <v>28.5</v>
      </c>
      <c r="J291" s="845"/>
      <c r="L291" s="456"/>
      <c r="M291" s="456"/>
      <c r="N291" s="456"/>
      <c r="O291" s="456"/>
      <c r="P291" s="456"/>
    </row>
    <row r="292" spans="1:16" ht="15.75" x14ac:dyDescent="0.25">
      <c r="A292" s="386" t="s">
        <v>14</v>
      </c>
      <c r="B292" s="8"/>
      <c r="C292" s="8"/>
      <c r="D292" s="387"/>
      <c r="E292" s="8"/>
      <c r="F292" s="846">
        <f>SUM($F$286:$G$291)</f>
        <v>21557.986000000001</v>
      </c>
      <c r="G292" s="846"/>
      <c r="H292" s="409"/>
      <c r="I292" s="844">
        <f>SUM($I$286:$J$291)</f>
        <v>1656.8610000000001</v>
      </c>
      <c r="J292" s="844"/>
      <c r="L292" s="456"/>
      <c r="M292" s="456"/>
      <c r="N292" s="456"/>
      <c r="O292" s="456"/>
      <c r="P292" s="456"/>
    </row>
    <row r="293" spans="1:16" x14ac:dyDescent="0.25">
      <c r="L293" s="456"/>
      <c r="M293" s="456"/>
      <c r="N293" s="456"/>
      <c r="O293" s="456"/>
      <c r="P293" s="456"/>
    </row>
  </sheetData>
  <mergeCells count="173">
    <mergeCell ref="F291:G291"/>
    <mergeCell ref="I291:J291"/>
    <mergeCell ref="F292:G292"/>
    <mergeCell ref="I292:J292"/>
    <mergeCell ref="A224:J224"/>
    <mergeCell ref="G196:H196"/>
    <mergeCell ref="I196:J196"/>
    <mergeCell ref="F288:G288"/>
    <mergeCell ref="I288:J288"/>
    <mergeCell ref="F289:G289"/>
    <mergeCell ref="I289:J289"/>
    <mergeCell ref="F290:G290"/>
    <mergeCell ref="I290:J290"/>
    <mergeCell ref="E276:F276"/>
    <mergeCell ref="F285:G285"/>
    <mergeCell ref="I285:J285"/>
    <mergeCell ref="F286:G286"/>
    <mergeCell ref="I286:J286"/>
    <mergeCell ref="F287:G287"/>
    <mergeCell ref="I287:J287"/>
    <mergeCell ref="I222:J222"/>
    <mergeCell ref="G223:H223"/>
    <mergeCell ref="I223:J223"/>
    <mergeCell ref="E234:F234"/>
    <mergeCell ref="E250:F250"/>
    <mergeCell ref="E267:F267"/>
    <mergeCell ref="G214:H214"/>
    <mergeCell ref="I214:J214"/>
    <mergeCell ref="I215:J215"/>
    <mergeCell ref="A219:F219"/>
    <mergeCell ref="I221:J221"/>
    <mergeCell ref="G210:H210"/>
    <mergeCell ref="I210:J210"/>
    <mergeCell ref="G211:H211"/>
    <mergeCell ref="I211:J211"/>
    <mergeCell ref="G212:H212"/>
    <mergeCell ref="G213:H213"/>
    <mergeCell ref="G207:H207"/>
    <mergeCell ref="I207:J207"/>
    <mergeCell ref="G208:H208"/>
    <mergeCell ref="I208:J208"/>
    <mergeCell ref="G209:H209"/>
    <mergeCell ref="I209:J209"/>
    <mergeCell ref="G204:H204"/>
    <mergeCell ref="I204:J204"/>
    <mergeCell ref="G205:H205"/>
    <mergeCell ref="I205:J205"/>
    <mergeCell ref="G206:H206"/>
    <mergeCell ref="I206:J206"/>
    <mergeCell ref="G195:H195"/>
    <mergeCell ref="I195:J195"/>
    <mergeCell ref="G197:H197"/>
    <mergeCell ref="I197:J197"/>
    <mergeCell ref="G203:H203"/>
    <mergeCell ref="I203:J203"/>
    <mergeCell ref="G192:H192"/>
    <mergeCell ref="I192:J192"/>
    <mergeCell ref="G193:H193"/>
    <mergeCell ref="I193:J193"/>
    <mergeCell ref="G194:H194"/>
    <mergeCell ref="I194:J194"/>
    <mergeCell ref="G189:H189"/>
    <mergeCell ref="I189:J189"/>
    <mergeCell ref="G190:H190"/>
    <mergeCell ref="I190:J190"/>
    <mergeCell ref="G191:H191"/>
    <mergeCell ref="I191:J191"/>
    <mergeCell ref="G186:H186"/>
    <mergeCell ref="I186:J186"/>
    <mergeCell ref="G187:H187"/>
    <mergeCell ref="I187:J187"/>
    <mergeCell ref="G188:H188"/>
    <mergeCell ref="I188:J188"/>
    <mergeCell ref="G183:H183"/>
    <mergeCell ref="I183:J183"/>
    <mergeCell ref="G184:H184"/>
    <mergeCell ref="I184:J184"/>
    <mergeCell ref="G185:H185"/>
    <mergeCell ref="I185:J185"/>
    <mergeCell ref="G180:H180"/>
    <mergeCell ref="I180:J180"/>
    <mergeCell ref="G181:H181"/>
    <mergeCell ref="I181:J181"/>
    <mergeCell ref="G182:H182"/>
    <mergeCell ref="I182:J182"/>
    <mergeCell ref="A175:B175"/>
    <mergeCell ref="C175:D175"/>
    <mergeCell ref="E175:F175"/>
    <mergeCell ref="G176:H176"/>
    <mergeCell ref="I176:J176"/>
    <mergeCell ref="G179:H179"/>
    <mergeCell ref="I179:J179"/>
    <mergeCell ref="G171:H171"/>
    <mergeCell ref="I171:J171"/>
    <mergeCell ref="A172:F174"/>
    <mergeCell ref="G172:H172"/>
    <mergeCell ref="I172:J172"/>
    <mergeCell ref="G174:H174"/>
    <mergeCell ref="I174:J174"/>
    <mergeCell ref="G175:H175"/>
    <mergeCell ref="I175:J175"/>
    <mergeCell ref="I173:J173"/>
    <mergeCell ref="G173:H173"/>
    <mergeCell ref="G177:H177"/>
    <mergeCell ref="I177:J177"/>
    <mergeCell ref="H165:I165"/>
    <mergeCell ref="H166:I166"/>
    <mergeCell ref="H167:I167"/>
    <mergeCell ref="H168:I168"/>
    <mergeCell ref="H169:I169"/>
    <mergeCell ref="G129:H129"/>
    <mergeCell ref="I129:J129"/>
    <mergeCell ref="G130:H130"/>
    <mergeCell ref="I130:J130"/>
    <mergeCell ref="H162:I162"/>
    <mergeCell ref="H164:I164"/>
    <mergeCell ref="G126:H126"/>
    <mergeCell ref="I126:J126"/>
    <mergeCell ref="G127:H127"/>
    <mergeCell ref="I127:J127"/>
    <mergeCell ref="G128:H128"/>
    <mergeCell ref="I128:J128"/>
    <mergeCell ref="B111:C111"/>
    <mergeCell ref="D111:E111"/>
    <mergeCell ref="F111:I111"/>
    <mergeCell ref="B112:C112"/>
    <mergeCell ref="F112:I112"/>
    <mergeCell ref="G125:H125"/>
    <mergeCell ref="I125:J125"/>
    <mergeCell ref="B109:C109"/>
    <mergeCell ref="D109:E109"/>
    <mergeCell ref="F109:I109"/>
    <mergeCell ref="B110:C110"/>
    <mergeCell ref="D110:E110"/>
    <mergeCell ref="F110:I110"/>
    <mergeCell ref="B107:C107"/>
    <mergeCell ref="D107:E107"/>
    <mergeCell ref="F107:I107"/>
    <mergeCell ref="B108:C108"/>
    <mergeCell ref="D108:E108"/>
    <mergeCell ref="F108:I108"/>
    <mergeCell ref="B104:C104"/>
    <mergeCell ref="F104:I104"/>
    <mergeCell ref="B105:C105"/>
    <mergeCell ref="D105:E105"/>
    <mergeCell ref="F105:I105"/>
    <mergeCell ref="B106:C106"/>
    <mergeCell ref="D106:E106"/>
    <mergeCell ref="F106:I106"/>
    <mergeCell ref="E94:J94"/>
    <mergeCell ref="E98:J98"/>
    <mergeCell ref="E99:J99"/>
    <mergeCell ref="B103:C103"/>
    <mergeCell ref="D103:E103"/>
    <mergeCell ref="F103:I103"/>
    <mergeCell ref="E91:J91"/>
    <mergeCell ref="E92:J92"/>
    <mergeCell ref="E93:F93"/>
    <mergeCell ref="A39:J39"/>
    <mergeCell ref="A40:J40"/>
    <mergeCell ref="F78:J78"/>
    <mergeCell ref="E81:J81"/>
    <mergeCell ref="E82:F82"/>
    <mergeCell ref="E83:G83"/>
    <mergeCell ref="A1:J1"/>
    <mergeCell ref="G3:I3"/>
    <mergeCell ref="A33:J33"/>
    <mergeCell ref="A34:J34"/>
    <mergeCell ref="A35:J35"/>
    <mergeCell ref="A37:J38"/>
    <mergeCell ref="E84:J84"/>
    <mergeCell ref="E85:F85"/>
    <mergeCell ref="E90:J90"/>
  </mergeCells>
  <conditionalFormatting sqref="B105">
    <cfRule type="cellIs" dxfId="73" priority="24" operator="equal">
      <formula>0</formula>
    </cfRule>
  </conditionalFormatting>
  <conditionalFormatting sqref="F105">
    <cfRule type="cellIs" dxfId="72" priority="23" operator="equal">
      <formula>0</formula>
    </cfRule>
  </conditionalFormatting>
  <conditionalFormatting sqref="F106:F111">
    <cfRule type="cellIs" dxfId="71" priority="22" operator="equal">
      <formula>0</formula>
    </cfRule>
  </conditionalFormatting>
  <conditionalFormatting sqref="B106:B111">
    <cfRule type="cellIs" dxfId="70" priority="19" operator="equal">
      <formula>0</formula>
    </cfRule>
  </conditionalFormatting>
  <conditionalFormatting sqref="D105">
    <cfRule type="cellIs" dxfId="69" priority="21" operator="equal">
      <formula>0</formula>
    </cfRule>
  </conditionalFormatting>
  <conditionalFormatting sqref="D106:D111">
    <cfRule type="cellIs" dxfId="68" priority="20" operator="equal">
      <formula>0</formula>
    </cfRule>
  </conditionalFormatting>
  <conditionalFormatting sqref="G229:I229">
    <cfRule type="expression" dxfId="67" priority="25">
      <formula>$G$229=0</formula>
    </cfRule>
  </conditionalFormatting>
  <conditionalFormatting sqref="F229:F230">
    <cfRule type="expression" dxfId="66" priority="26">
      <formula>#REF!=0</formula>
    </cfRule>
  </conditionalFormatting>
  <conditionalFormatting sqref="G228:I228">
    <cfRule type="expression" dxfId="65" priority="18">
      <formula>$G$228=0</formula>
    </cfRule>
  </conditionalFormatting>
  <conditionalFormatting sqref="G230:I230">
    <cfRule type="expression" dxfId="64" priority="17">
      <formula>$G$230=0</formula>
    </cfRule>
  </conditionalFormatting>
  <conditionalFormatting sqref="H167:I167">
    <cfRule type="cellIs" dxfId="63" priority="15" operator="equal">
      <formula>0</formula>
    </cfRule>
  </conditionalFormatting>
  <conditionalFormatting sqref="H168:I169">
    <cfRule type="cellIs" dxfId="62" priority="14" operator="equal">
      <formula>0</formula>
    </cfRule>
  </conditionalFormatting>
  <conditionalFormatting sqref="J167">
    <cfRule type="expression" dxfId="61" priority="13">
      <formula>$D$167=""</formula>
    </cfRule>
  </conditionalFormatting>
  <conditionalFormatting sqref="J168">
    <cfRule type="expression" dxfId="60" priority="12">
      <formula>$D$168=""</formula>
    </cfRule>
  </conditionalFormatting>
  <conditionalFormatting sqref="J169">
    <cfRule type="expression" dxfId="59" priority="11">
      <formula>$D$169=""</formula>
    </cfRule>
  </conditionalFormatting>
  <conditionalFormatting sqref="H233">
    <cfRule type="cellIs" dxfId="58" priority="9" operator="equal">
      <formula>0</formula>
    </cfRule>
  </conditionalFormatting>
  <conditionalFormatting sqref="H249">
    <cfRule type="cellIs" dxfId="57" priority="8" operator="equal">
      <formula>0</formula>
    </cfRule>
  </conditionalFormatting>
  <conditionalFormatting sqref="G57:J58">
    <cfRule type="expression" dxfId="56" priority="4">
      <formula>$A$57=$A$52</formula>
    </cfRule>
  </conditionalFormatting>
  <printOptions horizontalCentered="1"/>
  <pageMargins left="0.70866141732283472" right="0.27559055118110237" top="1.1811023622047245" bottom="0.55118110236220474" header="0.94488188976377963" footer="0.6692913385826772"/>
  <pageSetup paperSize="9" scale="95" orientation="portrait" verticalDpi="300" r:id="rId1"/>
  <headerFooter>
    <oddHeader>&amp;RPGUA/DS/058/26</oddHeader>
    <oddFooter>&amp;C&amp;P</oddFooter>
  </headerFooter>
  <rowBreaks count="6" manualBreakCount="6">
    <brk id="32" max="17" man="1"/>
    <brk id="78" max="17" man="1"/>
    <brk id="122" max="17" man="1"/>
    <brk id="169" max="17" man="1"/>
    <brk id="230" max="17" man="1"/>
    <brk id="263" max="17" man="1"/>
  </rowBreaks>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G199:H201 H217:H219 G180:H197 G171:G177 G204:H210 G214</xm:sqref>
        </x14:conditionalFormatting>
        <x14:conditionalFormatting xmlns:xm="http://schemas.microsoft.com/office/excel/2006/main">
          <x14:cfRule type="expression" priority="6" id="{35C28081-2E8D-44B7-8188-F96BB646BE50}">
            <xm:f>Draft!$H$84="SIM"</xm:f>
            <x14:dxf>
              <font>
                <color theme="0"/>
              </font>
            </x14:dxf>
          </x14:cfRule>
          <xm:sqref>I196</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zoomScale="80" zoomScaleNormal="80" zoomScalePageLayoutView="10" workbookViewId="0">
      <selection activeCell="N71" sqref="N71"/>
    </sheetView>
  </sheetViews>
  <sheetFormatPr defaultColWidth="9.140625" defaultRowHeight="12.75" customHeight="1" x14ac:dyDescent="0.2"/>
  <cols>
    <col min="1" max="1" width="11.140625" style="246" customWidth="1"/>
    <col min="2" max="2" width="3.28515625" style="246" hidden="1" customWidth="1"/>
    <col min="3" max="3" width="31.5703125" style="246" customWidth="1"/>
    <col min="4" max="4" width="5.7109375" style="246" customWidth="1"/>
    <col min="5" max="5" width="15.85546875" style="246" customWidth="1"/>
    <col min="6" max="6" width="1.5703125" style="246" bestFit="1" customWidth="1"/>
    <col min="7" max="7" width="15" style="246" customWidth="1"/>
    <col min="8" max="8" width="3.42578125" style="246" bestFit="1" customWidth="1"/>
    <col min="9" max="9" width="10.85546875" style="246" customWidth="1"/>
    <col min="10" max="10" width="3.85546875" style="246" customWidth="1"/>
    <col min="11" max="11" width="33.140625" style="246" customWidth="1"/>
    <col min="12" max="12" width="13.5703125" style="246" customWidth="1"/>
    <col min="13" max="13" width="8.5703125" style="246" customWidth="1"/>
    <col min="14" max="14" width="9.140625" style="246" customWidth="1"/>
    <col min="15" max="15" width="15.5703125" style="246" hidden="1" customWidth="1"/>
    <col min="16" max="16" width="19.5703125" style="246" hidden="1" customWidth="1"/>
    <col min="17" max="17" width="26" style="246" hidden="1" customWidth="1"/>
    <col min="18" max="18" width="115.42578125" style="246" customWidth="1"/>
    <col min="19" max="19" width="9.140625" style="246"/>
    <col min="20" max="20" width="97.85546875" style="246" customWidth="1"/>
    <col min="21" max="16384" width="9.140625" style="246"/>
  </cols>
  <sheetData>
    <row r="1" spans="1:14" ht="64.5" customHeight="1" x14ac:dyDescent="0.2"/>
    <row r="2" spans="1:14" ht="12.75" hidden="1" customHeight="1" x14ac:dyDescent="0.2">
      <c r="C2" s="246" t="str">
        <f>CAPA!$B$8</f>
        <v>GEORGIA S</v>
      </c>
    </row>
    <row r="3" spans="1:14" ht="24" customHeight="1" x14ac:dyDescent="0.3">
      <c r="C3" s="423" t="str">
        <f>_xlfn.CONCAT(N5,N6,"MV ""","",_xlfn.CONCAT(C5),"",""" - Resumo dos números apurados - ","(",TEXT(G36,"#,##0.000")," t"," ou ",TEXT(I36,"#,##0.00"),"%",")")</f>
        <v>ATENÇÃO:MV "GEORGIA S" - Resumo dos números apurados - (313.325 t ou 0.53%)</v>
      </c>
      <c r="D3" s="424"/>
      <c r="E3" s="424"/>
      <c r="F3" s="424"/>
      <c r="G3" s="424"/>
      <c r="H3" s="424"/>
      <c r="I3" s="424"/>
      <c r="J3" s="424"/>
      <c r="K3" s="424"/>
    </row>
    <row r="4" spans="1:14" ht="12.75" hidden="1" customHeight="1" x14ac:dyDescent="0.2">
      <c r="C4" s="424"/>
      <c r="D4" s="424"/>
      <c r="E4" s="424"/>
      <c r="F4" s="424"/>
      <c r="G4" s="424"/>
      <c r="H4" s="424"/>
      <c r="I4" s="424"/>
      <c r="J4" s="424"/>
      <c r="K4" s="424"/>
    </row>
    <row r="5" spans="1:14" ht="12.75" hidden="1" customHeight="1" x14ac:dyDescent="0.2">
      <c r="C5" s="424" t="str">
        <f>CAPA!$B$8</f>
        <v>GEORGIA S</v>
      </c>
      <c r="D5" s="424"/>
      <c r="E5" s="424"/>
      <c r="F5" s="424"/>
      <c r="G5" s="424"/>
      <c r="H5" s="424"/>
      <c r="I5" s="424"/>
      <c r="J5" s="424"/>
      <c r="K5" s="424"/>
      <c r="N5" s="427" t="str">
        <f>IF(I36&gt;0.2,"ATENÇÃO:","")</f>
        <v>ATENÇÃO:</v>
      </c>
    </row>
    <row r="6" spans="1:14" ht="12.75" hidden="1" customHeight="1" x14ac:dyDescent="0.3">
      <c r="B6" s="247"/>
      <c r="C6" s="423"/>
      <c r="D6" s="425"/>
      <c r="E6" s="425"/>
      <c r="F6" s="425"/>
      <c r="G6" s="425"/>
      <c r="H6" s="425"/>
      <c r="I6" s="425"/>
      <c r="J6" s="425"/>
      <c r="K6" s="424"/>
      <c r="N6" s="427" t="str">
        <f>IF(I36&lt;-0.2,"ATENÇÃO:","")</f>
        <v/>
      </c>
    </row>
    <row r="7" spans="1:14" ht="12.75" hidden="1" customHeight="1" x14ac:dyDescent="0.25">
      <c r="B7" s="247"/>
      <c r="C7" s="426"/>
      <c r="D7" s="425"/>
      <c r="E7" s="425"/>
      <c r="F7" s="425"/>
      <c r="G7" s="425"/>
      <c r="H7" s="425"/>
      <c r="I7" s="425"/>
      <c r="J7" s="425"/>
      <c r="K7" s="424"/>
      <c r="N7" s="427"/>
    </row>
    <row r="8" spans="1:14" ht="12.75" customHeight="1" x14ac:dyDescent="0.25">
      <c r="B8" s="247"/>
      <c r="C8" s="426"/>
      <c r="D8" s="425"/>
      <c r="E8" s="425"/>
      <c r="F8" s="425"/>
      <c r="G8" s="425"/>
      <c r="H8" s="425"/>
      <c r="I8" s="425"/>
      <c r="J8" s="425"/>
      <c r="K8" s="424"/>
    </row>
    <row r="9" spans="1:14" ht="12.75" customHeight="1" x14ac:dyDescent="0.25">
      <c r="B9" s="247"/>
      <c r="C9" s="426"/>
      <c r="D9" s="425"/>
      <c r="E9" s="425"/>
      <c r="F9" s="425"/>
      <c r="G9" s="425"/>
      <c r="H9" s="425"/>
      <c r="I9" s="425"/>
      <c r="J9" s="425"/>
      <c r="K9" s="424"/>
    </row>
    <row r="10" spans="1:14" ht="20.25" hidden="1" customHeight="1" x14ac:dyDescent="0.25">
      <c r="B10" s="247"/>
      <c r="C10" s="426"/>
      <c r="D10" s="425"/>
      <c r="E10" s="425"/>
      <c r="F10" s="425"/>
      <c r="G10" s="425"/>
      <c r="H10" s="425"/>
      <c r="I10" s="425"/>
      <c r="J10" s="425"/>
      <c r="K10" s="424"/>
    </row>
    <row r="11" spans="1:14" ht="107.25" hidden="1" customHeight="1" x14ac:dyDescent="0.2">
      <c r="C11" s="424"/>
      <c r="D11" s="424"/>
      <c r="E11" s="424"/>
      <c r="F11" s="424"/>
      <c r="G11" s="424"/>
      <c r="H11" s="424"/>
      <c r="I11" s="424"/>
      <c r="J11" s="424"/>
      <c r="K11" s="424"/>
    </row>
    <row r="12" spans="1:14" ht="19.5" hidden="1" customHeight="1" x14ac:dyDescent="0.3">
      <c r="A12" s="537"/>
      <c r="B12" s="538"/>
      <c r="C12" s="538"/>
      <c r="D12" s="538"/>
      <c r="E12" s="538"/>
      <c r="F12" s="538"/>
      <c r="G12" s="538"/>
      <c r="H12" s="538"/>
      <c r="I12" s="538"/>
      <c r="J12" s="538"/>
      <c r="K12" s="538"/>
    </row>
    <row r="13" spans="1:14" ht="12.75" hidden="1" customHeight="1" x14ac:dyDescent="0.3">
      <c r="A13" s="537"/>
      <c r="B13" s="538"/>
      <c r="C13" s="538"/>
      <c r="D13" s="538"/>
      <c r="E13" s="538"/>
      <c r="F13" s="538"/>
      <c r="G13" s="538"/>
      <c r="H13" s="538"/>
      <c r="I13" s="538"/>
      <c r="J13" s="538"/>
      <c r="K13" s="538"/>
    </row>
    <row r="14" spans="1:14" ht="12.75" hidden="1" customHeight="1" x14ac:dyDescent="0.3">
      <c r="A14" s="537"/>
      <c r="B14" s="538"/>
      <c r="C14" s="538"/>
      <c r="D14" s="538"/>
      <c r="E14" s="538"/>
      <c r="F14" s="538"/>
      <c r="G14" s="538"/>
      <c r="H14" s="538"/>
      <c r="I14" s="538"/>
      <c r="J14" s="538"/>
      <c r="K14" s="538"/>
    </row>
    <row r="15" spans="1:14" ht="80.849999999999994" hidden="1" customHeight="1" x14ac:dyDescent="0.3">
      <c r="A15" s="537"/>
      <c r="B15" s="538"/>
      <c r="C15" s="538"/>
      <c r="D15" s="538"/>
      <c r="E15" s="538"/>
      <c r="F15" s="538"/>
      <c r="G15" s="538"/>
      <c r="H15" s="538"/>
      <c r="I15" s="538"/>
      <c r="J15" s="538"/>
      <c r="K15" s="538"/>
    </row>
    <row r="16" spans="1:14" ht="21" x14ac:dyDescent="0.25">
      <c r="A16" s="538"/>
      <c r="B16" s="538"/>
      <c r="C16" s="1184"/>
      <c r="D16" s="1184"/>
      <c r="E16" s="1184"/>
      <c r="F16" s="1184"/>
      <c r="G16" s="1184"/>
      <c r="H16" s="1184"/>
      <c r="I16" s="1184"/>
      <c r="J16" s="1184"/>
      <c r="K16" s="1184"/>
    </row>
    <row r="17" spans="1:17" ht="12.75" customHeight="1" thickBot="1" x14ac:dyDescent="0.35">
      <c r="A17" s="538"/>
      <c r="B17" s="538"/>
      <c r="C17" s="537"/>
      <c r="D17" s="538"/>
      <c r="E17" s="538"/>
      <c r="F17" s="538"/>
      <c r="G17" s="538"/>
      <c r="H17" s="538"/>
      <c r="I17" s="538"/>
      <c r="J17" s="538"/>
      <c r="K17" s="538"/>
    </row>
    <row r="18" spans="1:17" ht="12.75" hidden="1" customHeight="1" thickBot="1" x14ac:dyDescent="0.3">
      <c r="A18" s="538"/>
      <c r="B18" s="538"/>
      <c r="C18" s="538"/>
      <c r="D18" s="538"/>
      <c r="E18" s="538"/>
      <c r="F18" s="538"/>
      <c r="G18" s="538"/>
      <c r="H18" s="538"/>
      <c r="I18" s="538"/>
      <c r="J18" s="538"/>
      <c r="K18" s="538"/>
    </row>
    <row r="19" spans="1:17" ht="17.25" x14ac:dyDescent="0.3">
      <c r="A19" s="538"/>
      <c r="B19" s="538"/>
      <c r="C19" s="553" t="s">
        <v>569</v>
      </c>
      <c r="D19" s="554" t="s">
        <v>518</v>
      </c>
      <c r="E19" s="555">
        <f>Draft!$E$4</f>
        <v>46074</v>
      </c>
      <c r="F19" s="556"/>
      <c r="G19" s="1185" t="str">
        <f>_xlfn.CONCAT(TEXT(Draft!$O$5,"hh:mm")," - ",Draft!$AN$7,Draft!$H$6)</f>
        <v>11:10 - Fundeado - área 9.2</v>
      </c>
      <c r="H19" s="1185"/>
      <c r="I19" s="1185"/>
      <c r="J19" s="1185"/>
      <c r="K19" s="1186"/>
      <c r="L19" s="250"/>
      <c r="M19" s="250"/>
      <c r="N19" s="250"/>
      <c r="O19" s="250" t="e">
        <f>IF(Draft!H6="berthed",Atracado,Fundeado)</f>
        <v>#NAME?</v>
      </c>
      <c r="P19" s="250"/>
      <c r="Q19" s="250"/>
    </row>
    <row r="20" spans="1:17" ht="17.25" x14ac:dyDescent="0.3">
      <c r="A20" s="538"/>
      <c r="B20" s="538"/>
      <c r="C20" s="557" t="s">
        <v>568</v>
      </c>
      <c r="D20" s="543" t="s">
        <v>518</v>
      </c>
      <c r="E20" s="544">
        <f>Draft!$X$4</f>
        <v>46081</v>
      </c>
      <c r="F20" s="545"/>
      <c r="G20" s="1187" t="str">
        <f>_xlfn.CONCAT(TEXT(Draft!$AH$5,"hh:mm")," - ",Draft!$AN$8,Draft!$AA$6)</f>
        <v>12:10 - Atracado - berço 214</v>
      </c>
      <c r="H20" s="1187"/>
      <c r="I20" s="1187"/>
      <c r="J20" s="1187"/>
      <c r="K20" s="1188"/>
      <c r="L20" s="250"/>
      <c r="M20" s="250"/>
      <c r="N20" s="250"/>
      <c r="O20" s="250"/>
      <c r="P20" s="250"/>
      <c r="Q20" s="250"/>
    </row>
    <row r="21" spans="1:17" ht="12.75" customHeight="1" x14ac:dyDescent="0.3">
      <c r="A21" s="538"/>
      <c r="B21" s="538"/>
      <c r="C21" s="558"/>
      <c r="D21" s="549"/>
      <c r="E21" s="550"/>
      <c r="F21" s="550"/>
      <c r="G21" s="550"/>
      <c r="H21" s="550"/>
      <c r="I21" s="550"/>
      <c r="J21" s="550"/>
      <c r="K21" s="559"/>
      <c r="L21" s="250"/>
      <c r="M21" s="250"/>
      <c r="N21" s="250"/>
      <c r="O21" s="250"/>
      <c r="P21" s="250"/>
      <c r="Q21" s="250"/>
    </row>
    <row r="22" spans="1:17" ht="15" customHeight="1" x14ac:dyDescent="0.3">
      <c r="A22" s="538"/>
      <c r="B22" s="538"/>
      <c r="C22" s="657" t="s">
        <v>613</v>
      </c>
      <c r="D22" s="658" t="s">
        <v>518</v>
      </c>
      <c r="E22" s="659" t="s">
        <v>614</v>
      </c>
      <c r="F22" s="660"/>
      <c r="G22" s="660" t="s">
        <v>615</v>
      </c>
      <c r="H22" s="660"/>
      <c r="I22" s="661"/>
      <c r="J22" s="661"/>
      <c r="K22" s="662"/>
      <c r="L22" s="542"/>
      <c r="M22" s="250"/>
      <c r="N22" s="250"/>
      <c r="O22" s="422">
        <v>3000</v>
      </c>
      <c r="P22" s="250"/>
      <c r="Q22" s="250"/>
    </row>
    <row r="23" spans="1:17" ht="15" customHeight="1" x14ac:dyDescent="0.3">
      <c r="A23" s="538"/>
      <c r="B23" s="538"/>
      <c r="C23" s="663" t="s">
        <v>342</v>
      </c>
      <c r="D23" s="664" t="s">
        <v>518</v>
      </c>
      <c r="E23" s="665">
        <v>0</v>
      </c>
      <c r="F23" s="661"/>
      <c r="G23" s="666">
        <f>IFERROR(E23/E34*100,"")</f>
        <v>0</v>
      </c>
      <c r="H23" s="661"/>
      <c r="I23" s="661"/>
      <c r="J23" s="661"/>
      <c r="K23" s="662"/>
      <c r="L23" s="542"/>
      <c r="M23" s="250"/>
      <c r="N23" s="250"/>
      <c r="O23" s="422"/>
      <c r="P23" s="250"/>
      <c r="Q23" s="250"/>
    </row>
    <row r="24" spans="1:17" ht="15" customHeight="1" x14ac:dyDescent="0.3">
      <c r="A24" s="538"/>
      <c r="B24" s="538"/>
      <c r="C24" s="663" t="s">
        <v>343</v>
      </c>
      <c r="D24" s="664" t="s">
        <v>518</v>
      </c>
      <c r="E24" s="665">
        <v>0</v>
      </c>
      <c r="F24" s="661"/>
      <c r="G24" s="666">
        <f>IFERROR(E24/E34*100,"")</f>
        <v>0</v>
      </c>
      <c r="H24" s="661"/>
      <c r="I24" s="661"/>
      <c r="J24" s="661"/>
      <c r="K24" s="662"/>
      <c r="L24" s="542"/>
      <c r="M24" s="250"/>
      <c r="N24" s="250"/>
      <c r="O24" s="422"/>
      <c r="P24" s="250"/>
      <c r="Q24" s="250"/>
    </row>
    <row r="25" spans="1:17" ht="15" customHeight="1" x14ac:dyDescent="0.3">
      <c r="A25" s="538"/>
      <c r="B25" s="538"/>
      <c r="C25" s="663" t="s">
        <v>344</v>
      </c>
      <c r="D25" s="664" t="s">
        <v>518</v>
      </c>
      <c r="E25" s="665">
        <v>0</v>
      </c>
      <c r="F25" s="661"/>
      <c r="G25" s="666">
        <f>IFERROR(E25/E34*100,"")</f>
        <v>0</v>
      </c>
      <c r="H25" s="661"/>
      <c r="I25" s="661"/>
      <c r="J25" s="661"/>
      <c r="K25" s="662"/>
      <c r="L25" s="542"/>
      <c r="M25" s="250"/>
      <c r="N25" s="250"/>
      <c r="O25" s="422"/>
      <c r="P25" s="250"/>
      <c r="Q25" s="250"/>
    </row>
    <row r="26" spans="1:17" ht="15" customHeight="1" x14ac:dyDescent="0.3">
      <c r="A26" s="538"/>
      <c r="B26" s="538"/>
      <c r="C26" s="663" t="s">
        <v>345</v>
      </c>
      <c r="D26" s="664" t="s">
        <v>518</v>
      </c>
      <c r="E26" s="665">
        <v>0</v>
      </c>
      <c r="F26" s="661"/>
      <c r="G26" s="666">
        <f>IFERROR(E26/E34*100,"")</f>
        <v>0</v>
      </c>
      <c r="H26" s="661"/>
      <c r="I26" s="661"/>
      <c r="J26" s="661"/>
      <c r="K26" s="662"/>
      <c r="L26" s="542"/>
      <c r="M26" s="250"/>
      <c r="N26" s="250"/>
      <c r="O26" s="422"/>
      <c r="P26" s="250"/>
      <c r="Q26" s="250"/>
    </row>
    <row r="27" spans="1:17" ht="15" customHeight="1" x14ac:dyDescent="0.3">
      <c r="A27" s="538"/>
      <c r="B27" s="538"/>
      <c r="C27" s="663" t="s">
        <v>346</v>
      </c>
      <c r="D27" s="664" t="s">
        <v>518</v>
      </c>
      <c r="E27" s="665">
        <v>0</v>
      </c>
      <c r="F27" s="661"/>
      <c r="G27" s="666">
        <f>IFERROR(E27/E34*100,"")</f>
        <v>0</v>
      </c>
      <c r="H27" s="661"/>
      <c r="I27" s="661"/>
      <c r="J27" s="661"/>
      <c r="K27" s="662"/>
      <c r="L27" s="542"/>
      <c r="M27" s="250"/>
      <c r="N27" s="250"/>
      <c r="O27" s="422"/>
      <c r="P27" s="250"/>
      <c r="Q27" s="250"/>
    </row>
    <row r="28" spans="1:17" ht="15" customHeight="1" x14ac:dyDescent="0.3">
      <c r="A28" s="538"/>
      <c r="B28" s="538"/>
      <c r="C28" s="663" t="s">
        <v>347</v>
      </c>
      <c r="D28" s="664" t="s">
        <v>518</v>
      </c>
      <c r="E28" s="665">
        <v>0</v>
      </c>
      <c r="F28" s="661"/>
      <c r="G28" s="666">
        <f>IFERROR(E28/E34*100,"")</f>
        <v>0</v>
      </c>
      <c r="H28" s="661"/>
      <c r="I28" s="661"/>
      <c r="J28" s="661"/>
      <c r="K28" s="662"/>
      <c r="L28" s="542"/>
      <c r="M28" s="250"/>
      <c r="N28" s="250"/>
      <c r="O28" s="422"/>
      <c r="P28" s="250"/>
      <c r="Q28" s="250"/>
    </row>
    <row r="29" spans="1:17" ht="15" customHeight="1" x14ac:dyDescent="0.3">
      <c r="A29" s="538"/>
      <c r="B29" s="538"/>
      <c r="C29" s="663" t="s">
        <v>348</v>
      </c>
      <c r="D29" s="664" t="s">
        <v>518</v>
      </c>
      <c r="E29" s="665">
        <v>0</v>
      </c>
      <c r="F29" s="661"/>
      <c r="G29" s="666">
        <f>IFERROR(E29/E34*100,"")</f>
        <v>0</v>
      </c>
      <c r="H29" s="661"/>
      <c r="I29" s="661"/>
      <c r="J29" s="661"/>
      <c r="K29" s="662"/>
      <c r="L29" s="542"/>
      <c r="M29" s="250"/>
      <c r="N29" s="250"/>
      <c r="O29" s="422"/>
      <c r="P29" s="250"/>
      <c r="Q29" s="250"/>
    </row>
    <row r="30" spans="1:17" ht="15" customHeight="1" x14ac:dyDescent="0.3">
      <c r="A30" s="538"/>
      <c r="B30" s="538"/>
      <c r="C30" s="663" t="s">
        <v>349</v>
      </c>
      <c r="D30" s="664" t="s">
        <v>518</v>
      </c>
      <c r="E30" s="665">
        <v>0</v>
      </c>
      <c r="F30" s="661"/>
      <c r="G30" s="666">
        <f>IFERROR(E30/E34*100,"")</f>
        <v>0</v>
      </c>
      <c r="H30" s="661"/>
      <c r="I30" s="661"/>
      <c r="J30" s="661"/>
      <c r="K30" s="662"/>
      <c r="L30" s="542"/>
      <c r="M30" s="250"/>
      <c r="N30" s="250"/>
      <c r="O30" s="422"/>
      <c r="P30" s="250"/>
      <c r="Q30" s="250"/>
    </row>
    <row r="31" spans="1:17" ht="15" customHeight="1" x14ac:dyDescent="0.3">
      <c r="A31" s="538"/>
      <c r="B31" s="538"/>
      <c r="C31" s="663" t="s">
        <v>350</v>
      </c>
      <c r="D31" s="664" t="s">
        <v>518</v>
      </c>
      <c r="E31" s="665">
        <v>0</v>
      </c>
      <c r="F31" s="661"/>
      <c r="G31" s="666">
        <f>IFERROR(E31/E34*100,"")</f>
        <v>0</v>
      </c>
      <c r="H31" s="661"/>
      <c r="I31" s="661"/>
      <c r="J31" s="661"/>
      <c r="K31" s="662"/>
      <c r="L31" s="542"/>
      <c r="M31" s="250"/>
      <c r="N31" s="250"/>
      <c r="O31" s="422"/>
      <c r="P31" s="250"/>
      <c r="Q31" s="250"/>
    </row>
    <row r="32" spans="1:17" ht="15" customHeight="1" x14ac:dyDescent="0.3">
      <c r="A32" s="538"/>
      <c r="B32" s="538"/>
      <c r="C32" s="663" t="s">
        <v>351</v>
      </c>
      <c r="D32" s="664" t="s">
        <v>518</v>
      </c>
      <c r="E32" s="665">
        <v>0</v>
      </c>
      <c r="F32" s="667"/>
      <c r="G32" s="666">
        <f>IFERROR(E32/E34*100,"")</f>
        <v>0</v>
      </c>
      <c r="H32" s="667"/>
      <c r="I32" s="667"/>
      <c r="J32" s="667"/>
      <c r="K32" s="668"/>
    </row>
    <row r="33" spans="1:17" ht="15" customHeight="1" x14ac:dyDescent="0.3">
      <c r="A33" s="538"/>
      <c r="B33" s="538"/>
      <c r="C33" s="663" t="s">
        <v>352</v>
      </c>
      <c r="D33" s="664" t="s">
        <v>518</v>
      </c>
      <c r="E33" s="665">
        <v>0</v>
      </c>
      <c r="F33" s="667"/>
      <c r="G33" s="666">
        <f>IFERROR(E33/E34*100,"")</f>
        <v>0</v>
      </c>
      <c r="H33" s="667"/>
      <c r="I33" s="667"/>
      <c r="J33" s="667"/>
      <c r="K33" s="668"/>
    </row>
    <row r="34" spans="1:17" ht="15" customHeight="1" x14ac:dyDescent="0.3">
      <c r="A34" s="538"/>
      <c r="B34" s="538"/>
      <c r="C34" s="657" t="s">
        <v>612</v>
      </c>
      <c r="D34" s="658" t="s">
        <v>518</v>
      </c>
      <c r="E34" s="669">
        <f>Draft!$Z$78</f>
        <v>58913.228999999999</v>
      </c>
      <c r="F34" s="669"/>
      <c r="G34" s="670">
        <f>SUM(G23:G33)</f>
        <v>0</v>
      </c>
      <c r="H34" s="671"/>
      <c r="I34" s="671"/>
      <c r="J34" s="671"/>
      <c r="K34" s="672"/>
      <c r="O34" s="248" t="s">
        <v>317</v>
      </c>
      <c r="P34" s="249" t="s">
        <v>519</v>
      </c>
    </row>
    <row r="35" spans="1:17" ht="17.100000000000001" customHeight="1" x14ac:dyDescent="0.3">
      <c r="A35" s="538"/>
      <c r="B35" s="538"/>
      <c r="C35" s="560"/>
      <c r="D35" s="545"/>
      <c r="E35" s="545"/>
      <c r="F35" s="545"/>
      <c r="G35" s="545"/>
      <c r="H35" s="545"/>
      <c r="I35" s="545"/>
      <c r="J35" s="545"/>
      <c r="K35" s="696" t="s">
        <v>678</v>
      </c>
      <c r="O35" s="248" t="s">
        <v>319</v>
      </c>
      <c r="P35" s="249" t="s">
        <v>520</v>
      </c>
    </row>
    <row r="36" spans="1:17" ht="17.100000000000001" customHeight="1" x14ac:dyDescent="0.3">
      <c r="A36" s="546"/>
      <c r="B36" s="546"/>
      <c r="C36" s="561" t="s">
        <v>521</v>
      </c>
      <c r="D36" s="539" t="s">
        <v>518</v>
      </c>
      <c r="E36" s="573">
        <f>IF(K36="SIM",Draft!AF77,Draft!Z77)</f>
        <v>59226.553736159498</v>
      </c>
      <c r="F36" s="540" t="s">
        <v>522</v>
      </c>
      <c r="G36" s="573">
        <f>IF(K36="SIM",Draft!AF79,Draft!Z79)</f>
        <v>313.32473615949857</v>
      </c>
      <c r="H36" s="541" t="s">
        <v>523</v>
      </c>
      <c r="I36" s="574">
        <f>$G$36/$E$34*100</f>
        <v>0.53184105077570709</v>
      </c>
      <c r="J36" s="540" t="s">
        <v>524</v>
      </c>
      <c r="K36" s="695"/>
      <c r="L36" s="249"/>
      <c r="M36" s="250"/>
      <c r="N36" s="250"/>
      <c r="O36" s="248" t="s">
        <v>320</v>
      </c>
      <c r="P36" s="249" t="s">
        <v>525</v>
      </c>
      <c r="Q36" s="250"/>
    </row>
    <row r="37" spans="1:17" ht="17.100000000000001" customHeight="1" x14ac:dyDescent="0.3">
      <c r="A37" s="546"/>
      <c r="B37" s="546"/>
      <c r="C37" s="561" t="s">
        <v>526</v>
      </c>
      <c r="D37" s="539" t="s">
        <v>518</v>
      </c>
      <c r="E37" s="573">
        <f>Draft!$X$82</f>
        <v>59159.82</v>
      </c>
      <c r="F37" s="540" t="s">
        <v>522</v>
      </c>
      <c r="G37" s="573">
        <f>Draft!$AA$82</f>
        <v>246.59100000000035</v>
      </c>
      <c r="H37" s="541" t="s">
        <v>523</v>
      </c>
      <c r="I37" s="574">
        <f>$G$37/$E$34*100</f>
        <v>0.41856643097936519</v>
      </c>
      <c r="J37" s="540" t="s">
        <v>524</v>
      </c>
      <c r="K37" s="562"/>
      <c r="L37" s="249"/>
      <c r="M37" s="250"/>
      <c r="N37" s="250"/>
      <c r="O37" s="248" t="s">
        <v>322</v>
      </c>
      <c r="P37" s="249" t="s">
        <v>527</v>
      </c>
      <c r="Q37" s="250"/>
    </row>
    <row r="38" spans="1:17" ht="17.100000000000001" customHeight="1" x14ac:dyDescent="0.3">
      <c r="A38" s="546"/>
      <c r="B38" s="546"/>
      <c r="C38" s="561" t="s">
        <v>528</v>
      </c>
      <c r="D38" s="539" t="s">
        <v>518</v>
      </c>
      <c r="E38" s="573">
        <f>Draft!$X$83</f>
        <v>59196.66</v>
      </c>
      <c r="F38" s="540" t="s">
        <v>522</v>
      </c>
      <c r="G38" s="573">
        <f>Draft!$AA$83</f>
        <v>283.43100000000413</v>
      </c>
      <c r="H38" s="541" t="s">
        <v>523</v>
      </c>
      <c r="I38" s="574">
        <f>$G$38/$E$34*100</f>
        <v>0.48109907538764196</v>
      </c>
      <c r="J38" s="540" t="s">
        <v>524</v>
      </c>
      <c r="K38" s="562"/>
      <c r="L38" s="249"/>
      <c r="M38" s="250"/>
      <c r="N38" s="250"/>
      <c r="O38" s="248" t="s">
        <v>323</v>
      </c>
      <c r="P38" s="249" t="s">
        <v>529</v>
      </c>
      <c r="Q38" s="250"/>
    </row>
    <row r="39" spans="1:17" ht="17.100000000000001" customHeight="1" x14ac:dyDescent="0.3">
      <c r="A39" s="547"/>
      <c r="B39" s="548" t="str">
        <f>Draft!$U$84</f>
        <v>Owners:</v>
      </c>
      <c r="C39" s="561" t="str">
        <f>IFERROR(_xlfn.IFS(B39=O34,P34,B39=O35,P35,B39=O36,P36,B39=O37,P37,B39=O38,P38,B39=O39,P39,B39=O40,P40,B39=O41,P41,B39=O42,P42),"")</f>
        <v>Comprador:</v>
      </c>
      <c r="D39" s="539" t="s">
        <v>518</v>
      </c>
      <c r="E39" s="573">
        <f>Draft!$X$84</f>
        <v>59161.493999999999</v>
      </c>
      <c r="F39" s="540" t="s">
        <v>522</v>
      </c>
      <c r="G39" s="573">
        <f>Draft!$AA$84</f>
        <v>248.26499999999942</v>
      </c>
      <c r="H39" s="541" t="s">
        <v>523</v>
      </c>
      <c r="I39" s="574">
        <f>Draft!$AC$84</f>
        <v>0.42140789804612377</v>
      </c>
      <c r="J39" s="540" t="s">
        <v>524</v>
      </c>
      <c r="K39" s="562"/>
      <c r="L39" s="249"/>
      <c r="M39" s="250"/>
      <c r="N39" s="250"/>
      <c r="O39" s="248" t="s">
        <v>324</v>
      </c>
      <c r="P39" s="249" t="s">
        <v>530</v>
      </c>
      <c r="Q39" s="250"/>
    </row>
    <row r="40" spans="1:17" ht="17.100000000000001" customHeight="1" x14ac:dyDescent="0.3">
      <c r="A40" s="547"/>
      <c r="B40" s="548" t="str">
        <f>Draft!$U$85</f>
        <v>Consignees:</v>
      </c>
      <c r="C40" s="561" t="str">
        <f>IFERROR(_xlfn.IFS(B40=O34,P34,B40=O35,P35,B40=O36,P36,B40=O37,P37,B40=O38,P38,B40=O39,P39,B40=O40,P40,B40=O41,P41,B40=O42,P42),"")</f>
        <v>Comprador:</v>
      </c>
      <c r="D40" s="539" t="s">
        <v>518</v>
      </c>
      <c r="E40" s="573">
        <f>Draft!$X$85</f>
        <v>59165.608</v>
      </c>
      <c r="F40" s="540" t="s">
        <v>522</v>
      </c>
      <c r="G40" s="573">
        <f>Draft!$AA$85</f>
        <v>252.37900000000081</v>
      </c>
      <c r="H40" s="541" t="s">
        <v>523</v>
      </c>
      <c r="I40" s="574">
        <f>Draft!$AC$85</f>
        <v>0.42839104948737539</v>
      </c>
      <c r="J40" s="540" t="s">
        <v>524</v>
      </c>
      <c r="K40" s="562"/>
      <c r="L40" s="249"/>
      <c r="M40" s="250"/>
      <c r="N40" s="250"/>
      <c r="O40" s="248" t="s">
        <v>325</v>
      </c>
      <c r="P40" s="249" t="s">
        <v>531</v>
      </c>
      <c r="Q40" s="250"/>
    </row>
    <row r="41" spans="1:17" ht="17.100000000000001" customHeight="1" x14ac:dyDescent="0.3">
      <c r="A41" s="547"/>
      <c r="B41" s="548" t="str">
        <f>Draft!$U$86</f>
        <v>Shippers:</v>
      </c>
      <c r="C41" s="561" t="str">
        <f>IFERROR(_xlfn.IFS(B41=O34,P34,B41=O35,P35,B41=O36,P36,B41=O37,P37,B41=O38,P38,B41=O39,P39,B41=O40,P40,B41=O41,P41,B41=O42,P42),"")</f>
        <v>Embarcadores:</v>
      </c>
      <c r="D41" s="539" t="s">
        <v>518</v>
      </c>
      <c r="E41" s="573">
        <f>Draft!$X$86</f>
        <v>59150.286999999997</v>
      </c>
      <c r="F41" s="540" t="s">
        <v>522</v>
      </c>
      <c r="G41" s="573">
        <f>Draft!$AA$86</f>
        <v>237.05799999999726</v>
      </c>
      <c r="H41" s="541" t="s">
        <v>523</v>
      </c>
      <c r="I41" s="574">
        <f>Draft!$AC$86</f>
        <v>0.40238500592116122</v>
      </c>
      <c r="J41" s="540" t="s">
        <v>524</v>
      </c>
      <c r="K41" s="562"/>
      <c r="L41" s="249"/>
      <c r="M41" s="250"/>
      <c r="N41" s="250"/>
      <c r="O41" s="75" t="s">
        <v>63</v>
      </c>
      <c r="P41" s="249" t="s">
        <v>527</v>
      </c>
      <c r="Q41" s="250"/>
    </row>
    <row r="42" spans="1:17" ht="17.100000000000001" customHeight="1" x14ac:dyDescent="0.3">
      <c r="A42" s="547"/>
      <c r="B42" s="548">
        <f>Draft!$U$87</f>
        <v>0</v>
      </c>
      <c r="C42" s="561" t="str">
        <f>IFERROR(_xlfn.IFS(B42=O34,P34,B42=O35,P35,B42=O36,P36,B42=O37,P37,B42=O38,P38,B42=O39,P39,B42=O40,P40,B42=O41,P41,B42=O42,P42),"")</f>
        <v/>
      </c>
      <c r="D42" s="539" t="s">
        <v>518</v>
      </c>
      <c r="E42" s="573">
        <f>Draft!$X$87</f>
        <v>0</v>
      </c>
      <c r="F42" s="540" t="s">
        <v>522</v>
      </c>
      <c r="G42" s="573">
        <f>Draft!$AA$87</f>
        <v>-58913.228999999999</v>
      </c>
      <c r="H42" s="541" t="s">
        <v>523</v>
      </c>
      <c r="I42" s="574">
        <f>Draft!$AC$87</f>
        <v>-100</v>
      </c>
      <c r="J42" s="540" t="s">
        <v>524</v>
      </c>
      <c r="K42" s="562"/>
      <c r="L42" s="249"/>
      <c r="M42" s="250"/>
      <c r="N42" s="250"/>
      <c r="O42" s="75" t="s">
        <v>607</v>
      </c>
      <c r="P42" s="249" t="s">
        <v>610</v>
      </c>
      <c r="Q42" s="250"/>
    </row>
    <row r="43" spans="1:17" ht="17.100000000000001" customHeight="1" x14ac:dyDescent="0.3">
      <c r="A43" s="547"/>
      <c r="B43" s="548">
        <f>Draft!$U$88</f>
        <v>0</v>
      </c>
      <c r="C43" s="561"/>
      <c r="D43" s="540"/>
      <c r="E43" s="573">
        <f>Draft!$X$88</f>
        <v>0</v>
      </c>
      <c r="F43" s="540" t="s">
        <v>522</v>
      </c>
      <c r="G43" s="573">
        <f>Draft!$Z$88</f>
        <v>0</v>
      </c>
      <c r="H43" s="541" t="s">
        <v>523</v>
      </c>
      <c r="I43" s="574">
        <f>Draft!$AC$88</f>
        <v>0</v>
      </c>
      <c r="J43" s="540" t="s">
        <v>524</v>
      </c>
      <c r="K43" s="562"/>
      <c r="L43" s="250"/>
      <c r="M43" s="250"/>
      <c r="N43" s="250"/>
      <c r="O43" s="250"/>
      <c r="P43" s="250"/>
      <c r="Q43" s="250"/>
    </row>
    <row r="44" spans="1:17" ht="24" customHeight="1" x14ac:dyDescent="0.2">
      <c r="A44" s="547"/>
      <c r="B44" s="547"/>
      <c r="C44" s="571"/>
      <c r="D44" s="570"/>
      <c r="E44" s="570"/>
      <c r="F44" s="570"/>
      <c r="G44" s="570"/>
      <c r="H44" s="570"/>
      <c r="I44" s="570"/>
      <c r="J44" s="570"/>
      <c r="K44" s="572"/>
      <c r="L44" s="250"/>
      <c r="M44" s="250"/>
      <c r="N44" s="250"/>
      <c r="O44" s="250"/>
      <c r="P44" s="250"/>
      <c r="Q44" s="250"/>
    </row>
    <row r="45" spans="1:17" ht="12.75" customHeight="1" x14ac:dyDescent="0.2">
      <c r="C45" s="1189" t="s">
        <v>675</v>
      </c>
      <c r="D45" s="1190"/>
      <c r="E45" s="1190"/>
      <c r="F45" s="1190"/>
      <c r="G45" s="1190"/>
      <c r="H45" s="1190"/>
      <c r="I45" s="1190"/>
      <c r="J45" s="1190"/>
      <c r="K45" s="1191"/>
    </row>
    <row r="46" spans="1:17" s="693" customFormat="1" ht="18" customHeight="1" x14ac:dyDescent="0.25">
      <c r="C46" s="694" t="s">
        <v>340</v>
      </c>
      <c r="D46" s="1182" t="s">
        <v>671</v>
      </c>
      <c r="E46" s="1182"/>
      <c r="F46" s="1182" t="s">
        <v>676</v>
      </c>
      <c r="G46" s="1182"/>
      <c r="H46" s="1182" t="s">
        <v>677</v>
      </c>
      <c r="I46" s="1182"/>
      <c r="J46" s="1182" t="s">
        <v>341</v>
      </c>
      <c r="K46" s="1182"/>
    </row>
    <row r="47" spans="1:17" ht="12.75" customHeight="1" x14ac:dyDescent="0.2">
      <c r="C47" s="692">
        <v>1</v>
      </c>
      <c r="D47" s="1181"/>
      <c r="E47" s="1181"/>
      <c r="F47" s="1183">
        <f>DCP!B28</f>
        <v>377832</v>
      </c>
      <c r="G47" s="1181"/>
      <c r="H47" s="1181"/>
      <c r="I47" s="1181"/>
      <c r="J47" s="1181"/>
      <c r="K47" s="1181"/>
    </row>
    <row r="48" spans="1:17" ht="12.75" customHeight="1" x14ac:dyDescent="0.2">
      <c r="C48" s="692">
        <v>2</v>
      </c>
      <c r="D48" s="1181"/>
      <c r="E48" s="1181"/>
      <c r="F48" s="1183">
        <f>DCP!C28</f>
        <v>480573</v>
      </c>
      <c r="G48" s="1181"/>
      <c r="H48" s="1181"/>
      <c r="I48" s="1181"/>
      <c r="J48" s="1181"/>
      <c r="K48" s="1181"/>
    </row>
    <row r="49" spans="3:11" ht="12.75" customHeight="1" x14ac:dyDescent="0.2">
      <c r="C49" s="692">
        <v>3</v>
      </c>
      <c r="D49" s="1181"/>
      <c r="E49" s="1181"/>
      <c r="F49" s="1183">
        <f>DCP!D28</f>
        <v>469466</v>
      </c>
      <c r="G49" s="1181"/>
      <c r="H49" s="1181"/>
      <c r="I49" s="1181"/>
      <c r="J49" s="1181"/>
      <c r="K49" s="1181"/>
    </row>
    <row r="50" spans="3:11" ht="12.75" customHeight="1" x14ac:dyDescent="0.2">
      <c r="C50" s="692">
        <v>4</v>
      </c>
      <c r="D50" s="1181"/>
      <c r="E50" s="1181"/>
      <c r="F50" s="1183">
        <f>DCP!E28</f>
        <v>468474</v>
      </c>
      <c r="G50" s="1181"/>
      <c r="H50" s="1181"/>
      <c r="I50" s="1181"/>
      <c r="J50" s="1181"/>
      <c r="K50" s="1181"/>
    </row>
    <row r="51" spans="3:11" ht="12.75" customHeight="1" x14ac:dyDescent="0.2">
      <c r="C51" s="692">
        <v>5</v>
      </c>
      <c r="D51" s="1181"/>
      <c r="E51" s="1181"/>
      <c r="F51" s="1183">
        <f>DCP!F28</f>
        <v>470494</v>
      </c>
      <c r="G51" s="1181"/>
      <c r="H51" s="1181"/>
      <c r="I51" s="1181"/>
      <c r="J51" s="1181"/>
      <c r="K51" s="1181"/>
    </row>
    <row r="52" spans="3:11" ht="12.75" customHeight="1" x14ac:dyDescent="0.2">
      <c r="C52" s="692">
        <v>6</v>
      </c>
      <c r="D52" s="1181"/>
      <c r="E52" s="1181"/>
      <c r="F52" s="1183">
        <f>DCP!G28</f>
        <v>469809</v>
      </c>
      <c r="G52" s="1181"/>
      <c r="H52" s="1181"/>
      <c r="I52" s="1181"/>
      <c r="J52" s="1181"/>
      <c r="K52" s="1181"/>
    </row>
    <row r="53" spans="3:11" ht="12.75" customHeight="1" x14ac:dyDescent="0.2">
      <c r="C53" s="692">
        <v>7</v>
      </c>
      <c r="D53" s="1181"/>
      <c r="E53" s="1181"/>
      <c r="F53" s="1183">
        <f>DCP!H28</f>
        <v>446476</v>
      </c>
      <c r="G53" s="1181"/>
      <c r="H53" s="1181"/>
      <c r="I53" s="1181"/>
      <c r="J53" s="1181"/>
      <c r="K53" s="1181"/>
    </row>
    <row r="54" spans="3:11" ht="12.75" customHeight="1" x14ac:dyDescent="0.2">
      <c r="C54" s="563"/>
      <c r="D54" s="551"/>
      <c r="E54" s="551"/>
      <c r="F54" s="551"/>
      <c r="G54" s="551"/>
      <c r="H54" s="551"/>
      <c r="I54" s="551"/>
      <c r="J54" s="551"/>
      <c r="K54" s="564"/>
    </row>
    <row r="55" spans="3:11" ht="12.75" customHeight="1" x14ac:dyDescent="0.2">
      <c r="C55" s="563"/>
      <c r="D55" s="551"/>
      <c r="E55" s="551"/>
      <c r="F55" s="551"/>
      <c r="G55" s="551"/>
      <c r="H55" s="551"/>
      <c r="I55" s="551"/>
      <c r="J55" s="551"/>
      <c r="K55" s="564"/>
    </row>
    <row r="56" spans="3:11" ht="12.75" customHeight="1" x14ac:dyDescent="0.2">
      <c r="C56" s="563"/>
      <c r="D56" s="551"/>
      <c r="E56" s="551"/>
      <c r="F56" s="551"/>
      <c r="G56" s="551"/>
      <c r="H56" s="551"/>
      <c r="I56" s="551"/>
      <c r="J56" s="551"/>
      <c r="K56" s="564"/>
    </row>
    <row r="57" spans="3:11" ht="12.75" customHeight="1" x14ac:dyDescent="0.2">
      <c r="C57" s="563"/>
      <c r="D57" s="551"/>
      <c r="E57" s="551"/>
      <c r="F57" s="551"/>
      <c r="G57" s="551"/>
      <c r="H57" s="551"/>
      <c r="I57" s="551"/>
      <c r="J57" s="551"/>
      <c r="K57" s="564"/>
    </row>
    <row r="58" spans="3:11" ht="12.75" customHeight="1" x14ac:dyDescent="0.2">
      <c r="C58" s="563"/>
      <c r="D58" s="551"/>
      <c r="E58" s="551"/>
      <c r="F58" s="551"/>
      <c r="G58" s="551"/>
      <c r="H58" s="551"/>
      <c r="I58" s="551"/>
      <c r="J58" s="551"/>
      <c r="K58" s="564"/>
    </row>
    <row r="59" spans="3:11" ht="12.75" customHeight="1" x14ac:dyDescent="0.2">
      <c r="C59" s="563"/>
      <c r="D59" s="551"/>
      <c r="E59" s="551"/>
      <c r="F59" s="551"/>
      <c r="G59" s="551"/>
      <c r="H59" s="551"/>
      <c r="I59" s="551"/>
      <c r="J59" s="551"/>
      <c r="K59" s="564"/>
    </row>
    <row r="60" spans="3:11" ht="12.75" customHeight="1" x14ac:dyDescent="0.2">
      <c r="C60" s="563"/>
      <c r="D60" s="551"/>
      <c r="E60" s="551"/>
      <c r="F60" s="551"/>
      <c r="G60" s="551"/>
      <c r="H60" s="551"/>
      <c r="I60" s="551"/>
      <c r="J60" s="551"/>
      <c r="K60" s="564"/>
    </row>
    <row r="61" spans="3:11" ht="12.75" customHeight="1" x14ac:dyDescent="0.2">
      <c r="C61" s="563"/>
      <c r="D61" s="551"/>
      <c r="E61" s="551"/>
      <c r="F61" s="551"/>
      <c r="G61" s="551"/>
      <c r="H61" s="551"/>
      <c r="I61" s="551"/>
      <c r="J61" s="551"/>
      <c r="K61" s="564"/>
    </row>
    <row r="62" spans="3:11" ht="12.75" customHeight="1" x14ac:dyDescent="0.2">
      <c r="C62" s="563"/>
      <c r="D62" s="551"/>
      <c r="E62" s="551"/>
      <c r="F62" s="551"/>
      <c r="G62" s="551"/>
      <c r="H62" s="551"/>
      <c r="I62" s="551"/>
      <c r="J62" s="551"/>
      <c r="K62" s="564"/>
    </row>
    <row r="63" spans="3:11" ht="12.75" customHeight="1" x14ac:dyDescent="0.2">
      <c r="C63" s="563"/>
      <c r="D63" s="551"/>
      <c r="E63" s="551"/>
      <c r="F63" s="551"/>
      <c r="G63" s="551"/>
      <c r="H63" s="551"/>
      <c r="I63" s="551"/>
      <c r="J63" s="551"/>
      <c r="K63" s="564"/>
    </row>
    <row r="64" spans="3:11" ht="12.75" customHeight="1" x14ac:dyDescent="0.2">
      <c r="C64" s="563"/>
      <c r="D64" s="551"/>
      <c r="E64" s="551"/>
      <c r="F64" s="551"/>
      <c r="G64" s="551"/>
      <c r="H64" s="551"/>
      <c r="I64" s="551"/>
      <c r="J64" s="551"/>
      <c r="K64" s="564"/>
    </row>
    <row r="65" spans="2:13" ht="12.75" customHeight="1" x14ac:dyDescent="0.2">
      <c r="C65" s="563"/>
      <c r="D65" s="551"/>
      <c r="E65" s="551"/>
      <c r="F65" s="551"/>
      <c r="G65" s="551"/>
      <c r="H65" s="551"/>
      <c r="I65" s="551"/>
      <c r="J65" s="551"/>
      <c r="K65" s="564"/>
    </row>
    <row r="66" spans="2:13" ht="12.75" customHeight="1" x14ac:dyDescent="0.2">
      <c r="C66" s="563"/>
      <c r="D66" s="551"/>
      <c r="E66" s="551"/>
      <c r="F66" s="551"/>
      <c r="G66" s="551"/>
      <c r="H66" s="551"/>
      <c r="I66" s="551"/>
      <c r="J66" s="551"/>
      <c r="K66" s="564"/>
    </row>
    <row r="67" spans="2:13" ht="12.75" customHeight="1" x14ac:dyDescent="0.2">
      <c r="C67" s="563"/>
      <c r="D67" s="551"/>
      <c r="E67" s="551"/>
      <c r="F67" s="551"/>
      <c r="G67" s="551"/>
      <c r="H67" s="551"/>
      <c r="I67" s="551"/>
      <c r="J67" s="551"/>
      <c r="K67" s="564"/>
    </row>
    <row r="68" spans="2:13" ht="12.75" customHeight="1" x14ac:dyDescent="0.2">
      <c r="C68" s="563"/>
      <c r="D68" s="551"/>
      <c r="E68" s="551"/>
      <c r="F68" s="551"/>
      <c r="G68" s="551"/>
      <c r="H68" s="551"/>
      <c r="I68" s="551"/>
      <c r="J68" s="551"/>
      <c r="K68" s="564"/>
    </row>
    <row r="69" spans="2:13" ht="12.75" customHeight="1" x14ac:dyDescent="0.2">
      <c r="C69" s="563"/>
      <c r="D69" s="551"/>
      <c r="E69" s="551"/>
      <c r="F69" s="551"/>
      <c r="G69" s="551"/>
      <c r="H69" s="551"/>
      <c r="I69" s="551"/>
      <c r="J69" s="551"/>
      <c r="K69" s="564"/>
    </row>
    <row r="70" spans="2:13" ht="12.75" customHeight="1" x14ac:dyDescent="0.2">
      <c r="C70" s="563"/>
      <c r="D70" s="551"/>
      <c r="E70" s="551"/>
      <c r="F70" s="551"/>
      <c r="G70" s="551"/>
      <c r="H70" s="551"/>
      <c r="I70" s="551"/>
      <c r="J70" s="551"/>
      <c r="K70" s="564"/>
    </row>
    <row r="71" spans="2:13" ht="12.75" customHeight="1" x14ac:dyDescent="0.2">
      <c r="C71" s="563"/>
      <c r="D71" s="551"/>
      <c r="E71" s="551"/>
      <c r="F71" s="551"/>
      <c r="G71" s="551"/>
      <c r="H71" s="551"/>
      <c r="I71" s="551"/>
      <c r="J71" s="551"/>
      <c r="K71" s="564"/>
    </row>
    <row r="72" spans="2:13" ht="12.75" customHeight="1" x14ac:dyDescent="0.2">
      <c r="C72" s="563"/>
      <c r="D72" s="551"/>
      <c r="E72" s="551"/>
      <c r="F72" s="551"/>
      <c r="G72" s="551"/>
      <c r="H72" s="551"/>
      <c r="I72" s="551"/>
      <c r="J72" s="551"/>
      <c r="K72" s="564"/>
    </row>
    <row r="73" spans="2:13" ht="12.75" customHeight="1" x14ac:dyDescent="0.2">
      <c r="C73" s="563"/>
      <c r="D73" s="551"/>
      <c r="E73" s="551"/>
      <c r="F73" s="551"/>
      <c r="G73" s="551"/>
      <c r="H73" s="551"/>
      <c r="I73" s="551"/>
      <c r="J73" s="551"/>
      <c r="K73" s="564"/>
    </row>
    <row r="74" spans="2:13" ht="12.75" customHeight="1" x14ac:dyDescent="0.2">
      <c r="C74" s="563"/>
      <c r="D74" s="551"/>
      <c r="E74" s="551"/>
      <c r="F74" s="551"/>
      <c r="G74" s="551"/>
      <c r="H74" s="551"/>
      <c r="I74" s="551"/>
      <c r="J74" s="551"/>
      <c r="K74" s="564"/>
    </row>
    <row r="75" spans="2:13" ht="12.75" customHeight="1" x14ac:dyDescent="0.2">
      <c r="C75" s="563"/>
      <c r="D75" s="551"/>
      <c r="E75" s="551"/>
      <c r="F75" s="551"/>
      <c r="G75" s="551"/>
      <c r="H75" s="551"/>
      <c r="I75" s="551"/>
      <c r="J75" s="551"/>
      <c r="K75" s="564"/>
    </row>
    <row r="76" spans="2:13" ht="12.75" customHeight="1" x14ac:dyDescent="0.2">
      <c r="C76" s="563"/>
      <c r="D76" s="551"/>
      <c r="E76" s="551"/>
      <c r="F76" s="551"/>
      <c r="G76" s="551"/>
      <c r="H76" s="551"/>
      <c r="I76" s="551"/>
      <c r="J76" s="551"/>
      <c r="K76" s="564"/>
    </row>
    <row r="77" spans="2:13" ht="12.75" customHeight="1" x14ac:dyDescent="0.2">
      <c r="C77" s="563"/>
      <c r="D77" s="551"/>
      <c r="E77" s="551"/>
      <c r="F77" s="551"/>
      <c r="G77" s="551"/>
      <c r="H77" s="551"/>
      <c r="I77" s="551"/>
      <c r="J77" s="551"/>
      <c r="K77" s="564"/>
    </row>
    <row r="78" spans="2:13" ht="12.75" customHeight="1" x14ac:dyDescent="0.2">
      <c r="C78" s="563"/>
      <c r="D78" s="551"/>
      <c r="E78" s="551"/>
      <c r="F78" s="551"/>
      <c r="G78" s="551"/>
      <c r="H78" s="551"/>
      <c r="I78" s="551"/>
      <c r="J78" s="551"/>
      <c r="K78" s="564"/>
    </row>
    <row r="79" spans="2:13" ht="12.75" customHeight="1" x14ac:dyDescent="0.2">
      <c r="C79" s="563"/>
      <c r="D79" s="551"/>
      <c r="E79" s="551"/>
      <c r="F79" s="551"/>
      <c r="G79" s="551"/>
      <c r="H79" s="551"/>
      <c r="I79" s="551"/>
      <c r="J79" s="551"/>
      <c r="K79" s="564"/>
    </row>
    <row r="80" spans="2:13" ht="12.75" customHeight="1" x14ac:dyDescent="0.25">
      <c r="B80" s="428"/>
      <c r="C80" s="565"/>
      <c r="D80" s="552"/>
      <c r="E80" s="552"/>
      <c r="F80" s="552"/>
      <c r="G80" s="552"/>
      <c r="H80" s="552"/>
      <c r="I80" s="552"/>
      <c r="J80" s="552"/>
      <c r="K80" s="566"/>
      <c r="L80" s="429"/>
      <c r="M80" s="429"/>
    </row>
    <row r="81" spans="1:13" ht="9" customHeight="1" thickBot="1" x14ac:dyDescent="0.3">
      <c r="A81" s="430"/>
      <c r="B81" s="428"/>
      <c r="C81" s="567"/>
      <c r="D81" s="568"/>
      <c r="E81" s="568"/>
      <c r="F81" s="568"/>
      <c r="G81" s="568"/>
      <c r="H81" s="568"/>
      <c r="I81" s="568"/>
      <c r="J81" s="568"/>
      <c r="K81" s="569"/>
      <c r="L81" s="429"/>
      <c r="M81" s="429"/>
    </row>
    <row r="82" spans="1:13" ht="16.5" customHeight="1" x14ac:dyDescent="0.25">
      <c r="A82" s="430"/>
      <c r="B82" s="428"/>
      <c r="C82" s="428"/>
      <c r="D82" s="429"/>
      <c r="E82" s="429"/>
      <c r="F82" s="429"/>
      <c r="G82" s="429"/>
      <c r="H82" s="429"/>
      <c r="I82" s="429"/>
      <c r="J82" s="429"/>
      <c r="K82" s="429"/>
      <c r="L82" s="429"/>
      <c r="M82" s="429"/>
    </row>
    <row r="83" spans="1:13" ht="16.5" customHeight="1" x14ac:dyDescent="0.25">
      <c r="A83" s="430"/>
      <c r="B83" s="428"/>
      <c r="C83" s="428"/>
      <c r="D83" s="429"/>
      <c r="E83" s="429"/>
      <c r="F83" s="429"/>
      <c r="G83" s="429"/>
      <c r="H83" s="429"/>
      <c r="I83" s="429"/>
      <c r="J83" s="429"/>
      <c r="K83" s="429"/>
      <c r="L83" s="429"/>
      <c r="M83" s="429"/>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6"/>
    <col min="2" max="2" width="19.5703125" style="246" bestFit="1" customWidth="1"/>
    <col min="3" max="3" width="23.85546875" style="246" bestFit="1" customWidth="1"/>
    <col min="4" max="4" width="32.5703125" style="246" bestFit="1" customWidth="1"/>
    <col min="5" max="5" width="29.28515625" style="246" bestFit="1" customWidth="1"/>
    <col min="6" max="16384" width="9.140625" style="246"/>
  </cols>
  <sheetData>
    <row r="8" spans="2:7" x14ac:dyDescent="0.2">
      <c r="B8" s="1192" t="s">
        <v>532</v>
      </c>
      <c r="C8" s="1192"/>
      <c r="D8" s="1192"/>
      <c r="E8" s="1192"/>
    </row>
    <row r="9" spans="2:7" ht="15" x14ac:dyDescent="0.25">
      <c r="B9" s="251" t="s">
        <v>533</v>
      </c>
      <c r="C9" s="251" t="s">
        <v>534</v>
      </c>
      <c r="D9" s="251" t="s">
        <v>535</v>
      </c>
      <c r="E9" s="251" t="s">
        <v>536</v>
      </c>
    </row>
    <row r="10" spans="2:7" x14ac:dyDescent="0.2">
      <c r="B10" s="252" t="str">
        <f>'DADOS E-MAIL '!$C$36</f>
        <v>Standard Brazil</v>
      </c>
      <c r="C10" s="253">
        <f>'DADOS E-MAIL '!$E$36</f>
        <v>59226.553736159498</v>
      </c>
      <c r="D10" s="254">
        <f>C10-$G$10</f>
        <v>313.32473615949857</v>
      </c>
      <c r="E10" s="255">
        <f>$D$10/$G$10*100</f>
        <v>0.53184105077570709</v>
      </c>
      <c r="G10" s="246">
        <f>'DADOS E-MAIL '!$E$34</f>
        <v>58913.228999999999</v>
      </c>
    </row>
    <row r="11" spans="2:7" x14ac:dyDescent="0.2">
      <c r="B11" s="252" t="str">
        <f>'DADOS E-MAIL '!$C$37</f>
        <v>Comando do navio:</v>
      </c>
      <c r="C11" s="253">
        <f>'DADOS E-MAIL '!$E$37</f>
        <v>59159.82</v>
      </c>
      <c r="D11" s="254">
        <f>C11-$G$11</f>
        <v>246.59100000000035</v>
      </c>
      <c r="E11" s="255">
        <f>$D$11/$G$11*100</f>
        <v>0.41856643097936519</v>
      </c>
      <c r="G11" s="246">
        <f>'DADOS E-MAIL '!$E$34</f>
        <v>58913.228999999999</v>
      </c>
    </row>
    <row r="12" spans="2:7" x14ac:dyDescent="0.2">
      <c r="B12" s="252" t="str">
        <f>'DADOS E-MAIL '!$C$38</f>
        <v>Receita Federal:</v>
      </c>
      <c r="C12" s="253">
        <f>'DADOS E-MAIL '!$E$38</f>
        <v>59196.66</v>
      </c>
      <c r="D12" s="254">
        <f>C12-$G$12</f>
        <v>283.43100000000413</v>
      </c>
      <c r="E12" s="255">
        <f>$D$12/$G$12*100</f>
        <v>0.48109907538764196</v>
      </c>
      <c r="G12" s="246">
        <f>'DADOS E-MAIL '!$E$34</f>
        <v>58913.228999999999</v>
      </c>
    </row>
    <row r="14" spans="2:7" x14ac:dyDescent="0.2">
      <c r="B14" s="1192" t="s">
        <v>285</v>
      </c>
      <c r="C14" s="1192"/>
      <c r="D14" s="1192"/>
      <c r="E14" s="1192"/>
    </row>
    <row r="15" spans="2:7" ht="15" x14ac:dyDescent="0.25">
      <c r="B15" s="251" t="s">
        <v>533</v>
      </c>
      <c r="C15" s="251" t="s">
        <v>534</v>
      </c>
      <c r="D15" s="251" t="s">
        <v>535</v>
      </c>
      <c r="E15" s="251" t="s">
        <v>536</v>
      </c>
    </row>
    <row r="16" spans="2:7" x14ac:dyDescent="0.2">
      <c r="B16" s="252" t="str">
        <f>'DADOS E-MAIL '!$C$36</f>
        <v>Standard Brazil</v>
      </c>
      <c r="C16" s="253">
        <f>Draft!$AF$77</f>
        <v>59138.71079290202</v>
      </c>
      <c r="D16" s="254">
        <f>$C$16-$G$16</f>
        <v>225.48179290202097</v>
      </c>
      <c r="E16" s="255">
        <f>$D$16/$G$16*100</f>
        <v>0.38273541737462902</v>
      </c>
      <c r="G16" s="246">
        <f>'DADOS E-MAIL '!$E$34</f>
        <v>58913.228999999999</v>
      </c>
    </row>
    <row r="17" spans="2:7" x14ac:dyDescent="0.2">
      <c r="B17" s="252" t="str">
        <f>'DADOS E-MAIL '!$C$37</f>
        <v>Comando do navio:</v>
      </c>
      <c r="C17" s="253">
        <f>'DADOS E-MAIL '!$E$37</f>
        <v>59159.82</v>
      </c>
      <c r="D17" s="254">
        <f>C17-$G$11</f>
        <v>246.59100000000035</v>
      </c>
      <c r="E17" s="255">
        <f>$D$11/$G$11*100</f>
        <v>0.41856643097936519</v>
      </c>
      <c r="G17" s="246">
        <f>'DADOS E-MAIL '!$E$34</f>
        <v>58913.228999999999</v>
      </c>
    </row>
    <row r="18" spans="2:7" x14ac:dyDescent="0.2">
      <c r="B18" s="252" t="str">
        <f>'DADOS E-MAIL '!$C$38</f>
        <v>Receita Federal:</v>
      </c>
      <c r="C18" s="253">
        <f>'DADOS E-MAIL '!$E$38</f>
        <v>59196.66</v>
      </c>
      <c r="D18" s="254">
        <f>C18-$G$12</f>
        <v>283.43100000000413</v>
      </c>
      <c r="E18" s="255">
        <f>$D$12/$G$12*100</f>
        <v>0.48109907538764196</v>
      </c>
      <c r="G18" s="246">
        <f>'DADOS E-MAIL '!$E$34</f>
        <v>58913.228999999999</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zoomScaleNormal="100" zoomScaleSheetLayoutView="100" workbookViewId="0">
      <selection activeCell="Y8" sqref="Y8"/>
    </sheetView>
  </sheetViews>
  <sheetFormatPr defaultRowHeight="15" x14ac:dyDescent="0.25"/>
  <cols>
    <col min="4" max="4" width="9.7109375" customWidth="1"/>
    <col min="7" max="7" width="9.140625" customWidth="1"/>
  </cols>
  <sheetData>
    <row r="1" spans="1:22" x14ac:dyDescent="0.25">
      <c r="A1" s="309"/>
      <c r="B1" s="309"/>
      <c r="C1" s="309"/>
      <c r="D1" s="309"/>
      <c r="E1" s="309"/>
      <c r="F1" s="309"/>
      <c r="G1" s="309"/>
      <c r="H1" s="309"/>
      <c r="I1" s="309"/>
      <c r="J1" s="309"/>
      <c r="K1" s="309"/>
      <c r="L1" s="309"/>
      <c r="M1" s="309"/>
      <c r="N1" s="309"/>
      <c r="O1" s="309"/>
      <c r="P1" s="309"/>
      <c r="Q1" s="309"/>
      <c r="R1" s="309"/>
      <c r="S1" s="309"/>
      <c r="T1" s="309"/>
      <c r="U1" s="309"/>
      <c r="V1" s="309"/>
    </row>
    <row r="2" spans="1:22" x14ac:dyDescent="0.25">
      <c r="A2" s="309"/>
      <c r="B2" s="309"/>
      <c r="C2" s="309"/>
      <c r="D2" s="309"/>
      <c r="E2" s="309"/>
      <c r="F2" s="309"/>
      <c r="G2" s="309"/>
      <c r="H2" s="1196" t="str">
        <f>(_xlfn.CONCAT("MV ",CAPA!B8))</f>
        <v>MV GEORGIA S</v>
      </c>
      <c r="I2" s="1196"/>
      <c r="J2" s="1196"/>
      <c r="K2" s="1196"/>
      <c r="L2" s="1196"/>
      <c r="M2" s="1196"/>
      <c r="N2" s="1196"/>
      <c r="O2" s="1196"/>
      <c r="P2" s="309"/>
      <c r="Q2" s="309"/>
      <c r="R2" s="1197" t="s">
        <v>667</v>
      </c>
      <c r="S2" s="1197"/>
      <c r="T2" s="1197"/>
      <c r="U2" s="1197"/>
      <c r="V2" s="309"/>
    </row>
    <row r="3" spans="1:22" x14ac:dyDescent="0.25">
      <c r="A3" s="309"/>
      <c r="B3" s="309"/>
      <c r="C3" s="309"/>
      <c r="D3" s="309"/>
      <c r="E3" s="309"/>
      <c r="F3" s="309"/>
      <c r="G3" s="309"/>
      <c r="H3" s="1196"/>
      <c r="I3" s="1196"/>
      <c r="J3" s="1196"/>
      <c r="K3" s="1196"/>
      <c r="L3" s="1196"/>
      <c r="M3" s="1196"/>
      <c r="N3" s="1196"/>
      <c r="O3" s="1196"/>
      <c r="P3" s="309"/>
      <c r="Q3" s="309"/>
      <c r="R3" s="1198">
        <f>Draft!Z78</f>
        <v>58913.228999999999</v>
      </c>
      <c r="S3" s="1198"/>
      <c r="T3" s="1198"/>
      <c r="U3" s="1198"/>
      <c r="V3" s="309"/>
    </row>
    <row r="4" spans="1:22" x14ac:dyDescent="0.25">
      <c r="A4" s="309"/>
      <c r="B4" s="309"/>
      <c r="C4" s="309"/>
      <c r="D4" s="309"/>
      <c r="E4" s="309"/>
      <c r="F4" s="309"/>
      <c r="G4" s="309"/>
      <c r="H4" s="309"/>
      <c r="I4" s="309"/>
      <c r="J4" s="309"/>
      <c r="K4" s="309"/>
      <c r="L4" s="309"/>
      <c r="M4" s="309"/>
      <c r="N4" s="309"/>
      <c r="O4" s="309"/>
      <c r="P4" s="309"/>
      <c r="Q4" s="309"/>
      <c r="R4" s="1197"/>
      <c r="S4" s="1197"/>
      <c r="T4" s="1197"/>
      <c r="U4" s="1197"/>
      <c r="V4" s="309"/>
    </row>
    <row r="5" spans="1:22" ht="15.75" thickBot="1" x14ac:dyDescent="0.3">
      <c r="A5" s="309"/>
      <c r="B5" s="309"/>
      <c r="C5" s="309"/>
      <c r="D5" s="309"/>
      <c r="E5" s="309"/>
      <c r="F5" s="309"/>
      <c r="G5" s="309"/>
      <c r="H5" s="697"/>
      <c r="I5" s="697"/>
      <c r="J5" s="697"/>
      <c r="K5" s="697"/>
      <c r="L5" s="697"/>
      <c r="M5" s="697"/>
      <c r="N5" s="697"/>
      <c r="O5" s="697"/>
      <c r="P5" s="309"/>
      <c r="Q5" s="309"/>
      <c r="R5" s="309"/>
      <c r="S5" s="309"/>
      <c r="T5" s="309"/>
      <c r="U5" s="309"/>
      <c r="V5" s="309"/>
    </row>
    <row r="6" spans="1:22" ht="20.25" thickTop="1" thickBot="1" x14ac:dyDescent="0.35">
      <c r="A6" s="309"/>
      <c r="B6" s="309"/>
      <c r="C6" s="309"/>
      <c r="D6" s="309"/>
      <c r="E6" s="309"/>
      <c r="F6" s="309"/>
      <c r="G6" s="309"/>
      <c r="H6" s="1199" t="s">
        <v>666</v>
      </c>
      <c r="I6" s="1199"/>
      <c r="J6" s="1199"/>
      <c r="K6" s="1200"/>
      <c r="L6" s="1201" t="s">
        <v>665</v>
      </c>
      <c r="M6" s="1199"/>
      <c r="N6" s="1199"/>
      <c r="O6" s="1199"/>
      <c r="P6" s="309"/>
      <c r="Q6" s="309"/>
      <c r="R6" s="309"/>
      <c r="S6" s="309"/>
      <c r="T6" s="309"/>
      <c r="U6" s="309"/>
      <c r="V6" s="309"/>
    </row>
    <row r="7" spans="1:22" ht="15.75" thickTop="1" x14ac:dyDescent="0.25">
      <c r="A7" s="309"/>
      <c r="B7" s="309"/>
      <c r="C7" s="309"/>
      <c r="D7" s="309"/>
      <c r="E7" s="309"/>
      <c r="F7" s="309"/>
      <c r="G7" s="309"/>
      <c r="H7" s="309"/>
      <c r="I7" s="309"/>
      <c r="J7" s="309"/>
      <c r="K7" s="309"/>
      <c r="L7" s="309"/>
      <c r="M7" s="309"/>
      <c r="N7" s="309"/>
      <c r="O7" s="309"/>
      <c r="P7" s="309"/>
      <c r="Q7" s="309"/>
      <c r="R7" s="309"/>
      <c r="S7" s="309"/>
      <c r="T7" s="309"/>
      <c r="U7" s="309"/>
      <c r="V7" s="309"/>
    </row>
    <row r="8" spans="1:22" x14ac:dyDescent="0.25">
      <c r="A8" s="309"/>
      <c r="B8" s="309"/>
      <c r="C8" s="309"/>
      <c r="D8" s="309"/>
      <c r="E8" s="309"/>
      <c r="F8" s="309"/>
      <c r="G8" s="309"/>
      <c r="H8" s="309"/>
      <c r="I8" s="309"/>
      <c r="J8" s="309"/>
      <c r="K8" s="309"/>
      <c r="L8" s="309"/>
      <c r="M8" s="309"/>
      <c r="N8" s="309"/>
      <c r="O8" s="309"/>
      <c r="P8" s="309"/>
      <c r="Q8" s="309"/>
      <c r="R8" s="309"/>
      <c r="S8" s="309"/>
      <c r="T8" s="309"/>
      <c r="U8" s="309"/>
      <c r="V8" s="309"/>
    </row>
    <row r="9" spans="1:22" x14ac:dyDescent="0.25">
      <c r="A9" s="309"/>
      <c r="B9" s="309"/>
      <c r="C9" s="309"/>
      <c r="D9" s="309"/>
      <c r="E9" s="309"/>
      <c r="F9" s="309"/>
      <c r="G9" s="309"/>
      <c r="H9" s="309"/>
      <c r="I9" s="309"/>
      <c r="J9" s="309"/>
      <c r="K9" s="309"/>
      <c r="L9" s="309"/>
      <c r="M9" s="309"/>
      <c r="N9" s="309"/>
      <c r="O9" s="309"/>
      <c r="P9" s="309"/>
      <c r="Q9" s="309"/>
      <c r="R9" s="309"/>
      <c r="S9" s="309"/>
      <c r="T9" s="309"/>
      <c r="U9" s="309"/>
      <c r="V9" s="309"/>
    </row>
    <row r="10" spans="1:22" ht="15" customHeight="1" x14ac:dyDescent="0.25">
      <c r="A10" s="309"/>
      <c r="B10" s="309"/>
      <c r="C10" s="1202" t="s">
        <v>664</v>
      </c>
      <c r="D10" s="1202"/>
      <c r="E10" s="1202"/>
      <c r="F10" s="1202"/>
      <c r="G10" s="1202"/>
      <c r="H10" s="1202"/>
      <c r="I10" s="1202"/>
      <c r="J10" s="1202"/>
      <c r="K10" s="1202"/>
      <c r="L10" s="1202"/>
      <c r="M10" s="1202"/>
      <c r="N10" s="1202"/>
      <c r="O10" s="1202"/>
      <c r="P10" s="1202"/>
      <c r="Q10" s="1202"/>
      <c r="R10" s="1202"/>
      <c r="S10" s="1202"/>
      <c r="T10" s="1202"/>
      <c r="U10" s="309"/>
      <c r="V10" s="309"/>
    </row>
    <row r="11" spans="1:22" ht="15" customHeight="1" x14ac:dyDescent="0.25">
      <c r="A11" s="309"/>
      <c r="B11" s="309"/>
      <c r="C11" s="1202"/>
      <c r="D11" s="1202"/>
      <c r="E11" s="1202"/>
      <c r="F11" s="1202"/>
      <c r="G11" s="1202"/>
      <c r="H11" s="1202"/>
      <c r="I11" s="1202"/>
      <c r="J11" s="1202"/>
      <c r="K11" s="1202"/>
      <c r="L11" s="1202"/>
      <c r="M11" s="1202"/>
      <c r="N11" s="1202"/>
      <c r="O11" s="1202"/>
      <c r="P11" s="1202"/>
      <c r="Q11" s="1202"/>
      <c r="R11" s="1202"/>
      <c r="S11" s="1202"/>
      <c r="T11" s="1202"/>
      <c r="U11" s="309"/>
      <c r="V11" s="309"/>
    </row>
    <row r="12" spans="1:22" ht="15" customHeight="1" x14ac:dyDescent="0.25">
      <c r="A12" s="309"/>
      <c r="B12" s="309"/>
      <c r="C12" s="1202"/>
      <c r="D12" s="1202"/>
      <c r="E12" s="1202"/>
      <c r="F12" s="1202"/>
      <c r="G12" s="1202"/>
      <c r="H12" s="1202"/>
      <c r="I12" s="1202"/>
      <c r="J12" s="1202"/>
      <c r="K12" s="1202"/>
      <c r="L12" s="1202"/>
      <c r="M12" s="1202"/>
      <c r="N12" s="1202"/>
      <c r="O12" s="1202"/>
      <c r="P12" s="1202"/>
      <c r="Q12" s="1202"/>
      <c r="R12" s="1202"/>
      <c r="S12" s="1202"/>
      <c r="T12" s="1202"/>
      <c r="U12" s="309"/>
      <c r="V12" s="309"/>
    </row>
    <row r="13" spans="1:22" ht="18" customHeight="1" x14ac:dyDescent="0.25">
      <c r="A13" s="309"/>
      <c r="B13" s="309"/>
      <c r="C13" s="1202"/>
      <c r="D13" s="1202"/>
      <c r="E13" s="1202"/>
      <c r="F13" s="1202"/>
      <c r="G13" s="1202"/>
      <c r="H13" s="1202"/>
      <c r="I13" s="1202"/>
      <c r="J13" s="1202"/>
      <c r="K13" s="1202"/>
      <c r="L13" s="1202"/>
      <c r="M13" s="1202"/>
      <c r="N13" s="1202"/>
      <c r="O13" s="1202"/>
      <c r="P13" s="1202"/>
      <c r="Q13" s="1202"/>
      <c r="R13" s="1202"/>
      <c r="S13" s="1202"/>
      <c r="T13" s="1202"/>
      <c r="U13" s="309"/>
      <c r="V13" s="309"/>
    </row>
    <row r="14" spans="1:22" ht="18" customHeight="1" x14ac:dyDescent="0.25">
      <c r="A14" s="309"/>
      <c r="B14" s="309"/>
      <c r="C14" s="698"/>
      <c r="D14" s="698"/>
      <c r="E14" s="698"/>
      <c r="F14" s="698"/>
      <c r="G14" s="698"/>
      <c r="H14" s="698"/>
      <c r="I14" s="698"/>
      <c r="J14" s="698"/>
      <c r="K14" s="698"/>
      <c r="L14" s="698"/>
      <c r="M14" s="698"/>
      <c r="N14" s="698"/>
      <c r="O14" s="698"/>
      <c r="P14" s="698"/>
      <c r="Q14" s="698"/>
      <c r="R14" s="698"/>
      <c r="S14" s="698"/>
      <c r="T14" s="698"/>
      <c r="U14" s="309"/>
      <c r="V14" s="309"/>
    </row>
    <row r="15" spans="1:22" ht="18" customHeight="1" x14ac:dyDescent="0.25">
      <c r="A15" s="309"/>
      <c r="B15" s="309"/>
      <c r="C15" s="698"/>
      <c r="D15" s="698"/>
      <c r="E15" s="698"/>
      <c r="F15" s="698"/>
      <c r="G15" s="698"/>
      <c r="H15" s="698"/>
      <c r="I15" s="698"/>
      <c r="J15" s="698"/>
      <c r="K15" s="698"/>
      <c r="L15" s="698"/>
      <c r="M15" s="698"/>
      <c r="N15" s="698"/>
      <c r="O15" s="698"/>
      <c r="P15" s="698"/>
      <c r="Q15" s="698"/>
      <c r="R15" s="698"/>
      <c r="S15" s="698"/>
      <c r="T15" s="698"/>
      <c r="U15" s="309"/>
      <c r="V15" s="309"/>
    </row>
    <row r="16" spans="1:22" x14ac:dyDescent="0.25">
      <c r="A16" s="309"/>
      <c r="B16" s="309"/>
      <c r="C16" s="309"/>
      <c r="D16" s="309"/>
      <c r="E16" s="309"/>
      <c r="F16" s="309"/>
      <c r="G16" s="309"/>
      <c r="H16" s="309"/>
      <c r="I16" s="309"/>
      <c r="J16" s="309"/>
      <c r="K16" s="309"/>
      <c r="L16" s="309"/>
      <c r="M16" s="309"/>
      <c r="N16" s="309"/>
      <c r="O16" s="309"/>
      <c r="P16" s="309"/>
      <c r="Q16" s="309"/>
      <c r="R16" s="309"/>
      <c r="S16" s="309"/>
      <c r="T16" s="309"/>
      <c r="U16" s="309"/>
      <c r="V16" s="309"/>
    </row>
    <row r="17" spans="1:22" x14ac:dyDescent="0.25">
      <c r="A17" s="309"/>
      <c r="B17" s="309"/>
      <c r="C17" s="309"/>
      <c r="D17" s="309"/>
      <c r="E17" s="309"/>
      <c r="F17" s="309"/>
      <c r="G17" s="309"/>
      <c r="H17" s="309"/>
      <c r="I17" s="309"/>
      <c r="J17" s="309"/>
      <c r="K17" s="309"/>
      <c r="L17" s="309"/>
      <c r="M17" s="309"/>
      <c r="N17" s="309"/>
      <c r="O17" s="309"/>
      <c r="P17" s="309"/>
      <c r="Q17" s="309"/>
      <c r="R17" s="309"/>
      <c r="S17" s="309"/>
      <c r="T17" s="309"/>
      <c r="U17" s="309"/>
      <c r="V17" s="309"/>
    </row>
    <row r="18" spans="1:22" x14ac:dyDescent="0.25">
      <c r="A18" s="309"/>
      <c r="B18" s="1203" t="s">
        <v>663</v>
      </c>
      <c r="C18" s="1203"/>
      <c r="D18" s="1203"/>
      <c r="E18" s="1203"/>
      <c r="F18" s="1203"/>
      <c r="G18" s="1203"/>
      <c r="H18" s="1203"/>
      <c r="I18" s="1203"/>
      <c r="J18" s="1203"/>
      <c r="K18" s="309"/>
      <c r="L18" s="683"/>
      <c r="M18" s="1203" t="s">
        <v>662</v>
      </c>
      <c r="N18" s="1203"/>
      <c r="O18" s="1203"/>
      <c r="P18" s="1203"/>
      <c r="Q18" s="1203"/>
      <c r="R18" s="1203"/>
      <c r="S18" s="1203"/>
      <c r="T18" s="1203"/>
      <c r="U18" s="1203"/>
      <c r="V18" s="309"/>
    </row>
    <row r="19" spans="1:22" ht="7.5" customHeight="1" x14ac:dyDescent="0.25">
      <c r="A19" s="309"/>
      <c r="B19" s="309"/>
      <c r="C19" s="309"/>
      <c r="D19" s="309"/>
      <c r="E19" s="309"/>
      <c r="F19" s="309"/>
      <c r="G19" s="309"/>
      <c r="H19" s="309"/>
      <c r="I19" s="309"/>
      <c r="J19" s="309"/>
      <c r="K19" s="309"/>
      <c r="L19" s="309"/>
      <c r="M19" s="309"/>
      <c r="N19" s="309"/>
      <c r="O19" s="309"/>
      <c r="P19" s="309"/>
      <c r="Q19" s="309"/>
      <c r="R19" s="309"/>
      <c r="S19" s="309"/>
      <c r="T19" s="309"/>
      <c r="U19" s="309"/>
      <c r="V19" s="309"/>
    </row>
    <row r="20" spans="1:22" x14ac:dyDescent="0.25">
      <c r="A20" s="309"/>
      <c r="B20" s="1204" t="s">
        <v>661</v>
      </c>
      <c r="C20" s="1204"/>
      <c r="D20" s="1204" t="s">
        <v>660</v>
      </c>
      <c r="E20" s="1204"/>
      <c r="F20" s="1204" t="s">
        <v>659</v>
      </c>
      <c r="G20" s="1204"/>
      <c r="H20" s="1204"/>
      <c r="I20" s="1204"/>
      <c r="J20" s="1204"/>
      <c r="K20" s="309"/>
      <c r="L20" s="309"/>
      <c r="M20" s="1204" t="s">
        <v>661</v>
      </c>
      <c r="N20" s="1204"/>
      <c r="O20" s="1204" t="s">
        <v>660</v>
      </c>
      <c r="P20" s="1204"/>
      <c r="Q20" s="1204" t="s">
        <v>659</v>
      </c>
      <c r="R20" s="1204"/>
      <c r="S20" s="1204"/>
      <c r="T20" s="1204"/>
      <c r="U20" s="1204"/>
      <c r="V20" s="309"/>
    </row>
    <row r="21" spans="1:22" x14ac:dyDescent="0.25">
      <c r="A21" s="309"/>
      <c r="B21" s="1193"/>
      <c r="C21" s="1194"/>
      <c r="D21" s="1194"/>
      <c r="E21" s="1194"/>
      <c r="F21" s="1195"/>
      <c r="G21" s="1195"/>
      <c r="H21" s="1195"/>
      <c r="I21" s="1195"/>
      <c r="J21" s="1195"/>
      <c r="K21" s="309"/>
      <c r="L21" s="309"/>
      <c r="M21" s="1193"/>
      <c r="N21" s="1194"/>
      <c r="O21" s="1194"/>
      <c r="P21" s="1194"/>
      <c r="Q21" s="1195"/>
      <c r="R21" s="1195"/>
      <c r="S21" s="1195"/>
      <c r="T21" s="1195"/>
      <c r="U21" s="1195"/>
      <c r="V21" s="309"/>
    </row>
    <row r="22" spans="1:22" ht="15.75" x14ac:dyDescent="0.25">
      <c r="A22" s="309"/>
      <c r="B22" s="1205">
        <f>Draft!E4</f>
        <v>46074</v>
      </c>
      <c r="C22" s="1206"/>
      <c r="D22" s="1207" t="str">
        <f>_xlfn.CONCAT(TEXT(Draft!O4,"hh:mm")," - ",TEXT(Draft!O6,"hh:mm")," h")</f>
        <v>10:45 - 14:00 h</v>
      </c>
      <c r="E22" s="1206"/>
      <c r="F22" s="1208" t="s">
        <v>658</v>
      </c>
      <c r="G22" s="1208"/>
      <c r="H22" s="1208"/>
      <c r="I22" s="1208"/>
      <c r="J22" s="1208"/>
      <c r="K22" s="700"/>
      <c r="L22" s="700"/>
      <c r="M22" s="1205"/>
      <c r="N22" s="1206"/>
      <c r="O22" s="1207"/>
      <c r="P22" s="1206"/>
      <c r="Q22" s="1208" t="s">
        <v>657</v>
      </c>
      <c r="R22" s="1208"/>
      <c r="S22" s="1208"/>
      <c r="T22" s="1208"/>
      <c r="U22" s="1208"/>
      <c r="V22" s="309"/>
    </row>
    <row r="23" spans="1:22" ht="15.75" x14ac:dyDescent="0.25">
      <c r="A23" s="309"/>
      <c r="B23" s="1205">
        <f>Draft!X4</f>
        <v>46081</v>
      </c>
      <c r="C23" s="1206"/>
      <c r="D23" s="1207" t="str">
        <f>_xlfn.CONCAT(TEXT(Draft!AH4,"hh:mm")," - ",TEXT(Draft!AH6,"hh:mm")," h")</f>
        <v>12:00 - 14:00 h</v>
      </c>
      <c r="E23" s="1206"/>
      <c r="F23" s="1208" t="s">
        <v>656</v>
      </c>
      <c r="G23" s="1208"/>
      <c r="H23" s="1208"/>
      <c r="I23" s="1208"/>
      <c r="J23" s="1208"/>
      <c r="K23" s="700"/>
      <c r="L23" s="700"/>
      <c r="M23" s="1205"/>
      <c r="N23" s="1206"/>
      <c r="O23" s="1207"/>
      <c r="P23" s="1206"/>
      <c r="Q23" s="1208" t="s">
        <v>655</v>
      </c>
      <c r="R23" s="1208"/>
      <c r="S23" s="1208"/>
      <c r="T23" s="1208"/>
      <c r="U23" s="1208"/>
      <c r="V23" s="309"/>
    </row>
    <row r="24" spans="1:22" x14ac:dyDescent="0.25">
      <c r="A24" s="309"/>
      <c r="B24" s="1211"/>
      <c r="C24" s="1212"/>
      <c r="D24" s="1213"/>
      <c r="E24" s="1212"/>
      <c r="F24" s="1214"/>
      <c r="G24" s="1214"/>
      <c r="H24" s="1214"/>
      <c r="I24" s="1214"/>
      <c r="J24" s="1214"/>
      <c r="K24" s="309"/>
      <c r="L24" s="309"/>
      <c r="M24" s="1211"/>
      <c r="N24" s="1212"/>
      <c r="O24" s="1213"/>
      <c r="P24" s="1212"/>
      <c r="Q24" s="1214"/>
      <c r="R24" s="1214"/>
      <c r="S24" s="1214"/>
      <c r="T24" s="1214"/>
      <c r="U24" s="1214"/>
      <c r="V24" s="309"/>
    </row>
    <row r="25" spans="1:22" x14ac:dyDescent="0.25">
      <c r="A25" s="309"/>
      <c r="B25" s="1211"/>
      <c r="C25" s="1212"/>
      <c r="D25" s="1213"/>
      <c r="E25" s="1212"/>
      <c r="F25" s="1214"/>
      <c r="G25" s="1214"/>
      <c r="H25" s="1214"/>
      <c r="I25" s="1214"/>
      <c r="J25" s="1214"/>
      <c r="K25" s="309"/>
      <c r="L25" s="309"/>
      <c r="M25" s="1211"/>
      <c r="N25" s="1212"/>
      <c r="O25" s="1213"/>
      <c r="P25" s="1212"/>
      <c r="Q25" s="1214"/>
      <c r="R25" s="1214"/>
      <c r="S25" s="1214"/>
      <c r="T25" s="1214"/>
      <c r="U25" s="1214"/>
      <c r="V25" s="309"/>
    </row>
    <row r="26" spans="1:22" x14ac:dyDescent="0.25">
      <c r="A26" s="309"/>
      <c r="B26" s="309"/>
      <c r="C26" s="309"/>
      <c r="D26" s="309"/>
      <c r="E26" s="309"/>
      <c r="F26" s="309"/>
      <c r="G26" s="309"/>
      <c r="H26" s="309"/>
      <c r="I26" s="309"/>
      <c r="J26" s="309"/>
      <c r="K26" s="309"/>
      <c r="L26" s="309"/>
      <c r="M26" s="309"/>
      <c r="N26" s="309"/>
      <c r="O26" s="309"/>
      <c r="P26" s="309"/>
      <c r="Q26" s="309"/>
      <c r="R26" s="309"/>
      <c r="S26" s="309"/>
      <c r="T26" s="309"/>
      <c r="U26" s="309"/>
      <c r="V26" s="309"/>
    </row>
    <row r="27" spans="1:22" x14ac:dyDescent="0.25">
      <c r="A27" s="309"/>
      <c r="B27" s="309"/>
      <c r="C27" s="309"/>
      <c r="D27" s="309"/>
      <c r="E27" s="309"/>
      <c r="F27" s="309"/>
      <c r="G27" s="309"/>
      <c r="H27" s="309"/>
      <c r="I27" s="309"/>
      <c r="J27" s="309"/>
      <c r="K27" s="309"/>
      <c r="L27" s="309"/>
      <c r="M27" s="309"/>
      <c r="N27" s="309"/>
      <c r="O27" s="309"/>
      <c r="P27" s="309"/>
      <c r="Q27" s="309"/>
      <c r="R27" s="309"/>
      <c r="S27" s="309"/>
      <c r="T27" s="309"/>
      <c r="U27" s="309"/>
      <c r="V27" s="309"/>
    </row>
    <row r="28" spans="1:22" x14ac:dyDescent="0.25">
      <c r="A28" s="309"/>
      <c r="B28" s="309"/>
      <c r="C28" s="309"/>
      <c r="D28" s="309"/>
      <c r="E28" s="309"/>
      <c r="F28" s="309"/>
      <c r="G28" s="309"/>
      <c r="H28" s="309"/>
      <c r="I28" s="309"/>
      <c r="J28" s="309"/>
      <c r="K28" s="309"/>
      <c r="L28" s="309"/>
      <c r="M28" s="309"/>
      <c r="N28" s="309"/>
      <c r="O28" s="309"/>
      <c r="P28" s="309"/>
      <c r="Q28" s="309"/>
      <c r="R28" s="309"/>
      <c r="S28" s="309"/>
      <c r="T28" s="309"/>
      <c r="U28" s="309"/>
      <c r="V28" s="309"/>
    </row>
    <row r="29" spans="1:22" x14ac:dyDescent="0.25">
      <c r="A29" s="309"/>
      <c r="B29" s="309"/>
      <c r="C29" s="309"/>
      <c r="D29" s="1203" t="s">
        <v>654</v>
      </c>
      <c r="E29" s="1203"/>
      <c r="F29" s="1203"/>
      <c r="G29" s="1203"/>
      <c r="H29" s="1203"/>
      <c r="I29" s="1203"/>
      <c r="J29" s="1203"/>
      <c r="K29" s="1203"/>
      <c r="L29" s="1203"/>
      <c r="M29" s="1203"/>
      <c r="N29" s="1203"/>
      <c r="O29" s="1203"/>
      <c r="P29" s="1203"/>
      <c r="Q29" s="1203"/>
      <c r="R29" s="1203"/>
      <c r="S29" s="1203"/>
      <c r="T29" s="309"/>
      <c r="U29" s="309"/>
      <c r="V29" s="309"/>
    </row>
    <row r="30" spans="1:22" x14ac:dyDescent="0.25">
      <c r="A30" s="309"/>
      <c r="B30" s="309"/>
      <c r="C30" s="309"/>
      <c r="D30" s="309"/>
      <c r="E30" s="309"/>
      <c r="F30" s="309"/>
      <c r="G30" s="309"/>
      <c r="H30" s="309"/>
      <c r="I30" s="309"/>
      <c r="J30" s="309"/>
      <c r="K30" s="309"/>
      <c r="L30" s="683"/>
      <c r="M30" s="309"/>
      <c r="N30" s="309"/>
      <c r="O30" s="309"/>
      <c r="P30" s="309"/>
      <c r="Q30" s="309"/>
      <c r="R30" s="309"/>
      <c r="S30" s="309"/>
      <c r="T30" s="309"/>
      <c r="U30" s="309"/>
      <c r="V30" s="309"/>
    </row>
    <row r="31" spans="1:22" x14ac:dyDescent="0.25">
      <c r="A31" s="309"/>
      <c r="B31" s="687"/>
      <c r="C31" s="687"/>
      <c r="D31" s="687"/>
      <c r="E31" s="687"/>
      <c r="F31" s="687"/>
      <c r="G31" s="687"/>
      <c r="H31" s="687"/>
      <c r="I31" s="687"/>
      <c r="J31" s="687"/>
      <c r="K31" s="309"/>
      <c r="L31" s="683"/>
      <c r="M31" s="687"/>
      <c r="N31" s="687"/>
      <c r="O31" s="687"/>
      <c r="P31" s="687"/>
      <c r="Q31" s="687"/>
      <c r="R31" s="687"/>
      <c r="S31" s="687"/>
      <c r="T31" s="687"/>
      <c r="U31" s="687"/>
      <c r="V31" s="309"/>
    </row>
    <row r="32" spans="1:22" ht="28.5" x14ac:dyDescent="0.25">
      <c r="A32" s="309"/>
      <c r="B32" s="687"/>
      <c r="C32" s="687"/>
      <c r="D32" s="687"/>
      <c r="E32" s="687"/>
      <c r="F32" s="687"/>
      <c r="G32" s="1222">
        <f>H74</f>
        <v>0</v>
      </c>
      <c r="H32" s="1223"/>
      <c r="I32" s="1223"/>
      <c r="J32" s="1223"/>
      <c r="K32" s="1223"/>
      <c r="L32" s="1223"/>
      <c r="M32" s="1223"/>
      <c r="N32" s="1223"/>
      <c r="O32" s="1223"/>
      <c r="P32" s="1223"/>
      <c r="Q32" s="1223"/>
      <c r="R32" s="1223"/>
      <c r="S32" s="687"/>
      <c r="T32" s="687"/>
      <c r="U32" s="687"/>
      <c r="V32" s="309"/>
    </row>
    <row r="33" spans="1:22" ht="18.75" x14ac:dyDescent="0.3">
      <c r="A33" s="309"/>
      <c r="B33" s="688"/>
      <c r="C33" s="682"/>
      <c r="D33" s="702"/>
      <c r="E33" s="704"/>
      <c r="F33" s="704"/>
      <c r="G33" s="1248" t="s">
        <v>614</v>
      </c>
      <c r="H33" s="1249"/>
      <c r="I33" s="1249"/>
      <c r="J33" s="1249"/>
      <c r="K33" s="1250" t="s">
        <v>653</v>
      </c>
      <c r="L33" s="1251"/>
      <c r="M33" s="1251"/>
      <c r="N33" s="1251"/>
      <c r="O33" s="1250" t="s">
        <v>653</v>
      </c>
      <c r="P33" s="1251"/>
      <c r="Q33" s="1251"/>
      <c r="R33" s="1251"/>
      <c r="S33" s="682"/>
      <c r="T33" s="682"/>
      <c r="U33" s="688"/>
      <c r="V33" s="309"/>
    </row>
    <row r="34" spans="1:22" ht="18.75" x14ac:dyDescent="0.3">
      <c r="A34" s="309"/>
      <c r="B34" s="309"/>
      <c r="C34" s="682"/>
      <c r="D34" s="703" t="s">
        <v>652</v>
      </c>
      <c r="E34" s="703"/>
      <c r="F34" s="703"/>
      <c r="G34" s="1248" t="s">
        <v>651</v>
      </c>
      <c r="H34" s="1249"/>
      <c r="I34" s="1249"/>
      <c r="J34" s="1249"/>
      <c r="K34" s="1248" t="s">
        <v>651</v>
      </c>
      <c r="L34" s="1249"/>
      <c r="M34" s="1249"/>
      <c r="N34" s="1249"/>
      <c r="O34" s="1250" t="s">
        <v>650</v>
      </c>
      <c r="P34" s="1251"/>
      <c r="Q34" s="1251"/>
      <c r="R34" s="1251"/>
      <c r="S34" s="1210"/>
      <c r="T34" s="1210"/>
      <c r="U34" s="309"/>
      <c r="V34" s="309"/>
    </row>
    <row r="35" spans="1:22" ht="18.75" x14ac:dyDescent="0.3">
      <c r="A35" s="309"/>
      <c r="B35" s="309"/>
      <c r="C35" s="701"/>
      <c r="D35" s="702" t="str">
        <f>'DADOS E-MAIL '!C36</f>
        <v>Standard Brazil</v>
      </c>
      <c r="E35" s="704"/>
      <c r="F35" s="704"/>
      <c r="G35" s="1215">
        <f>'DADOS E-MAIL '!E36</f>
        <v>59226.553736159498</v>
      </c>
      <c r="H35" s="1216"/>
      <c r="I35" s="1216"/>
      <c r="J35" s="1216"/>
      <c r="K35" s="1217">
        <f>'DADOS E-MAIL '!G36</f>
        <v>313.32473615949857</v>
      </c>
      <c r="L35" s="1218"/>
      <c r="M35" s="1218"/>
      <c r="N35" s="1219"/>
      <c r="O35" s="1220">
        <f>IFERROR('DADOS E-MAIL '!I36,"")</f>
        <v>0.53184105077570709</v>
      </c>
      <c r="P35" s="1221"/>
      <c r="Q35" s="1221"/>
      <c r="R35" s="1221"/>
      <c r="S35" s="1209"/>
      <c r="T35" s="1209"/>
      <c r="U35" s="309"/>
      <c r="V35" s="309"/>
    </row>
    <row r="36" spans="1:22" ht="18.75" x14ac:dyDescent="0.3">
      <c r="A36" s="309"/>
      <c r="B36" s="309"/>
      <c r="C36" s="701"/>
      <c r="D36" s="702" t="str">
        <f>'DADOS E-MAIL '!C37</f>
        <v>Comando do navio:</v>
      </c>
      <c r="E36" s="704"/>
      <c r="F36" s="704"/>
      <c r="G36" s="1215">
        <f>'DADOS E-MAIL '!E37</f>
        <v>59159.82</v>
      </c>
      <c r="H36" s="1216"/>
      <c r="I36" s="1216"/>
      <c r="J36" s="1216"/>
      <c r="K36" s="1217">
        <f>'DADOS E-MAIL '!G37</f>
        <v>246.59100000000035</v>
      </c>
      <c r="L36" s="1218"/>
      <c r="M36" s="1218"/>
      <c r="N36" s="1219"/>
      <c r="O36" s="1220">
        <f>IFERROR('DADOS E-MAIL '!I37,"")</f>
        <v>0.41856643097936519</v>
      </c>
      <c r="P36" s="1221"/>
      <c r="Q36" s="1221"/>
      <c r="R36" s="1221"/>
      <c r="S36" s="1209"/>
      <c r="T36" s="1209"/>
      <c r="U36" s="309"/>
      <c r="V36" s="309"/>
    </row>
    <row r="37" spans="1:22" ht="18.75" x14ac:dyDescent="0.3">
      <c r="A37" s="309"/>
      <c r="B37" s="309"/>
      <c r="C37" s="701"/>
      <c r="D37" s="702" t="str">
        <f>'DADOS E-MAIL '!C38</f>
        <v>Receita Federal:</v>
      </c>
      <c r="E37" s="704"/>
      <c r="F37" s="704"/>
      <c r="G37" s="1215">
        <f>'DADOS E-MAIL '!E38</f>
        <v>59196.66</v>
      </c>
      <c r="H37" s="1216"/>
      <c r="I37" s="1216"/>
      <c r="J37" s="1216"/>
      <c r="K37" s="1217">
        <f>'DADOS E-MAIL '!G38</f>
        <v>283.43100000000413</v>
      </c>
      <c r="L37" s="1218"/>
      <c r="M37" s="1218"/>
      <c r="N37" s="1219"/>
      <c r="O37" s="1220">
        <f>IFERROR('DADOS E-MAIL '!I38,"")</f>
        <v>0.48109907538764196</v>
      </c>
      <c r="P37" s="1221"/>
      <c r="Q37" s="1221"/>
      <c r="R37" s="1221"/>
      <c r="S37" s="1209"/>
      <c r="T37" s="1209"/>
      <c r="U37" s="309"/>
      <c r="V37" s="309"/>
    </row>
    <row r="38" spans="1:22" ht="18.75" x14ac:dyDescent="0.3">
      <c r="A38" s="309"/>
      <c r="B38" s="309"/>
      <c r="C38" s="681"/>
      <c r="D38" s="702" t="str">
        <f>'DADOS E-MAIL '!C39</f>
        <v>Comprador:</v>
      </c>
      <c r="E38" s="704"/>
      <c r="F38" s="704"/>
      <c r="G38" s="1215">
        <f>IF(D38="","",'DADOS E-MAIL '!E39)</f>
        <v>59161.493999999999</v>
      </c>
      <c r="H38" s="1216"/>
      <c r="I38" s="1216"/>
      <c r="J38" s="1216"/>
      <c r="K38" s="1217">
        <f>IF(D38="","",'DADOS E-MAIL '!G39)</f>
        <v>248.26499999999942</v>
      </c>
      <c r="L38" s="1218"/>
      <c r="M38" s="1218"/>
      <c r="N38" s="1218"/>
      <c r="O38" s="1220">
        <f>IF(D38="","",'DADOS E-MAIL '!I39)</f>
        <v>0.42140789804612377</v>
      </c>
      <c r="P38" s="1221"/>
      <c r="Q38" s="1221"/>
      <c r="R38" s="1221"/>
      <c r="S38" s="1231"/>
      <c r="T38" s="1231"/>
      <c r="U38" s="309"/>
      <c r="V38" s="309"/>
    </row>
    <row r="39" spans="1:22" ht="18.75" x14ac:dyDescent="0.3">
      <c r="A39" s="309"/>
      <c r="B39" s="309"/>
      <c r="C39" s="681"/>
      <c r="D39" s="702" t="str">
        <f>'DADOS E-MAIL '!C40</f>
        <v>Comprador:</v>
      </c>
      <c r="E39" s="704"/>
      <c r="F39" s="704"/>
      <c r="G39" s="1215">
        <f>IF(D39="","",'DADOS E-MAIL '!E40)</f>
        <v>59165.608</v>
      </c>
      <c r="H39" s="1216"/>
      <c r="I39" s="1216"/>
      <c r="J39" s="1216"/>
      <c r="K39" s="1217">
        <f>IF(D39="","",'DADOS E-MAIL '!G40)</f>
        <v>252.37900000000081</v>
      </c>
      <c r="L39" s="1218"/>
      <c r="M39" s="1218"/>
      <c r="N39" s="1218"/>
      <c r="O39" s="1220">
        <f>IF(D39="","",'DADOS E-MAIL '!I40)</f>
        <v>0.42839104948737539</v>
      </c>
      <c r="P39" s="1221"/>
      <c r="Q39" s="1221"/>
      <c r="R39" s="1221"/>
      <c r="S39" s="699"/>
      <c r="T39" s="699"/>
      <c r="U39" s="309"/>
      <c r="V39" s="309"/>
    </row>
    <row r="40" spans="1:22" ht="18.75" x14ac:dyDescent="0.3">
      <c r="A40" s="309"/>
      <c r="B40" s="309"/>
      <c r="C40" s="681"/>
      <c r="D40" s="702" t="str">
        <f>'DADOS E-MAIL '!C41</f>
        <v>Embarcadores:</v>
      </c>
      <c r="E40" s="704"/>
      <c r="F40" s="704"/>
      <c r="G40" s="1215">
        <f>IF(D40="","",'DADOS E-MAIL '!E41)</f>
        <v>59150.286999999997</v>
      </c>
      <c r="H40" s="1216"/>
      <c r="I40" s="1216"/>
      <c r="J40" s="1216"/>
      <c r="K40" s="1217">
        <f>IF(D40="","",'DADOS E-MAIL '!G41)</f>
        <v>237.05799999999726</v>
      </c>
      <c r="L40" s="1218"/>
      <c r="M40" s="1218"/>
      <c r="N40" s="1218"/>
      <c r="O40" s="1220">
        <f>IF(D40="","",'DADOS E-MAIL '!I41)</f>
        <v>0.40238500592116122</v>
      </c>
      <c r="P40" s="1221"/>
      <c r="Q40" s="1221"/>
      <c r="R40" s="1221"/>
      <c r="S40" s="699"/>
      <c r="T40" s="699"/>
      <c r="U40" s="309"/>
      <c r="V40" s="309"/>
    </row>
    <row r="41" spans="1:22" ht="18.75" x14ac:dyDescent="0.3">
      <c r="A41" s="309"/>
      <c r="B41" s="309"/>
      <c r="C41" s="681"/>
      <c r="D41" s="702" t="str">
        <f>'DADOS E-MAIL '!C42</f>
        <v/>
      </c>
      <c r="E41" s="704"/>
      <c r="F41" s="704"/>
      <c r="G41" s="1215" t="str">
        <f>IF(D41="","",'DADOS E-MAIL '!E42)</f>
        <v/>
      </c>
      <c r="H41" s="1216"/>
      <c r="I41" s="1216"/>
      <c r="J41" s="1216"/>
      <c r="K41" s="1217" t="str">
        <f>IF(D41="","",'DADOS E-MAIL '!G42)</f>
        <v/>
      </c>
      <c r="L41" s="1218"/>
      <c r="M41" s="1218"/>
      <c r="N41" s="1218"/>
      <c r="O41" s="1220" t="str">
        <f>IF(D41="","",'DADOS E-MAIL '!I42)</f>
        <v/>
      </c>
      <c r="P41" s="1221"/>
      <c r="Q41" s="1221"/>
      <c r="R41" s="1221"/>
      <c r="S41" s="699"/>
      <c r="T41" s="699"/>
      <c r="U41" s="309"/>
      <c r="V41" s="309"/>
    </row>
    <row r="42" spans="1:22" ht="18.75" x14ac:dyDescent="0.3">
      <c r="A42" s="309"/>
      <c r="B42" s="309"/>
      <c r="C42" s="681"/>
      <c r="D42" s="702"/>
      <c r="E42" s="704"/>
      <c r="F42" s="704"/>
      <c r="G42" s="1215" t="str">
        <f>IF(D42="","",'DADOS E-MAIL '!E43)</f>
        <v/>
      </c>
      <c r="H42" s="1216"/>
      <c r="I42" s="1216"/>
      <c r="J42" s="1216"/>
      <c r="K42" s="1217" t="str">
        <f>IF(D42="","",'DADOS E-MAIL '!G43)</f>
        <v/>
      </c>
      <c r="L42" s="1218"/>
      <c r="M42" s="1218"/>
      <c r="N42" s="1218"/>
      <c r="O42" s="1220" t="str">
        <f>IF(D42="","",'DADOS E-MAIL '!I43)</f>
        <v/>
      </c>
      <c r="P42" s="1221"/>
      <c r="Q42" s="1221"/>
      <c r="R42" s="1221"/>
      <c r="S42" s="1212"/>
      <c r="T42" s="1212"/>
      <c r="U42" s="309"/>
      <c r="V42" s="309"/>
    </row>
    <row r="43" spans="1:22" x14ac:dyDescent="0.25">
      <c r="A43" s="309"/>
      <c r="B43" s="309"/>
      <c r="C43" s="309"/>
      <c r="D43" s="309"/>
      <c r="E43" s="309"/>
      <c r="F43" s="309"/>
      <c r="G43" s="309"/>
      <c r="H43" s="309"/>
      <c r="I43" s="309"/>
      <c r="J43" s="309"/>
      <c r="K43" s="309"/>
      <c r="L43" s="309"/>
      <c r="M43" s="309"/>
      <c r="N43" s="309"/>
      <c r="O43" s="309"/>
      <c r="P43" s="309"/>
      <c r="Q43" s="309"/>
      <c r="R43" s="309"/>
      <c r="S43" s="309"/>
      <c r="T43" s="309"/>
      <c r="U43" s="309"/>
      <c r="V43" s="309"/>
    </row>
    <row r="44" spans="1:22" x14ac:dyDescent="0.25">
      <c r="A44" s="309"/>
      <c r="B44" s="309"/>
      <c r="C44" s="309"/>
      <c r="D44" s="309"/>
      <c r="E44" s="309"/>
      <c r="F44" s="309"/>
      <c r="G44" s="309"/>
      <c r="H44" s="309"/>
      <c r="I44" s="309"/>
      <c r="J44" s="309"/>
      <c r="K44" s="309"/>
      <c r="L44" s="309"/>
      <c r="M44" s="309"/>
      <c r="N44" s="309"/>
      <c r="O44" s="309"/>
      <c r="P44" s="309"/>
      <c r="Q44" s="309"/>
      <c r="R44" s="309"/>
      <c r="S44" s="309"/>
      <c r="T44" s="309"/>
      <c r="U44" s="309"/>
      <c r="V44" s="309"/>
    </row>
    <row r="45" spans="1:22" x14ac:dyDescent="0.25">
      <c r="A45" s="309"/>
      <c r="B45" s="309"/>
      <c r="C45" s="309"/>
      <c r="D45" s="1203" t="s">
        <v>613</v>
      </c>
      <c r="E45" s="1203"/>
      <c r="F45" s="1203"/>
      <c r="G45" s="1203"/>
      <c r="H45" s="1203"/>
      <c r="I45" s="1203"/>
      <c r="J45" s="1203"/>
      <c r="K45" s="1203"/>
      <c r="L45" s="1203"/>
      <c r="M45" s="1203"/>
      <c r="N45" s="1203"/>
      <c r="O45" s="1203"/>
      <c r="P45" s="1203"/>
      <c r="Q45" s="1203"/>
      <c r="R45" s="1203"/>
      <c r="S45" s="1203"/>
      <c r="T45" s="683"/>
      <c r="U45" s="309"/>
      <c r="V45" s="309"/>
    </row>
    <row r="46" spans="1:22" x14ac:dyDescent="0.25">
      <c r="A46" s="309"/>
      <c r="B46" s="309"/>
      <c r="C46" s="309"/>
      <c r="D46" s="687"/>
      <c r="E46" s="687"/>
      <c r="F46" s="687"/>
      <c r="G46" s="687"/>
      <c r="H46" s="687"/>
      <c r="I46" s="687"/>
      <c r="J46" s="687"/>
      <c r="K46" s="687"/>
      <c r="L46" s="687"/>
      <c r="M46" s="687"/>
      <c r="N46" s="687"/>
      <c r="O46" s="687"/>
      <c r="P46" s="687"/>
      <c r="Q46" s="687"/>
      <c r="R46" s="687"/>
      <c r="S46" s="687"/>
      <c r="T46" s="683"/>
      <c r="U46" s="309"/>
      <c r="V46" s="309"/>
    </row>
    <row r="47" spans="1:22" x14ac:dyDescent="0.25">
      <c r="A47" s="309"/>
      <c r="B47" s="309"/>
      <c r="C47" s="309"/>
      <c r="D47" s="687"/>
      <c r="E47" s="687"/>
      <c r="F47" s="687"/>
      <c r="G47" s="687"/>
      <c r="H47" s="687"/>
      <c r="I47" s="687"/>
      <c r="J47" s="687"/>
      <c r="K47" s="687"/>
      <c r="L47" s="687"/>
      <c r="M47" s="687"/>
      <c r="N47" s="687"/>
      <c r="O47" s="687"/>
      <c r="P47" s="687"/>
      <c r="Q47" s="687"/>
      <c r="R47" s="687"/>
      <c r="S47" s="687"/>
      <c r="T47" s="683"/>
      <c r="U47" s="309"/>
      <c r="V47" s="309"/>
    </row>
    <row r="48" spans="1:22" x14ac:dyDescent="0.25">
      <c r="A48" s="309"/>
      <c r="B48" s="309"/>
      <c r="C48" s="309"/>
      <c r="D48" s="309"/>
      <c r="E48" s="309"/>
      <c r="F48" s="309"/>
      <c r="G48" s="309"/>
      <c r="H48" s="309"/>
      <c r="I48" s="309"/>
      <c r="J48" s="309"/>
      <c r="K48" s="309"/>
      <c r="L48" s="309"/>
      <c r="M48" s="309"/>
      <c r="N48" s="309"/>
      <c r="O48" s="309"/>
      <c r="P48" s="309"/>
      <c r="Q48" s="309"/>
      <c r="R48" s="309"/>
      <c r="S48" s="309"/>
      <c r="T48" s="309"/>
      <c r="U48" s="309"/>
      <c r="V48" s="309"/>
    </row>
    <row r="49" spans="1:22" x14ac:dyDescent="0.25">
      <c r="A49" s="309"/>
      <c r="B49" s="309"/>
      <c r="C49" s="309"/>
      <c r="D49" s="309"/>
      <c r="E49" s="309"/>
      <c r="F49" s="309"/>
      <c r="G49" s="309"/>
      <c r="H49" s="309"/>
      <c r="I49" s="309"/>
      <c r="J49" s="309"/>
      <c r="K49" s="309"/>
      <c r="L49" s="309"/>
      <c r="M49" s="309"/>
      <c r="N49" s="309"/>
      <c r="O49" s="309"/>
      <c r="P49" s="309"/>
      <c r="Q49" s="309"/>
      <c r="R49" s="309"/>
      <c r="S49" s="309"/>
      <c r="T49" s="309"/>
      <c r="U49" s="309"/>
      <c r="V49" s="309"/>
    </row>
    <row r="50" spans="1:22" x14ac:dyDescent="0.25">
      <c r="A50" s="309"/>
      <c r="B50" s="309"/>
      <c r="C50" s="309"/>
      <c r="D50" s="309"/>
      <c r="E50" s="309"/>
      <c r="F50" s="309"/>
      <c r="G50" s="309"/>
      <c r="H50" s="309"/>
      <c r="I50" s="309"/>
      <c r="J50" s="309"/>
      <c r="K50" s="309"/>
      <c r="L50" s="309"/>
      <c r="M50" s="309"/>
      <c r="N50" s="309"/>
      <c r="O50" s="309"/>
      <c r="P50" s="309"/>
      <c r="Q50" s="309"/>
      <c r="R50" s="309"/>
      <c r="S50" s="309"/>
      <c r="T50" s="309"/>
      <c r="U50" s="309"/>
      <c r="V50" s="309"/>
    </row>
    <row r="51" spans="1:22" x14ac:dyDescent="0.25">
      <c r="A51" s="309"/>
      <c r="B51" s="309"/>
      <c r="C51" s="309"/>
      <c r="D51" s="309"/>
      <c r="E51" s="309"/>
      <c r="F51" s="309"/>
      <c r="G51" s="309"/>
      <c r="H51" s="309"/>
      <c r="I51" s="309"/>
      <c r="J51" s="309"/>
      <c r="K51" s="309"/>
      <c r="L51" s="309"/>
      <c r="M51" s="309"/>
      <c r="N51" s="309"/>
      <c r="O51" s="309"/>
      <c r="P51" s="309"/>
      <c r="Q51" s="309"/>
      <c r="R51" s="309"/>
      <c r="S51" s="309"/>
      <c r="T51" s="309"/>
      <c r="U51" s="309"/>
      <c r="V51" s="309"/>
    </row>
    <row r="52" spans="1:22" x14ac:dyDescent="0.25">
      <c r="A52" s="309"/>
      <c r="B52" s="309"/>
      <c r="C52" s="309"/>
      <c r="D52" s="309"/>
      <c r="E52" s="309"/>
      <c r="F52" s="309"/>
      <c r="G52" s="309"/>
      <c r="H52" s="309"/>
      <c r="I52" s="309"/>
      <c r="J52" s="309"/>
      <c r="K52" s="309"/>
      <c r="L52" s="309"/>
      <c r="M52" s="309"/>
      <c r="N52" s="309"/>
      <c r="O52" s="309"/>
      <c r="P52" s="309"/>
      <c r="Q52" s="309"/>
      <c r="R52" s="309"/>
      <c r="S52" s="309"/>
      <c r="T52" s="309"/>
      <c r="U52" s="309"/>
      <c r="V52" s="309"/>
    </row>
    <row r="53" spans="1:22" x14ac:dyDescent="0.25">
      <c r="A53" s="309"/>
      <c r="B53" s="309"/>
      <c r="C53" s="309"/>
      <c r="D53" s="309"/>
      <c r="E53" s="309"/>
      <c r="F53" s="309"/>
      <c r="G53" s="309"/>
      <c r="H53" s="309"/>
      <c r="I53" s="309"/>
      <c r="J53" s="309"/>
      <c r="K53" s="309"/>
      <c r="L53" s="309"/>
      <c r="M53" s="309"/>
      <c r="N53" s="309"/>
      <c r="O53" s="309"/>
      <c r="P53" s="309"/>
      <c r="Q53" s="309"/>
      <c r="R53" s="309"/>
      <c r="S53" s="309"/>
      <c r="T53" s="309"/>
      <c r="U53" s="309"/>
      <c r="V53" s="309"/>
    </row>
    <row r="54" spans="1:22" x14ac:dyDescent="0.25">
      <c r="A54" s="309"/>
      <c r="B54" s="309"/>
      <c r="C54" s="309"/>
      <c r="D54" s="309"/>
      <c r="E54" s="309"/>
      <c r="F54" s="309"/>
      <c r="G54" s="309"/>
      <c r="H54" s="309"/>
      <c r="I54" s="309"/>
      <c r="J54" s="309"/>
      <c r="K54" s="309"/>
      <c r="L54" s="309"/>
      <c r="M54" s="309"/>
      <c r="N54" s="309"/>
      <c r="O54" s="309"/>
      <c r="P54" s="309"/>
      <c r="Q54" s="309"/>
      <c r="R54" s="309"/>
      <c r="S54" s="309"/>
      <c r="T54" s="309"/>
      <c r="U54" s="309"/>
      <c r="V54" s="309"/>
    </row>
    <row r="55" spans="1:22" x14ac:dyDescent="0.25">
      <c r="A55" s="309"/>
      <c r="B55" s="309"/>
      <c r="C55" s="309"/>
      <c r="D55" s="309"/>
      <c r="E55" s="309"/>
      <c r="F55" s="309"/>
      <c r="G55" s="309"/>
      <c r="H55" s="309"/>
      <c r="I55" s="309"/>
      <c r="J55" s="309"/>
      <c r="K55" s="309"/>
      <c r="L55" s="309"/>
      <c r="M55" s="309"/>
      <c r="N55" s="309"/>
      <c r="O55" s="309"/>
      <c r="P55" s="309"/>
      <c r="Q55" s="309"/>
      <c r="R55" s="309"/>
      <c r="S55" s="309"/>
      <c r="T55" s="309"/>
      <c r="U55" s="309"/>
      <c r="V55" s="309"/>
    </row>
    <row r="56" spans="1:22" x14ac:dyDescent="0.25">
      <c r="A56" s="309"/>
      <c r="B56" s="309"/>
      <c r="C56" s="309"/>
      <c r="D56" s="309"/>
      <c r="E56" s="309"/>
      <c r="F56" s="309"/>
      <c r="G56" s="309"/>
      <c r="H56" s="309"/>
      <c r="I56" s="309"/>
      <c r="J56" s="309"/>
      <c r="K56" s="309"/>
      <c r="L56" s="309"/>
      <c r="M56" s="309"/>
      <c r="N56" s="309"/>
      <c r="O56" s="309"/>
      <c r="P56" s="309"/>
      <c r="Q56" s="309"/>
      <c r="R56" s="309"/>
      <c r="S56" s="309"/>
      <c r="T56" s="309"/>
      <c r="U56" s="309"/>
      <c r="V56" s="309"/>
    </row>
    <row r="57" spans="1:22" x14ac:dyDescent="0.25">
      <c r="A57" s="309"/>
      <c r="B57" s="309"/>
      <c r="C57" s="309"/>
      <c r="D57" s="309"/>
      <c r="E57" s="309"/>
      <c r="F57" s="309"/>
      <c r="G57" s="309"/>
      <c r="H57" s="309"/>
      <c r="I57" s="309"/>
      <c r="J57" s="309"/>
      <c r="K57" s="309"/>
      <c r="L57" s="309"/>
      <c r="M57" s="309"/>
      <c r="N57" s="309"/>
      <c r="O57" s="309"/>
      <c r="P57" s="309"/>
      <c r="Q57" s="309"/>
      <c r="R57" s="309"/>
      <c r="S57" s="309"/>
      <c r="T57" s="309"/>
      <c r="U57" s="309"/>
      <c r="V57" s="309"/>
    </row>
    <row r="58" spans="1:22" x14ac:dyDescent="0.25">
      <c r="A58" s="309"/>
      <c r="B58" s="309"/>
      <c r="C58" s="309"/>
      <c r="D58" s="309"/>
      <c r="E58" s="309"/>
      <c r="F58" s="309"/>
      <c r="G58" s="309"/>
      <c r="H58" s="309"/>
      <c r="I58" s="309"/>
      <c r="J58" s="309"/>
      <c r="K58" s="309"/>
      <c r="L58" s="309"/>
      <c r="M58" s="309"/>
      <c r="N58" s="309"/>
      <c r="O58" s="309"/>
      <c r="P58" s="309"/>
      <c r="Q58" s="309"/>
      <c r="R58" s="309"/>
      <c r="S58" s="309"/>
      <c r="T58" s="309"/>
      <c r="U58" s="309"/>
      <c r="V58" s="309"/>
    </row>
    <row r="59" spans="1:22" x14ac:dyDescent="0.25">
      <c r="A59" s="309"/>
      <c r="B59" s="309"/>
      <c r="C59" s="309"/>
      <c r="D59" s="309"/>
      <c r="E59" s="309"/>
      <c r="F59" s="309"/>
      <c r="G59" s="309"/>
      <c r="H59" s="309"/>
      <c r="I59" s="309"/>
      <c r="J59" s="309"/>
      <c r="K59" s="309"/>
      <c r="L59" s="309"/>
      <c r="M59" s="309"/>
      <c r="N59" s="309"/>
      <c r="O59" s="309"/>
      <c r="P59" s="309"/>
      <c r="Q59" s="309"/>
      <c r="R59" s="309"/>
      <c r="S59" s="309"/>
      <c r="T59" s="309"/>
      <c r="U59" s="309"/>
      <c r="V59" s="309"/>
    </row>
    <row r="60" spans="1:22" x14ac:dyDescent="0.25">
      <c r="A60" s="309"/>
      <c r="B60" s="309"/>
      <c r="C60" s="309"/>
      <c r="D60" s="309"/>
      <c r="E60" s="309"/>
      <c r="F60" s="309"/>
      <c r="G60" s="309"/>
      <c r="H60" s="309"/>
      <c r="I60" s="309"/>
      <c r="J60" s="309"/>
      <c r="K60" s="309"/>
      <c r="L60" s="309"/>
      <c r="M60" s="309"/>
      <c r="N60" s="309"/>
      <c r="O60" s="309"/>
      <c r="P60" s="309"/>
      <c r="Q60" s="309"/>
      <c r="R60" s="309"/>
      <c r="S60" s="309"/>
      <c r="T60" s="309"/>
      <c r="U60" s="309"/>
      <c r="V60" s="309"/>
    </row>
    <row r="61" spans="1:22" x14ac:dyDescent="0.25">
      <c r="A61" s="309"/>
      <c r="B61" s="309"/>
      <c r="C61" s="309"/>
      <c r="D61" s="309"/>
      <c r="E61" s="309"/>
      <c r="F61" s="309"/>
      <c r="G61" s="309"/>
      <c r="H61" s="309"/>
      <c r="I61" s="309"/>
      <c r="J61" s="309"/>
      <c r="K61" s="309"/>
      <c r="L61" s="309"/>
      <c r="M61" s="309"/>
      <c r="N61" s="309"/>
      <c r="O61" s="309"/>
      <c r="P61" s="309"/>
      <c r="Q61" s="309"/>
      <c r="R61" s="309"/>
      <c r="S61" s="309"/>
      <c r="T61" s="309"/>
      <c r="U61" s="309"/>
      <c r="V61" s="309"/>
    </row>
    <row r="62" spans="1:22" x14ac:dyDescent="0.25">
      <c r="A62" s="309"/>
      <c r="B62" s="309"/>
      <c r="C62" s="309"/>
      <c r="D62" s="309"/>
      <c r="E62" s="309"/>
      <c r="F62" s="309"/>
      <c r="G62" s="309"/>
      <c r="H62" s="309"/>
      <c r="I62" s="309"/>
      <c r="J62" s="309"/>
      <c r="K62" s="309"/>
      <c r="L62" s="309"/>
      <c r="M62" s="309"/>
      <c r="N62" s="309"/>
      <c r="O62" s="309"/>
      <c r="P62" s="309"/>
      <c r="Q62" s="309"/>
      <c r="R62" s="309"/>
      <c r="S62" s="309"/>
      <c r="T62" s="309"/>
      <c r="U62" s="309"/>
      <c r="V62" s="309"/>
    </row>
    <row r="63" spans="1:22" x14ac:dyDescent="0.25">
      <c r="A63" s="309"/>
      <c r="B63" s="309"/>
      <c r="C63" s="309"/>
      <c r="D63" s="309"/>
      <c r="E63" s="309"/>
      <c r="F63" s="309"/>
      <c r="G63" s="309"/>
      <c r="H63" s="309"/>
      <c r="I63" s="309"/>
      <c r="J63" s="309"/>
      <c r="K63" s="309"/>
      <c r="L63" s="309"/>
      <c r="M63" s="309"/>
      <c r="N63" s="309"/>
      <c r="O63" s="309"/>
      <c r="P63" s="309"/>
      <c r="Q63" s="309"/>
      <c r="R63" s="309"/>
      <c r="S63" s="309"/>
      <c r="T63" s="309"/>
      <c r="U63" s="309"/>
      <c r="V63" s="309"/>
    </row>
    <row r="64" spans="1:22" x14ac:dyDescent="0.25">
      <c r="A64" s="309"/>
      <c r="B64" s="309"/>
      <c r="C64" s="309"/>
      <c r="D64" s="309"/>
      <c r="E64" s="309"/>
      <c r="F64" s="309"/>
      <c r="G64" s="309"/>
      <c r="H64" s="309"/>
      <c r="I64" s="309"/>
      <c r="J64" s="309"/>
      <c r="K64" s="309"/>
      <c r="L64" s="309"/>
      <c r="M64" s="309"/>
      <c r="N64" s="309"/>
      <c r="O64" s="309"/>
      <c r="P64" s="309"/>
      <c r="Q64" s="309"/>
      <c r="R64" s="309"/>
      <c r="S64" s="309"/>
      <c r="T64" s="309"/>
      <c r="U64" s="309"/>
      <c r="V64" s="309"/>
    </row>
    <row r="65" spans="1:22" x14ac:dyDescent="0.25">
      <c r="A65" s="309"/>
      <c r="B65" s="309"/>
      <c r="C65" s="1228"/>
      <c r="D65" s="1228"/>
      <c r="E65" s="1228"/>
      <c r="F65" s="1228"/>
      <c r="G65" s="1228"/>
      <c r="H65" s="1228"/>
      <c r="I65" s="1228"/>
      <c r="J65" s="1228"/>
      <c r="K65" s="683"/>
      <c r="L65" s="683"/>
      <c r="M65" s="1228"/>
      <c r="N65" s="1228"/>
      <c r="O65" s="1228"/>
      <c r="P65" s="1228"/>
      <c r="Q65" s="1228"/>
      <c r="R65" s="1228"/>
      <c r="S65" s="1228"/>
      <c r="T65" s="1228"/>
      <c r="U65" s="309"/>
      <c r="V65" s="309"/>
    </row>
    <row r="66" spans="1:22" x14ac:dyDescent="0.25">
      <c r="A66" s="309"/>
      <c r="B66" s="309"/>
      <c r="C66" s="1210"/>
      <c r="D66" s="1210"/>
      <c r="E66" s="1210"/>
      <c r="F66" s="1210"/>
      <c r="G66" s="1210"/>
      <c r="H66" s="1210"/>
      <c r="I66" s="1210"/>
      <c r="J66" s="1210"/>
      <c r="K66" s="682"/>
      <c r="L66" s="682"/>
      <c r="M66" s="1210"/>
      <c r="N66" s="1210"/>
      <c r="O66" s="1210"/>
      <c r="P66" s="1210"/>
      <c r="Q66" s="1210"/>
      <c r="R66" s="1210"/>
      <c r="S66" s="1210"/>
      <c r="T66" s="1210"/>
      <c r="U66" s="309"/>
      <c r="V66" s="309"/>
    </row>
    <row r="67" spans="1:22" x14ac:dyDescent="0.25">
      <c r="A67" s="309"/>
      <c r="B67" s="309"/>
      <c r="C67" s="1232"/>
      <c r="D67" s="1232"/>
      <c r="E67" s="1232"/>
      <c r="F67" s="1232"/>
      <c r="G67" s="1232"/>
      <c r="H67" s="1232"/>
      <c r="I67" s="1232"/>
      <c r="J67" s="1232"/>
      <c r="K67" s="309"/>
      <c r="L67" s="309"/>
      <c r="M67" s="309"/>
      <c r="N67" s="309"/>
      <c r="O67" s="309"/>
      <c r="P67" s="309"/>
      <c r="Q67" s="309"/>
      <c r="R67" s="309"/>
      <c r="S67" s="309"/>
      <c r="T67" s="309"/>
      <c r="U67" s="309"/>
      <c r="V67" s="309"/>
    </row>
    <row r="68" spans="1:22" x14ac:dyDescent="0.25">
      <c r="A68" s="309"/>
      <c r="B68" s="309"/>
      <c r="C68" s="309"/>
      <c r="D68" s="1203" t="s">
        <v>649</v>
      </c>
      <c r="E68" s="1203"/>
      <c r="F68" s="1203"/>
      <c r="G68" s="1203"/>
      <c r="H68" s="1203"/>
      <c r="I68" s="1203"/>
      <c r="J68" s="1203"/>
      <c r="K68" s="1203"/>
      <c r="L68" s="1203"/>
      <c r="M68" s="1203"/>
      <c r="N68" s="1203"/>
      <c r="O68" s="1203"/>
      <c r="P68" s="1203"/>
      <c r="Q68" s="1203"/>
      <c r="R68" s="1203"/>
      <c r="S68" s="1203"/>
      <c r="T68" s="309"/>
      <c r="U68" s="309"/>
      <c r="V68" s="309"/>
    </row>
    <row r="69" spans="1:22" x14ac:dyDescent="0.25">
      <c r="A69" s="309"/>
      <c r="B69" s="309"/>
      <c r="C69" s="309"/>
      <c r="D69" s="309"/>
      <c r="E69" s="309"/>
      <c r="F69" s="309"/>
      <c r="G69" s="309"/>
      <c r="H69" s="309"/>
      <c r="I69" s="309"/>
      <c r="J69" s="309"/>
      <c r="K69" s="309"/>
      <c r="L69" s="309"/>
      <c r="M69" s="309"/>
      <c r="N69" s="309"/>
      <c r="O69" s="309"/>
      <c r="P69" s="309"/>
      <c r="Q69" s="309"/>
      <c r="R69" s="309"/>
      <c r="S69" s="309"/>
      <c r="T69" s="309"/>
      <c r="U69" s="309"/>
      <c r="V69" s="309"/>
    </row>
    <row r="70" spans="1:22" ht="22.5" customHeight="1" x14ac:dyDescent="0.25">
      <c r="A70" s="309"/>
      <c r="B70" s="309"/>
      <c r="C70" s="309"/>
      <c r="D70" s="309"/>
      <c r="E70" s="309"/>
      <c r="F70" s="1252" t="s">
        <v>679</v>
      </c>
      <c r="G70" s="1252"/>
      <c r="H70" s="1252"/>
      <c r="I70" s="708"/>
      <c r="J70" s="708"/>
      <c r="K70" s="708"/>
      <c r="L70" s="708"/>
      <c r="M70" s="708"/>
      <c r="N70" s="708"/>
      <c r="O70" s="709" t="s">
        <v>680</v>
      </c>
      <c r="P70" s="709"/>
      <c r="Q70" s="709"/>
      <c r="R70" s="309"/>
      <c r="S70" s="309"/>
      <c r="T70" s="309"/>
      <c r="U70" s="309"/>
      <c r="V70" s="309"/>
    </row>
    <row r="71" spans="1:22" ht="18.75" x14ac:dyDescent="0.3">
      <c r="A71" s="309"/>
      <c r="B71" s="309"/>
      <c r="C71" s="309"/>
      <c r="D71" s="309"/>
      <c r="E71" s="309"/>
      <c r="F71" s="1253" t="str">
        <f>Draft!E5</f>
        <v>Paranaguá, Br - Brazil</v>
      </c>
      <c r="G71" s="1253"/>
      <c r="H71" s="1253"/>
      <c r="I71" s="707"/>
      <c r="J71" s="707"/>
      <c r="K71" s="707"/>
      <c r="L71" s="707"/>
      <c r="M71" s="707"/>
      <c r="N71" s="707"/>
      <c r="O71" s="1253" t="str">
        <f>CAPA!B38</f>
        <v>B.I.K - Iran</v>
      </c>
      <c r="P71" s="1253"/>
      <c r="Q71" s="1253"/>
      <c r="R71" s="309"/>
      <c r="S71" s="309"/>
      <c r="T71" s="309"/>
      <c r="U71" s="309"/>
      <c r="V71" s="309"/>
    </row>
    <row r="72" spans="1:22" ht="15" customHeight="1" x14ac:dyDescent="0.25">
      <c r="A72" s="309"/>
      <c r="B72" s="309"/>
      <c r="C72" s="309"/>
      <c r="D72" s="309"/>
      <c r="E72" s="309"/>
      <c r="F72" s="309"/>
      <c r="G72" s="309"/>
      <c r="H72" s="686"/>
      <c r="I72" s="686"/>
      <c r="J72" s="686"/>
      <c r="K72" s="686"/>
      <c r="L72" s="686"/>
      <c r="M72" s="686"/>
      <c r="N72" s="686"/>
      <c r="O72" s="686"/>
      <c r="P72" s="309"/>
      <c r="Q72" s="309"/>
      <c r="R72" s="309"/>
      <c r="S72" s="309"/>
      <c r="T72" s="309"/>
      <c r="U72" s="309"/>
      <c r="V72" s="309"/>
    </row>
    <row r="73" spans="1:22" ht="15" customHeight="1" x14ac:dyDescent="0.25">
      <c r="A73" s="309"/>
      <c r="B73" s="309"/>
      <c r="C73" s="309"/>
      <c r="D73" s="309"/>
      <c r="E73" s="309"/>
      <c r="F73" s="309"/>
      <c r="G73" s="309"/>
      <c r="H73" s="1230" t="s">
        <v>646</v>
      </c>
      <c r="I73" s="1230"/>
      <c r="J73" s="1230"/>
      <c r="K73" s="1230"/>
      <c r="L73" s="1230"/>
      <c r="M73" s="1230"/>
      <c r="N73" s="1230"/>
      <c r="O73" s="1230"/>
      <c r="P73" s="309"/>
      <c r="Q73" s="309"/>
      <c r="R73" s="309"/>
      <c r="S73" s="309"/>
      <c r="T73" s="309"/>
      <c r="U73" s="309"/>
      <c r="V73" s="309"/>
    </row>
    <row r="74" spans="1:22" x14ac:dyDescent="0.25">
      <c r="A74" s="309"/>
      <c r="B74" s="309"/>
      <c r="C74" s="309"/>
      <c r="D74" s="309"/>
      <c r="E74" s="309"/>
      <c r="F74" s="309"/>
      <c r="G74" s="309"/>
      <c r="H74" s="1229">
        <f>SUM(E82:R83)</f>
        <v>0</v>
      </c>
      <c r="I74" s="1229"/>
      <c r="J74" s="1229"/>
      <c r="K74" s="1229"/>
      <c r="L74" s="1229"/>
      <c r="M74" s="1229"/>
      <c r="N74" s="1229"/>
      <c r="O74" s="1229"/>
      <c r="P74" s="309"/>
      <c r="Q74" s="309"/>
      <c r="R74" s="309"/>
      <c r="S74" s="309"/>
      <c r="T74" s="309"/>
      <c r="U74" s="309"/>
      <c r="V74" s="309"/>
    </row>
    <row r="75" spans="1:22" ht="15" customHeight="1" x14ac:dyDescent="0.25">
      <c r="A75" s="309"/>
      <c r="B75" s="309"/>
      <c r="C75" s="309"/>
      <c r="D75" s="309"/>
      <c r="E75" s="309"/>
      <c r="F75" s="309"/>
      <c r="G75" s="309"/>
      <c r="H75" s="1229"/>
      <c r="I75" s="1229"/>
      <c r="J75" s="1229"/>
      <c r="K75" s="1229"/>
      <c r="L75" s="1229"/>
      <c r="M75" s="1229"/>
      <c r="N75" s="1229"/>
      <c r="O75" s="1229"/>
      <c r="P75" s="309"/>
      <c r="Q75" s="309"/>
      <c r="R75" s="309"/>
      <c r="S75" s="309"/>
      <c r="T75" s="309"/>
      <c r="U75" s="309"/>
      <c r="V75" s="309"/>
    </row>
    <row r="76" spans="1:22" ht="15" customHeight="1" x14ac:dyDescent="0.25">
      <c r="A76" s="309"/>
      <c r="B76" s="309"/>
      <c r="C76" s="309"/>
      <c r="D76" s="309"/>
      <c r="E76" s="309"/>
      <c r="F76" s="309"/>
      <c r="G76" s="309"/>
      <c r="H76" s="309"/>
      <c r="I76" s="309"/>
      <c r="J76" s="309"/>
      <c r="K76" s="309"/>
      <c r="L76" s="309"/>
      <c r="M76" s="309"/>
      <c r="N76" s="309"/>
      <c r="O76" s="309"/>
      <c r="P76" s="309"/>
      <c r="Q76" s="309"/>
      <c r="R76" s="309"/>
      <c r="S76" s="309"/>
      <c r="T76" s="309"/>
      <c r="U76" s="309"/>
      <c r="V76" s="309"/>
    </row>
    <row r="77" spans="1:22" x14ac:dyDescent="0.25">
      <c r="A77" s="309"/>
      <c r="B77" s="309"/>
      <c r="C77" s="309"/>
      <c r="D77" s="309"/>
      <c r="E77" s="1237" t="str">
        <f>IF(E89=0,"-","PORÃO 7")</f>
        <v>PORÃO 7</v>
      </c>
      <c r="F77" s="1238"/>
      <c r="G77" s="1237" t="str">
        <f>IF(G82=0,"-","PORÃO 6")</f>
        <v>-</v>
      </c>
      <c r="H77" s="1238"/>
      <c r="I77" s="1237" t="str">
        <f>IF(I82=0,"-","PORÃO 5")</f>
        <v>-</v>
      </c>
      <c r="J77" s="1238"/>
      <c r="K77" s="1237" t="str">
        <f>IF(K82=0,"-","PORÃO 4")</f>
        <v>-</v>
      </c>
      <c r="L77" s="1238"/>
      <c r="M77" s="1237" t="str">
        <f>IF(M82=0,"-","PORÃO 3")</f>
        <v>-</v>
      </c>
      <c r="N77" s="1238"/>
      <c r="O77" s="1237" t="str">
        <f>IF(O82=0,"-","PORÃO 2")</f>
        <v>-</v>
      </c>
      <c r="P77" s="1238"/>
      <c r="Q77" s="1237" t="str">
        <f>IF(Q82=0,"-","PORÃO 1")</f>
        <v>-</v>
      </c>
      <c r="R77" s="1238"/>
      <c r="S77" s="309"/>
      <c r="T77" s="309"/>
      <c r="U77" s="309"/>
      <c r="V77" s="309"/>
    </row>
    <row r="78" spans="1:22" x14ac:dyDescent="0.25">
      <c r="A78" s="309"/>
      <c r="B78" s="309"/>
      <c r="C78" s="309"/>
      <c r="D78" s="309"/>
      <c r="E78" s="1239" t="str">
        <f t="shared" ref="E78" si="0">IF(E82=0,"-","PRODUTO")</f>
        <v>-</v>
      </c>
      <c r="F78" s="1240"/>
      <c r="G78" s="1239" t="str">
        <f t="shared" ref="G78" si="1">IF(G82=0,"-","PRODUTO")</f>
        <v>-</v>
      </c>
      <c r="H78" s="1240"/>
      <c r="I78" s="1239" t="str">
        <f t="shared" ref="I78" si="2">IF(I82=0,"-","PRODUTO")</f>
        <v>-</v>
      </c>
      <c r="J78" s="1240"/>
      <c r="K78" s="1239" t="str">
        <f t="shared" ref="K78" si="3">IF(K82=0,"-","PRODUTO")</f>
        <v>-</v>
      </c>
      <c r="L78" s="1240"/>
      <c r="M78" s="1239" t="str">
        <f t="shared" ref="M78" si="4">IF(M82=0,"-","PRODUTO")</f>
        <v>-</v>
      </c>
      <c r="N78" s="1240"/>
      <c r="O78" s="1239" t="str">
        <f t="shared" ref="O78" si="5">IF(O82=0,"-","PRODUTO")</f>
        <v>-</v>
      </c>
      <c r="P78" s="1240"/>
      <c r="Q78" s="1239" t="str">
        <f>IF(Q82=0,"-","PRODUTO")</f>
        <v>-</v>
      </c>
      <c r="R78" s="1240"/>
      <c r="S78" s="309"/>
      <c r="T78" s="309"/>
      <c r="U78" s="309"/>
      <c r="V78" s="309"/>
    </row>
    <row r="79" spans="1:22" x14ac:dyDescent="0.25">
      <c r="A79" s="309"/>
      <c r="B79" s="309"/>
      <c r="C79" s="309"/>
      <c r="D79" s="309"/>
      <c r="E79" s="1233">
        <f>'DADOS E-MAIL '!J53</f>
        <v>0</v>
      </c>
      <c r="F79" s="1234"/>
      <c r="G79" s="1233">
        <f>'DADOS E-MAIL '!J52</f>
        <v>0</v>
      </c>
      <c r="H79" s="1234"/>
      <c r="I79" s="1233">
        <f>'DADOS E-MAIL '!J51</f>
        <v>0</v>
      </c>
      <c r="J79" s="1234"/>
      <c r="K79" s="1233">
        <f>'DADOS E-MAIL '!J50</f>
        <v>0</v>
      </c>
      <c r="L79" s="1234"/>
      <c r="M79" s="1233">
        <f>'DADOS E-MAIL '!J49</f>
        <v>0</v>
      </c>
      <c r="N79" s="1234"/>
      <c r="O79" s="1233">
        <f>'DADOS E-MAIL '!J48</f>
        <v>0</v>
      </c>
      <c r="P79" s="1234"/>
      <c r="Q79" s="1233">
        <f>'DADOS E-MAIL '!J47</f>
        <v>0</v>
      </c>
      <c r="R79" s="1234"/>
      <c r="S79" s="309"/>
      <c r="T79" s="309"/>
      <c r="U79" s="309"/>
      <c r="V79" s="309"/>
    </row>
    <row r="80" spans="1:22" x14ac:dyDescent="0.25">
      <c r="A80" s="309"/>
      <c r="B80" s="309"/>
      <c r="C80" s="309"/>
      <c r="D80" s="309"/>
      <c r="E80" s="705"/>
      <c r="F80" s="706"/>
      <c r="G80" s="705"/>
      <c r="H80" s="706"/>
      <c r="I80" s="705"/>
      <c r="J80" s="706"/>
      <c r="K80" s="705"/>
      <c r="L80" s="706"/>
      <c r="M80" s="705"/>
      <c r="N80" s="706"/>
      <c r="O80" s="705"/>
      <c r="P80" s="706"/>
      <c r="Q80" s="705"/>
      <c r="R80" s="706"/>
      <c r="S80" s="309"/>
      <c r="T80" s="309"/>
      <c r="U80" s="309"/>
      <c r="V80" s="309"/>
    </row>
    <row r="81" spans="1:22" x14ac:dyDescent="0.25">
      <c r="A81" s="309"/>
      <c r="B81" s="309"/>
      <c r="C81" s="309"/>
      <c r="D81" s="309"/>
      <c r="E81" s="1235" t="str">
        <f>IF(E82=0,"-","TOTAL")</f>
        <v>-</v>
      </c>
      <c r="F81" s="1236"/>
      <c r="G81" s="1235" t="str">
        <f>IF(G82=0,"-","TOTAL")</f>
        <v>-</v>
      </c>
      <c r="H81" s="1236"/>
      <c r="I81" s="1235" t="str">
        <f>IF(I82=0,"-","TOTAL")</f>
        <v>-</v>
      </c>
      <c r="J81" s="1236"/>
      <c r="K81" s="1235" t="str">
        <f>IF(K82=0,"-","TOTAL")</f>
        <v>-</v>
      </c>
      <c r="L81" s="1236"/>
      <c r="M81" s="1235" t="str">
        <f>IF(M82=0,"-","TOTAL")</f>
        <v>-</v>
      </c>
      <c r="N81" s="1236"/>
      <c r="O81" s="1235" t="str">
        <f>IF(O82=0,"-","TOTAL")</f>
        <v>-</v>
      </c>
      <c r="P81" s="1236"/>
      <c r="Q81" s="1235" t="str">
        <f>IF(Q82=0,"-","TOTAL")</f>
        <v>-</v>
      </c>
      <c r="R81" s="1236"/>
      <c r="S81" s="309"/>
      <c r="T81" s="309"/>
      <c r="U81" s="309"/>
      <c r="V81" s="309"/>
    </row>
    <row r="82" spans="1:22" x14ac:dyDescent="0.25">
      <c r="A82" s="309"/>
      <c r="B82" s="309"/>
      <c r="C82" s="309"/>
      <c r="D82" s="309"/>
      <c r="E82" s="1254">
        <f>'DADOS E-MAIL '!D53</f>
        <v>0</v>
      </c>
      <c r="F82" s="1255"/>
      <c r="G82" s="1254">
        <f>'DADOS E-MAIL '!D52</f>
        <v>0</v>
      </c>
      <c r="H82" s="1255"/>
      <c r="I82" s="1254">
        <f>'DADOS E-MAIL '!D51</f>
        <v>0</v>
      </c>
      <c r="J82" s="1255"/>
      <c r="K82" s="1254">
        <f>'DADOS E-MAIL '!D50</f>
        <v>0</v>
      </c>
      <c r="L82" s="1255"/>
      <c r="M82" s="1254">
        <f>'DADOS E-MAIL '!D49</f>
        <v>0</v>
      </c>
      <c r="N82" s="1255"/>
      <c r="O82" s="1254">
        <f>'DADOS E-MAIL '!D48</f>
        <v>0</v>
      </c>
      <c r="P82" s="1255"/>
      <c r="Q82" s="1254">
        <f>'DADOS E-MAIL '!D47</f>
        <v>0</v>
      </c>
      <c r="R82" s="1255"/>
      <c r="S82" s="309"/>
      <c r="T82" s="309"/>
      <c r="U82" s="309"/>
      <c r="V82" s="309"/>
    </row>
    <row r="83" spans="1:22" ht="15.75" customHeight="1" x14ac:dyDescent="0.25">
      <c r="A83" s="309"/>
      <c r="B83" s="309"/>
      <c r="C83" s="309"/>
      <c r="D83" s="309"/>
      <c r="E83" s="1256"/>
      <c r="F83" s="1257"/>
      <c r="G83" s="1256"/>
      <c r="H83" s="1257"/>
      <c r="I83" s="1256"/>
      <c r="J83" s="1257"/>
      <c r="K83" s="1256"/>
      <c r="L83" s="1257"/>
      <c r="M83" s="1256"/>
      <c r="N83" s="1257"/>
      <c r="O83" s="1256"/>
      <c r="P83" s="1257"/>
      <c r="Q83" s="1256"/>
      <c r="R83" s="1257"/>
      <c r="S83" s="309"/>
      <c r="T83" s="309"/>
      <c r="U83" s="309"/>
      <c r="V83" s="309"/>
    </row>
    <row r="84" spans="1:22" x14ac:dyDescent="0.25">
      <c r="A84" s="309"/>
      <c r="B84" s="309"/>
      <c r="C84" s="309"/>
      <c r="D84" s="309"/>
      <c r="E84" s="1226">
        <f>'DADOS E-MAIL '!H53</f>
        <v>0</v>
      </c>
      <c r="F84" s="1225"/>
      <c r="G84" s="1226">
        <f>'DADOS E-MAIL '!H52</f>
        <v>0</v>
      </c>
      <c r="H84" s="1225"/>
      <c r="I84" s="1226">
        <f>'DADOS E-MAIL '!H51</f>
        <v>0</v>
      </c>
      <c r="J84" s="1225"/>
      <c r="K84" s="1226">
        <f>'DADOS E-MAIL '!H50</f>
        <v>0</v>
      </c>
      <c r="L84" s="1225"/>
      <c r="M84" s="1226">
        <f>'DADOS E-MAIL '!H49</f>
        <v>0</v>
      </c>
      <c r="N84" s="1225"/>
      <c r="O84" s="1226">
        <f>'DADOS E-MAIL '!H48</f>
        <v>0</v>
      </c>
      <c r="P84" s="1225"/>
      <c r="Q84" s="1226">
        <f>'DADOS E-MAIL '!H47</f>
        <v>0</v>
      </c>
      <c r="R84" s="1225"/>
      <c r="S84" s="309"/>
      <c r="T84" s="309"/>
      <c r="U84" s="309"/>
      <c r="V84" s="309"/>
    </row>
    <row r="85" spans="1:22" x14ac:dyDescent="0.25">
      <c r="A85" s="309"/>
      <c r="B85" s="309"/>
      <c r="C85" s="309"/>
      <c r="D85" s="309"/>
      <c r="E85" s="1227" t="str">
        <f>IF(E82=0,"-","FATOR DE ESTIVA")</f>
        <v>-</v>
      </c>
      <c r="F85" s="1225"/>
      <c r="G85" s="1227" t="str">
        <f>IF(G82=0,"-","FATOR DE ESTIVA")</f>
        <v>-</v>
      </c>
      <c r="H85" s="1225"/>
      <c r="I85" s="1227" t="str">
        <f>IF(I82=0,"-","FATOR DE ESTIVA")</f>
        <v>-</v>
      </c>
      <c r="J85" s="1225"/>
      <c r="K85" s="1227" t="str">
        <f>IF(K82=0,"-","FATOR DE ESTIVA")</f>
        <v>-</v>
      </c>
      <c r="L85" s="1225"/>
      <c r="M85" s="1227" t="str">
        <f>IF(M82=0,"-","FATOR DE ESTIVA")</f>
        <v>-</v>
      </c>
      <c r="N85" s="1225"/>
      <c r="O85" s="1227" t="str">
        <f>IF(O82=0,"-","FATOR DE ESTIVA")</f>
        <v>-</v>
      </c>
      <c r="P85" s="1225"/>
      <c r="Q85" s="1227" t="str">
        <f>IF(Q82=0,"-","FATOR DE ESTIVA")</f>
        <v>-</v>
      </c>
      <c r="R85" s="1225"/>
      <c r="S85" s="309"/>
      <c r="T85" s="309"/>
      <c r="U85" s="309"/>
      <c r="V85" s="309"/>
    </row>
    <row r="86" spans="1:22" x14ac:dyDescent="0.25">
      <c r="A86" s="309"/>
      <c r="B86" s="309"/>
      <c r="C86" s="309"/>
      <c r="D86" s="309"/>
      <c r="E86" s="1224" t="str">
        <f>IFERROR((E89/E82),"")</f>
        <v/>
      </c>
      <c r="F86" s="1225"/>
      <c r="G86" s="1224" t="str">
        <f>IFERROR((G89/G82),"")</f>
        <v/>
      </c>
      <c r="H86" s="1225"/>
      <c r="I86" s="1224" t="str">
        <f>IFERROR((I89/I82),"")</f>
        <v/>
      </c>
      <c r="J86" s="1225"/>
      <c r="K86" s="1224" t="str">
        <f>IFERROR((K89/K82),"")</f>
        <v/>
      </c>
      <c r="L86" s="1225"/>
      <c r="M86" s="1224" t="str">
        <f>IFERROR((M89/M82),"")</f>
        <v/>
      </c>
      <c r="N86" s="1225"/>
      <c r="O86" s="1224" t="str">
        <f>IFERROR((O89/O82),"")</f>
        <v/>
      </c>
      <c r="P86" s="1225"/>
      <c r="Q86" s="1224" t="str">
        <f>IFERROR((Q89/Q82),"")</f>
        <v/>
      </c>
      <c r="R86" s="1225"/>
      <c r="S86" s="309"/>
      <c r="T86" s="309"/>
      <c r="U86" s="309"/>
      <c r="V86" s="309"/>
    </row>
    <row r="87" spans="1:22" x14ac:dyDescent="0.25">
      <c r="A87" s="309"/>
      <c r="B87" s="309"/>
      <c r="C87" s="309"/>
      <c r="D87" s="309"/>
      <c r="E87" s="705"/>
      <c r="F87" s="706"/>
      <c r="G87" s="705"/>
      <c r="H87" s="706"/>
      <c r="I87" s="705"/>
      <c r="J87" s="706"/>
      <c r="K87" s="705"/>
      <c r="L87" s="706"/>
      <c r="M87" s="705"/>
      <c r="N87" s="706"/>
      <c r="O87" s="705"/>
      <c r="P87" s="706"/>
      <c r="Q87" s="705"/>
      <c r="R87" s="706"/>
      <c r="S87" s="309"/>
      <c r="T87" s="309"/>
      <c r="U87" s="309"/>
      <c r="V87" s="309"/>
    </row>
    <row r="88" spans="1:22" x14ac:dyDescent="0.25">
      <c r="A88" s="309"/>
      <c r="B88" s="309"/>
      <c r="C88" s="309"/>
      <c r="D88" s="309"/>
      <c r="E88" s="1243" t="str">
        <f>IF(E82=0,"-","CUBAGEM")</f>
        <v>-</v>
      </c>
      <c r="F88" s="1244"/>
      <c r="G88" s="1243" t="str">
        <f>IF(G82=0,"-","CUBAGEM")</f>
        <v>-</v>
      </c>
      <c r="H88" s="1244"/>
      <c r="I88" s="1243" t="str">
        <f>IF(I82=0,"-","CUBAGEM")</f>
        <v>-</v>
      </c>
      <c r="J88" s="1244"/>
      <c r="K88" s="1243" t="str">
        <f>IF(K82=0,"-","CUBAGEM")</f>
        <v>-</v>
      </c>
      <c r="L88" s="1244"/>
      <c r="M88" s="1243" t="str">
        <f>IF(M82=0,"-","CUBAGEM")</f>
        <v>-</v>
      </c>
      <c r="N88" s="1244"/>
      <c r="O88" s="1243" t="str">
        <f>IF(O82=0,"-","CUBAGEM")</f>
        <v>-</v>
      </c>
      <c r="P88" s="1244"/>
      <c r="Q88" s="1243" t="str">
        <f>IF(Q82=0,"-","CUBAGEM")</f>
        <v>-</v>
      </c>
      <c r="R88" s="1244"/>
      <c r="S88" s="309"/>
      <c r="T88" s="309"/>
      <c r="U88" s="309"/>
      <c r="V88" s="309"/>
    </row>
    <row r="89" spans="1:22" x14ac:dyDescent="0.25">
      <c r="A89" s="309"/>
      <c r="B89" s="309"/>
      <c r="C89" s="309"/>
      <c r="D89" s="309"/>
      <c r="E89" s="1241">
        <f>'DADOS E-MAIL '!F53</f>
        <v>446476</v>
      </c>
      <c r="F89" s="1242"/>
      <c r="G89" s="1241">
        <f>'DADOS E-MAIL '!F52</f>
        <v>469809</v>
      </c>
      <c r="H89" s="1242"/>
      <c r="I89" s="1241">
        <f>'DADOS E-MAIL '!F51</f>
        <v>470494</v>
      </c>
      <c r="J89" s="1242"/>
      <c r="K89" s="1241">
        <f>'DADOS E-MAIL '!F50</f>
        <v>468474</v>
      </c>
      <c r="L89" s="1242"/>
      <c r="M89" s="1241">
        <f>'DADOS E-MAIL '!F49</f>
        <v>469466</v>
      </c>
      <c r="N89" s="1242"/>
      <c r="O89" s="1241">
        <f>'DADOS E-MAIL '!F48</f>
        <v>480573</v>
      </c>
      <c r="P89" s="1242"/>
      <c r="Q89" s="1241">
        <f>'DADOS E-MAIL '!F47</f>
        <v>377832</v>
      </c>
      <c r="R89" s="1242"/>
      <c r="S89" s="309"/>
      <c r="T89" s="309"/>
      <c r="U89" s="309"/>
      <c r="V89" s="309"/>
    </row>
    <row r="90" spans="1:22" x14ac:dyDescent="0.25">
      <c r="A90" s="309"/>
      <c r="B90" s="309"/>
      <c r="C90" s="309"/>
      <c r="D90" s="309"/>
      <c r="E90" s="309"/>
      <c r="F90" s="309"/>
      <c r="G90" s="309"/>
      <c r="H90" s="309"/>
      <c r="I90" s="309"/>
      <c r="J90" s="309"/>
      <c r="K90" s="309"/>
      <c r="L90" s="309"/>
      <c r="M90" s="309"/>
      <c r="N90" s="309"/>
      <c r="O90" s="309"/>
      <c r="P90" s="309"/>
      <c r="Q90" s="309"/>
      <c r="R90" s="309"/>
      <c r="S90" s="309"/>
      <c r="T90" s="309"/>
      <c r="U90" s="309"/>
      <c r="V90" s="309"/>
    </row>
    <row r="91" spans="1:22" x14ac:dyDescent="0.25">
      <c r="A91" s="309"/>
      <c r="B91" s="309"/>
      <c r="C91" s="309"/>
      <c r="D91" s="309"/>
      <c r="E91" s="309"/>
      <c r="F91" s="309"/>
      <c r="G91" s="309"/>
      <c r="H91" s="309"/>
      <c r="I91" s="309"/>
      <c r="J91" s="309"/>
      <c r="K91" s="309"/>
      <c r="L91" s="309"/>
      <c r="M91" s="309"/>
      <c r="N91" s="309"/>
      <c r="O91" s="309"/>
      <c r="P91" s="309"/>
      <c r="Q91" s="309"/>
      <c r="R91" s="309"/>
      <c r="S91" s="309"/>
      <c r="T91" s="309"/>
      <c r="U91" s="309"/>
      <c r="V91" s="309"/>
    </row>
    <row r="92" spans="1:22" ht="15" customHeight="1" x14ac:dyDescent="0.25">
      <c r="A92" s="309"/>
      <c r="B92" s="309"/>
      <c r="C92" s="309"/>
      <c r="D92" s="309"/>
      <c r="E92" s="309"/>
      <c r="F92" s="309"/>
      <c r="G92" s="309"/>
      <c r="H92" s="309"/>
      <c r="I92" s="309"/>
      <c r="J92" s="309"/>
      <c r="K92" s="309"/>
      <c r="L92" s="309"/>
      <c r="M92" s="309"/>
      <c r="N92" s="309"/>
      <c r="O92" s="309"/>
      <c r="P92" s="309"/>
      <c r="Q92" s="309"/>
      <c r="R92" s="309"/>
      <c r="S92" s="309"/>
      <c r="T92" s="309"/>
      <c r="U92" s="309"/>
      <c r="V92" s="309"/>
    </row>
    <row r="93" spans="1:22" x14ac:dyDescent="0.25">
      <c r="A93" s="309"/>
      <c r="B93" s="309"/>
      <c r="C93" s="309"/>
      <c r="D93" s="309"/>
      <c r="E93" s="309"/>
      <c r="F93" s="309"/>
      <c r="G93" s="309"/>
      <c r="H93" s="309"/>
      <c r="I93" s="309"/>
      <c r="J93" s="309"/>
      <c r="K93" s="309"/>
      <c r="L93" s="309"/>
      <c r="M93" s="309"/>
      <c r="N93" s="309"/>
      <c r="O93" s="309"/>
      <c r="P93" s="309"/>
      <c r="Q93" s="309"/>
      <c r="R93" s="309"/>
      <c r="S93" s="309"/>
      <c r="T93" s="309"/>
      <c r="U93" s="309"/>
      <c r="V93" s="309"/>
    </row>
    <row r="94" spans="1:22" x14ac:dyDescent="0.25">
      <c r="A94" s="309"/>
      <c r="B94" s="309"/>
      <c r="C94" s="309"/>
      <c r="D94" s="309"/>
      <c r="E94" s="309"/>
      <c r="F94" s="309"/>
      <c r="G94" s="309"/>
      <c r="H94" s="309"/>
      <c r="I94" s="309"/>
      <c r="J94" s="309"/>
      <c r="K94" s="309"/>
      <c r="L94" s="309"/>
      <c r="M94" s="309"/>
      <c r="N94" s="309"/>
      <c r="O94" s="309"/>
      <c r="P94" s="309"/>
      <c r="Q94" s="309"/>
      <c r="R94" s="309"/>
      <c r="S94" s="309"/>
      <c r="T94" s="309"/>
      <c r="U94" s="309"/>
      <c r="V94" s="309"/>
    </row>
    <row r="95" spans="1:22" ht="23.25" x14ac:dyDescent="0.35">
      <c r="A95" s="309"/>
      <c r="B95" s="309"/>
      <c r="C95" s="309"/>
      <c r="D95" s="1247" t="s">
        <v>648</v>
      </c>
      <c r="E95" s="1247"/>
      <c r="F95" s="1247"/>
      <c r="G95" s="1247"/>
      <c r="H95" s="1247"/>
      <c r="I95" s="1247"/>
      <c r="J95" s="1247"/>
      <c r="K95" s="1247"/>
      <c r="L95" s="1247"/>
      <c r="M95" s="1247"/>
      <c r="N95" s="1247"/>
      <c r="O95" s="1247"/>
      <c r="P95" s="1247"/>
      <c r="Q95" s="1247"/>
      <c r="R95" s="1247"/>
      <c r="S95" s="1247"/>
      <c r="T95" s="309"/>
      <c r="U95" s="309"/>
      <c r="V95" s="309"/>
    </row>
    <row r="96" spans="1:22" x14ac:dyDescent="0.25">
      <c r="A96" s="309"/>
      <c r="B96" s="309"/>
      <c r="C96" s="309"/>
      <c r="D96" s="309"/>
      <c r="E96" s="309"/>
      <c r="F96" s="309"/>
      <c r="G96" s="309"/>
      <c r="H96" s="309"/>
      <c r="I96" s="309"/>
      <c r="J96" s="309"/>
      <c r="K96" s="309"/>
      <c r="L96" s="309"/>
      <c r="M96" s="309"/>
      <c r="N96" s="309"/>
      <c r="O96" s="309"/>
      <c r="P96" s="309"/>
      <c r="Q96" s="309"/>
      <c r="R96" s="309"/>
      <c r="S96" s="309"/>
      <c r="T96" s="309"/>
      <c r="U96" s="309"/>
      <c r="V96" s="309"/>
    </row>
    <row r="97" spans="1:22" x14ac:dyDescent="0.25">
      <c r="A97" s="309"/>
      <c r="B97" s="309"/>
      <c r="C97" s="309"/>
      <c r="D97" s="682"/>
      <c r="E97" s="682"/>
      <c r="F97" s="682"/>
      <c r="G97" s="685"/>
      <c r="H97" s="685"/>
      <c r="I97" s="682"/>
      <c r="J97" s="682"/>
      <c r="K97" s="309"/>
      <c r="L97" s="682"/>
      <c r="M97" s="682"/>
      <c r="N97" s="682"/>
      <c r="O97" s="682"/>
      <c r="P97" s="682"/>
      <c r="Q97" s="682"/>
      <c r="R97" s="682"/>
      <c r="S97" s="682"/>
      <c r="T97" s="309"/>
      <c r="U97" s="309"/>
      <c r="V97" s="309"/>
    </row>
    <row r="98" spans="1:22" x14ac:dyDescent="0.25">
      <c r="A98" s="309"/>
      <c r="B98" s="1245">
        <v>1</v>
      </c>
      <c r="C98" s="1246" t="s">
        <v>647</v>
      </c>
      <c r="D98" s="1246"/>
      <c r="E98" s="1246"/>
      <c r="F98" s="1246"/>
      <c r="G98" s="1246"/>
      <c r="H98" s="1246"/>
      <c r="I98" s="1246"/>
      <c r="J98" s="1246"/>
      <c r="K98" s="1246"/>
      <c r="L98" s="1246"/>
      <c r="M98" s="1246"/>
      <c r="N98" s="1246"/>
      <c r="O98" s="1246"/>
      <c r="P98" s="1246"/>
      <c r="Q98" s="1246"/>
      <c r="R98" s="1246"/>
      <c r="S98" s="1246"/>
      <c r="T98" s="1246"/>
      <c r="U98" s="309"/>
      <c r="V98" s="309"/>
    </row>
    <row r="99" spans="1:22" x14ac:dyDescent="0.25">
      <c r="A99" s="309"/>
      <c r="B99" s="1245"/>
      <c r="C99" s="1246"/>
      <c r="D99" s="1246"/>
      <c r="E99" s="1246"/>
      <c r="F99" s="1246"/>
      <c r="G99" s="1246"/>
      <c r="H99" s="1246"/>
      <c r="I99" s="1246"/>
      <c r="J99" s="1246"/>
      <c r="K99" s="1246"/>
      <c r="L99" s="1246"/>
      <c r="M99" s="1246"/>
      <c r="N99" s="1246"/>
      <c r="O99" s="1246"/>
      <c r="P99" s="1246"/>
      <c r="Q99" s="1246"/>
      <c r="R99" s="1246"/>
      <c r="S99" s="1246"/>
      <c r="T99" s="1246"/>
      <c r="U99" s="309"/>
      <c r="V99" s="309"/>
    </row>
    <row r="100" spans="1:22" x14ac:dyDescent="0.25">
      <c r="A100" s="309"/>
      <c r="B100" s="309"/>
      <c r="C100" s="309"/>
      <c r="D100" s="683"/>
      <c r="E100" s="683"/>
      <c r="F100" s="684"/>
      <c r="G100" s="684"/>
      <c r="H100" s="684"/>
      <c r="I100" s="684"/>
      <c r="J100" s="683"/>
      <c r="K100" s="683"/>
      <c r="L100" s="309"/>
      <c r="M100" s="309"/>
      <c r="N100" s="309"/>
      <c r="O100" s="309"/>
      <c r="P100" s="309"/>
      <c r="Q100" s="309"/>
      <c r="R100" s="309"/>
      <c r="S100" s="309"/>
      <c r="T100" s="309"/>
      <c r="U100" s="309"/>
      <c r="V100" s="309"/>
    </row>
    <row r="101" spans="1:22" x14ac:dyDescent="0.25">
      <c r="A101" s="309"/>
      <c r="B101" s="1245">
        <v>2</v>
      </c>
      <c r="C101" s="1246"/>
      <c r="D101" s="1246"/>
      <c r="E101" s="1246"/>
      <c r="F101" s="1246"/>
      <c r="G101" s="1246"/>
      <c r="H101" s="1246"/>
      <c r="I101" s="1246"/>
      <c r="J101" s="1246"/>
      <c r="K101" s="1246"/>
      <c r="L101" s="1246"/>
      <c r="M101" s="1246"/>
      <c r="N101" s="1246"/>
      <c r="O101" s="1246"/>
      <c r="P101" s="1246"/>
      <c r="Q101" s="1246"/>
      <c r="R101" s="1246"/>
      <c r="S101" s="1246"/>
      <c r="T101" s="1246"/>
      <c r="U101" s="309"/>
      <c r="V101" s="309"/>
    </row>
    <row r="102" spans="1:22" ht="15" customHeight="1" x14ac:dyDescent="0.25">
      <c r="A102" s="309"/>
      <c r="B102" s="1245"/>
      <c r="C102" s="1246"/>
      <c r="D102" s="1246"/>
      <c r="E102" s="1246"/>
      <c r="F102" s="1246"/>
      <c r="G102" s="1246"/>
      <c r="H102" s="1246"/>
      <c r="I102" s="1246"/>
      <c r="J102" s="1246"/>
      <c r="K102" s="1246"/>
      <c r="L102" s="1246"/>
      <c r="M102" s="1246"/>
      <c r="N102" s="1246"/>
      <c r="O102" s="1246"/>
      <c r="P102" s="1246"/>
      <c r="Q102" s="1246"/>
      <c r="R102" s="1246"/>
      <c r="S102" s="1246"/>
      <c r="T102" s="1246"/>
      <c r="U102" s="309"/>
      <c r="V102" s="309"/>
    </row>
    <row r="103" spans="1:22" ht="15" customHeight="1" x14ac:dyDescent="0.25">
      <c r="A103" s="309"/>
      <c r="B103" s="309"/>
      <c r="C103" s="309"/>
      <c r="D103" s="683"/>
      <c r="E103" s="683"/>
      <c r="F103" s="684"/>
      <c r="G103" s="684"/>
      <c r="H103" s="684"/>
      <c r="I103" s="684"/>
      <c r="J103" s="683"/>
      <c r="K103" s="683"/>
      <c r="L103" s="309"/>
      <c r="M103" s="309"/>
      <c r="N103" s="309"/>
      <c r="O103" s="309"/>
      <c r="P103" s="309"/>
      <c r="Q103" s="309"/>
      <c r="R103" s="309"/>
      <c r="S103" s="309"/>
      <c r="T103" s="309"/>
      <c r="U103" s="309"/>
      <c r="V103" s="309"/>
    </row>
    <row r="104" spans="1:22" x14ac:dyDescent="0.25">
      <c r="A104" s="309"/>
      <c r="B104" s="1245">
        <v>3</v>
      </c>
      <c r="C104" s="1246"/>
      <c r="D104" s="1246"/>
      <c r="E104" s="1246"/>
      <c r="F104" s="1246"/>
      <c r="G104" s="1246"/>
      <c r="H104" s="1246"/>
      <c r="I104" s="1246"/>
      <c r="J104" s="1246"/>
      <c r="K104" s="1246"/>
      <c r="L104" s="1246"/>
      <c r="M104" s="1246"/>
      <c r="N104" s="1246"/>
      <c r="O104" s="1246"/>
      <c r="P104" s="1246"/>
      <c r="Q104" s="1246"/>
      <c r="R104" s="1246"/>
      <c r="S104" s="1246"/>
      <c r="T104" s="1246"/>
      <c r="U104" s="309"/>
      <c r="V104" s="309"/>
    </row>
    <row r="105" spans="1:22" x14ac:dyDescent="0.25">
      <c r="A105" s="309"/>
      <c r="B105" s="1245"/>
      <c r="C105" s="1246"/>
      <c r="D105" s="1246"/>
      <c r="E105" s="1246"/>
      <c r="F105" s="1246"/>
      <c r="G105" s="1246"/>
      <c r="H105" s="1246"/>
      <c r="I105" s="1246"/>
      <c r="J105" s="1246"/>
      <c r="K105" s="1246"/>
      <c r="L105" s="1246"/>
      <c r="M105" s="1246"/>
      <c r="N105" s="1246"/>
      <c r="O105" s="1246"/>
      <c r="P105" s="1246"/>
      <c r="Q105" s="1246"/>
      <c r="R105" s="1246"/>
      <c r="S105" s="1246"/>
      <c r="T105" s="1246"/>
      <c r="U105" s="309"/>
      <c r="V105" s="309"/>
    </row>
    <row r="106" spans="1:22" x14ac:dyDescent="0.25">
      <c r="A106" s="309"/>
      <c r="B106" s="309"/>
      <c r="C106" s="309"/>
      <c r="D106" s="683"/>
      <c r="E106" s="683"/>
      <c r="F106" s="684"/>
      <c r="G106" s="684"/>
      <c r="H106" s="684"/>
      <c r="I106" s="684"/>
      <c r="J106" s="683"/>
      <c r="K106" s="683"/>
      <c r="L106" s="309"/>
      <c r="M106" s="309"/>
      <c r="N106" s="309"/>
      <c r="O106" s="309"/>
      <c r="P106" s="309"/>
      <c r="Q106" s="309"/>
      <c r="R106" s="309"/>
      <c r="S106" s="309"/>
      <c r="T106" s="309"/>
      <c r="U106" s="309"/>
      <c r="V106" s="309"/>
    </row>
    <row r="107" spans="1:22" x14ac:dyDescent="0.25">
      <c r="A107" s="309"/>
      <c r="B107" s="1245">
        <v>4</v>
      </c>
      <c r="C107" s="1246"/>
      <c r="D107" s="1246"/>
      <c r="E107" s="1246"/>
      <c r="F107" s="1246"/>
      <c r="G107" s="1246"/>
      <c r="H107" s="1246"/>
      <c r="I107" s="1246"/>
      <c r="J107" s="1246"/>
      <c r="K107" s="1246"/>
      <c r="L107" s="1246"/>
      <c r="M107" s="1246"/>
      <c r="N107" s="1246"/>
      <c r="O107" s="1246"/>
      <c r="P107" s="1246"/>
      <c r="Q107" s="1246"/>
      <c r="R107" s="1246"/>
      <c r="S107" s="1246"/>
      <c r="T107" s="1246"/>
      <c r="U107" s="309"/>
      <c r="V107" s="309"/>
    </row>
    <row r="108" spans="1:22" x14ac:dyDescent="0.25">
      <c r="A108" s="309"/>
      <c r="B108" s="1245"/>
      <c r="C108" s="1246"/>
      <c r="D108" s="1246"/>
      <c r="E108" s="1246"/>
      <c r="F108" s="1246"/>
      <c r="G108" s="1246"/>
      <c r="H108" s="1246"/>
      <c r="I108" s="1246"/>
      <c r="J108" s="1246"/>
      <c r="K108" s="1246"/>
      <c r="L108" s="1246"/>
      <c r="M108" s="1246"/>
      <c r="N108" s="1246"/>
      <c r="O108" s="1246"/>
      <c r="P108" s="1246"/>
      <c r="Q108" s="1246"/>
      <c r="R108" s="1246"/>
      <c r="S108" s="1246"/>
      <c r="T108" s="1246"/>
      <c r="U108" s="309"/>
      <c r="V108" s="309"/>
    </row>
    <row r="109" spans="1:22" x14ac:dyDescent="0.25">
      <c r="A109" s="309"/>
      <c r="B109" s="309"/>
      <c r="C109" s="309"/>
      <c r="D109" s="683"/>
      <c r="E109" s="683"/>
      <c r="F109" s="684"/>
      <c r="G109" s="684"/>
      <c r="H109" s="684"/>
      <c r="I109" s="684"/>
      <c r="J109" s="683"/>
      <c r="K109" s="683"/>
      <c r="L109" s="309"/>
      <c r="M109" s="309"/>
      <c r="N109" s="309"/>
      <c r="O109" s="309"/>
      <c r="P109" s="309"/>
      <c r="Q109" s="309"/>
      <c r="R109" s="309"/>
      <c r="S109" s="309"/>
      <c r="T109" s="309"/>
      <c r="U109" s="309"/>
      <c r="V109" s="309"/>
    </row>
    <row r="110" spans="1:22" x14ac:dyDescent="0.25">
      <c r="A110" s="309"/>
      <c r="B110" s="1245">
        <v>5</v>
      </c>
      <c r="C110" s="1246"/>
      <c r="D110" s="1246"/>
      <c r="E110" s="1246"/>
      <c r="F110" s="1246"/>
      <c r="G110" s="1246"/>
      <c r="H110" s="1246"/>
      <c r="I110" s="1246"/>
      <c r="J110" s="1246"/>
      <c r="K110" s="1246"/>
      <c r="L110" s="1246"/>
      <c r="M110" s="1246"/>
      <c r="N110" s="1246"/>
      <c r="O110" s="1246"/>
      <c r="P110" s="1246"/>
      <c r="Q110" s="1246"/>
      <c r="R110" s="1246"/>
      <c r="S110" s="1246"/>
      <c r="T110" s="1246"/>
      <c r="U110" s="309"/>
      <c r="V110" s="309"/>
    </row>
    <row r="111" spans="1:22" x14ac:dyDescent="0.25">
      <c r="A111" s="309"/>
      <c r="B111" s="1245"/>
      <c r="C111" s="1246"/>
      <c r="D111" s="1246"/>
      <c r="E111" s="1246"/>
      <c r="F111" s="1246"/>
      <c r="G111" s="1246"/>
      <c r="H111" s="1246"/>
      <c r="I111" s="1246"/>
      <c r="J111" s="1246"/>
      <c r="K111" s="1246"/>
      <c r="L111" s="1246"/>
      <c r="M111" s="1246"/>
      <c r="N111" s="1246"/>
      <c r="O111" s="1246"/>
      <c r="P111" s="1246"/>
      <c r="Q111" s="1246"/>
      <c r="R111" s="1246"/>
      <c r="S111" s="1246"/>
      <c r="T111" s="1246"/>
      <c r="U111" s="309"/>
      <c r="V111" s="309"/>
    </row>
    <row r="112" spans="1:22" x14ac:dyDescent="0.25">
      <c r="A112" s="309"/>
      <c r="B112" s="309"/>
      <c r="C112" s="309"/>
      <c r="D112" s="683"/>
      <c r="E112" s="683"/>
      <c r="F112" s="684"/>
      <c r="G112" s="684"/>
      <c r="H112" s="684"/>
      <c r="I112" s="684"/>
      <c r="J112" s="683"/>
      <c r="K112" s="683"/>
      <c r="L112" s="309"/>
      <c r="M112" s="309"/>
      <c r="N112" s="309"/>
      <c r="O112" s="309"/>
      <c r="P112" s="309"/>
      <c r="Q112" s="309"/>
      <c r="R112" s="309"/>
      <c r="S112" s="309"/>
      <c r="T112" s="309"/>
      <c r="U112" s="309"/>
      <c r="V112" s="309"/>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674</v>
      </c>
      <c r="C2" t="s">
        <v>673</v>
      </c>
      <c r="J2" t="s">
        <v>672</v>
      </c>
      <c r="K2" t="s">
        <v>671</v>
      </c>
      <c r="L2" t="s">
        <v>615</v>
      </c>
      <c r="M2" t="s">
        <v>671</v>
      </c>
    </row>
    <row r="3" spans="2:13" x14ac:dyDescent="0.25">
      <c r="B3" t="s">
        <v>670</v>
      </c>
      <c r="C3" s="691">
        <v>0</v>
      </c>
      <c r="J3" t="s">
        <v>342</v>
      </c>
      <c r="K3">
        <f>'DADOS E-MAIL '!E23</f>
        <v>0</v>
      </c>
      <c r="L3" s="689">
        <f>'DADOS E-MAIL '!G23</f>
        <v>0</v>
      </c>
      <c r="M3">
        <f>'DADOS E-MAIL '!E23</f>
        <v>0</v>
      </c>
    </row>
    <row r="4" spans="2:13" x14ac:dyDescent="0.25">
      <c r="B4" t="s">
        <v>669</v>
      </c>
      <c r="C4" s="691">
        <v>0</v>
      </c>
      <c r="D4">
        <v>17.683333000000001</v>
      </c>
      <c r="J4" t="s">
        <v>343</v>
      </c>
      <c r="K4">
        <f>'DADOS E-MAIL '!E24</f>
        <v>0</v>
      </c>
      <c r="L4" s="689">
        <f>'DADOS E-MAIL '!G24</f>
        <v>0</v>
      </c>
      <c r="M4">
        <f>'DADOS E-MAIL '!E24</f>
        <v>0</v>
      </c>
    </row>
    <row r="5" spans="2:13" x14ac:dyDescent="0.25">
      <c r="B5" t="s">
        <v>668</v>
      </c>
      <c r="C5" s="691">
        <v>0</v>
      </c>
      <c r="J5" t="s">
        <v>344</v>
      </c>
      <c r="K5">
        <f>'DADOS E-MAIL '!E25</f>
        <v>0</v>
      </c>
      <c r="L5" s="689">
        <f>'DADOS E-MAIL '!G25</f>
        <v>0</v>
      </c>
      <c r="M5">
        <f>'DADOS E-MAIL '!E25</f>
        <v>0</v>
      </c>
    </row>
    <row r="6" spans="2:13" x14ac:dyDescent="0.25">
      <c r="J6" t="s">
        <v>345</v>
      </c>
      <c r="K6">
        <f>'DADOS E-MAIL '!E26</f>
        <v>0</v>
      </c>
      <c r="L6" s="689">
        <f>'DADOS E-MAIL '!G26</f>
        <v>0</v>
      </c>
      <c r="M6">
        <f>'DADOS E-MAIL '!E26</f>
        <v>0</v>
      </c>
    </row>
    <row r="7" spans="2:13" x14ac:dyDescent="0.25">
      <c r="J7" t="s">
        <v>346</v>
      </c>
      <c r="K7">
        <f>'DADOS E-MAIL '!E27</f>
        <v>0</v>
      </c>
      <c r="L7" s="689">
        <f>'DADOS E-MAIL '!G27</f>
        <v>0</v>
      </c>
      <c r="M7">
        <f>'DADOS E-MAIL '!E27</f>
        <v>0</v>
      </c>
    </row>
    <row r="8" spans="2:13" x14ac:dyDescent="0.25">
      <c r="J8" t="s">
        <v>347</v>
      </c>
      <c r="K8">
        <f>'DADOS E-MAIL '!E28</f>
        <v>0</v>
      </c>
      <c r="L8" s="689">
        <f>'DADOS E-MAIL '!G28</f>
        <v>0</v>
      </c>
      <c r="M8">
        <f>'DADOS E-MAIL '!E28</f>
        <v>0</v>
      </c>
    </row>
    <row r="9" spans="2:13" x14ac:dyDescent="0.25">
      <c r="J9" t="s">
        <v>348</v>
      </c>
      <c r="K9">
        <f>'DADOS E-MAIL '!E29</f>
        <v>0</v>
      </c>
      <c r="L9" s="689">
        <f>'DADOS E-MAIL '!G29</f>
        <v>0</v>
      </c>
      <c r="M9">
        <f>'DADOS E-MAIL '!E29</f>
        <v>0</v>
      </c>
    </row>
    <row r="10" spans="2:13" x14ac:dyDescent="0.25">
      <c r="J10" t="s">
        <v>349</v>
      </c>
      <c r="K10">
        <f>'DADOS E-MAIL '!E30</f>
        <v>0</v>
      </c>
      <c r="L10" s="689">
        <f>'DADOS E-MAIL '!G30</f>
        <v>0</v>
      </c>
      <c r="M10">
        <f>'DADOS E-MAIL '!E30</f>
        <v>0</v>
      </c>
    </row>
    <row r="11" spans="2:13" x14ac:dyDescent="0.25">
      <c r="J11" t="s">
        <v>350</v>
      </c>
      <c r="K11">
        <f>'DADOS E-MAIL '!E31</f>
        <v>0</v>
      </c>
      <c r="L11" s="689">
        <f>'DADOS E-MAIL '!G31</f>
        <v>0</v>
      </c>
      <c r="M11">
        <f>'DADOS E-MAIL '!E31</f>
        <v>0</v>
      </c>
    </row>
    <row r="12" spans="2:13" x14ac:dyDescent="0.25">
      <c r="J12" t="s">
        <v>351</v>
      </c>
      <c r="K12">
        <f>'DADOS E-MAIL '!E32</f>
        <v>0</v>
      </c>
      <c r="L12" s="689">
        <f>'DADOS E-MAIL '!G32</f>
        <v>0</v>
      </c>
      <c r="M12">
        <f>'DADOS E-MAIL '!E32</f>
        <v>0</v>
      </c>
    </row>
    <row r="13" spans="2:13" x14ac:dyDescent="0.25">
      <c r="J13" t="s">
        <v>352</v>
      </c>
      <c r="K13">
        <f>'DADOS E-MAIL '!E33</f>
        <v>0</v>
      </c>
      <c r="L13" s="689">
        <f>'DADOS E-MAIL '!G33</f>
        <v>0</v>
      </c>
      <c r="M13">
        <f>'DADOS E-MAIL '!E33</f>
        <v>0</v>
      </c>
    </row>
    <row r="14" spans="2:13" x14ac:dyDescent="0.25">
      <c r="J14" s="690" t="s">
        <v>612</v>
      </c>
      <c r="K14">
        <f>'DADOS E-MAIL '!E34</f>
        <v>58913.228999999999</v>
      </c>
      <c r="L14" s="689">
        <f>'DADOS E-MAIL '!G34</f>
        <v>0</v>
      </c>
      <c r="M14">
        <f>'DADOS E-MAIL '!E34</f>
        <v>58913.228999999999</v>
      </c>
    </row>
    <row r="15" spans="2:13" x14ac:dyDescent="0.25">
      <c r="L15" s="689"/>
    </row>
    <row r="16" spans="2:13" x14ac:dyDescent="0.25">
      <c r="L16" s="689"/>
    </row>
    <row r="17" spans="12:12" x14ac:dyDescent="0.25">
      <c r="L17" s="689"/>
    </row>
    <row r="18" spans="12:12" x14ac:dyDescent="0.25">
      <c r="L18" s="689"/>
    </row>
    <row r="19" spans="12:12" x14ac:dyDescent="0.25">
      <c r="L19" s="689"/>
    </row>
    <row r="20" spans="12:12" x14ac:dyDescent="0.25">
      <c r="L20" s="689"/>
    </row>
    <row r="21" spans="12:12" x14ac:dyDescent="0.25">
      <c r="L21" s="689"/>
    </row>
    <row r="22" spans="12:12" x14ac:dyDescent="0.25">
      <c r="L22" s="689"/>
    </row>
    <row r="23" spans="12:12" x14ac:dyDescent="0.25">
      <c r="L23" s="689"/>
    </row>
    <row r="24" spans="12:12" x14ac:dyDescent="0.25">
      <c r="L24" s="689"/>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2026-03-04T14:54:33Z</cp:lastPrinted>
  <dcterms:created xsi:type="dcterms:W3CDTF">2015-06-05T18:19:34Z</dcterms:created>
  <dcterms:modified xsi:type="dcterms:W3CDTF">2026-03-04T14:55:01Z</dcterms:modified>
</cp:coreProperties>
</file>