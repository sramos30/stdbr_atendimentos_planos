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18.03.26 - Karvalasi\Miscellaneous\"/>
    </mc:Choice>
  </mc:AlternateContent>
  <xr:revisionPtr revIDLastSave="0" documentId="13_ncr:1_{9251A889-E4C0-4998-93B3-9B80047D16E2}" xr6:coauthVersionLast="47" xr6:coauthVersionMax="47" xr10:uidLastSave="{00000000-0000-0000-0000-000000000000}"/>
  <bookViews>
    <workbookView xWindow="2895" yWindow="0" windowWidth="15375" windowHeight="7875"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DCP!$A$1:$H$33</definedName>
    <definedName name="_xlnm.Print_Area" localSheetId="8">Relato!$A$1:$J$309</definedName>
    <definedName name="_xlnm.Print_Area" localSheetId="9">'Relato (WPC)'!$A$1:$J$286</definedName>
    <definedName name="_xlnm.Print_Area" localSheetId="12">REPORT!$A$1:$V$89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244" i="14" l="1"/>
  <c r="F245" i="14"/>
  <c r="F246" i="14"/>
  <c r="F247" i="14"/>
  <c r="F248" i="14"/>
  <c r="F249" i="14"/>
  <c r="F250" i="14"/>
  <c r="F251" i="14"/>
  <c r="F252" i="14"/>
  <c r="F253" i="14"/>
  <c r="F254" i="14"/>
  <c r="A278" i="3"/>
  <c r="A279" i="3"/>
  <c r="L107" i="7" l="1"/>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8" i="14"/>
  <c r="A53" i="14"/>
  <c r="A3" i="14"/>
  <c r="A165" i="14"/>
  <c r="A202" i="14"/>
  <c r="A188" i="3"/>
  <c r="A3" i="3"/>
  <c r="A29" i="3" s="1"/>
  <c r="M64" i="7" l="1"/>
  <c r="N66" i="7" s="1"/>
  <c r="M83" i="7"/>
  <c r="N84" i="7" s="1"/>
  <c r="M101" i="7"/>
  <c r="N103" i="7" s="1"/>
  <c r="M40" i="7"/>
  <c r="N42"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O66" i="7" l="1"/>
  <c r="O42" i="7"/>
  <c r="N81" i="7"/>
  <c r="O103" i="7"/>
  <c r="O84" i="7"/>
  <c r="N54" i="7"/>
  <c r="N63" i="7"/>
  <c r="N72" i="7"/>
  <c r="O69" i="7"/>
  <c r="O75" i="7"/>
  <c r="N100" i="7"/>
  <c r="N90" i="7"/>
  <c r="O78" i="7"/>
  <c r="N60" i="7"/>
  <c r="N51" i="7"/>
  <c r="N48" i="7"/>
  <c r="O36" i="7"/>
  <c r="N9" i="7"/>
  <c r="N93" i="7"/>
  <c r="N57" i="7"/>
  <c r="O87" i="7"/>
  <c r="N45" i="7"/>
  <c r="O109" i="7"/>
  <c r="N109" i="7"/>
  <c r="O106" i="7"/>
  <c r="N106" i="7"/>
  <c r="D34" i="24"/>
  <c r="D33" i="24"/>
  <c r="D32" i="24"/>
  <c r="O64" i="24"/>
  <c r="E82" i="24"/>
  <c r="G82" i="24"/>
  <c r="I82" i="24"/>
  <c r="K82" i="24"/>
  <c r="M82" i="24"/>
  <c r="O82" i="24"/>
  <c r="Q82" i="24"/>
  <c r="E77" i="24"/>
  <c r="G77" i="24"/>
  <c r="I77" i="24"/>
  <c r="K77" i="24"/>
  <c r="M77" i="24"/>
  <c r="O77" i="24"/>
  <c r="Q77" i="24"/>
  <c r="E75" i="24"/>
  <c r="E74" i="24" s="1"/>
  <c r="G75" i="24"/>
  <c r="G78" i="24" s="1"/>
  <c r="I75" i="24"/>
  <c r="I81" i="24" s="1"/>
  <c r="K75" i="24"/>
  <c r="K74" i="24" s="1"/>
  <c r="M75" i="24"/>
  <c r="M78" i="24" s="1"/>
  <c r="O75" i="24"/>
  <c r="O71" i="24" s="1"/>
  <c r="E72" i="24"/>
  <c r="G72" i="24"/>
  <c r="I72" i="24"/>
  <c r="Q72" i="24"/>
  <c r="M72" i="24"/>
  <c r="K72" i="24"/>
  <c r="O72" i="24"/>
  <c r="Q75" i="24"/>
  <c r="Q81"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K78" i="24" l="1"/>
  <c r="K81" i="24"/>
  <c r="K70" i="24"/>
  <c r="G79" i="24"/>
  <c r="G70" i="24"/>
  <c r="G71" i="24"/>
  <c r="I71" i="24"/>
  <c r="I78" i="24"/>
  <c r="I79" i="24"/>
  <c r="Q79" i="24"/>
  <c r="G74" i="24"/>
  <c r="G81" i="24"/>
  <c r="K71" i="24"/>
  <c r="K79" i="24"/>
  <c r="Q70" i="24"/>
  <c r="H67" i="24"/>
  <c r="G29" i="24" s="1"/>
  <c r="E81" i="24"/>
  <c r="E71" i="24"/>
  <c r="E79" i="24"/>
  <c r="I70" i="24"/>
  <c r="M70" i="24"/>
  <c r="M81" i="24"/>
  <c r="M74" i="24"/>
  <c r="M71" i="24"/>
  <c r="O74" i="24"/>
  <c r="O70" i="24"/>
  <c r="Q74" i="24"/>
  <c r="I74" i="24"/>
  <c r="O78" i="24"/>
  <c r="M79" i="24"/>
  <c r="E70" i="24"/>
  <c r="E78" i="24"/>
  <c r="Q78" i="24"/>
  <c r="O79" i="24"/>
  <c r="Q71" i="24"/>
  <c r="O81" i="24"/>
  <c r="C275" i="18"/>
  <c r="D276" i="18" s="1"/>
  <c r="C271" i="18"/>
  <c r="D272" i="18" s="1"/>
  <c r="F75" i="3" s="1"/>
  <c r="C267" i="18"/>
  <c r="D268" i="18" s="1"/>
  <c r="F63" i="14" s="1"/>
  <c r="C181" i="18"/>
  <c r="D184" i="18" s="1"/>
  <c r="C50" i="18"/>
  <c r="D54" i="18" s="1"/>
  <c r="G280" i="3"/>
  <c r="G279" i="3"/>
  <c r="G278" i="3"/>
  <c r="G277" i="3"/>
  <c r="G276" i="3"/>
  <c r="G275" i="3"/>
  <c r="G274" i="3"/>
  <c r="G273" i="3"/>
  <c r="G272" i="3"/>
  <c r="G271" i="3"/>
  <c r="G270" i="3"/>
  <c r="G269" i="3"/>
  <c r="G268" i="3"/>
  <c r="G267" i="3"/>
  <c r="G260" i="3"/>
  <c r="G259" i="3"/>
  <c r="G258" i="3"/>
  <c r="G257" i="3"/>
  <c r="G256" i="3"/>
  <c r="G255" i="3"/>
  <c r="G254" i="3"/>
  <c r="G253" i="3"/>
  <c r="G252" i="3"/>
  <c r="G251" i="3"/>
  <c r="G250" i="3"/>
  <c r="G249" i="3"/>
  <c r="G248" i="3"/>
  <c r="G247" i="3"/>
  <c r="A33" i="14"/>
  <c r="I189" i="3"/>
  <c r="G189" i="3"/>
  <c r="D185" i="18" l="1"/>
  <c r="F64" i="3"/>
  <c r="F80" i="3"/>
  <c r="F70" i="3"/>
  <c r="D183" i="18"/>
  <c r="F65" i="3"/>
  <c r="F57" i="3"/>
  <c r="D55" i="18"/>
  <c r="D271" i="18"/>
  <c r="D50" i="18"/>
  <c r="F53" i="14" s="1"/>
  <c r="D51" i="18"/>
  <c r="F54" i="14" s="1"/>
  <c r="D181" i="18"/>
  <c r="F58" i="14" s="1"/>
  <c r="D267" i="18"/>
  <c r="D275" i="18"/>
  <c r="D52" i="18"/>
  <c r="F55" i="14" s="1"/>
  <c r="D182" i="18"/>
  <c r="F59" i="14" s="1"/>
  <c r="D53" i="18"/>
  <c r="D180" i="3"/>
  <c r="D179" i="3"/>
  <c r="D178" i="3"/>
  <c r="D177" i="3"/>
  <c r="F79" i="3" l="1"/>
  <c r="F74" i="3"/>
  <c r="F62" i="14"/>
  <c r="F69" i="3"/>
  <c r="F61" i="3"/>
  <c r="F62" i="3"/>
  <c r="F63" i="3"/>
  <c r="F56" i="3"/>
  <c r="F55" i="3"/>
  <c r="F58" i="3"/>
  <c r="F54" i="3"/>
  <c r="F53" i="3"/>
  <c r="J121" i="3"/>
  <c r="J120" i="3"/>
  <c r="J117" i="3"/>
  <c r="J100" i="14" s="1"/>
  <c r="AN4" i="5" l="1"/>
  <c r="D11" i="5" l="1"/>
  <c r="A80" i="3" l="1"/>
  <c r="A79" i="3"/>
  <c r="A75" i="3"/>
  <c r="A74" i="3"/>
  <c r="A70" i="3"/>
  <c r="A69" i="3"/>
  <c r="A61" i="3"/>
  <c r="A53" i="3"/>
  <c r="D237" i="14"/>
  <c r="D236" i="14"/>
  <c r="D235" i="14"/>
  <c r="D234" i="14"/>
  <c r="D233" i="14"/>
  <c r="D232" i="14"/>
  <c r="D231" i="14"/>
  <c r="D230" i="14"/>
  <c r="D229" i="14"/>
  <c r="D228" i="14"/>
  <c r="D227" i="14"/>
  <c r="D226" i="14"/>
  <c r="D225" i="14"/>
  <c r="E5" i="5" l="1"/>
  <c r="F64" i="24" s="1"/>
  <c r="A36" i="3"/>
  <c r="A36" i="14"/>
  <c r="A29" i="14" l="1"/>
  <c r="AO4" i="5"/>
  <c r="L185" i="3"/>
  <c r="AN8" i="5" l="1"/>
  <c r="AN6" i="5"/>
  <c r="AN7" i="5"/>
  <c r="AN5" i="5"/>
  <c r="I184" i="3"/>
  <c r="I161" i="14" s="1"/>
  <c r="G184" i="3"/>
  <c r="G161" i="14" s="1"/>
  <c r="G166" i="14"/>
  <c r="I166" i="14"/>
  <c r="I185" i="3"/>
  <c r="I162" i="14" s="1"/>
  <c r="G186" i="3"/>
  <c r="G163" i="14" s="1"/>
  <c r="G185" i="3"/>
  <c r="G162"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57" i="14" l="1"/>
  <c r="AC6" i="5"/>
  <c r="J6" i="5"/>
  <c r="L145" i="3"/>
  <c r="E145" i="3"/>
  <c r="E155" i="3"/>
  <c r="E125" i="14" l="1"/>
  <c r="E135" i="14"/>
  <c r="G164" i="14"/>
  <c r="A224" i="3"/>
  <c r="I187" i="3"/>
  <c r="I164" i="14" s="1"/>
  <c r="G187" i="3"/>
  <c r="A1" i="3"/>
  <c r="B98" i="14" l="1"/>
  <c r="H237" i="3"/>
  <c r="E128" i="14" l="1"/>
  <c r="E127" i="14"/>
  <c r="E148" i="3"/>
  <c r="E147" i="3"/>
  <c r="I186" i="3" l="1"/>
  <c r="I163" i="14" s="1"/>
  <c r="G241" i="14"/>
  <c r="G221" i="14"/>
  <c r="G264" i="3"/>
  <c r="G244" i="3"/>
  <c r="C17" i="16" l="1"/>
  <c r="C34" i="16"/>
  <c r="J297" i="3" l="1"/>
  <c r="J296" i="3"/>
  <c r="N34" i="16" l="1"/>
  <c r="N33" i="16"/>
  <c r="N32" i="16"/>
  <c r="N31" i="16"/>
  <c r="N30" i="16"/>
  <c r="N29" i="16"/>
  <c r="N28" i="16"/>
  <c r="N27" i="16"/>
  <c r="N17" i="16"/>
  <c r="N16" i="16"/>
  <c r="N15" i="16"/>
  <c r="N14" i="16"/>
  <c r="N13" i="16"/>
  <c r="N12" i="16"/>
  <c r="N11" i="16"/>
  <c r="N10" i="16"/>
  <c r="V13" i="16" s="1"/>
  <c r="O13" i="16" s="1"/>
  <c r="P6" i="16"/>
  <c r="P24" i="16"/>
  <c r="O24" i="16"/>
  <c r="P23" i="16"/>
  <c r="O23" i="16"/>
  <c r="P7" i="16"/>
  <c r="O7" i="16"/>
  <c r="O6" i="16"/>
  <c r="V15" i="16" l="1"/>
  <c r="O15" i="16" s="1"/>
  <c r="V17" i="16"/>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K15" i="16"/>
  <c r="D15" i="16" s="1"/>
  <c r="K13" i="16"/>
  <c r="D13" i="16" s="1"/>
  <c r="K17" i="16"/>
  <c r="K16" i="16" s="1"/>
  <c r="D17" i="16" l="1"/>
  <c r="J51" i="5"/>
  <c r="I43" i="11"/>
  <c r="I20" i="3" l="1"/>
  <c r="E20" i="11"/>
  <c r="E19" i="11"/>
  <c r="E38" i="11"/>
  <c r="G34" i="24" s="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274" i="14"/>
  <c r="H273" i="14"/>
  <c r="I266" i="14"/>
  <c r="I274" i="14" s="1"/>
  <c r="I265" i="14"/>
  <c r="I273" i="14" s="1"/>
  <c r="H266" i="14"/>
  <c r="H265" i="14"/>
  <c r="B265" i="14"/>
  <c r="B273" i="14" s="1"/>
  <c r="C297" i="3"/>
  <c r="C296" i="3"/>
  <c r="B297" i="3"/>
  <c r="B296" i="3"/>
  <c r="H244" i="14"/>
  <c r="F257" i="14"/>
  <c r="F256" i="14"/>
  <c r="F255" i="14"/>
  <c r="E257" i="14"/>
  <c r="E256" i="14"/>
  <c r="E255" i="14"/>
  <c r="D257" i="14"/>
  <c r="D256" i="14"/>
  <c r="D255" i="14"/>
  <c r="D254" i="14"/>
  <c r="D253" i="14"/>
  <c r="D252" i="14"/>
  <c r="D251" i="14"/>
  <c r="D250" i="14"/>
  <c r="D249" i="14"/>
  <c r="D248" i="14"/>
  <c r="D247" i="14"/>
  <c r="D246" i="14"/>
  <c r="D245" i="14"/>
  <c r="D244" i="14"/>
  <c r="I237" i="14"/>
  <c r="I236" i="14"/>
  <c r="I235" i="14"/>
  <c r="I234" i="14"/>
  <c r="I233" i="14"/>
  <c r="I232" i="14"/>
  <c r="I231" i="14"/>
  <c r="I230" i="14"/>
  <c r="I229" i="14"/>
  <c r="I228" i="14"/>
  <c r="I227" i="14"/>
  <c r="I226" i="14"/>
  <c r="I225" i="14"/>
  <c r="I224" i="14"/>
  <c r="F237" i="14"/>
  <c r="F236" i="14"/>
  <c r="F235" i="14"/>
  <c r="F234" i="14"/>
  <c r="F233" i="14"/>
  <c r="F232" i="14"/>
  <c r="F231" i="14"/>
  <c r="F230" i="14"/>
  <c r="F229" i="14"/>
  <c r="F228" i="14"/>
  <c r="F227" i="14"/>
  <c r="F226" i="14"/>
  <c r="F225" i="14"/>
  <c r="F224" i="14"/>
  <c r="H298" i="3"/>
  <c r="J298" i="3"/>
  <c r="E237" i="14"/>
  <c r="E236" i="14"/>
  <c r="E235" i="14"/>
  <c r="E234" i="14"/>
  <c r="E233" i="14"/>
  <c r="E232" i="14"/>
  <c r="E231" i="14"/>
  <c r="E230" i="14"/>
  <c r="E229" i="14"/>
  <c r="E228" i="14"/>
  <c r="E227" i="14"/>
  <c r="E226" i="14"/>
  <c r="E225" i="14"/>
  <c r="G225" i="14" s="1"/>
  <c r="C237" i="14"/>
  <c r="C236" i="14"/>
  <c r="C235" i="14"/>
  <c r="C234" i="14"/>
  <c r="C233" i="14"/>
  <c r="C232" i="14"/>
  <c r="C231" i="14"/>
  <c r="C230" i="14"/>
  <c r="C228" i="14"/>
  <c r="C227" i="14"/>
  <c r="C226" i="14"/>
  <c r="C225" i="14"/>
  <c r="B237" i="14"/>
  <c r="B236" i="14"/>
  <c r="B256" i="14" s="1"/>
  <c r="B235" i="14"/>
  <c r="B255" i="14" s="1"/>
  <c r="B234" i="14"/>
  <c r="B254" i="14" s="1"/>
  <c r="B233" i="14"/>
  <c r="B253" i="14" s="1"/>
  <c r="B232" i="14"/>
  <c r="B252" i="14" s="1"/>
  <c r="B231" i="14"/>
  <c r="B251" i="14" s="1"/>
  <c r="B230" i="14"/>
  <c r="B250" i="14" s="1"/>
  <c r="B229" i="14"/>
  <c r="B249" i="14" s="1"/>
  <c r="B228" i="14"/>
  <c r="B248" i="14" s="1"/>
  <c r="B227" i="14"/>
  <c r="B247" i="14" s="1"/>
  <c r="B226" i="14"/>
  <c r="B246" i="14" s="1"/>
  <c r="B225" i="14"/>
  <c r="B245" i="14" s="1"/>
  <c r="A237" i="14"/>
  <c r="A236" i="14"/>
  <c r="A241" i="14"/>
  <c r="A242" i="14"/>
  <c r="A243" i="14"/>
  <c r="A235" i="14"/>
  <c r="A234" i="14"/>
  <c r="A233" i="14"/>
  <c r="A232" i="14"/>
  <c r="A231" i="14"/>
  <c r="A230" i="14"/>
  <c r="A229" i="14"/>
  <c r="A228" i="14"/>
  <c r="A227" i="14"/>
  <c r="A226" i="14"/>
  <c r="A225" i="14"/>
  <c r="A224" i="14"/>
  <c r="E224" i="14"/>
  <c r="D224" i="14"/>
  <c r="C224" i="14"/>
  <c r="B224" i="14"/>
  <c r="B244" i="14" s="1"/>
  <c r="C229" i="14"/>
  <c r="G297" i="3"/>
  <c r="G296" i="3"/>
  <c r="B101" i="7"/>
  <c r="B104" i="7"/>
  <c r="G289" i="3"/>
  <c r="B107" i="7" s="1"/>
  <c r="G288"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8" i="13" l="1"/>
  <c r="G233" i="14"/>
  <c r="G232" i="14"/>
  <c r="G231" i="14"/>
  <c r="G226" i="14"/>
  <c r="G227" i="14"/>
  <c r="G249" i="14"/>
  <c r="G257" i="14"/>
  <c r="G244" i="14"/>
  <c r="G252" i="14"/>
  <c r="G245" i="14"/>
  <c r="G253" i="14"/>
  <c r="G246" i="14"/>
  <c r="G256" i="14"/>
  <c r="G247" i="14"/>
  <c r="G255" i="14"/>
  <c r="G250" i="14"/>
  <c r="G251" i="14"/>
  <c r="G248" i="14"/>
  <c r="G230" i="14"/>
  <c r="G236" i="14"/>
  <c r="G228" i="14"/>
  <c r="G234" i="14"/>
  <c r="G254" i="14"/>
  <c r="G229" i="14"/>
  <c r="G235" i="14"/>
  <c r="G237" i="14"/>
  <c r="G224" i="14"/>
  <c r="G34" i="11"/>
  <c r="L14" i="25" s="1"/>
  <c r="D12" i="13"/>
  <c r="E18" i="13" s="1"/>
  <c r="D11" i="13"/>
  <c r="E17" i="13" s="1"/>
  <c r="J266" i="14"/>
  <c r="J273" i="14"/>
  <c r="H267" i="14"/>
  <c r="J274" i="14"/>
  <c r="H275" i="14"/>
  <c r="J265" i="14"/>
  <c r="E11" i="13" l="1"/>
  <c r="E12" i="13"/>
  <c r="J275" i="14"/>
  <c r="I283" i="14" s="1"/>
  <c r="J267" i="14"/>
  <c r="F283" i="14" s="1"/>
  <c r="I285" i="14"/>
  <c r="F285" i="14"/>
  <c r="I282" i="14"/>
  <c r="F282" i="14"/>
  <c r="I281" i="14"/>
  <c r="F281" i="14"/>
  <c r="I280" i="14"/>
  <c r="F280" i="14"/>
  <c r="C257" i="14"/>
  <c r="B257" i="14"/>
  <c r="A257" i="14"/>
  <c r="C256" i="14"/>
  <c r="A256" i="14"/>
  <c r="C255" i="14"/>
  <c r="A255" i="14"/>
  <c r="C254" i="14"/>
  <c r="A254" i="14"/>
  <c r="C253" i="14"/>
  <c r="A253" i="14"/>
  <c r="C252" i="14"/>
  <c r="A252" i="14"/>
  <c r="C251" i="14"/>
  <c r="A251" i="14"/>
  <c r="C250" i="14"/>
  <c r="A250" i="14"/>
  <c r="C249" i="14"/>
  <c r="A249" i="14"/>
  <c r="C248" i="14"/>
  <c r="A248" i="14"/>
  <c r="C247" i="14"/>
  <c r="C246" i="14"/>
  <c r="C245" i="14"/>
  <c r="C244" i="14"/>
  <c r="H217" i="14"/>
  <c r="G217" i="14"/>
  <c r="H216" i="14"/>
  <c r="H156" i="14" s="1"/>
  <c r="A216" i="14"/>
  <c r="H215" i="14"/>
  <c r="I210" i="14"/>
  <c r="H152" i="14" s="1"/>
  <c r="J208" i="14"/>
  <c r="H208" i="14"/>
  <c r="J207" i="14"/>
  <c r="H207" i="14"/>
  <c r="A207" i="14"/>
  <c r="I203" i="14"/>
  <c r="G203" i="14"/>
  <c r="I197" i="14"/>
  <c r="G197" i="14"/>
  <c r="G184" i="14"/>
  <c r="I184" i="14" s="1"/>
  <c r="I180" i="14"/>
  <c r="G180" i="14"/>
  <c r="I179" i="14"/>
  <c r="G179" i="14"/>
  <c r="I175" i="14"/>
  <c r="G175" i="14"/>
  <c r="I174" i="14"/>
  <c r="G174" i="14"/>
  <c r="I170" i="14"/>
  <c r="G170" i="14"/>
  <c r="I169" i="14"/>
  <c r="G169" i="14"/>
  <c r="G165" i="14"/>
  <c r="E164" i="14"/>
  <c r="C164" i="14"/>
  <c r="A164" i="14"/>
  <c r="H157" i="14"/>
  <c r="E149" i="14"/>
  <c r="E148" i="14"/>
  <c r="E147" i="14"/>
  <c r="E145" i="14"/>
  <c r="E140" i="14"/>
  <c r="E139" i="14"/>
  <c r="E138" i="14"/>
  <c r="E137" i="14"/>
  <c r="E130" i="14"/>
  <c r="E129" i="14"/>
  <c r="I120" i="14"/>
  <c r="F120" i="14"/>
  <c r="E120" i="14"/>
  <c r="I119" i="14"/>
  <c r="F119" i="14"/>
  <c r="E119" i="14"/>
  <c r="I118" i="14"/>
  <c r="F118" i="14"/>
  <c r="E118" i="14"/>
  <c r="I117" i="14"/>
  <c r="F117" i="14"/>
  <c r="E117" i="14"/>
  <c r="I116" i="14"/>
  <c r="F116" i="14"/>
  <c r="E116" i="14"/>
  <c r="E112" i="14"/>
  <c r="E109" i="14"/>
  <c r="E108" i="14"/>
  <c r="E111" i="14" s="1"/>
  <c r="D102" i="14"/>
  <c r="I102" i="14" s="1"/>
  <c r="B102" i="14"/>
  <c r="D101" i="14"/>
  <c r="I101" i="14" s="1"/>
  <c r="B101" i="14"/>
  <c r="D100" i="14"/>
  <c r="I100" i="14" s="1"/>
  <c r="B100" i="14"/>
  <c r="I99" i="14"/>
  <c r="D99" i="14"/>
  <c r="B99" i="14"/>
  <c r="D98" i="14"/>
  <c r="E92" i="14"/>
  <c r="E91" i="14"/>
  <c r="E89" i="14"/>
  <c r="E86" i="14"/>
  <c r="M85" i="14"/>
  <c r="E85" i="14"/>
  <c r="E84" i="14"/>
  <c r="E83" i="14"/>
  <c r="E82" i="14"/>
  <c r="E81" i="14"/>
  <c r="E80" i="14"/>
  <c r="E79" i="14"/>
  <c r="E78" i="14"/>
  <c r="E77" i="14"/>
  <c r="E76" i="14"/>
  <c r="E75" i="14"/>
  <c r="E74" i="14"/>
  <c r="F71" i="14"/>
  <c r="F66" i="14"/>
  <c r="A62" i="14"/>
  <c r="F50" i="14"/>
  <c r="F49" i="14"/>
  <c r="F48" i="14"/>
  <c r="I20" i="14"/>
  <c r="I21" i="14" s="1"/>
  <c r="G3" i="14"/>
  <c r="A35" i="14" s="1"/>
  <c r="A1" i="14"/>
  <c r="A161" i="14" s="1"/>
  <c r="E87" i="14" l="1"/>
  <c r="I22" i="14"/>
  <c r="I171" i="14"/>
  <c r="I215" i="14"/>
  <c r="J215" i="14" s="1"/>
  <c r="A34" i="14"/>
  <c r="A48" i="14" s="1"/>
  <c r="H155" i="14"/>
  <c r="I217" i="14"/>
  <c r="J217" i="14" s="1"/>
  <c r="I176" i="14"/>
  <c r="G181" i="14"/>
  <c r="G176" i="14"/>
  <c r="G171" i="14"/>
  <c r="I181" i="14"/>
  <c r="A166" i="14"/>
  <c r="B103" i="14"/>
  <c r="I216" i="14"/>
  <c r="J216" i="14" s="1"/>
  <c r="B278" i="3"/>
  <c r="C278" i="3"/>
  <c r="I278" i="3"/>
  <c r="B279" i="3"/>
  <c r="C279" i="3"/>
  <c r="I279" i="3"/>
  <c r="A280" i="3"/>
  <c r="B280" i="3"/>
  <c r="C280" i="3"/>
  <c r="I280" i="3"/>
  <c r="I256" i="14" l="1"/>
  <c r="I257" i="14"/>
  <c r="I255" i="14"/>
  <c r="E101" i="3"/>
  <c r="E100" i="3"/>
  <c r="E102" i="3"/>
  <c r="M102" i="3"/>
  <c r="E167" i="3"/>
  <c r="I22" i="3" l="1"/>
  <c r="H75" i="5"/>
  <c r="G201" i="14" s="1"/>
  <c r="E103" i="3"/>
  <c r="N82" i="4" l="1"/>
  <c r="G120" i="14" s="1"/>
  <c r="N81" i="4"/>
  <c r="G119" i="14" s="1"/>
  <c r="N80" i="4"/>
  <c r="G118" i="14" s="1"/>
  <c r="N79" i="4"/>
  <c r="G117" i="14" s="1"/>
  <c r="N78" i="4"/>
  <c r="G116" i="14" s="1"/>
  <c r="I21" i="3"/>
  <c r="C5" i="11"/>
  <c r="C2" i="11"/>
  <c r="G43" i="11"/>
  <c r="E43" i="11"/>
  <c r="E42" i="11"/>
  <c r="E41" i="11"/>
  <c r="E40" i="11"/>
  <c r="E39" i="11"/>
  <c r="B43" i="11"/>
  <c r="B42" i="11"/>
  <c r="C42" i="11" s="1"/>
  <c r="B41" i="11"/>
  <c r="C41" i="11" s="1"/>
  <c r="B40" i="11"/>
  <c r="C40" i="11" s="1"/>
  <c r="B39" i="11"/>
  <c r="C39" i="11" s="1"/>
  <c r="D35" i="24" s="1"/>
  <c r="O19" i="11"/>
  <c r="E132" i="3"/>
  <c r="E129" i="3"/>
  <c r="E128" i="3"/>
  <c r="E127" i="3"/>
  <c r="G35" i="24" l="1"/>
  <c r="F88" i="3"/>
  <c r="F83" i="3"/>
  <c r="F50" i="3"/>
  <c r="F49" i="3"/>
  <c r="F48" i="3"/>
  <c r="V11" i="5"/>
  <c r="AD11" i="5"/>
  <c r="V15" i="5"/>
  <c r="V18" i="5"/>
  <c r="Z18" i="5"/>
  <c r="AD18" i="5"/>
  <c r="AG20" i="5"/>
  <c r="F22" i="5"/>
  <c r="J25" i="5"/>
  <c r="AB25" i="5"/>
  <c r="J26" i="5"/>
  <c r="AB26" i="5"/>
  <c r="J27" i="5"/>
  <c r="AB27" i="5"/>
  <c r="G35" i="5"/>
  <c r="P35" i="5"/>
  <c r="Y35" i="5"/>
  <c r="J189"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26" i="14" s="1"/>
  <c r="A230" i="3"/>
  <c r="O41" i="5"/>
  <c r="Y50" i="5"/>
  <c r="AE50" i="5" s="1"/>
  <c r="G50" i="5"/>
  <c r="G46" i="5"/>
  <c r="O45" i="5" s="1"/>
  <c r="M50" i="5"/>
  <c r="G38" i="11"/>
  <c r="K34" i="24" s="1"/>
  <c r="AG41" i="5"/>
  <c r="H189" i="14"/>
  <c r="Q9" i="16"/>
  <c r="Q26" i="16"/>
  <c r="F26" i="16"/>
  <c r="F9" i="16"/>
  <c r="P26" i="16"/>
  <c r="P9" i="16"/>
  <c r="E9" i="16"/>
  <c r="E26" i="16"/>
  <c r="Y46" i="5"/>
  <c r="AG45" i="5" s="1"/>
  <c r="X5" i="5"/>
  <c r="E146" i="14"/>
  <c r="G40" i="11"/>
  <c r="G37" i="11"/>
  <c r="K33" i="24" s="1"/>
  <c r="Y29" i="5"/>
  <c r="G39" i="11"/>
  <c r="K35" i="24" s="1"/>
  <c r="A206" i="14"/>
  <c r="A40" i="14"/>
  <c r="L40" i="14"/>
  <c r="X22" i="5"/>
  <c r="AE35" i="5"/>
  <c r="G29" i="5"/>
  <c r="L26" i="5" s="1"/>
  <c r="P26" i="5" s="1"/>
  <c r="M26" i="5" s="1"/>
  <c r="M35" i="5"/>
  <c r="AC85" i="5"/>
  <c r="AC84" i="5"/>
  <c r="AC83" i="5"/>
  <c r="L41" i="3"/>
  <c r="L41" i="14"/>
  <c r="I38" i="11" l="1"/>
  <c r="O34" i="24" s="1"/>
  <c r="I37" i="11"/>
  <c r="O33" i="24" s="1"/>
  <c r="AD27" i="5"/>
  <c r="AH27" i="5" s="1"/>
  <c r="AE27" i="5" s="1"/>
  <c r="AD26" i="5"/>
  <c r="AH26" i="5" s="1"/>
  <c r="AE26" i="5" s="1"/>
  <c r="AD25" i="5"/>
  <c r="AH25" i="5" s="1"/>
  <c r="AE25" i="5" s="1"/>
  <c r="L25" i="5"/>
  <c r="P25" i="5" s="1"/>
  <c r="M25" i="5" s="1"/>
  <c r="L27" i="5"/>
  <c r="P27" i="5" s="1"/>
  <c r="M27" i="5" s="1"/>
  <c r="E156" i="3"/>
  <c r="E136" i="14" s="1"/>
  <c r="I211" i="3"/>
  <c r="I189" i="14"/>
  <c r="G211" i="3"/>
  <c r="G189" i="14"/>
  <c r="Q25" i="16"/>
  <c r="Q8" i="16"/>
  <c r="I173" i="14"/>
  <c r="F8" i="16"/>
  <c r="F25" i="16"/>
  <c r="I40" i="11"/>
  <c r="I39" i="11"/>
  <c r="O35" i="24" s="1"/>
  <c r="A41" i="14"/>
  <c r="G177" i="14"/>
  <c r="I172" i="14" l="1"/>
  <c r="I177" i="14"/>
  <c r="Y33" i="5"/>
  <c r="G172" i="14"/>
  <c r="G173" i="14"/>
  <c r="AH29" i="5"/>
  <c r="I182" i="14"/>
  <c r="G182" i="14"/>
  <c r="G183" i="14"/>
  <c r="G178" i="14"/>
  <c r="G188" i="14" l="1"/>
  <c r="Z58" i="5"/>
  <c r="I217" i="3" s="1"/>
  <c r="P3" i="7"/>
  <c r="P97" i="7" s="1"/>
  <c r="I178" i="14"/>
  <c r="I183" i="14"/>
  <c r="I188" i="14" s="1"/>
  <c r="P29" i="5"/>
  <c r="F3" i="7" s="1"/>
  <c r="O31" i="5"/>
  <c r="K31" i="5" s="1"/>
  <c r="H54" i="5" s="1"/>
  <c r="G33" i="5"/>
  <c r="AN33" i="5" s="1"/>
  <c r="AG31" i="5"/>
  <c r="AC31" i="5" s="1"/>
  <c r="AF58" i="5"/>
  <c r="I195" i="14" s="1"/>
  <c r="J188" i="14"/>
  <c r="J241" i="14"/>
  <c r="AN36" i="5"/>
  <c r="AN35" i="5"/>
  <c r="AE33" i="5"/>
  <c r="I190" i="14" s="1"/>
  <c r="J190" i="14"/>
  <c r="C277" i="3"/>
  <c r="C276" i="3"/>
  <c r="C275" i="3"/>
  <c r="C274" i="3"/>
  <c r="C273" i="3"/>
  <c r="C272" i="3"/>
  <c r="C271" i="3"/>
  <c r="C270" i="3"/>
  <c r="C269" i="3"/>
  <c r="C268" i="3"/>
  <c r="C267" i="3"/>
  <c r="B268" i="3"/>
  <c r="B269" i="3"/>
  <c r="B270" i="3"/>
  <c r="B271" i="3"/>
  <c r="B272" i="3"/>
  <c r="B273" i="3"/>
  <c r="B274" i="3"/>
  <c r="B275" i="3"/>
  <c r="B276" i="3"/>
  <c r="B277" i="3"/>
  <c r="B267" i="3"/>
  <c r="A268" i="3"/>
  <c r="A245" i="14" s="1"/>
  <c r="A269" i="3"/>
  <c r="A246" i="14" s="1"/>
  <c r="A270" i="3"/>
  <c r="A247" i="14" s="1"/>
  <c r="A271" i="3"/>
  <c r="A272" i="3"/>
  <c r="A273" i="3"/>
  <c r="A274" i="3"/>
  <c r="A275" i="3"/>
  <c r="A276" i="3"/>
  <c r="A277" i="3"/>
  <c r="A267" i="3"/>
  <c r="A244" i="14" s="1"/>
  <c r="H290" i="3"/>
  <c r="J289" i="3"/>
  <c r="J288" i="3"/>
  <c r="I268" i="3"/>
  <c r="I269" i="3"/>
  <c r="I270" i="3"/>
  <c r="I271" i="3"/>
  <c r="I272" i="3"/>
  <c r="I273" i="3"/>
  <c r="I274" i="3"/>
  <c r="I275" i="3"/>
  <c r="I276" i="3"/>
  <c r="I277" i="3"/>
  <c r="I267"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3" i="14"/>
  <c r="I247" i="14"/>
  <c r="I251" i="14"/>
  <c r="I245" i="14"/>
  <c r="I250" i="14"/>
  <c r="I252" i="14"/>
  <c r="I246" i="14"/>
  <c r="J267" i="3"/>
  <c r="I244" i="14"/>
  <c r="J244" i="14" s="1"/>
  <c r="I249" i="14"/>
  <c r="I254" i="14"/>
  <c r="I248" i="14"/>
  <c r="O39" i="5"/>
  <c r="O46" i="5" s="1"/>
  <c r="J47" i="5" s="1"/>
  <c r="Z54" i="5"/>
  <c r="N6" i="16"/>
  <c r="O10" i="16" s="1"/>
  <c r="AG39" i="5"/>
  <c r="AG46" i="5" s="1"/>
  <c r="AB47" i="5" s="1"/>
  <c r="H53" i="5"/>
  <c r="C6" i="16"/>
  <c r="D10" i="16" s="1"/>
  <c r="H58" i="5"/>
  <c r="N58" i="5"/>
  <c r="G195" i="14" s="1"/>
  <c r="H188" i="14"/>
  <c r="J221" i="14"/>
  <c r="Z53" i="5"/>
  <c r="H190" i="14"/>
  <c r="AN32" i="5"/>
  <c r="M33" i="5"/>
  <c r="G190" i="14" s="1"/>
  <c r="AQ35" i="5"/>
  <c r="AQ36" i="5"/>
  <c r="J290"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H257" i="14" l="1"/>
  <c r="J257" i="14" s="1"/>
  <c r="J280"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5" i="3" s="1"/>
  <c r="O50" i="5"/>
  <c r="H57" i="5"/>
  <c r="H59" i="5" s="1"/>
  <c r="AG50" i="5"/>
  <c r="Z57" i="5" s="1"/>
  <c r="O42" i="5"/>
  <c r="J43" i="5" s="1"/>
  <c r="AQ33" i="5"/>
  <c r="AQ32" i="5"/>
  <c r="L206" i="14"/>
  <c r="N206" i="14" s="1"/>
  <c r="G3" i="3"/>
  <c r="Z59" i="5" l="1"/>
  <c r="Z61" i="5" s="1"/>
  <c r="I216" i="3"/>
  <c r="H250" i="14"/>
  <c r="J250" i="14" s="1"/>
  <c r="J273" i="3"/>
  <c r="H248" i="14"/>
  <c r="J248" i="14" s="1"/>
  <c r="J271" i="3"/>
  <c r="H247" i="14"/>
  <c r="J247" i="14" s="1"/>
  <c r="J270" i="3"/>
  <c r="H249" i="14"/>
  <c r="J249" i="14" s="1"/>
  <c r="J272" i="3"/>
  <c r="H256" i="14"/>
  <c r="J256" i="14" s="1"/>
  <c r="J279" i="3"/>
  <c r="H254" i="14"/>
  <c r="J254" i="14" s="1"/>
  <c r="J277" i="3"/>
  <c r="H245" i="14"/>
  <c r="J268" i="3"/>
  <c r="H246" i="14"/>
  <c r="J246" i="14" s="1"/>
  <c r="J269" i="3"/>
  <c r="H251" i="14"/>
  <c r="J251" i="14" s="1"/>
  <c r="J274" i="3"/>
  <c r="H253" i="14"/>
  <c r="J253" i="14" s="1"/>
  <c r="J276" i="3"/>
  <c r="H252" i="14"/>
  <c r="J252" i="14" s="1"/>
  <c r="J275" i="3"/>
  <c r="H61" i="5"/>
  <c r="H63" i="5" s="1"/>
  <c r="L204" i="14"/>
  <c r="M204" i="14" s="1"/>
  <c r="M206" i="14"/>
  <c r="O206" i="14" s="1"/>
  <c r="J244" i="3"/>
  <c r="J264" i="3"/>
  <c r="I308" i="3"/>
  <c r="I305" i="3"/>
  <c r="I304" i="3"/>
  <c r="I303" i="3"/>
  <c r="F308" i="3"/>
  <c r="F305" i="3"/>
  <c r="F304" i="3"/>
  <c r="F303" i="3"/>
  <c r="A229" i="3"/>
  <c r="A228" i="3"/>
  <c r="Z63" i="5" l="1"/>
  <c r="I220" i="3" s="1"/>
  <c r="I218" i="3"/>
  <c r="J245" i="14"/>
  <c r="N204" i="14"/>
  <c r="O204" i="14" s="1"/>
  <c r="P204" i="14" s="1"/>
  <c r="P206"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65" i="14" s="1"/>
  <c r="E187" i="3"/>
  <c r="C187" i="3"/>
  <c r="A187" i="3"/>
  <c r="A208" i="14" l="1"/>
  <c r="L205" i="14"/>
  <c r="A213" i="14" s="1"/>
  <c r="I210" i="3"/>
  <c r="G194" i="3"/>
  <c r="I194" i="3"/>
  <c r="G199" i="3"/>
  <c r="G204" i="3"/>
  <c r="I204" i="3"/>
  <c r="I199" i="3"/>
  <c r="H180" i="3"/>
  <c r="H179" i="3"/>
  <c r="H178" i="3"/>
  <c r="H177" i="3"/>
  <c r="A41" i="3"/>
  <c r="I232" i="3"/>
  <c r="H230" i="3"/>
  <c r="H229" i="3"/>
  <c r="J230" i="3"/>
  <c r="J229" i="3"/>
  <c r="J228" i="3"/>
  <c r="E91" i="3"/>
  <c r="H172" i="3" l="1"/>
  <c r="H239" i="3"/>
  <c r="I239" i="3" s="1"/>
  <c r="J239" i="3" s="1"/>
  <c r="H238" i="3"/>
  <c r="H176" i="3" s="1"/>
  <c r="H175" i="3"/>
  <c r="G239"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F27" i="6"/>
  <c r="E27" i="6"/>
  <c r="F101" i="14" s="1"/>
  <c r="D27" i="6"/>
  <c r="C27" i="6"/>
  <c r="B27" i="6"/>
  <c r="F98" i="14" s="1"/>
  <c r="G26" i="6"/>
  <c r="G25" i="6"/>
  <c r="G24" i="6"/>
  <c r="G23" i="6"/>
  <c r="G22" i="6"/>
  <c r="G21" i="6"/>
  <c r="G20" i="6"/>
  <c r="G19" i="6"/>
  <c r="G18" i="6"/>
  <c r="G17" i="6"/>
  <c r="G16" i="6"/>
  <c r="D115" i="3"/>
  <c r="S89" i="5"/>
  <c r="AA87" i="5"/>
  <c r="AA86" i="5"/>
  <c r="M11" i="10"/>
  <c r="G140" i="3"/>
  <c r="G139" i="3"/>
  <c r="G138" i="3"/>
  <c r="G137" i="3"/>
  <c r="G136" i="3"/>
  <c r="I116" i="3"/>
  <c r="A34" i="3"/>
  <c r="A48" i="3" s="1"/>
  <c r="E104" i="3" l="1"/>
  <c r="E29" i="6"/>
  <c r="J118" i="3" s="1"/>
  <c r="J101" i="14" s="1"/>
  <c r="C29" i="6"/>
  <c r="J116" i="3" s="1"/>
  <c r="J99" i="14" s="1"/>
  <c r="F99" i="14"/>
  <c r="F116" i="3"/>
  <c r="F120" i="3"/>
  <c r="D29" i="6"/>
  <c r="F100" i="14"/>
  <c r="F117" i="3"/>
  <c r="F121" i="3"/>
  <c r="B29" i="6"/>
  <c r="J115" i="3" s="1"/>
  <c r="J98" i="14" s="1"/>
  <c r="F118" i="3"/>
  <c r="F29" i="6"/>
  <c r="J119" i="3" s="1"/>
  <c r="J102" i="14" s="1"/>
  <c r="F102" i="14"/>
  <c r="F115" i="3"/>
  <c r="F119" i="3"/>
  <c r="AC86" i="5"/>
  <c r="G41" i="11"/>
  <c r="AC87" i="5"/>
  <c r="G42" i="11"/>
  <c r="Z69" i="5"/>
  <c r="AF69" i="5" s="1"/>
  <c r="I306" i="3"/>
  <c r="F306"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G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H255" i="14" l="1"/>
  <c r="J278" i="3"/>
  <c r="J281" i="3" s="1"/>
  <c r="H281" i="3"/>
  <c r="R37" i="7"/>
  <c r="R94" i="7" s="1"/>
  <c r="P94" i="7"/>
  <c r="F122" i="3"/>
  <c r="F103" i="14"/>
  <c r="I41" i="11"/>
  <c r="H224" i="14"/>
  <c r="I42" i="11"/>
  <c r="D109" i="7"/>
  <c r="D116" i="3"/>
  <c r="D117" i="3"/>
  <c r="I117" i="3" s="1"/>
  <c r="J247"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7" i="3"/>
  <c r="I309" i="3" s="1"/>
  <c r="J255" i="14"/>
  <c r="J258" i="14" s="1"/>
  <c r="I284" i="14" s="1"/>
  <c r="I286" i="14" s="1"/>
  <c r="H258" i="14"/>
  <c r="J224" i="14"/>
  <c r="D119" i="3"/>
  <c r="I119" i="3" s="1"/>
  <c r="G196" i="3"/>
  <c r="G195" i="3"/>
  <c r="G205" i="3"/>
  <c r="G201" i="3"/>
  <c r="G200" i="3"/>
  <c r="E18" i="10"/>
  <c r="G208" i="3"/>
  <c r="AF68" i="5" l="1"/>
  <c r="AF72" i="5"/>
  <c r="Z72" i="5"/>
  <c r="Z74" i="5" s="1"/>
  <c r="I222" i="3" s="1"/>
  <c r="D121" i="3"/>
  <c r="I121" i="3" s="1"/>
  <c r="D120" i="3"/>
  <c r="I120" i="3" s="1"/>
  <c r="E20" i="10"/>
  <c r="G206" i="3"/>
  <c r="G210" i="3" s="1"/>
  <c r="I199" i="14" l="1"/>
  <c r="I221" i="3"/>
  <c r="H210" i="3"/>
  <c r="G217" i="3"/>
  <c r="H212" i="3"/>
  <c r="G212" i="3"/>
  <c r="M10" i="10"/>
  <c r="P11" i="10" s="1"/>
  <c r="M19" i="10" s="1"/>
  <c r="P19" i="10" s="1"/>
  <c r="AE39" i="5" s="1"/>
  <c r="G215" i="3"/>
  <c r="H228" i="3"/>
  <c r="I186" i="14" l="1"/>
  <c r="N23" i="16"/>
  <c r="AI45" i="5"/>
  <c r="AE37" i="5"/>
  <c r="I185"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2" i="16"/>
  <c r="O32" i="16" s="1"/>
  <c r="V30" i="16"/>
  <c r="O30" i="16" s="1"/>
  <c r="G186" i="14"/>
  <c r="C23" i="16"/>
  <c r="H225" i="14"/>
  <c r="AI42" i="5"/>
  <c r="AE43" i="5" s="1"/>
  <c r="I193" i="14" s="1"/>
  <c r="AI46" i="5"/>
  <c r="AE47" i="5" s="1"/>
  <c r="J206" i="14" s="1"/>
  <c r="AI50" i="5"/>
  <c r="Q39" i="5"/>
  <c r="M37" i="5"/>
  <c r="G185" i="14" s="1"/>
  <c r="Q45" i="5"/>
  <c r="H16" i="7"/>
  <c r="H228" i="14"/>
  <c r="J228" i="14" s="1"/>
  <c r="H31" i="7"/>
  <c r="H233" i="14"/>
  <c r="J233" i="14" s="1"/>
  <c r="H61" i="7"/>
  <c r="H58" i="7"/>
  <c r="H52" i="7"/>
  <c r="H19" i="7"/>
  <c r="H229" i="14"/>
  <c r="J229" i="14" s="1"/>
  <c r="H73" i="7"/>
  <c r="H49" i="7"/>
  <c r="H40" i="7"/>
  <c r="H236" i="14"/>
  <c r="J236" i="14" s="1"/>
  <c r="H79" i="7"/>
  <c r="H85" i="7"/>
  <c r="H88" i="7"/>
  <c r="H55" i="7"/>
  <c r="H46" i="7"/>
  <c r="H64" i="7"/>
  <c r="H82" i="7"/>
  <c r="H70" i="7"/>
  <c r="H22" i="7"/>
  <c r="H230" i="14"/>
  <c r="J230" i="14" s="1"/>
  <c r="H28" i="7"/>
  <c r="H232" i="14"/>
  <c r="J232" i="14" s="1"/>
  <c r="H43" i="7"/>
  <c r="H25" i="7"/>
  <c r="H231" i="14"/>
  <c r="J231" i="14" s="1"/>
  <c r="H67" i="7"/>
  <c r="H76" i="7"/>
  <c r="H34" i="7"/>
  <c r="H234" i="14"/>
  <c r="J234" i="14" s="1"/>
  <c r="H13" i="7"/>
  <c r="H227" i="14"/>
  <c r="J227" i="14" s="1"/>
  <c r="H37" i="7"/>
  <c r="H235" i="14"/>
  <c r="J235" i="14" s="1"/>
  <c r="H10" i="7"/>
  <c r="H7" i="7"/>
  <c r="H98" i="7"/>
  <c r="F110" i="7"/>
  <c r="H91" i="7"/>
  <c r="F94" i="7"/>
  <c r="G216" i="3"/>
  <c r="AE51" i="5" l="1"/>
  <c r="AF57" i="5" s="1"/>
  <c r="I194" i="14" s="1"/>
  <c r="O34" i="16"/>
  <c r="D27" i="16"/>
  <c r="K32" i="16"/>
  <c r="D32" i="16" s="1"/>
  <c r="K34" i="16"/>
  <c r="K33" i="16" s="1"/>
  <c r="K30" i="16"/>
  <c r="D30" i="16" s="1"/>
  <c r="J248" i="3"/>
  <c r="J249" i="3"/>
  <c r="H226" i="14"/>
  <c r="J226" i="14" s="1"/>
  <c r="J260" i="3"/>
  <c r="H237" i="14"/>
  <c r="J237" i="14" s="1"/>
  <c r="J225" i="14"/>
  <c r="H261" i="3"/>
  <c r="Q46" i="5"/>
  <c r="M47" i="5" s="1"/>
  <c r="H206" i="14" s="1"/>
  <c r="Q42" i="5"/>
  <c r="M43" i="5" s="1"/>
  <c r="G193" i="14" s="1"/>
  <c r="Q50" i="5"/>
  <c r="J250" i="3"/>
  <c r="J253" i="3"/>
  <c r="J259" i="3"/>
  <c r="J252" i="3"/>
  <c r="J257" i="3"/>
  <c r="J256" i="3"/>
  <c r="J255" i="3"/>
  <c r="J251" i="3"/>
  <c r="J258" i="3"/>
  <c r="J254" i="3"/>
  <c r="H94" i="7"/>
  <c r="G218" i="3"/>
  <c r="M51" i="5" l="1"/>
  <c r="N57" i="5" s="1"/>
  <c r="D34" i="16"/>
  <c r="H238" i="14"/>
  <c r="J238" i="14"/>
  <c r="F284" i="14" s="1"/>
  <c r="F286" i="14" s="1"/>
  <c r="AF59" i="5"/>
  <c r="AF61" i="5" s="1"/>
  <c r="I196" i="14" s="1"/>
  <c r="J261" i="3"/>
  <c r="G220" i="3"/>
  <c r="N59" i="5" l="1"/>
  <c r="N61" i="5" s="1"/>
  <c r="G194" i="14"/>
  <c r="AF63" i="5"/>
  <c r="I198" i="14" s="1"/>
  <c r="F307" i="3"/>
  <c r="F309" i="3" s="1"/>
  <c r="H68" i="5"/>
  <c r="N63" i="5" l="1"/>
  <c r="G198" i="14" s="1"/>
  <c r="G196" i="14"/>
  <c r="AF74" i="5"/>
  <c r="H72" i="5"/>
  <c r="G199" i="14" s="1"/>
  <c r="N68" i="5"/>
  <c r="N72" i="5"/>
  <c r="I200" i="14" l="1"/>
  <c r="N74" i="5"/>
  <c r="G200" i="14" s="1"/>
  <c r="H74" i="5"/>
  <c r="G221" i="3"/>
  <c r="A210" i="14" l="1"/>
  <c r="A204" i="14"/>
  <c r="A211" i="14" s="1"/>
  <c r="N77" i="5"/>
  <c r="G202" i="14" s="1"/>
  <c r="AF75" i="5"/>
  <c r="H77" i="5"/>
  <c r="Z75" i="5"/>
  <c r="G222" i="3"/>
  <c r="A226" i="3" l="1"/>
  <c r="A233" i="3" s="1"/>
  <c r="A232" i="3"/>
  <c r="AF77" i="5"/>
  <c r="AF79" i="5" s="1"/>
  <c r="Z77" i="5"/>
  <c r="E36" i="11" s="1"/>
  <c r="G32" i="24" s="1"/>
  <c r="G224" i="3"/>
  <c r="C10" i="13" l="1"/>
  <c r="D10" i="13" s="1"/>
  <c r="E10" i="13" s="1"/>
  <c r="AI79" i="5"/>
  <c r="I204" i="14"/>
  <c r="I211" i="14"/>
  <c r="H154" i="14" s="1"/>
  <c r="B9" i="6"/>
  <c r="B10" i="6" s="1"/>
  <c r="B11" i="6" s="1"/>
  <c r="C16" i="13"/>
  <c r="D16" i="13" s="1"/>
  <c r="E16" i="13" s="1"/>
  <c r="I226" i="3"/>
  <c r="I233" i="3"/>
  <c r="G234" i="3" s="1"/>
  <c r="Z79" i="5"/>
  <c r="G36" i="11" s="1"/>
  <c r="K32" i="24" l="1"/>
  <c r="G212" i="14"/>
  <c r="A212" i="14" s="1"/>
  <c r="AC79" i="5"/>
  <c r="H174" i="3"/>
  <c r="A234" i="3"/>
  <c r="I234" i="3"/>
  <c r="I212"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<sst xmlns="http://schemas.openxmlformats.org/spreadsheetml/2006/main" count="1639" uniqueCount="786">
  <si>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</si>
  <si>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</si>
  <si>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</si>
  <si>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</si>
  <si>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</si>
  <si>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</si>
  <si>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</si>
  <si>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</si>
  <si>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</si>
  <si>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</si>
  <si>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</si>
  <si>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</si>
  <si>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</si>
  <si>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</si>
  <si>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</si>
  <si>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</si>
  <si>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</si>
  <si>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</si>
  <si>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</si>
  <si>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</si>
  <si>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</si>
  <si>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</si>
  <si>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</si>
  <si>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</si>
  <si>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</si>
  <si>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</si>
  <si>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</si>
  <si>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</si>
  <si>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</si>
  <si>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</si>
  <si>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</si>
  <si>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</si>
  <si>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</si>
  <si>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</si>
  <si>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</si>
  <si>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</si>
  <si>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</si>
  <si>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</si>
  <si>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</si>
  <si>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</si>
  <si>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</si>
  <si>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</si>
  <si>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</si>
  <si>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</si>
  <si>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</si>
  <si>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</si>
  <si>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</si>
  <si>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</si>
  <si>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</si>
  <si>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</si>
  <si>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</si>
  <si>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</si>
  <si>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</si>
  <si>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</si>
  <si>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</si>
  <si>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</si>
  <si>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</si>
  <si>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</si>
  <si>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</si>
  <si>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</si>
  <si>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</si>
  <si>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</si>
  <si>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</si>
  <si>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</si>
  <si>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</si>
  <si>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</si>
  <si>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</si>
  <si>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</si>
  <si>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</si>
  <si>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</si>
  <si>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</si>
  <si>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</si>
  <si>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</si>
  <si>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</si>
  <si>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</si>
  <si>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</si>
  <si>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</si>
  <si>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</si>
  <si>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</si>
  <si>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</si>
  <si>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</si>
  <si>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</si>
  <si>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</si>
  <si>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</si>
  <si>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</si>
  <si>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</si>
  <si>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</si>
  <si>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</si>
  <si>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</si>
  <si>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</si>
  <si>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</si>
  <si>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</si>
  <si>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</si>
  <si>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</si>
  <si>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</si>
  <si>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</si>
  <si>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</si>
  <si>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</si>
  <si>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</si>
  <si>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</si>
  <si>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</si>
  <si>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</si>
  <si>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</si>
  <si>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</si>
  <si>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</si>
  <si>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</si>
  <si>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</si>
  <si>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</si>
  <si>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</si>
  <si>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</si>
  <si>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</si>
  <si>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</si>
  <si>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</si>
  <si>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</si>
  <si>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</si>
  <si>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</si>
  <si>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</si>
  <si>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</si>
  <si>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</si>
  <si>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</si>
  <si>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</si>
  <si>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</si>
  <si>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</si>
  <si>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</si>
  <si>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</si>
  <si>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</si>
  <si>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</si>
  <si>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</si>
  <si>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</si>
  <si>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</si>
  <si>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</si>
  <si>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</si>
  <si>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</si>
  <si>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</si>
  <si>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</si>
  <si>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</si>
  <si>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</si>
  <si>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</si>
  <si>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</si>
  <si>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</si>
  <si>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</si>
  <si>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</si>
  <si>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</si>
  <si>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</si>
  <si>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</si>
  <si>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</si>
  <si>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</si>
  <si>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</si>
  <si>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</si>
  <si>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</si>
  <si>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</si>
  <si>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</si>
  <si>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</si>
  <si>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</si>
  <si>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</si>
  <si>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</si>
  <si>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</si>
  <si>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</si>
  <si>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</si>
  <si>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</si>
  <si>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</si>
  <si>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</si>
  <si>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</si>
  <si>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</si>
  <si>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</si>
  <si>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</si>
  <si>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</si>
  <si>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</si>
  <si>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</si>
  <si>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</si>
  <si>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</si>
  <si>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</si>
  <si>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</si>
  <si>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</si>
  <si>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</si>
  <si>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</si>
  <si>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</si>
  <si>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</si>
  <si>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</si>
  <si>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</si>
  <si>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</si>
  <si>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</si>
  <si>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</si>
  <si>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</si>
  <si>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</si>
  <si>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</si>
  <si>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</si>
  <si>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</si>
  <si>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</si>
  <si>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</si>
  <si>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</si>
  <si>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</si>
  <si>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</si>
  <si>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</si>
  <si>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</si>
  <si>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</si>
  <si>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</si>
  <si>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</si>
  <si>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</si>
  <si>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</si>
  <si>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</si>
  <si>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</si>
  <si>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</si>
  <si>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</si>
  <si>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</si>
  <si>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</si>
  <si>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</si>
  <si>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</si>
  <si>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</si>
  <si>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</si>
  <si>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</si>
  <si>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</si>
  <si>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</si>
  <si>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</si>
  <si>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</si>
  <si>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</si>
  <si>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</si>
  <si>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</si>
  <si>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</si>
  <si>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</si>
  <si>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</si>
  <si>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</si>
  <si>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</si>
  <si>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</si>
  <si>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</si>
  <si>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</si>
  <si>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</si>
  <si>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</si>
  <si>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</si>
  <si>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</si>
  <si>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</si>
  <si>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</si>
  <si>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</si>
  <si>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</si>
  <si>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</si>
  <si>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</si>
  <si>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</si>
  <si>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</si>
  <si>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</si>
  <si>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</si>
  <si>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</si>
  <si>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</si>
  <si>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</si>
  <si>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</si>
  <si>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</si>
  <si>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</si>
  <si>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</si>
  <si>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</si>
  <si>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</si>
  <si>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</si>
  <si>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</si>
  <si>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</si>
  <si>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</si>
  <si>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</si>
  <si>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</si>
  <si>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</si>
  <si>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</si>
  <si>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</si>
  <si>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</si>
  <si>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</si>
  <si>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</si>
  <si>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</si>
  <si>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</si>
  <si>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</si>
  <si>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</si>
  <si>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</si>
  <si>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</si>
  <si>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</si>
  <si>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</si>
  <si>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</si>
  <si>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</si>
  <si>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</si>
  <si>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</si>
  <si>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</si>
  <si>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</si>
  <si>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</si>
  <si>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</si>
  <si>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</si>
  <si>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</si>
  <si>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</si>
  <si>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</si>
  <si>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</si>
  <si>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</si>
  <si>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</si>
  <si>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</si>
  <si>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</si>
  <si>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</si>
  <si>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</si>
  <si>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</si>
  <si>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</si>
  <si>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</si>
  <si>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</si>
  <si>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</si>
  <si>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</si>
  <si>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</si>
  <si>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</si>
  <si>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</si>
  <si>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</si>
  <si>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</si>
  <si>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</si>
  <si>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</si>
  <si>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</si>
  <si>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</si>
  <si>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</si>
  <si>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</si>
  <si>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</si>
  <si>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</si>
  <si>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</si>
  <si>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</si>
  <si>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</si>
  <si>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</si>
  <si>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</si>
  <si>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</si>
  <si>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</si>
  <si>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</si>
  <si>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</si>
  <si>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</si>
  <si>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</si>
  <si>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</si>
  <si>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</si>
  <si>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</si>
  <si>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</si>
  <si>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</si>
  <si>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</si>
  <si>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</si>
  <si>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</si>
  <si>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</si>
  <si>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</si>
  <si>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</si>
  <si>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</si>
  <si>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</si>
  <si>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</si>
  <si>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</si>
  <si>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</si>
  <si>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</si>
  <si>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</si>
  <si>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</si>
  <si>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</si>
  <si>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</si>
  <si>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</si>
  <si>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</si>
  <si>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</si>
  <si>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</si>
  <si>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</si>
  <si>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</si>
  <si>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</si>
  <si>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</si>
  <si>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</si>
  <si>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</si>
  <si>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</si>
  <si>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</si>
  <si>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</si>
  <si>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</si>
  <si>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</si>
  <si>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</si>
  <si>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</si>
  <si>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</si>
  <si>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</si>
  <si>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</si>
  <si>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</si>
  <si>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</si>
  <si>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</si>
  <si>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</si>
  <si>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</si>
  <si>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</si>
  <si>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</si>
  <si>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</si>
  <si>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</si>
  <si>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</si>
  <si>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</si>
  <si>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</si>
  <si>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</si>
  <si>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</si>
  <si>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</si>
  <si>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</si>
  <si>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</si>
  <si>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</si>
  <si>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</si>
  <si>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</si>
  <si>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</si>
  <si>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</si>
  <si>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</si>
  <si>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</si>
  <si>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</si>
  <si>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</si>
  <si>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</si>
  <si>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</si>
  <si>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</si>
  <si>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</si>
  <si>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</si>
  <si>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</si>
  <si>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</si>
  <si>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</si>
  <si>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</si>
  <si>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</si>
  <si>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</si>
  <si>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</si>
  <si>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</si>
  <si>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</si>
  <si>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</si>
  <si>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</si>
  <si>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</si>
  <si>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</si>
  <si>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</si>
  <si>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</si>
  <si>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</si>
  <si>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</si>
  <si>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</si>
  <si>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</si>
  <si>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</si>
  <si>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</si>
  <si>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</si>
  <si>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</si>
  <si>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</si>
  <si>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</si>
  <si>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</si>
  <si>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</si>
  <si>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</si>
  <si>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</si>
  <si>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</si>
  <si>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</si>
  <si>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</si>
  <si>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</si>
  <si>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</si>
  <si>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</si>
  <si>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</si>
  <si>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</si>
  <si>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</si>
  <si>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</si>
  <si>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</si>
  <si>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</si>
  <si>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</si>
  <si>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</si>
  <si>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</si>
  <si>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</si>
  <si>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</si>
  <si>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</si>
  <si>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</si>
  <si>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</si>
  <si>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</si>
  <si>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</si>
  <si>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</si>
  <si>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</si>
  <si>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</si>
  <si>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</si>
  <si>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</si>
  <si>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</si>
  <si>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</si>
  <si>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</si>
  <si>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</si>
  <si>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</si>
  <si>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</si>
  <si>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</si>
  <si>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</si>
  <si>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</si>
  <si>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</si>
  <si>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</si>
  <si>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</si>
  <si>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</si>
  <si>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</si>
  <si>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</si>
  <si>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</si>
  <si>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</si>
  <si>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</si>
  <si>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</si>
  <si>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</si>
  <si>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</si>
  <si>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</si>
  <si>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</si>
  <si>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</si>
  <si>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</si>
  <si>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</si>
  <si>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</si>
  <si>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</si>
  <si>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</si>
  <si>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</si>
  <si>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</si>
  <si>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</si>
  <si>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</si>
  <si>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</si>
  <si>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</si>
  <si>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</si>
  <si>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</si>
  <si>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</si>
  <si>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</si>
  <si>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</si>
  <si>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</si>
  <si>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</si>
  <si>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</si>
  <si>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</si>
  <si>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</si>
  <si>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</si>
  <si>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</si>
  <si>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</si>
  <si>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</si>
  <si>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</si>
  <si>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</si>
  <si>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</si>
  <si>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</si>
  <si>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</si>
  <si>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</si>
  <si>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</si>
  <si>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</si>
  <si>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</si>
  <si>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</si>
  <si>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</si>
  <si>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</si>
  <si>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</si>
  <si>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</si>
  <si>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</si>
  <si>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</si>
  <si>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</si>
  <si>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</si>
  <si>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</si>
  <si>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</si>
  <si>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</si>
  <si>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</si>
  <si>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</si>
  <si>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</si>
  <si>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</si>
  <si>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</si>
  <si>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</si>
  <si>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</si>
  <si>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</si>
  <si>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</si>
  <si>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</si>
  <si>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</si>
  <si>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</si>
  <si>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</si>
  <si>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</si>
  <si>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</si>
  <si>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</si>
  <si>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</si>
  <si>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</si>
  <si>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</si>
  <si>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</si>
  <si>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</si>
  <si>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</si>
  <si>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</si>
  <si>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</si>
  <si>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</si>
  <si>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</si>
  <si>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</si>
  <si>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</si>
  <si>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</si>
  <si>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</si>
  <si>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</si>
  <si>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</si>
  <si>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</si>
  <si>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</si>
  <si>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</si>
  <si>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</si>
  <si>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</si>
  <si>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</si>
  <si>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</si>
  <si>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</si>
  <si>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</si>
  <si>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</si>
  <si>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</si>
  <si>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</si>
  <si>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</si>
  <si>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</si>
  <si>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</si>
  <si>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</si>
  <si>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</si>
  <si>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</si>
  <si>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</si>
  <si>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</si>
  <si>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</si>
  <si>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</si>
  <si>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</si>
  <si>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</si>
  <si>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</si>
  <si>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</si>
  <si>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</si>
  <si>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</si>
  <si>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</si>
  <si>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</si>
  <si>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</si>
  <si>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</si>
  <si>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</si>
  <si>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</si>
  <si>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</si>
  <si>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</si>
  <si>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</si>
  <si>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</si>
  <si>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</si>
  <si>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</si>
  <si>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</si>
  <si>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</si>
  <si>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</si>
  <si>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</si>
  <si>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</si>
  <si>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</si>
  <si>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</si>
  <si>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</si>
  <si>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</si>
  <si>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</si>
  <si>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</si>
  <si>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</si>
  <si>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</si>
  <si>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</si>
  <si>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</si>
  <si>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</si>
  <si>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</si>
  <si>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</si>
  <si>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</si>
  <si>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</si>
  <si>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</si>
  <si>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</si>
  <si>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</si>
  <si>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</si>
  <si>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</si>
  <si>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</si>
  <si>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</si>
  <si>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</si>
  <si>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</si>
  <si>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</si>
  <si>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</si>
  <si>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</si>
  <si>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</si>
  <si>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</si>
  <si>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</si>
  <si>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</si>
  <si>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</si>
  <si>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</si>
  <si>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</si>
  <si>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</si>
  <si>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</si>
  <si>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</si>
  <si>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</si>
  <si>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</si>
  <si>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</si>
  <si>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</si>
  <si>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</si>
  <si>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</si>
  <si>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</si>
  <si>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</si>
  <si>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</si>
  <si>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</si>
  <si>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</si>
  <si>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</si>
  <si>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</si>
  <si>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</si>
  <si>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</si>
  <si>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</si>
  <si>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</si>
  <si>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</si>
  <si>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</si>
  <si>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</si>
  <si>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</si>
  <si>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</si>
  <si>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</si>
  <si>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</si>
  <si>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</si>
  <si>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</si>
  <si>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</si>
  <si>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</si>
  <si>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</si>
  <si>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</si>
  <si>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</si>
  <si>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</si>
  <si>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</si>
  <si>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</si>
  <si>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</si>
  <si>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</si>
  <si>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</si>
  <si>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</si>
  <si>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</si>
  <si>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</si>
  <si>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</si>
  <si>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</si>
  <si>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</si>
  <si>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</si>
  <si>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</si>
  <si>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</si>
  <si>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</si>
  <si>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</si>
  <si>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</si>
  <si>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</si>
  <si>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</si>
  <si>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</si>
  <si>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</si>
  <si>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</si>
  <si>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</si>
  <si>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</si>
  <si>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</si>
  <si>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</si>
  <si>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</si>
  <si>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</si>
  <si>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</si>
  <si>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</si>
  <si>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</si>
  <si>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</si>
  <si>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</si>
  <si>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</si>
  <si>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</si>
  <si>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</si>
  <si>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</si>
  <si>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</si>
  <si>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</si>
  <si>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</si>
  <si>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</si>
  <si>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</si>
  <si>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</si>
  <si>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</si>
  <si>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</si>
  <si>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</si>
  <si>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</si>
  <si>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</si>
  <si>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</si>
  <si>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</si>
  <si>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</si>
  <si>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</si>
  <si>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</si>
  <si>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</si>
  <si>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</si>
  <si>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</si>
  <si>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</si>
  <si>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</si>
  <si>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</si>
  <si>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</si>
  <si>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</si>
  <si>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</si>
  <si>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</si>
  <si>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Haroldo Fernandes Alves Junior</t>
  </si>
  <si>
    <t>Mr. Leonardo Mariano</t>
  </si>
  <si>
    <t>Mr. Lucas Zwierzykowski</t>
  </si>
  <si>
    <t>Mr. Robson Coutinho</t>
  </si>
  <si>
    <t>ALTP</t>
  </si>
  <si>
    <t>BTG 01</t>
  </si>
  <si>
    <t>BTG H</t>
  </si>
  <si>
    <t>Mr. André David</t>
  </si>
  <si>
    <t>Mr. Vitor Mendes Belo</t>
  </si>
  <si>
    <t>Mr. Edilson Gonçalves</t>
  </si>
  <si>
    <t>BTG 1</t>
  </si>
  <si>
    <t>BTG 2 V</t>
  </si>
  <si>
    <t xml:space="preserve"> Messrs. BTG Pactual Commodities Sertrading S/A,</t>
  </si>
  <si>
    <t xml:space="preserve"> Messrs. Amaggi &amp; LDC Terminais Portuários Paranaguá S.A,</t>
  </si>
  <si>
    <t>PGUA/DS/</t>
  </si>
  <si>
    <t>081/26</t>
  </si>
  <si>
    <t>Karlovasi</t>
  </si>
  <si>
    <t>CQ2400</t>
  </si>
  <si>
    <t>Madeira</t>
  </si>
  <si>
    <t>Portuguese</t>
  </si>
  <si>
    <t xml:space="preserve">NKK: NS*(CSR, BC-A, BC-XII, GRAB 20, EQ C DG, PSPC-WBT, NC, 1C) (ESP) (HCM-GBS) (IWS) (PSCM) (EEDI-p3) (NOx-III(SCR)) 
MNS* </t>
  </si>
  <si>
    <t>Iwagi Zosen Co., Ltd. / Imabari Shipbuilding Co., Ltd.</t>
  </si>
  <si>
    <t>AL</t>
  </si>
  <si>
    <t>Inner roads</t>
  </si>
  <si>
    <t>Palangana</t>
  </si>
  <si>
    <t>Wheat in bulk</t>
  </si>
  <si>
    <t>One China Port</t>
  </si>
  <si>
    <t>Fine</t>
  </si>
  <si>
    <t>No tide flow</t>
  </si>
  <si>
    <t>K</t>
  </si>
  <si>
    <t>GWT (P)</t>
  </si>
  <si>
    <t>GWT (S)</t>
  </si>
  <si>
    <t>1 WBT (P)</t>
  </si>
  <si>
    <t>1 WBT (S)</t>
  </si>
  <si>
    <t>2 WBT (P)</t>
  </si>
  <si>
    <t>2 WBT (S)</t>
  </si>
  <si>
    <t>3 WBT (P)</t>
  </si>
  <si>
    <t>3 WBT (S)</t>
  </si>
  <si>
    <t>4 WBT (P)</t>
  </si>
  <si>
    <t>4 WBT (S)</t>
  </si>
  <si>
    <t>5 WBT (P)</t>
  </si>
  <si>
    <t>5 WBT (S)</t>
  </si>
  <si>
    <t>Wharf</t>
  </si>
  <si>
    <t>Overcast</t>
  </si>
  <si>
    <t>Flood tide, &lt;1 knot</t>
  </si>
  <si>
    <t>GAUGE</t>
  </si>
  <si>
    <t>FULL</t>
  </si>
  <si>
    <t>SLACK</t>
  </si>
  <si>
    <t>Soybeans</t>
  </si>
  <si>
    <t>BTG 02 V</t>
  </si>
  <si>
    <t>Cai Mep, Vietnam</t>
  </si>
  <si>
    <t>17.01.2023</t>
  </si>
  <si>
    <t>C-2300</t>
  </si>
  <si>
    <t>Tsamadou Limited</t>
  </si>
  <si>
    <t>JHI Steamship Co.</t>
  </si>
  <si>
    <t>C-080/D</t>
  </si>
  <si>
    <t>Pavlo Mariynsky</t>
  </si>
  <si>
    <t>Sergei Ukolov</t>
  </si>
  <si>
    <t>Andrii Liskevych</t>
  </si>
  <si>
    <t>Directly applied on volumes</t>
  </si>
  <si>
    <t>(As Consignees Surveyors)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</si>
</sst>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49">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3" fontId="45" fillId="8" borderId="61" xfId="3" applyNumberFormat="1" applyFont="1" applyFill="1" applyBorder="1" applyAlignment="1" applyProtection="1">
      <alignment horizontal="center"/>
      <protection locked="0"/>
    </xf>
    <xf numFmtId="0" fontId="48" fillId="0" borderId="4" xfId="3" applyFont="1" applyBorder="1"/>
    <xf numFmtId="182" fontId="48" fillId="0" borderId="4" xfId="3" applyNumberFormat="1" applyFont="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7" fillId="0" borderId="4" xfId="0" applyFont="1" applyBorder="1" applyAlignment="1" applyProtection="1">
      <alignment horizontal="center"/>
      <protection locked="0"/>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 fontId="9" fillId="0" borderId="0" xfId="0" applyNumberFormat="1" applyFont="1" applyAlignment="1" applyProtection="1">
      <alignment horizontal="center" vertical="center" wrapText="1"/>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0" fontId="12" fillId="0" borderId="0" xfId="0" applyFont="1" applyAlignment="1" applyProtection="1">
      <alignment horizontal="center"/>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12" fillId="0" borderId="0" xfId="0" applyFont="1" applyAlignment="1" applyProtection="1">
      <alignment horizontal="center" wrapText="1"/>
      <protection locked="0"/>
    </xf>
    <xf numFmtId="0" fontId="10" fillId="0" borderId="0" xfId="0" applyFont="1" applyAlignment="1" applyProtection="1">
      <alignment horizontal="left" vertical="top" wrapText="1"/>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1" fillId="8" borderId="150" xfId="4" applyNumberForma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185" fontId="123" fillId="3" borderId="0" xfId="0" applyNumberFormat="1" applyFont="1" applyFill="1" applyAlignment="1">
      <alignment horizontal="center"/>
    </xf>
    <xf numFmtId="0" fontId="3" fillId="3" borderId="179"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7">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12143.924999999999</c:v>
                </c:pt>
                <c:pt idx="1">
                  <c:v>7000</c:v>
                </c:pt>
                <c:pt idx="2">
                  <c:v>0</c:v>
                </c:pt>
                <c:pt idx="3">
                  <c:v>0</c:v>
                </c:pt>
                <c:pt idx="4">
                  <c:v>20000</c:v>
                </c:pt>
                <c:pt idx="5">
                  <c:v>0</c:v>
                </c:pt>
                <c:pt idx="6">
                  <c:v>4000</c:v>
                </c:pt>
                <c:pt idx="7">
                  <c:v>0</c:v>
                </c:pt>
                <c:pt idx="8">
                  <c:v>10000</c:v>
                </c:pt>
                <c:pt idx="9">
                  <c:v>0</c:v>
                </c:pt>
                <c:pt idx="10">
                  <c:v>5856.0749999999998</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2A4ABCC3-07B0-4F38-9EE9-6972DAC196EF}"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89C9E390-9253-48F0-BD1B-8369CADF04E1}"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20.582923728813558</c:v>
                </c:pt>
                <c:pt idx="1">
                  <c:v>11.864406779661017</c:v>
                </c:pt>
                <c:pt idx="2">
                  <c:v>0</c:v>
                </c:pt>
                <c:pt idx="3">
                  <c:v>0</c:v>
                </c:pt>
                <c:pt idx="4">
                  <c:v>33.898305084745758</c:v>
                </c:pt>
                <c:pt idx="5">
                  <c:v>0</c:v>
                </c:pt>
                <c:pt idx="6">
                  <c:v>6.7796610169491522</c:v>
                </c:pt>
                <c:pt idx="7">
                  <c:v>0</c:v>
                </c:pt>
                <c:pt idx="8">
                  <c:v>16.949152542372879</c:v>
                </c:pt>
                <c:pt idx="9">
                  <c:v>0</c:v>
                </c:pt>
                <c:pt idx="10">
                  <c:v>9.9255508474576271</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41</xdr:row>
      <xdr:rowOff>182035</xdr:rowOff>
    </xdr:from>
    <xdr:to>
      <xdr:col>19</xdr:col>
      <xdr:colOff>590550</xdr:colOff>
      <xdr:row>52</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39</xdr:row>
      <xdr:rowOff>143775</xdr:rowOff>
    </xdr:from>
    <xdr:to>
      <xdr:col>19</xdr:col>
      <xdr:colOff>593682</xdr:colOff>
      <xdr:row>41</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52</xdr:row>
      <xdr:rowOff>152401</xdr:rowOff>
    </xdr:from>
    <xdr:to>
      <xdr:col>19</xdr:col>
      <xdr:colOff>590549</xdr:colOff>
      <xdr:row>56</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36</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68</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61</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43" zoomScale="106" zoomScaleNormal="106" workbookViewId="0">
      <selection activeCell="M28" sqref="M28"/>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1" t="s">
        <v>143</v>
      </c>
      <c r="N3" s="861"/>
      <c r="O3" s="861"/>
      <c r="P3" s="861"/>
      <c r="Q3" s="861"/>
      <c r="R3" s="861"/>
      <c r="S3" s="861"/>
      <c r="T3" s="861"/>
      <c r="U3" s="861"/>
    </row>
    <row r="4" spans="1:21" ht="21" x14ac:dyDescent="0.35">
      <c r="A4" s="22" t="s">
        <v>144</v>
      </c>
      <c r="B4" s="22" t="s">
        <v>145</v>
      </c>
      <c r="C4" s="18"/>
      <c r="D4" s="18"/>
      <c r="E4" s="18"/>
      <c r="F4" s="18"/>
      <c r="G4" s="18"/>
      <c r="H4" s="18"/>
      <c r="I4" s="19"/>
      <c r="J4" s="19"/>
      <c r="K4" s="19"/>
      <c r="L4" s="19"/>
      <c r="M4" s="19"/>
      <c r="N4" s="19"/>
      <c r="O4" s="19"/>
    </row>
    <row r="5" spans="1:21" ht="18.75" x14ac:dyDescent="0.3">
      <c r="A5" s="23" t="s">
        <v>739</v>
      </c>
      <c r="B5" s="24" t="s">
        <v>740</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62" t="s">
        <v>148</v>
      </c>
      <c r="B7" s="860"/>
      <c r="C7" s="29"/>
      <c r="D7" s="29"/>
      <c r="E7" s="29"/>
      <c r="F7" s="29"/>
      <c r="G7" s="29"/>
      <c r="H7" s="29"/>
      <c r="I7" s="30"/>
      <c r="J7" s="30"/>
      <c r="K7" s="30"/>
      <c r="L7" s="30"/>
      <c r="M7" s="30"/>
      <c r="N7" s="30"/>
      <c r="O7" s="27" t="s">
        <v>149</v>
      </c>
      <c r="P7" s="28"/>
    </row>
    <row r="8" spans="1:21" ht="15.75" x14ac:dyDescent="0.25">
      <c r="A8" s="31" t="s">
        <v>48</v>
      </c>
      <c r="B8" s="32" t="s">
        <v>741</v>
      </c>
      <c r="C8" s="29"/>
      <c r="D8" s="29"/>
      <c r="E8" s="29"/>
      <c r="F8" s="29"/>
      <c r="G8" s="29"/>
      <c r="H8" s="29"/>
      <c r="I8" s="30"/>
      <c r="J8" s="30"/>
      <c r="K8" s="30"/>
      <c r="L8" s="30"/>
      <c r="M8" s="30"/>
      <c r="N8" s="30"/>
      <c r="O8" s="27" t="s">
        <v>150</v>
      </c>
    </row>
    <row r="9" spans="1:21" ht="15.75" x14ac:dyDescent="0.25">
      <c r="A9" s="31" t="s">
        <v>151</v>
      </c>
      <c r="B9" s="32">
        <v>2023</v>
      </c>
      <c r="C9" s="33"/>
      <c r="D9" s="33"/>
      <c r="E9" s="33"/>
      <c r="F9" s="29"/>
      <c r="G9" s="29"/>
      <c r="H9" s="29"/>
      <c r="I9" s="30"/>
      <c r="J9" s="30"/>
      <c r="K9" s="30"/>
      <c r="L9" s="30"/>
      <c r="M9" s="30"/>
      <c r="N9" s="30"/>
      <c r="O9" s="27" t="s">
        <v>152</v>
      </c>
    </row>
    <row r="10" spans="1:21" ht="15.75" x14ac:dyDescent="0.25">
      <c r="A10" s="31" t="s">
        <v>52</v>
      </c>
      <c r="B10" s="32">
        <v>9951783</v>
      </c>
      <c r="C10" s="29"/>
      <c r="D10" s="29"/>
      <c r="E10" s="29"/>
      <c r="F10" s="29"/>
      <c r="G10" s="29"/>
      <c r="H10" s="29"/>
      <c r="I10" s="30"/>
      <c r="J10" s="30"/>
      <c r="K10" s="30"/>
      <c r="L10" s="30"/>
      <c r="M10" s="30"/>
      <c r="N10" s="30"/>
      <c r="O10" s="27" t="s">
        <v>153</v>
      </c>
    </row>
    <row r="11" spans="1:21" ht="15.75" x14ac:dyDescent="0.25">
      <c r="A11" s="31" t="s">
        <v>62</v>
      </c>
      <c r="B11" s="32" t="s">
        <v>746</v>
      </c>
      <c r="C11" s="29"/>
      <c r="D11" s="29"/>
      <c r="E11" s="29"/>
      <c r="F11" s="29"/>
      <c r="G11" s="29"/>
      <c r="H11" s="29"/>
      <c r="I11" s="30"/>
      <c r="J11" s="30"/>
      <c r="K11" s="30"/>
      <c r="L11" s="30"/>
      <c r="M11" s="30"/>
      <c r="N11" s="30"/>
      <c r="O11" s="27" t="s">
        <v>154</v>
      </c>
    </row>
    <row r="12" spans="1:21" ht="15.75" x14ac:dyDescent="0.25">
      <c r="A12" s="31" t="s">
        <v>49</v>
      </c>
      <c r="B12" s="32" t="s">
        <v>742</v>
      </c>
      <c r="C12" s="29"/>
      <c r="D12" s="29"/>
      <c r="E12" s="29"/>
      <c r="F12" s="29"/>
      <c r="G12" s="29"/>
      <c r="H12" s="29"/>
      <c r="I12" s="30"/>
      <c r="J12" s="30"/>
      <c r="K12" s="30"/>
      <c r="L12" s="30"/>
      <c r="M12" s="30"/>
      <c r="N12" s="30"/>
      <c r="O12" s="27" t="s">
        <v>155</v>
      </c>
    </row>
    <row r="13" spans="1:21" ht="15.75" x14ac:dyDescent="0.25">
      <c r="A13" s="31" t="s">
        <v>50</v>
      </c>
      <c r="B13" s="32" t="s">
        <v>743</v>
      </c>
      <c r="C13" s="29"/>
      <c r="D13" s="29"/>
      <c r="E13" s="29"/>
      <c r="F13" s="29"/>
      <c r="G13" s="29"/>
      <c r="H13" s="29"/>
      <c r="I13" s="30"/>
      <c r="J13" s="30"/>
      <c r="K13" s="30"/>
      <c r="L13" s="30"/>
      <c r="M13" s="30"/>
      <c r="N13" s="30"/>
      <c r="O13" s="27" t="s">
        <v>156</v>
      </c>
    </row>
    <row r="14" spans="1:21" ht="15.75" x14ac:dyDescent="0.25">
      <c r="A14" s="31" t="s">
        <v>51</v>
      </c>
      <c r="B14" s="32" t="s">
        <v>744</v>
      </c>
      <c r="C14" s="29"/>
      <c r="D14" s="29"/>
      <c r="E14" s="29"/>
      <c r="F14" s="29"/>
      <c r="G14" s="29"/>
      <c r="H14" s="29"/>
      <c r="I14" s="30"/>
      <c r="J14" s="30"/>
      <c r="K14" s="30"/>
      <c r="L14" s="30"/>
      <c r="M14" s="30"/>
      <c r="N14" s="30"/>
      <c r="O14" s="34" t="s">
        <v>157</v>
      </c>
      <c r="P14" s="35" t="s">
        <v>570</v>
      </c>
    </row>
    <row r="15" spans="1:21" ht="15.75" x14ac:dyDescent="0.25">
      <c r="A15" s="31" t="s">
        <v>53</v>
      </c>
      <c r="B15" s="32">
        <v>199.98</v>
      </c>
      <c r="C15" s="29"/>
      <c r="D15" s="29"/>
      <c r="E15" s="29"/>
      <c r="F15" s="29"/>
      <c r="G15" s="29"/>
      <c r="H15" s="29"/>
      <c r="I15" s="30"/>
      <c r="J15" s="30"/>
      <c r="K15" s="30"/>
      <c r="L15" s="30"/>
      <c r="M15" s="30"/>
      <c r="N15" s="30"/>
      <c r="O15" s="19"/>
    </row>
    <row r="16" spans="1:21" ht="15.75" x14ac:dyDescent="0.25">
      <c r="A16" s="31" t="s">
        <v>54</v>
      </c>
      <c r="B16" s="32">
        <v>195.4</v>
      </c>
      <c r="C16" s="29"/>
      <c r="D16" s="29"/>
      <c r="E16" s="29"/>
      <c r="F16" s="36" t="s">
        <v>158</v>
      </c>
      <c r="G16" s="29"/>
      <c r="H16" s="29"/>
      <c r="I16" s="30"/>
      <c r="J16" s="36" t="s">
        <v>158</v>
      </c>
      <c r="K16" s="30"/>
      <c r="L16" s="30"/>
      <c r="M16" s="30"/>
      <c r="N16" s="30"/>
      <c r="O16" s="19"/>
    </row>
    <row r="17" spans="1:15" ht="15.75" x14ac:dyDescent="0.25">
      <c r="A17" s="31" t="s">
        <v>55</v>
      </c>
      <c r="B17" s="32">
        <v>19.3</v>
      </c>
      <c r="C17" s="29"/>
      <c r="D17" s="29"/>
      <c r="E17" s="29"/>
      <c r="F17" s="36" t="s">
        <v>159</v>
      </c>
      <c r="G17" s="29"/>
      <c r="H17" s="29"/>
      <c r="I17" s="30"/>
      <c r="J17" s="37" t="s">
        <v>160</v>
      </c>
      <c r="K17" s="30"/>
      <c r="L17" s="30"/>
      <c r="M17" s="30"/>
      <c r="N17" s="30"/>
      <c r="O17" s="19"/>
    </row>
    <row r="18" spans="1:15" ht="15.75" x14ac:dyDescent="0.25">
      <c r="A18" s="31" t="s">
        <v>56</v>
      </c>
      <c r="B18" s="32">
        <v>32.24</v>
      </c>
      <c r="C18" s="29"/>
      <c r="D18" s="29"/>
      <c r="E18" s="29"/>
      <c r="F18" s="36" t="s">
        <v>161</v>
      </c>
      <c r="G18" s="29"/>
      <c r="H18" s="29"/>
      <c r="I18" s="30"/>
      <c r="J18" s="37" t="s">
        <v>162</v>
      </c>
      <c r="K18" s="30"/>
      <c r="L18" s="30"/>
      <c r="M18" s="30"/>
      <c r="N18" s="30"/>
      <c r="O18" s="19"/>
    </row>
    <row r="19" spans="1:15" ht="15.75" x14ac:dyDescent="0.25">
      <c r="A19" s="31" t="s">
        <v>60</v>
      </c>
      <c r="B19" s="722">
        <v>11774</v>
      </c>
      <c r="C19" s="29"/>
      <c r="D19" s="29"/>
      <c r="E19" s="29"/>
      <c r="F19" s="36" t="s">
        <v>623</v>
      </c>
      <c r="G19" s="29"/>
      <c r="H19" s="29"/>
      <c r="I19" s="30"/>
      <c r="J19" s="37" t="s">
        <v>634</v>
      </c>
      <c r="K19" s="30"/>
      <c r="L19" s="30"/>
      <c r="M19" s="30"/>
      <c r="N19" s="30"/>
      <c r="O19" s="19"/>
    </row>
    <row r="20" spans="1:15" ht="15.75" x14ac:dyDescent="0.25">
      <c r="A20" s="31" t="s">
        <v>57</v>
      </c>
      <c r="B20" s="32">
        <v>36138</v>
      </c>
      <c r="C20" s="29"/>
      <c r="D20" s="29"/>
      <c r="E20" s="29"/>
      <c r="F20" s="37" t="s">
        <v>160</v>
      </c>
      <c r="G20" s="29"/>
      <c r="H20" s="29"/>
      <c r="I20" s="30"/>
      <c r="J20" s="37" t="s">
        <v>163</v>
      </c>
      <c r="K20" s="30"/>
      <c r="L20" s="30"/>
      <c r="M20" s="30"/>
      <c r="N20" s="30"/>
      <c r="O20" s="19"/>
    </row>
    <row r="21" spans="1:15" ht="15.75" x14ac:dyDescent="0.25">
      <c r="A21" s="31" t="s">
        <v>58</v>
      </c>
      <c r="B21" s="32">
        <v>21173</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745</v>
      </c>
      <c r="C23" s="29"/>
      <c r="D23" s="29"/>
      <c r="E23" s="29"/>
      <c r="F23" s="36" t="s">
        <v>164</v>
      </c>
      <c r="G23" s="29"/>
      <c r="H23" s="29"/>
      <c r="I23" s="30"/>
      <c r="J23" s="36" t="s">
        <v>167</v>
      </c>
      <c r="K23" s="30"/>
      <c r="L23" s="30"/>
      <c r="M23" s="30"/>
      <c r="N23" s="30"/>
      <c r="O23" s="19"/>
    </row>
    <row r="24" spans="1:15" ht="15.75" x14ac:dyDescent="0.25">
      <c r="A24" s="40" t="s">
        <v>63</v>
      </c>
      <c r="B24" s="41" t="s">
        <v>778</v>
      </c>
      <c r="C24" s="29"/>
      <c r="D24" s="29"/>
      <c r="E24" s="29"/>
      <c r="F24" s="36" t="s">
        <v>168</v>
      </c>
      <c r="G24" s="29"/>
      <c r="H24" s="29"/>
      <c r="I24" s="30"/>
      <c r="J24" s="36" t="s">
        <v>169</v>
      </c>
      <c r="K24" s="30"/>
      <c r="L24" s="30"/>
      <c r="M24" s="30"/>
      <c r="N24" s="30"/>
      <c r="O24" s="19"/>
    </row>
    <row r="25" spans="1:15" ht="15.75" x14ac:dyDescent="0.25">
      <c r="A25" s="863" t="s">
        <v>64</v>
      </c>
      <c r="B25" s="865" t="s">
        <v>779</v>
      </c>
      <c r="C25" s="29"/>
      <c r="D25" s="29"/>
      <c r="E25" s="29"/>
      <c r="F25" s="36" t="s">
        <v>168</v>
      </c>
      <c r="G25" s="29"/>
      <c r="H25" s="29"/>
      <c r="I25" s="30"/>
      <c r="J25" s="30" t="s">
        <v>625</v>
      </c>
      <c r="K25" s="30"/>
      <c r="L25" s="30"/>
      <c r="M25" s="30"/>
      <c r="N25" s="30"/>
      <c r="O25" s="19"/>
    </row>
    <row r="26" spans="1:15" ht="15.75" x14ac:dyDescent="0.25">
      <c r="A26" s="863"/>
      <c r="B26" s="866"/>
      <c r="C26" s="29"/>
      <c r="D26" s="29"/>
      <c r="E26" s="29"/>
      <c r="F26" s="36" t="s">
        <v>166</v>
      </c>
      <c r="G26" s="29"/>
      <c r="H26" s="29"/>
      <c r="I26" s="30"/>
      <c r="J26" s="30"/>
      <c r="K26" s="30"/>
      <c r="L26" s="30"/>
      <c r="M26" s="30"/>
      <c r="N26" s="30"/>
      <c r="O26" s="19"/>
    </row>
    <row r="27" spans="1:15" ht="15.75" x14ac:dyDescent="0.25">
      <c r="A27" s="864"/>
      <c r="B27" s="867"/>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60" t="s">
        <v>172</v>
      </c>
      <c r="B29" s="860"/>
      <c r="C29" s="29"/>
      <c r="D29" s="29"/>
      <c r="E29" s="29"/>
      <c r="F29" s="36" t="s">
        <v>173</v>
      </c>
      <c r="G29" s="29"/>
      <c r="H29" s="29"/>
      <c r="I29" s="30"/>
      <c r="J29" s="30"/>
      <c r="K29" s="30"/>
      <c r="L29" s="30"/>
      <c r="M29" s="30"/>
      <c r="N29" s="30"/>
      <c r="O29" s="19"/>
    </row>
    <row r="30" spans="1:15" ht="15.75" x14ac:dyDescent="0.25">
      <c r="A30" s="31" t="s">
        <v>174</v>
      </c>
      <c r="B30" s="43" t="s">
        <v>781</v>
      </c>
      <c r="C30" s="29"/>
      <c r="D30" s="29"/>
      <c r="E30" s="29"/>
      <c r="F30" s="36" t="s">
        <v>169</v>
      </c>
      <c r="G30" s="29"/>
      <c r="H30" s="29"/>
      <c r="I30" s="30"/>
      <c r="J30" s="30"/>
      <c r="K30" s="30"/>
      <c r="L30" s="30"/>
      <c r="M30" s="30"/>
      <c r="N30" s="30"/>
      <c r="O30" s="19"/>
    </row>
    <row r="31" spans="1:15" ht="15.75" x14ac:dyDescent="0.25">
      <c r="A31" s="31" t="s">
        <v>175</v>
      </c>
      <c r="B31" s="43" t="s">
        <v>782</v>
      </c>
      <c r="C31" s="29"/>
      <c r="D31" s="29"/>
      <c r="E31" s="29"/>
      <c r="F31" s="36" t="s">
        <v>176</v>
      </c>
      <c r="G31" s="29"/>
      <c r="H31" s="29"/>
      <c r="I31" s="30"/>
      <c r="J31" s="30"/>
      <c r="K31" s="30"/>
      <c r="L31" s="30"/>
      <c r="M31" s="30"/>
      <c r="N31" s="30"/>
      <c r="O31" s="19"/>
    </row>
    <row r="32" spans="1:15" ht="15.75" x14ac:dyDescent="0.25">
      <c r="A32" s="31" t="s">
        <v>177</v>
      </c>
      <c r="B32" s="581" t="s">
        <v>783</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60" t="s">
        <v>181</v>
      </c>
      <c r="B35" s="860"/>
      <c r="C35" s="29"/>
      <c r="D35" s="29"/>
      <c r="E35" s="29"/>
      <c r="F35" s="46"/>
      <c r="G35" s="29"/>
      <c r="H35" s="29"/>
      <c r="I35" s="30"/>
      <c r="J35" s="30"/>
      <c r="K35" s="30"/>
      <c r="L35" s="30"/>
      <c r="M35" s="30"/>
      <c r="N35" s="30"/>
      <c r="O35" s="19"/>
    </row>
    <row r="36" spans="1:15" ht="15.75" x14ac:dyDescent="0.25">
      <c r="A36" s="31" t="s">
        <v>182</v>
      </c>
      <c r="B36" s="47" t="s">
        <v>750</v>
      </c>
      <c r="C36" s="29"/>
      <c r="D36" s="29"/>
      <c r="E36" s="29"/>
      <c r="F36" s="46"/>
      <c r="G36" s="29"/>
      <c r="H36" s="29"/>
      <c r="I36" s="30"/>
      <c r="J36" s="30"/>
      <c r="K36" s="30"/>
      <c r="L36" s="30"/>
      <c r="M36" s="30"/>
      <c r="N36" s="30"/>
      <c r="O36" s="19"/>
    </row>
    <row r="37" spans="1:15" ht="15.75" x14ac:dyDescent="0.25">
      <c r="A37" s="31" t="s">
        <v>101</v>
      </c>
      <c r="B37" s="47" t="s">
        <v>775</v>
      </c>
      <c r="C37" s="29"/>
      <c r="D37" s="29"/>
      <c r="E37" s="29"/>
      <c r="F37" s="29"/>
      <c r="G37" s="29"/>
      <c r="H37" s="29"/>
      <c r="I37" s="30"/>
      <c r="J37" s="30"/>
      <c r="K37" s="30"/>
      <c r="L37" s="30"/>
      <c r="M37" s="30"/>
      <c r="N37" s="30"/>
      <c r="O37" s="19"/>
    </row>
    <row r="38" spans="1:15" ht="15.75" x14ac:dyDescent="0.25">
      <c r="A38" s="31" t="s">
        <v>183</v>
      </c>
      <c r="B38" s="47" t="s">
        <v>751</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0" t="s">
        <v>184</v>
      </c>
      <c r="B40" s="860"/>
      <c r="C40" s="29"/>
      <c r="D40" s="29"/>
      <c r="E40" s="29"/>
      <c r="F40" s="29"/>
      <c r="G40" s="29"/>
      <c r="H40" s="29"/>
      <c r="I40" s="30"/>
      <c r="J40" s="30"/>
      <c r="K40" s="30"/>
      <c r="L40" s="30"/>
      <c r="M40" s="30"/>
      <c r="N40" s="30"/>
      <c r="O40" s="19"/>
    </row>
    <row r="41" spans="1:15" ht="15.75" x14ac:dyDescent="0.25">
      <c r="A41" s="870" t="s">
        <v>162</v>
      </c>
      <c r="B41" s="870"/>
      <c r="C41" s="29"/>
      <c r="D41" s="29"/>
      <c r="E41" s="29"/>
      <c r="F41" s="29"/>
      <c r="G41" s="29"/>
      <c r="H41" s="29"/>
      <c r="I41" s="30"/>
      <c r="J41" s="30"/>
      <c r="K41" s="30"/>
      <c r="L41" s="30"/>
      <c r="M41" s="30"/>
      <c r="N41" s="30"/>
      <c r="O41" s="19"/>
    </row>
    <row r="42" spans="1:15" ht="15.75" x14ac:dyDescent="0.25">
      <c r="A42" s="860" t="s">
        <v>185</v>
      </c>
      <c r="B42" s="860"/>
      <c r="C42" s="29"/>
      <c r="D42" s="29"/>
      <c r="E42" s="29"/>
      <c r="F42" s="29"/>
      <c r="G42" s="29"/>
      <c r="H42" s="29"/>
      <c r="I42" s="30"/>
      <c r="J42" s="30"/>
      <c r="K42" s="30"/>
      <c r="L42" s="30"/>
      <c r="M42" s="30"/>
      <c r="N42" s="30"/>
      <c r="O42" s="19"/>
    </row>
    <row r="43" spans="1:15" ht="15.75" x14ac:dyDescent="0.25">
      <c r="A43" s="871" t="s">
        <v>162</v>
      </c>
      <c r="B43" s="871"/>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0" t="s">
        <v>186</v>
      </c>
      <c r="B45" s="860"/>
      <c r="C45" s="29"/>
      <c r="D45" s="29"/>
      <c r="E45" s="29"/>
      <c r="F45" s="29"/>
      <c r="G45" s="29"/>
      <c r="H45" s="29"/>
      <c r="I45" s="30"/>
      <c r="J45" s="30"/>
      <c r="K45" s="30"/>
      <c r="L45" s="30"/>
      <c r="M45" s="30"/>
      <c r="N45" s="30"/>
      <c r="O45" s="19"/>
    </row>
    <row r="46" spans="1:15" ht="15.75" customHeight="1" x14ac:dyDescent="0.25">
      <c r="A46" s="868" t="s">
        <v>187</v>
      </c>
      <c r="B46" s="869"/>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68" t="s">
        <v>188</v>
      </c>
      <c r="B47" s="869"/>
      <c r="C47" s="19" t="b">
        <v>0</v>
      </c>
      <c r="D47" s="19" t="b">
        <v>1</v>
      </c>
      <c r="E47" s="51" t="str">
        <f t="shared" si="0"/>
        <v/>
      </c>
      <c r="F47" s="29"/>
      <c r="G47" s="29"/>
      <c r="H47" s="29"/>
      <c r="I47" s="30"/>
      <c r="J47" s="30"/>
      <c r="K47" s="30"/>
      <c r="L47" s="30"/>
      <c r="M47" s="30"/>
      <c r="N47" s="30"/>
      <c r="O47" s="19"/>
    </row>
    <row r="48" spans="1:15" ht="15.75" customHeight="1" x14ac:dyDescent="0.25">
      <c r="A48" s="868" t="s">
        <v>737</v>
      </c>
      <c r="B48" s="869"/>
      <c r="C48" s="19" t="b">
        <v>0</v>
      </c>
      <c r="D48" s="19" t="b">
        <v>1</v>
      </c>
      <c r="E48" s="51" t="str">
        <f t="shared" si="0"/>
        <v/>
      </c>
      <c r="F48" s="29"/>
      <c r="G48" s="29"/>
      <c r="H48" s="29"/>
      <c r="I48" s="30"/>
      <c r="J48" s="30"/>
      <c r="K48" s="30"/>
      <c r="L48" s="30"/>
      <c r="M48" s="30"/>
      <c r="N48" s="30"/>
      <c r="O48" s="19"/>
    </row>
    <row r="49" spans="1:20" ht="15.75" customHeight="1" x14ac:dyDescent="0.25">
      <c r="A49" s="868" t="s">
        <v>595</v>
      </c>
      <c r="B49" s="869"/>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872" t="s">
        <v>371</v>
      </c>
      <c r="B50" s="873"/>
      <c r="C50" s="19" t="b">
        <v>0</v>
      </c>
      <c r="D50" s="19" t="b">
        <v>1</v>
      </c>
      <c r="E50" s="51" t="str">
        <f t="shared" si="0"/>
        <v/>
      </c>
      <c r="F50" s="29"/>
      <c r="G50" s="29"/>
      <c r="H50" s="29"/>
      <c r="I50" s="30"/>
      <c r="J50" s="30"/>
      <c r="K50" s="30"/>
      <c r="L50" s="30"/>
      <c r="M50" s="30"/>
      <c r="N50" s="30"/>
      <c r="O50" s="19"/>
    </row>
    <row r="51" spans="1:20" ht="15.75" customHeight="1" x14ac:dyDescent="0.25">
      <c r="A51" s="872" t="s">
        <v>372</v>
      </c>
      <c r="B51" s="873"/>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2" t="s">
        <v>373</v>
      </c>
      <c r="B52" s="873"/>
      <c r="C52" s="19" t="b">
        <v>0</v>
      </c>
      <c r="D52" s="19" t="b">
        <v>1</v>
      </c>
      <c r="E52" s="51" t="str">
        <f t="shared" si="0"/>
        <v/>
      </c>
      <c r="F52" s="29"/>
      <c r="G52" s="29"/>
      <c r="H52" s="29"/>
      <c r="I52" s="30"/>
      <c r="J52" s="30"/>
      <c r="K52" s="30"/>
      <c r="L52" s="30"/>
      <c r="M52" s="30"/>
      <c r="N52" s="30"/>
      <c r="O52" s="19"/>
    </row>
    <row r="53" spans="1:20" ht="15.75" customHeight="1" x14ac:dyDescent="0.25">
      <c r="A53" s="872" t="s">
        <v>738</v>
      </c>
      <c r="B53" s="873"/>
      <c r="C53" s="19" t="b">
        <v>1</v>
      </c>
      <c r="D53" s="19" t="b">
        <v>1</v>
      </c>
      <c r="E53" s="51" t="str">
        <f t="shared" si="0"/>
        <v xml:space="preserve"> Messrs. Amaggi &amp; LDC Terminais Portuários Paranaguá S.A, </v>
      </c>
      <c r="F53" s="19"/>
      <c r="G53" s="19"/>
      <c r="H53" s="19"/>
      <c r="I53" s="19"/>
      <c r="J53" s="19"/>
      <c r="K53" s="19"/>
      <c r="L53" s="433" t="s">
        <v>568</v>
      </c>
      <c r="M53" s="434"/>
      <c r="N53" s="434"/>
      <c r="O53" s="434"/>
      <c r="P53" s="434"/>
      <c r="Q53" s="434"/>
      <c r="R53" s="434"/>
      <c r="S53" s="434"/>
      <c r="T53" s="432"/>
    </row>
    <row r="54" spans="1:20" ht="15.75" customHeight="1" x14ac:dyDescent="0.25">
      <c r="A54" s="868" t="s">
        <v>596</v>
      </c>
      <c r="B54" s="869"/>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4" t="s">
        <v>189</v>
      </c>
      <c r="B55" s="875"/>
      <c r="C55" s="19" t="b">
        <v>0</v>
      </c>
      <c r="D55" s="19" t="b">
        <v>1</v>
      </c>
      <c r="E55" s="51" t="str">
        <f t="shared" si="0"/>
        <v/>
      </c>
      <c r="F55" s="19"/>
      <c r="G55" s="19"/>
      <c r="H55" s="19"/>
      <c r="I55" s="19"/>
      <c r="J55" s="19"/>
      <c r="K55" s="19"/>
      <c r="L55" s="433" t="s">
        <v>568</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60" t="s">
        <v>190</v>
      </c>
      <c r="B57" s="860"/>
      <c r="C57" s="19"/>
      <c r="D57" s="19"/>
      <c r="E57" s="19"/>
      <c r="F57" s="19"/>
      <c r="G57" s="19"/>
      <c r="H57" s="19"/>
      <c r="I57" s="19"/>
      <c r="J57" s="19"/>
      <c r="K57" s="19"/>
      <c r="L57" s="19"/>
      <c r="M57" s="19"/>
      <c r="N57" s="19"/>
      <c r="O57" s="19"/>
    </row>
    <row r="58" spans="1:20" ht="15.75" customHeight="1" x14ac:dyDescent="0.2">
      <c r="A58" s="411" t="s">
        <v>191</v>
      </c>
      <c r="B58" s="411" t="s">
        <v>747</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1" t="s">
        <v>192</v>
      </c>
      <c r="B59" s="411" t="s">
        <v>193</v>
      </c>
      <c r="C59" s="19" t="b">
        <v>0</v>
      </c>
      <c r="D59" s="19" t="b">
        <v>1</v>
      </c>
      <c r="E59" s="51" t="str">
        <f t="shared" si="1"/>
        <v/>
      </c>
      <c r="F59" s="19"/>
      <c r="G59" s="19"/>
      <c r="H59" s="19"/>
      <c r="I59" s="19"/>
      <c r="J59" s="19"/>
      <c r="K59" s="19"/>
      <c r="L59" s="19"/>
      <c r="M59" s="19"/>
      <c r="N59" s="19"/>
      <c r="O59" s="19"/>
    </row>
    <row r="60" spans="1:20" ht="15.75" customHeight="1" x14ac:dyDescent="0.2">
      <c r="A60" s="411" t="s">
        <v>194</v>
      </c>
      <c r="B60" s="411" t="s">
        <v>731</v>
      </c>
      <c r="C60" s="19" t="b">
        <v>1</v>
      </c>
      <c r="D60" s="19" t="b">
        <v>1</v>
      </c>
      <c r="E60" s="51" t="str">
        <f t="shared" si="1"/>
        <v xml:space="preserve">CB, </v>
      </c>
      <c r="F60" s="19"/>
      <c r="G60" s="19"/>
      <c r="H60" s="19"/>
      <c r="I60" s="19"/>
      <c r="J60" s="19"/>
      <c r="K60" s="19"/>
      <c r="L60" s="19"/>
      <c r="M60" s="19"/>
      <c r="N60" s="19"/>
      <c r="O60" s="19"/>
    </row>
    <row r="61" spans="1:20" ht="15.75" customHeight="1" x14ac:dyDescent="0.2">
      <c r="A61" s="411" t="s">
        <v>195</v>
      </c>
      <c r="B61" s="411" t="s">
        <v>736</v>
      </c>
      <c r="C61" s="19" t="b">
        <v>0</v>
      </c>
      <c r="D61" s="19" t="b">
        <v>1</v>
      </c>
      <c r="E61" s="51" t="str">
        <f t="shared" si="1"/>
        <v/>
      </c>
      <c r="F61" s="19"/>
      <c r="G61" s="19"/>
      <c r="H61" s="19"/>
      <c r="I61" s="19"/>
      <c r="J61" s="19"/>
      <c r="K61" s="19"/>
      <c r="L61" s="19"/>
      <c r="M61" s="19"/>
      <c r="N61" s="19"/>
      <c r="O61" s="19"/>
    </row>
    <row r="62" spans="1:20" ht="15.75" customHeight="1" x14ac:dyDescent="0.25">
      <c r="A62" s="411" t="s">
        <v>735</v>
      </c>
      <c r="B62" s="411" t="s">
        <v>196</v>
      </c>
      <c r="C62" s="19" t="b">
        <v>0</v>
      </c>
      <c r="D62" s="19" t="b">
        <v>1</v>
      </c>
      <c r="E62" s="51" t="str">
        <f t="shared" si="1"/>
        <v/>
      </c>
      <c r="F62" s="19"/>
      <c r="G62" s="19"/>
      <c r="H62" s="19"/>
      <c r="I62" s="19"/>
      <c r="J62" s="19"/>
      <c r="K62" s="19"/>
      <c r="L62" s="433" t="s">
        <v>569</v>
      </c>
      <c r="M62" s="435"/>
      <c r="N62" s="435"/>
      <c r="O62" s="435"/>
      <c r="P62" s="432"/>
      <c r="Q62" s="432"/>
      <c r="R62" s="432"/>
      <c r="S62" s="432"/>
      <c r="T62" s="432"/>
    </row>
    <row r="63" spans="1:20" ht="15.75" customHeight="1" x14ac:dyDescent="0.25">
      <c r="A63" s="411" t="s">
        <v>197</v>
      </c>
      <c r="B63" s="411" t="s">
        <v>198</v>
      </c>
      <c r="C63" s="19" t="b">
        <v>1</v>
      </c>
      <c r="D63" s="19" t="b">
        <v>1</v>
      </c>
      <c r="E63" s="51" t="str">
        <f t="shared" si="1"/>
        <v xml:space="preserve">CT, </v>
      </c>
      <c r="F63" s="19"/>
      <c r="G63" s="19"/>
      <c r="H63" s="19"/>
      <c r="I63" s="19"/>
      <c r="J63" s="19"/>
      <c r="K63" s="19"/>
      <c r="L63" s="433" t="s">
        <v>569</v>
      </c>
      <c r="M63" s="435"/>
      <c r="N63" s="435"/>
      <c r="O63" s="435"/>
      <c r="P63" s="432"/>
      <c r="Q63" s="432"/>
      <c r="R63" s="432"/>
      <c r="S63" s="432"/>
      <c r="T63" s="432"/>
    </row>
    <row r="64" spans="1:20" ht="15.75" customHeight="1" x14ac:dyDescent="0.25">
      <c r="A64" s="411" t="s">
        <v>199</v>
      </c>
      <c r="B64" s="411" t="s">
        <v>200</v>
      </c>
      <c r="C64" s="19" t="b">
        <v>0</v>
      </c>
      <c r="D64" s="19" t="b">
        <v>1</v>
      </c>
      <c r="E64" s="51" t="str">
        <f t="shared" si="1"/>
        <v/>
      </c>
      <c r="F64" s="19"/>
      <c r="G64" s="19"/>
      <c r="H64" s="19"/>
      <c r="I64" s="19"/>
      <c r="J64" s="19"/>
      <c r="K64" s="19"/>
      <c r="L64" s="433" t="s">
        <v>569</v>
      </c>
      <c r="M64" s="435"/>
      <c r="N64" s="435"/>
      <c r="O64" s="435"/>
      <c r="P64" s="432"/>
      <c r="Q64" s="432"/>
      <c r="R64" s="432"/>
      <c r="S64" s="432"/>
      <c r="T64" s="432"/>
    </row>
    <row r="65" spans="1:54" x14ac:dyDescent="0.2">
      <c r="A65" s="19"/>
      <c r="B65" s="19"/>
      <c r="C65" s="19" t="b">
        <v>1</v>
      </c>
      <c r="D65" s="19" t="b">
        <v>1</v>
      </c>
      <c r="E65" s="51" t="str">
        <f t="shared" ref="E65:E71" si="2">IF(C65=D65,_xlfn.CONCAT(B58,", "),"")</f>
        <v xml:space="preserve">AL, </v>
      </c>
      <c r="F65" s="19"/>
      <c r="G65" s="19"/>
      <c r="H65" s="19"/>
      <c r="I65" s="19"/>
      <c r="J65" s="19"/>
      <c r="K65" s="19"/>
      <c r="L65" s="19"/>
      <c r="M65" s="19"/>
      <c r="N65" s="19"/>
      <c r="O65" s="19"/>
    </row>
    <row r="66" spans="1:54" ht="15.75" x14ac:dyDescent="0.25">
      <c r="A66" s="860" t="s">
        <v>201</v>
      </c>
      <c r="B66" s="860"/>
      <c r="C66" s="19" t="b">
        <v>1</v>
      </c>
      <c r="D66" s="19" t="b">
        <v>1</v>
      </c>
      <c r="E66" s="51" t="str">
        <f t="shared" si="2"/>
        <v xml:space="preserve">RO, </v>
      </c>
      <c r="F66" s="19"/>
      <c r="G66" s="19"/>
      <c r="H66" s="19"/>
      <c r="I66" s="19"/>
      <c r="J66" s="19"/>
      <c r="K66" s="19"/>
      <c r="L66" s="19"/>
      <c r="M66" s="19"/>
      <c r="N66" s="19"/>
      <c r="O66" s="19"/>
    </row>
    <row r="67" spans="1:54" ht="15" x14ac:dyDescent="0.25">
      <c r="A67" s="52" t="s">
        <v>202</v>
      </c>
      <c r="B67" s="53" t="s">
        <v>746</v>
      </c>
      <c r="C67" s="19" t="b">
        <v>0</v>
      </c>
      <c r="D67" s="19" t="b">
        <v>1</v>
      </c>
      <c r="E67" s="51" t="str">
        <f t="shared" si="2"/>
        <v/>
      </c>
      <c r="F67" s="19"/>
      <c r="G67" s="19"/>
      <c r="H67" s="19"/>
      <c r="I67" s="19"/>
      <c r="J67" s="19"/>
      <c r="K67" s="19"/>
      <c r="L67" s="19"/>
      <c r="M67" s="19"/>
      <c r="N67" s="19"/>
      <c r="O67" s="19"/>
    </row>
    <row r="68" spans="1:54" ht="15" x14ac:dyDescent="0.25">
      <c r="A68" s="52" t="s">
        <v>203</v>
      </c>
      <c r="B68" s="53" t="s">
        <v>776</v>
      </c>
      <c r="C68" s="19" t="b">
        <v>1</v>
      </c>
      <c r="D68" s="19" t="b">
        <v>1</v>
      </c>
      <c r="E68" s="51" t="str">
        <f t="shared" si="2"/>
        <v xml:space="preserve">BTG 2 V, </v>
      </c>
      <c r="F68" s="19"/>
      <c r="G68" s="19"/>
      <c r="H68" s="19"/>
      <c r="I68" s="19"/>
      <c r="J68" s="19"/>
      <c r="K68" s="19"/>
      <c r="L68" s="19"/>
      <c r="M68" s="19"/>
      <c r="N68" s="19"/>
      <c r="O68" s="19"/>
    </row>
    <row r="69" spans="1:54" ht="15" x14ac:dyDescent="0.25">
      <c r="A69" s="52" t="s">
        <v>204</v>
      </c>
      <c r="B69" s="54" t="s">
        <v>777</v>
      </c>
      <c r="C69" s="19" t="b">
        <v>0</v>
      </c>
      <c r="D69" s="19" t="b">
        <v>1</v>
      </c>
      <c r="E69" s="51" t="str">
        <f t="shared" si="2"/>
        <v/>
      </c>
      <c r="F69" s="19"/>
      <c r="G69" s="19"/>
      <c r="H69" s="19"/>
      <c r="I69" s="19"/>
      <c r="J69" s="19"/>
      <c r="K69" s="19"/>
      <c r="L69" s="19"/>
      <c r="M69" s="19"/>
      <c r="N69" s="19"/>
      <c r="O69" s="19"/>
    </row>
    <row r="70" spans="1:54" ht="15" x14ac:dyDescent="0.25">
      <c r="A70" s="52" t="s">
        <v>205</v>
      </c>
      <c r="B70" s="54"/>
      <c r="C70" s="19" t="b">
        <v>0</v>
      </c>
      <c r="D70" s="19" t="b">
        <v>1</v>
      </c>
      <c r="E70" s="51" t="str">
        <f t="shared" si="2"/>
        <v/>
      </c>
      <c r="F70" s="19"/>
      <c r="G70" s="19"/>
      <c r="H70" s="19"/>
      <c r="I70" s="19"/>
      <c r="J70" s="19"/>
      <c r="K70" s="19"/>
      <c r="L70" s="19"/>
      <c r="M70" s="19"/>
      <c r="N70" s="19"/>
      <c r="O70" s="19"/>
    </row>
    <row r="71" spans="1:54" ht="15" x14ac:dyDescent="0.25">
      <c r="A71" s="52" t="s">
        <v>203</v>
      </c>
      <c r="B71" s="53"/>
      <c r="C71" s="19" t="b">
        <v>0</v>
      </c>
      <c r="D71" s="19" t="b">
        <v>1</v>
      </c>
      <c r="E71" s="51" t="str">
        <f t="shared" si="2"/>
        <v/>
      </c>
      <c r="F71" s="19"/>
      <c r="G71" s="19"/>
      <c r="H71" s="19"/>
      <c r="I71" s="19"/>
      <c r="J71" s="19"/>
      <c r="K71" s="19"/>
      <c r="L71" s="19"/>
      <c r="M71" s="19"/>
      <c r="N71" s="19"/>
      <c r="O71" s="19"/>
    </row>
    <row r="72" spans="1:54" ht="15.75" x14ac:dyDescent="0.25">
      <c r="A72" s="860" t="s">
        <v>206</v>
      </c>
      <c r="B72" s="860"/>
      <c r="C72" s="19"/>
      <c r="D72" s="19"/>
      <c r="E72" s="19"/>
      <c r="F72" s="19"/>
      <c r="G72" s="19"/>
      <c r="H72" s="19"/>
      <c r="I72" s="19"/>
      <c r="J72" s="19"/>
      <c r="K72" s="19"/>
      <c r="L72" s="19"/>
      <c r="M72" s="19"/>
      <c r="N72" s="19"/>
      <c r="O72" s="19"/>
    </row>
    <row r="73" spans="1:54" ht="15" x14ac:dyDescent="0.25">
      <c r="A73" s="52" t="s">
        <v>203</v>
      </c>
      <c r="B73" s="53" t="s">
        <v>776</v>
      </c>
      <c r="C73" s="19"/>
      <c r="D73" s="19"/>
      <c r="E73" s="19"/>
      <c r="F73" s="19"/>
      <c r="G73" s="19"/>
      <c r="H73" s="19"/>
      <c r="I73" s="19"/>
      <c r="J73" s="19"/>
      <c r="K73" s="19"/>
      <c r="L73" s="19"/>
      <c r="M73" s="19"/>
      <c r="N73" s="19"/>
      <c r="O73" s="19"/>
    </row>
    <row r="74" spans="1:54" ht="15" x14ac:dyDescent="0.25">
      <c r="A74" s="52" t="s">
        <v>204</v>
      </c>
      <c r="B74" s="54" t="s">
        <v>780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6" t="s">
        <v>207</v>
      </c>
      <c r="B76" s="876"/>
      <c r="C76" s="876"/>
      <c r="D76" s="876"/>
      <c r="E76" s="876"/>
      <c r="F76" s="876"/>
      <c r="G76" s="876"/>
      <c r="H76" s="876"/>
      <c r="I76" s="876"/>
      <c r="J76" s="876"/>
      <c r="K76" s="876"/>
      <c r="L76" s="876"/>
      <c r="M76" s="876"/>
      <c r="N76" s="876"/>
      <c r="O76" s="876"/>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7"/>
      <c r="B77" s="878"/>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9" t="s">
        <v>86</v>
      </c>
      <c r="B78" s="880"/>
      <c r="C78" s="56"/>
      <c r="D78" s="56"/>
      <c r="E78" s="56"/>
      <c r="F78" s="56"/>
      <c r="G78" s="56"/>
      <c r="H78" s="56"/>
      <c r="I78" s="56"/>
      <c r="J78" s="56"/>
      <c r="K78" s="56"/>
      <c r="L78" s="62">
        <v>5.2350000000000003</v>
      </c>
      <c r="M78" s="62">
        <v>14.114000000000001</v>
      </c>
      <c r="N78" s="63">
        <f>$O$78+Draft!$H$75</f>
        <v>76146</v>
      </c>
      <c r="O78" s="63">
        <v>64372</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9" t="s">
        <v>87</v>
      </c>
      <c r="B79" s="880"/>
      <c r="C79" s="56"/>
      <c r="D79" s="56"/>
      <c r="E79" s="56"/>
      <c r="F79" s="56"/>
      <c r="G79" s="56"/>
      <c r="H79" s="56"/>
      <c r="I79" s="56"/>
      <c r="J79" s="56"/>
      <c r="K79" s="56"/>
      <c r="L79" s="62">
        <v>5.516</v>
      </c>
      <c r="M79" s="62">
        <v>13.833</v>
      </c>
      <c r="N79" s="63">
        <f>$O$79+Draft!$H$75</f>
        <v>74487</v>
      </c>
      <c r="O79" s="63">
        <v>62713</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9" t="s">
        <v>88</v>
      </c>
      <c r="B80" s="880"/>
      <c r="C80" s="56"/>
      <c r="D80" s="56"/>
      <c r="E80" s="56"/>
      <c r="F80" s="56"/>
      <c r="G80" s="56"/>
      <c r="H80" s="56"/>
      <c r="I80" s="56"/>
      <c r="J80" s="56"/>
      <c r="K80" s="56"/>
      <c r="L80" s="62">
        <v>5.5419999999999998</v>
      </c>
      <c r="M80" s="62">
        <v>13.807</v>
      </c>
      <c r="N80" s="63">
        <f>$O$80+Draft!$H$75</f>
        <v>76188</v>
      </c>
      <c r="O80" s="63">
        <v>64414</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9" t="s">
        <v>89</v>
      </c>
      <c r="B81" s="880"/>
      <c r="C81" s="56"/>
      <c r="D81" s="56"/>
      <c r="E81" s="56"/>
      <c r="F81" s="56"/>
      <c r="G81" s="56"/>
      <c r="H81" s="56"/>
      <c r="I81" s="56"/>
      <c r="J81" s="56"/>
      <c r="K81" s="56"/>
      <c r="L81" s="62">
        <v>5.8230000000000004</v>
      </c>
      <c r="M81" s="62">
        <v>13.526</v>
      </c>
      <c r="N81" s="63">
        <f>$O$81+Draft!$H$75</f>
        <v>74487</v>
      </c>
      <c r="O81" s="63">
        <v>62713</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9" t="s">
        <v>90</v>
      </c>
      <c r="B82" s="880"/>
      <c r="C82" s="70"/>
      <c r="D82" s="70"/>
      <c r="E82" s="70"/>
      <c r="F82" s="70"/>
      <c r="G82" s="70"/>
      <c r="H82" s="70"/>
      <c r="I82" s="70"/>
      <c r="J82" s="70"/>
      <c r="K82" s="70"/>
      <c r="L82" s="62">
        <v>6.1040000000000001</v>
      </c>
      <c r="M82" s="62">
        <v>13.244999999999999</v>
      </c>
      <c r="N82" s="63">
        <f>$O$82+Draft!$H$75</f>
        <v>72788</v>
      </c>
      <c r="O82" s="63">
        <v>61014</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0" t="s">
        <v>208</v>
      </c>
      <c r="B84" s="860"/>
      <c r="C84" s="19"/>
      <c r="D84" s="37" t="s">
        <v>678</v>
      </c>
      <c r="E84" s="19"/>
      <c r="F84" s="37"/>
      <c r="G84" s="19"/>
      <c r="H84" s="37"/>
      <c r="I84" s="19"/>
      <c r="J84" s="19"/>
      <c r="K84" s="19"/>
      <c r="L84" s="19"/>
      <c r="M84" s="19"/>
      <c r="N84" s="19"/>
      <c r="O84" s="19"/>
    </row>
    <row r="85" spans="1:54" ht="15" x14ac:dyDescent="0.25">
      <c r="A85" s="882" t="s">
        <v>220</v>
      </c>
      <c r="B85" s="882"/>
      <c r="C85" s="19"/>
      <c r="D85" s="37" t="s">
        <v>209</v>
      </c>
      <c r="E85" s="19"/>
      <c r="F85" s="37"/>
      <c r="G85" s="19"/>
      <c r="H85" s="19"/>
      <c r="I85" s="19"/>
      <c r="J85" s="19"/>
      <c r="K85" s="19"/>
      <c r="L85" s="19"/>
      <c r="M85" s="19"/>
      <c r="N85" s="19"/>
      <c r="O85" s="19"/>
    </row>
    <row r="86" spans="1:54" ht="15" x14ac:dyDescent="0.25">
      <c r="A86" s="19"/>
      <c r="B86" s="19"/>
      <c r="C86" s="19"/>
      <c r="D86" s="37" t="s">
        <v>210</v>
      </c>
      <c r="E86" s="19"/>
      <c r="F86" s="19"/>
      <c r="G86" s="19"/>
      <c r="H86" s="19"/>
      <c r="I86" s="19"/>
      <c r="J86" s="19"/>
      <c r="K86" s="19"/>
      <c r="L86" s="19"/>
      <c r="M86" s="19"/>
      <c r="N86" s="19"/>
      <c r="O86" s="19"/>
    </row>
    <row r="87" spans="1:54" ht="15.75" x14ac:dyDescent="0.25">
      <c r="A87" s="860" t="s">
        <v>211</v>
      </c>
      <c r="B87" s="860"/>
      <c r="C87" s="19"/>
      <c r="D87" s="37" t="s">
        <v>679</v>
      </c>
      <c r="E87" s="19"/>
      <c r="F87" s="19"/>
      <c r="G87" s="19"/>
      <c r="H87" s="19"/>
      <c r="I87" s="19"/>
      <c r="J87" s="19"/>
      <c r="K87" s="19"/>
      <c r="L87" s="19"/>
      <c r="M87" s="19"/>
      <c r="N87" s="19"/>
      <c r="O87" s="19"/>
    </row>
    <row r="88" spans="1:54" ht="15" x14ac:dyDescent="0.25">
      <c r="A88" s="883" t="s">
        <v>240</v>
      </c>
      <c r="B88" s="883"/>
      <c r="C88" s="19"/>
      <c r="D88" s="37" t="s">
        <v>680</v>
      </c>
      <c r="E88" s="19"/>
      <c r="F88" s="19"/>
      <c r="G88" s="19"/>
      <c r="H88" s="19"/>
      <c r="I88" s="19"/>
      <c r="J88" s="19"/>
      <c r="K88" s="19"/>
      <c r="L88" s="19"/>
      <c r="M88" s="19"/>
      <c r="N88" s="19"/>
      <c r="O88" s="19"/>
    </row>
    <row r="89" spans="1:54" ht="15" x14ac:dyDescent="0.25">
      <c r="A89" s="884"/>
      <c r="B89" s="884"/>
      <c r="C89" s="19"/>
      <c r="D89" s="37" t="s">
        <v>681</v>
      </c>
      <c r="E89" s="19"/>
      <c r="F89" s="19"/>
      <c r="G89" s="19"/>
      <c r="H89" s="19"/>
      <c r="I89" s="19"/>
      <c r="J89" s="19"/>
      <c r="K89" s="19"/>
      <c r="L89" s="19"/>
      <c r="M89" s="19"/>
      <c r="N89" s="19"/>
      <c r="O89" s="19"/>
    </row>
    <row r="90" spans="1:54" ht="15.75" x14ac:dyDescent="0.25">
      <c r="A90" s="860" t="s">
        <v>215</v>
      </c>
      <c r="B90" s="860"/>
      <c r="C90" s="19"/>
      <c r="D90" s="37" t="s">
        <v>213</v>
      </c>
      <c r="E90" s="19"/>
      <c r="F90" s="19"/>
      <c r="G90" s="19"/>
      <c r="H90" s="19"/>
      <c r="I90" s="19"/>
      <c r="J90" s="19"/>
      <c r="K90" s="19"/>
      <c r="L90" s="19"/>
      <c r="M90" s="19"/>
      <c r="N90" s="19"/>
      <c r="O90" s="19"/>
    </row>
    <row r="91" spans="1:54" ht="15" x14ac:dyDescent="0.25">
      <c r="A91" s="883"/>
      <c r="B91" s="883"/>
      <c r="C91" s="19"/>
      <c r="D91" s="36" t="s">
        <v>216</v>
      </c>
      <c r="E91" s="19"/>
      <c r="F91" s="19"/>
      <c r="G91" s="19"/>
      <c r="H91" s="19"/>
      <c r="I91" s="19"/>
      <c r="J91" s="19"/>
      <c r="K91" s="19"/>
      <c r="L91" s="19"/>
      <c r="M91" s="19"/>
      <c r="N91" s="19"/>
      <c r="O91" s="19"/>
    </row>
    <row r="92" spans="1:54" ht="15" x14ac:dyDescent="0.25">
      <c r="A92" s="884"/>
      <c r="B92" s="884"/>
      <c r="C92" s="19"/>
      <c r="D92" s="37" t="s">
        <v>601</v>
      </c>
      <c r="E92" s="19"/>
      <c r="F92" s="19"/>
      <c r="G92" s="19"/>
      <c r="H92" s="19"/>
      <c r="I92" s="19"/>
      <c r="J92" s="19"/>
      <c r="K92" s="19"/>
      <c r="L92" s="19"/>
      <c r="M92" s="19"/>
      <c r="N92" s="19"/>
      <c r="O92" s="19"/>
    </row>
    <row r="93" spans="1:54" ht="15.75" x14ac:dyDescent="0.25">
      <c r="A93" s="860" t="s">
        <v>218</v>
      </c>
      <c r="B93" s="860"/>
      <c r="C93" s="19"/>
      <c r="D93" s="37" t="s">
        <v>682</v>
      </c>
      <c r="E93" s="19"/>
      <c r="F93" s="19"/>
      <c r="G93" s="19"/>
      <c r="H93" s="19"/>
      <c r="I93" s="19"/>
      <c r="J93" s="19"/>
      <c r="K93" s="19"/>
      <c r="L93" s="19"/>
      <c r="M93" s="19"/>
      <c r="N93" s="19"/>
      <c r="O93" s="19"/>
    </row>
    <row r="94" spans="1:54" ht="15" x14ac:dyDescent="0.25">
      <c r="A94" s="883"/>
      <c r="B94" s="883"/>
      <c r="C94" s="19"/>
      <c r="D94" s="36" t="s">
        <v>683</v>
      </c>
      <c r="E94" s="19"/>
      <c r="F94" s="19"/>
      <c r="G94" s="19"/>
      <c r="H94" s="19"/>
      <c r="I94" s="19"/>
      <c r="J94" s="19"/>
      <c r="K94" s="19"/>
      <c r="L94" s="19"/>
      <c r="M94" s="19"/>
      <c r="N94" s="19"/>
      <c r="O94" s="19"/>
    </row>
    <row r="95" spans="1:54" ht="15" x14ac:dyDescent="0.25">
      <c r="A95" s="884"/>
      <c r="B95" s="884"/>
      <c r="C95" s="19"/>
      <c r="D95" s="36" t="s">
        <v>219</v>
      </c>
      <c r="E95" s="19"/>
      <c r="F95" s="19"/>
      <c r="G95" s="19"/>
      <c r="H95" s="19"/>
      <c r="I95" s="19"/>
      <c r="J95" s="19"/>
      <c r="K95" s="19"/>
      <c r="L95" s="19"/>
      <c r="M95" s="19"/>
      <c r="N95" s="19"/>
      <c r="O95" s="19"/>
    </row>
    <row r="96" spans="1:54" ht="15.75" x14ac:dyDescent="0.25">
      <c r="A96" s="860" t="s">
        <v>222</v>
      </c>
      <c r="B96" s="860"/>
      <c r="C96" s="19"/>
      <c r="D96" s="37" t="s">
        <v>220</v>
      </c>
      <c r="E96" s="19"/>
      <c r="F96" s="19"/>
      <c r="G96" s="19"/>
      <c r="H96" s="19"/>
      <c r="I96" s="19"/>
      <c r="J96" s="19"/>
      <c r="K96" s="19"/>
      <c r="L96" s="19"/>
      <c r="M96" s="19"/>
      <c r="N96" s="19"/>
      <c r="O96" s="19"/>
    </row>
    <row r="97" spans="1:15" ht="15.75" x14ac:dyDescent="0.25">
      <c r="A97" s="881" t="s">
        <v>725</v>
      </c>
      <c r="B97" s="881"/>
      <c r="C97" s="19"/>
      <c r="D97" s="37" t="s">
        <v>221</v>
      </c>
      <c r="E97" s="19"/>
      <c r="F97" s="19"/>
      <c r="G97" s="19"/>
      <c r="H97" s="19"/>
      <c r="I97" s="19"/>
      <c r="J97" s="19"/>
      <c r="K97" s="19"/>
      <c r="L97" s="19"/>
      <c r="M97" s="19"/>
      <c r="N97" s="19"/>
      <c r="O97" s="19"/>
    </row>
    <row r="98" spans="1:15" ht="15" x14ac:dyDescent="0.25">
      <c r="D98" s="37" t="s">
        <v>443</v>
      </c>
    </row>
    <row r="99" spans="1:15" ht="15" x14ac:dyDescent="0.25">
      <c r="D99" s="37" t="s">
        <v>575</v>
      </c>
    </row>
    <row r="100" spans="1:15" ht="15" x14ac:dyDescent="0.25">
      <c r="D100" s="71" t="s">
        <v>223</v>
      </c>
    </row>
    <row r="101" spans="1:15" ht="15" x14ac:dyDescent="0.25">
      <c r="D101" s="71" t="s">
        <v>224</v>
      </c>
    </row>
    <row r="102" spans="1:15" ht="15" x14ac:dyDescent="0.25">
      <c r="D102" s="37" t="s">
        <v>225</v>
      </c>
    </row>
    <row r="103" spans="1:15" ht="15" x14ac:dyDescent="0.25">
      <c r="D103" s="37" t="s">
        <v>226</v>
      </c>
    </row>
    <row r="104" spans="1:15" ht="15" x14ac:dyDescent="0.25">
      <c r="D104" s="37" t="s">
        <v>684</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227</v>
      </c>
    </row>
    <row r="111" spans="1:15" ht="14.25" x14ac:dyDescent="0.2">
      <c r="D111" s="73" t="s">
        <v>228</v>
      </c>
    </row>
    <row r="112" spans="1:15" ht="14.25" x14ac:dyDescent="0.2">
      <c r="D112" s="73" t="s">
        <v>229</v>
      </c>
    </row>
    <row r="113" spans="4:4" ht="14.25" x14ac:dyDescent="0.2">
      <c r="D113" s="72" t="s">
        <v>577</v>
      </c>
    </row>
    <row r="114" spans="4:4" ht="14.25" x14ac:dyDescent="0.2">
      <c r="D114" s="72" t="s">
        <v>230</v>
      </c>
    </row>
    <row r="115" spans="4:4" ht="14.25" x14ac:dyDescent="0.2">
      <c r="D115" s="74" t="s">
        <v>231</v>
      </c>
    </row>
    <row r="116" spans="4:4" ht="14.25" x14ac:dyDescent="0.2">
      <c r="D116" s="73" t="s">
        <v>232</v>
      </c>
    </row>
    <row r="117" spans="4:4" ht="14.25" x14ac:dyDescent="0.2">
      <c r="D117" s="73" t="s">
        <v>233</v>
      </c>
    </row>
    <row r="118" spans="4:4" ht="14.25" x14ac:dyDescent="0.2">
      <c r="D118" s="73" t="s">
        <v>234</v>
      </c>
    </row>
    <row r="119" spans="4:4" ht="14.25" x14ac:dyDescent="0.2">
      <c r="D119" s="72" t="s">
        <v>235</v>
      </c>
    </row>
    <row r="120" spans="4:4" ht="14.25" x14ac:dyDescent="0.2">
      <c r="D120" s="72" t="s">
        <v>236</v>
      </c>
    </row>
    <row r="121" spans="4:4" ht="14.25" x14ac:dyDescent="0.2">
      <c r="D121" s="73" t="s">
        <v>237</v>
      </c>
    </row>
    <row r="122" spans="4:4" ht="14.25" x14ac:dyDescent="0.2">
      <c r="D122" s="72" t="s">
        <v>238</v>
      </c>
    </row>
    <row r="123" spans="4:4" ht="14.25" x14ac:dyDescent="0.2">
      <c r="D123" s="73" t="s">
        <v>239</v>
      </c>
    </row>
    <row r="124" spans="4:4" ht="14.25" x14ac:dyDescent="0.2">
      <c r="D124" s="73" t="s">
        <v>240</v>
      </c>
    </row>
    <row r="125" spans="4:4" ht="14.25" x14ac:dyDescent="0.2">
      <c r="D125" s="73" t="s">
        <v>241</v>
      </c>
    </row>
    <row r="126" spans="4:4" ht="14.25" x14ac:dyDescent="0.2">
      <c r="D126" s="73" t="s">
        <v>242</v>
      </c>
    </row>
    <row r="127" spans="4:4" x14ac:dyDescent="0.2">
      <c r="D127" s="20" t="s">
        <v>639</v>
      </c>
    </row>
    <row r="128" spans="4:4" x14ac:dyDescent="0.2">
      <c r="D128" s="20" t="s">
        <v>641</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50"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6" zoomScaleNormal="100" workbookViewId="0">
      <selection activeCell="AH83" sqref="AH83"/>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898" t="s">
        <v>243</v>
      </c>
      <c r="B2" s="899"/>
      <c r="C2" s="899"/>
      <c r="D2" s="899"/>
      <c r="E2" s="899"/>
      <c r="F2" s="899"/>
      <c r="G2" s="899"/>
      <c r="H2" s="899"/>
      <c r="I2" s="899"/>
      <c r="J2" s="899"/>
      <c r="K2" s="899"/>
      <c r="L2" s="899"/>
      <c r="M2" s="899"/>
      <c r="N2" s="899"/>
      <c r="O2" s="899"/>
      <c r="P2" s="899"/>
      <c r="Q2" s="899"/>
      <c r="R2" s="899"/>
      <c r="S2" s="658"/>
      <c r="T2" s="899" t="s">
        <v>244</v>
      </c>
      <c r="U2" s="899"/>
      <c r="V2" s="899"/>
      <c r="W2" s="899"/>
      <c r="X2" s="899"/>
      <c r="Y2" s="899"/>
      <c r="Z2" s="899"/>
      <c r="AA2" s="899"/>
      <c r="AB2" s="899"/>
      <c r="AC2" s="899"/>
      <c r="AD2" s="899"/>
      <c r="AE2" s="899"/>
      <c r="AF2" s="899"/>
      <c r="AG2" s="899"/>
      <c r="AH2" s="899"/>
      <c r="AI2" s="899"/>
      <c r="AJ2" s="899"/>
      <c r="AK2" s="900"/>
      <c r="AP2" s="635"/>
      <c r="AQ2" s="635"/>
      <c r="AR2" s="635"/>
    </row>
    <row r="3" spans="1:44" ht="12" customHeight="1" x14ac:dyDescent="0.2">
      <c r="A3" s="655"/>
      <c r="B3" s="656"/>
      <c r="C3" s="656"/>
      <c r="D3" s="656"/>
      <c r="E3" s="656"/>
      <c r="F3" s="656"/>
      <c r="G3" s="656"/>
      <c r="H3" s="656"/>
      <c r="I3" s="656"/>
      <c r="J3" s="656"/>
      <c r="K3" s="656"/>
      <c r="L3" s="656"/>
      <c r="M3" s="656"/>
      <c r="N3" s="656"/>
      <c r="O3" s="656"/>
      <c r="P3" s="656"/>
      <c r="Q3" s="656"/>
      <c r="R3" s="656"/>
      <c r="S3" s="649"/>
      <c r="T3" s="656"/>
      <c r="U3" s="656"/>
      <c r="V3" s="656"/>
      <c r="W3" s="656"/>
      <c r="X3" s="656"/>
      <c r="Y3" s="656"/>
      <c r="Z3" s="656"/>
      <c r="AA3" s="656"/>
      <c r="AB3" s="656"/>
      <c r="AC3" s="656"/>
      <c r="AD3" s="656"/>
      <c r="AE3" s="656"/>
      <c r="AF3" s="656"/>
      <c r="AG3" s="656"/>
      <c r="AH3" s="656"/>
      <c r="AI3" s="656"/>
      <c r="AJ3" s="656"/>
      <c r="AK3" s="657"/>
      <c r="AO3" s="76" t="s">
        <v>560</v>
      </c>
      <c r="AP3" s="635"/>
      <c r="AQ3" s="635" t="s">
        <v>560</v>
      </c>
      <c r="AR3" s="635" t="s">
        <v>561</v>
      </c>
    </row>
    <row r="4" spans="1:44" ht="15" customHeight="1" x14ac:dyDescent="0.25">
      <c r="A4" s="901" t="s">
        <v>203</v>
      </c>
      <c r="B4" s="902"/>
      <c r="C4" s="902"/>
      <c r="D4" s="902"/>
      <c r="E4" s="903">
        <v>46096</v>
      </c>
      <c r="F4" s="903"/>
      <c r="G4" s="903"/>
      <c r="H4" s="903"/>
      <c r="I4" s="903"/>
      <c r="J4" s="903"/>
      <c r="K4" s="903"/>
      <c r="L4" s="902" t="s">
        <v>245</v>
      </c>
      <c r="M4" s="902"/>
      <c r="N4" s="902"/>
      <c r="O4" s="904">
        <v>0.75</v>
      </c>
      <c r="P4" s="904"/>
      <c r="Q4" s="904"/>
      <c r="R4" s="904"/>
      <c r="S4" s="647"/>
      <c r="T4" s="902" t="s">
        <v>203</v>
      </c>
      <c r="U4" s="902"/>
      <c r="V4" s="902"/>
      <c r="W4" s="902"/>
      <c r="X4" s="903">
        <v>46099</v>
      </c>
      <c r="Y4" s="903"/>
      <c r="Z4" s="903"/>
      <c r="AA4" s="903"/>
      <c r="AB4" s="903"/>
      <c r="AC4" s="903"/>
      <c r="AD4" s="903"/>
      <c r="AE4" s="902" t="s">
        <v>245</v>
      </c>
      <c r="AF4" s="902"/>
      <c r="AG4" s="902"/>
      <c r="AH4" s="905">
        <v>0.3125</v>
      </c>
      <c r="AI4" s="905"/>
      <c r="AJ4" s="905"/>
      <c r="AK4" s="906"/>
      <c r="AN4" s="75" t="str">
        <f>IF(E6="Wharf","wharf","inner roads")</f>
        <v>inner roads</v>
      </c>
      <c r="AO4" s="75" t="str">
        <f>IF(X6="Wharf","wharf","inner roads")</f>
        <v>wharf</v>
      </c>
      <c r="AP4" s="635"/>
      <c r="AQ4" s="635" t="s">
        <v>602</v>
      </c>
      <c r="AR4" s="635" t="s">
        <v>562</v>
      </c>
    </row>
    <row r="5" spans="1:44" ht="15" customHeight="1" x14ac:dyDescent="0.25">
      <c r="A5" s="893" t="s">
        <v>246</v>
      </c>
      <c r="B5" s="885"/>
      <c r="C5" s="885"/>
      <c r="D5" s="885"/>
      <c r="E5" s="894" t="str">
        <f>IFERROR(_xlfn.IFS(CAPA!A5=Draft!AQ3,Draft!AR3,CAPA!A5=AQ4,AR4),"Paranaguá, Br - Brazil")</f>
        <v>Paranaguá, Br - Brazil</v>
      </c>
      <c r="F5" s="894"/>
      <c r="G5" s="894"/>
      <c r="H5" s="894"/>
      <c r="I5" s="894"/>
      <c r="J5" s="894"/>
      <c r="K5" s="894"/>
      <c r="L5" s="885" t="s">
        <v>247</v>
      </c>
      <c r="M5" s="885"/>
      <c r="N5" s="885"/>
      <c r="O5" s="886">
        <v>0.75347222222222221</v>
      </c>
      <c r="P5" s="886"/>
      <c r="Q5" s="886"/>
      <c r="R5" s="886"/>
      <c r="S5" s="647"/>
      <c r="T5" s="885" t="s">
        <v>246</v>
      </c>
      <c r="U5" s="885"/>
      <c r="V5" s="885"/>
      <c r="W5" s="885"/>
      <c r="X5" s="894" t="str">
        <f>$E$5</f>
        <v>Paranaguá, Br - Brazil</v>
      </c>
      <c r="Y5" s="894"/>
      <c r="Z5" s="894"/>
      <c r="AA5" s="894"/>
      <c r="AB5" s="894"/>
      <c r="AC5" s="894"/>
      <c r="AD5" s="894"/>
      <c r="AE5" s="885" t="s">
        <v>247</v>
      </c>
      <c r="AF5" s="885"/>
      <c r="AG5" s="885"/>
      <c r="AH5" s="886">
        <v>0.32291666666666669</v>
      </c>
      <c r="AI5" s="886"/>
      <c r="AJ5" s="886"/>
      <c r="AK5" s="887"/>
      <c r="AN5" s="75" t="str">
        <f>IF(AN4="wharf","berthed alongside wharf ","anchored at inner roads area ")</f>
        <v xml:space="preserve">anchored at inner roads area </v>
      </c>
      <c r="AO5" s="75"/>
      <c r="AP5" s="75"/>
      <c r="AQ5" s="75"/>
    </row>
    <row r="6" spans="1:44" ht="15" customHeight="1" x14ac:dyDescent="0.25">
      <c r="A6" s="888" t="s">
        <v>248</v>
      </c>
      <c r="B6" s="889"/>
      <c r="C6" s="889"/>
      <c r="D6" s="889"/>
      <c r="E6" s="890" t="s">
        <v>748</v>
      </c>
      <c r="F6" s="890"/>
      <c r="G6" s="891"/>
      <c r="H6" s="896">
        <v>6.1</v>
      </c>
      <c r="I6" s="897"/>
      <c r="J6" s="896" t="str">
        <f>IF(E6="Wharf","berthed","anchored")</f>
        <v>anchored</v>
      </c>
      <c r="K6" s="897"/>
      <c r="L6" s="888" t="s">
        <v>249</v>
      </c>
      <c r="M6" s="889"/>
      <c r="N6" s="889"/>
      <c r="O6" s="892">
        <v>0.85416666666666663</v>
      </c>
      <c r="P6" s="892"/>
      <c r="Q6" s="892"/>
      <c r="R6" s="892"/>
      <c r="S6" s="647"/>
      <c r="T6" s="889" t="s">
        <v>248</v>
      </c>
      <c r="U6" s="889"/>
      <c r="V6" s="889"/>
      <c r="W6" s="889"/>
      <c r="X6" s="890" t="s">
        <v>767</v>
      </c>
      <c r="Y6" s="890"/>
      <c r="Z6" s="891"/>
      <c r="AA6" s="896">
        <v>212</v>
      </c>
      <c r="AB6" s="897"/>
      <c r="AC6" s="896" t="str">
        <f>IF(X6="Wharf","berthed","anchored")</f>
        <v>berthed</v>
      </c>
      <c r="AD6" s="897"/>
      <c r="AE6" s="888" t="s">
        <v>249</v>
      </c>
      <c r="AF6" s="889"/>
      <c r="AG6" s="889"/>
      <c r="AH6" s="892">
        <v>0.39583333333333331</v>
      </c>
      <c r="AI6" s="892"/>
      <c r="AJ6" s="892"/>
      <c r="AK6" s="895"/>
      <c r="AN6" s="75" t="str">
        <f>IF(AO4="wharf","berthed alongside wharf ","anchored at inner roads area ")</f>
        <v xml:space="preserve">berthed alongside wharf </v>
      </c>
    </row>
    <row r="7" spans="1:44" ht="15" customHeight="1" x14ac:dyDescent="0.25">
      <c r="A7" s="935" t="s">
        <v>250</v>
      </c>
      <c r="B7" s="912"/>
      <c r="C7" s="912"/>
      <c r="D7" s="913"/>
      <c r="E7" s="907" t="s">
        <v>752</v>
      </c>
      <c r="F7" s="908"/>
      <c r="G7" s="909"/>
      <c r="H7" s="910"/>
      <c r="I7" s="911"/>
      <c r="J7" s="911"/>
      <c r="K7" s="911"/>
      <c r="L7" s="912" t="s">
        <v>251</v>
      </c>
      <c r="M7" s="912"/>
      <c r="N7" s="912"/>
      <c r="O7" s="924">
        <v>0.25</v>
      </c>
      <c r="P7" s="924"/>
      <c r="Q7" s="924"/>
      <c r="R7" s="924"/>
      <c r="S7" s="648"/>
      <c r="T7" s="912" t="s">
        <v>250</v>
      </c>
      <c r="U7" s="912"/>
      <c r="V7" s="912"/>
      <c r="W7" s="913"/>
      <c r="X7" s="907" t="s">
        <v>768</v>
      </c>
      <c r="Y7" s="908"/>
      <c r="Z7" s="909"/>
      <c r="AA7" s="471"/>
      <c r="AB7" s="471"/>
      <c r="AC7" s="471"/>
      <c r="AD7" s="471"/>
      <c r="AE7" s="912" t="s">
        <v>251</v>
      </c>
      <c r="AF7" s="912"/>
      <c r="AG7" s="912"/>
      <c r="AH7" s="924">
        <v>0.15</v>
      </c>
      <c r="AI7" s="924"/>
      <c r="AJ7" s="924"/>
      <c r="AK7" s="930"/>
      <c r="AN7" s="75" t="str">
        <f>IF(AN4="wharf","Atracado - berço ","Fundeado - área ")</f>
        <v xml:space="preserve">Fundeado - área </v>
      </c>
    </row>
    <row r="8" spans="1:44" ht="15" customHeight="1" x14ac:dyDescent="0.25">
      <c r="A8" s="914" t="s">
        <v>252</v>
      </c>
      <c r="B8" s="915"/>
      <c r="C8" s="915"/>
      <c r="D8" s="915"/>
      <c r="E8" s="918" t="s">
        <v>753</v>
      </c>
      <c r="F8" s="918"/>
      <c r="G8" s="918"/>
      <c r="H8" s="472"/>
      <c r="I8" s="472"/>
      <c r="J8" s="472"/>
      <c r="K8" s="472"/>
      <c r="L8" s="915" t="s">
        <v>253</v>
      </c>
      <c r="M8" s="915"/>
      <c r="N8" s="915"/>
      <c r="O8" s="931">
        <v>2</v>
      </c>
      <c r="P8" s="931"/>
      <c r="Q8" s="931"/>
      <c r="R8" s="931"/>
      <c r="S8" s="648"/>
      <c r="T8" s="915" t="s">
        <v>252</v>
      </c>
      <c r="U8" s="915"/>
      <c r="V8" s="915"/>
      <c r="W8" s="915"/>
      <c r="X8" s="918" t="s">
        <v>769</v>
      </c>
      <c r="Y8" s="918"/>
      <c r="Z8" s="918"/>
      <c r="AA8" s="471"/>
      <c r="AB8" s="471"/>
      <c r="AC8" s="471"/>
      <c r="AD8" s="471"/>
      <c r="AE8" s="915" t="s">
        <v>253</v>
      </c>
      <c r="AF8" s="915"/>
      <c r="AG8" s="915"/>
      <c r="AH8" s="931">
        <v>1</v>
      </c>
      <c r="AI8" s="931"/>
      <c r="AJ8" s="931"/>
      <c r="AK8" s="932"/>
      <c r="AM8" s="76">
        <v>0</v>
      </c>
      <c r="AN8" s="75" t="str">
        <f>IF(AO4="wharf","Atracado - berço ","Fundeado - área ")</f>
        <v xml:space="preserve">Atracado - berço </v>
      </c>
    </row>
    <row r="9" spans="1:44" ht="15" customHeight="1" x14ac:dyDescent="0.25">
      <c r="A9" s="914" t="s">
        <v>254</v>
      </c>
      <c r="B9" s="915"/>
      <c r="C9" s="915"/>
      <c r="D9" s="916"/>
      <c r="E9" s="917" t="s">
        <v>749</v>
      </c>
      <c r="F9" s="918"/>
      <c r="G9" s="919"/>
      <c r="H9" s="472"/>
      <c r="I9" s="472"/>
      <c r="J9" s="472"/>
      <c r="K9" s="472"/>
      <c r="L9" s="436"/>
      <c r="M9" s="436"/>
      <c r="N9" s="436"/>
      <c r="O9" s="436"/>
      <c r="P9" s="473"/>
      <c r="Q9" s="473"/>
      <c r="R9" s="473"/>
      <c r="S9" s="648"/>
      <c r="T9" s="915" t="s">
        <v>254</v>
      </c>
      <c r="U9" s="915"/>
      <c r="V9" s="915"/>
      <c r="W9" s="916"/>
      <c r="X9" s="917" t="s">
        <v>749</v>
      </c>
      <c r="Y9" s="918"/>
      <c r="Z9" s="919"/>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9"/>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255</v>
      </c>
      <c r="D11" s="921">
        <f>CAPA!$B$16</f>
        <v>195.4</v>
      </c>
      <c r="E11" s="922"/>
      <c r="F11" s="923"/>
      <c r="G11" s="78"/>
      <c r="H11" s="78"/>
      <c r="I11" s="925" t="s">
        <v>256</v>
      </c>
      <c r="J11" s="925"/>
      <c r="K11" s="926"/>
      <c r="L11" s="921">
        <f>CAPA!$B$18</f>
        <v>32.24</v>
      </c>
      <c r="M11" s="922"/>
      <c r="N11" s="923"/>
      <c r="O11" s="78"/>
      <c r="P11" s="78"/>
      <c r="Q11" s="78"/>
      <c r="R11" s="78"/>
      <c r="S11" s="649"/>
      <c r="T11" s="78"/>
      <c r="U11" s="477" t="s">
        <v>255</v>
      </c>
      <c r="V11" s="927">
        <f>D11</f>
        <v>195.4</v>
      </c>
      <c r="W11" s="928"/>
      <c r="X11" s="929"/>
      <c r="Y11" s="478"/>
      <c r="Z11" s="478"/>
      <c r="AA11" s="933" t="s">
        <v>256</v>
      </c>
      <c r="AB11" s="933"/>
      <c r="AC11" s="934"/>
      <c r="AD11" s="927">
        <f>L11</f>
        <v>32.24</v>
      </c>
      <c r="AE11" s="928"/>
      <c r="AF11" s="929"/>
      <c r="AG11" s="478"/>
      <c r="AH11" s="478"/>
      <c r="AI11" s="479"/>
      <c r="AJ11" s="479"/>
      <c r="AK11" s="79"/>
    </row>
    <row r="12" spans="1:44" ht="15" customHeight="1" thickTop="1" x14ac:dyDescent="0.2">
      <c r="A12" s="77"/>
      <c r="B12" s="78"/>
      <c r="C12" s="78"/>
      <c r="D12" s="78"/>
      <c r="E12" s="78"/>
      <c r="F12" s="78" t="s">
        <v>257</v>
      </c>
      <c r="G12" s="78"/>
      <c r="H12" s="78"/>
      <c r="I12" s="78"/>
      <c r="J12" s="78"/>
      <c r="K12" s="78"/>
      <c r="L12" s="78"/>
      <c r="M12" s="78"/>
      <c r="N12" s="78"/>
      <c r="O12" s="78"/>
      <c r="P12" s="78"/>
      <c r="Q12" s="78"/>
      <c r="R12" s="78"/>
      <c r="S12" s="649"/>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920" t="s">
        <v>258</v>
      </c>
      <c r="D13" s="920"/>
      <c r="E13" s="920"/>
      <c r="F13" s="920"/>
      <c r="G13" s="920"/>
      <c r="H13" s="920"/>
      <c r="I13" s="920"/>
      <c r="J13" s="920"/>
      <c r="K13" s="920"/>
      <c r="L13" s="920"/>
      <c r="M13" s="920"/>
      <c r="N13" s="920"/>
      <c r="O13" s="920"/>
      <c r="P13" s="920"/>
      <c r="Q13" s="920"/>
      <c r="R13" s="78"/>
      <c r="S13" s="649"/>
      <c r="T13" s="78"/>
      <c r="U13" s="920" t="s">
        <v>258</v>
      </c>
      <c r="V13" s="920"/>
      <c r="W13" s="920"/>
      <c r="X13" s="920"/>
      <c r="Y13" s="920"/>
      <c r="Z13" s="920"/>
      <c r="AA13" s="920"/>
      <c r="AB13" s="920"/>
      <c r="AC13" s="920"/>
      <c r="AD13" s="920"/>
      <c r="AE13" s="920"/>
      <c r="AF13" s="920"/>
      <c r="AG13" s="920"/>
      <c r="AH13" s="920"/>
      <c r="AI13" s="920"/>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9"/>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259</v>
      </c>
      <c r="D15" s="921">
        <v>2.33</v>
      </c>
      <c r="E15" s="922"/>
      <c r="F15" s="923"/>
      <c r="G15" s="476" t="s">
        <v>260</v>
      </c>
      <c r="H15" s="921"/>
      <c r="I15" s="922"/>
      <c r="J15" s="923"/>
      <c r="K15" s="476" t="s">
        <v>261</v>
      </c>
      <c r="L15" s="921">
        <v>9.08</v>
      </c>
      <c r="M15" s="922"/>
      <c r="N15" s="923"/>
      <c r="O15" s="78"/>
      <c r="P15" s="78"/>
      <c r="Q15" s="78"/>
      <c r="R15" s="78"/>
      <c r="S15" s="649"/>
      <c r="T15" s="78"/>
      <c r="U15" s="476" t="s">
        <v>259</v>
      </c>
      <c r="V15" s="921">
        <f>D15</f>
        <v>2.33</v>
      </c>
      <c r="W15" s="922"/>
      <c r="X15" s="923"/>
      <c r="Y15" s="476" t="s">
        <v>260</v>
      </c>
      <c r="Z15" s="921">
        <v>0.54</v>
      </c>
      <c r="AA15" s="922"/>
      <c r="AB15" s="923"/>
      <c r="AC15" s="476" t="s">
        <v>261</v>
      </c>
      <c r="AD15" s="921">
        <v>9.08</v>
      </c>
      <c r="AE15" s="922"/>
      <c r="AF15" s="923"/>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9"/>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946" t="s">
        <v>262</v>
      </c>
      <c r="D17" s="946"/>
      <c r="E17" s="946"/>
      <c r="F17" s="946"/>
      <c r="G17" s="946"/>
      <c r="H17" s="946"/>
      <c r="I17" s="946"/>
      <c r="J17" s="946"/>
      <c r="K17" s="946"/>
      <c r="L17" s="946"/>
      <c r="M17" s="946"/>
      <c r="N17" s="946"/>
      <c r="O17" s="946"/>
      <c r="P17" s="946"/>
      <c r="Q17" s="946"/>
      <c r="R17" s="78"/>
      <c r="S17" s="649"/>
      <c r="T17" s="78"/>
      <c r="U17" s="946" t="s">
        <v>262</v>
      </c>
      <c r="V17" s="946"/>
      <c r="W17" s="946"/>
      <c r="X17" s="946"/>
      <c r="Y17" s="946"/>
      <c r="Z17" s="946"/>
      <c r="AA17" s="946"/>
      <c r="AB17" s="946"/>
      <c r="AC17" s="946"/>
      <c r="AD17" s="946"/>
      <c r="AE17" s="946"/>
      <c r="AF17" s="946"/>
      <c r="AG17" s="946"/>
      <c r="AH17" s="946"/>
      <c r="AI17" s="946"/>
      <c r="AJ17" s="479"/>
      <c r="AK17" s="79"/>
    </row>
    <row r="18" spans="1:43" ht="15" customHeight="1" thickTop="1" thickBot="1" x14ac:dyDescent="0.25">
      <c r="A18" s="77"/>
      <c r="B18" s="78"/>
      <c r="C18" s="476" t="s">
        <v>259</v>
      </c>
      <c r="D18" s="947"/>
      <c r="E18" s="948"/>
      <c r="F18" s="949"/>
      <c r="G18" s="476" t="s">
        <v>260</v>
      </c>
      <c r="H18" s="947"/>
      <c r="I18" s="948"/>
      <c r="J18" s="949"/>
      <c r="K18" s="476" t="s">
        <v>261</v>
      </c>
      <c r="L18" s="947"/>
      <c r="M18" s="948"/>
      <c r="N18" s="949"/>
      <c r="O18" s="78"/>
      <c r="P18" s="78"/>
      <c r="Q18" s="78"/>
      <c r="R18" s="78"/>
      <c r="S18" s="649"/>
      <c r="T18" s="78"/>
      <c r="U18" s="476" t="s">
        <v>259</v>
      </c>
      <c r="V18" s="950">
        <f>D18</f>
        <v>0</v>
      </c>
      <c r="W18" s="951"/>
      <c r="X18" s="952"/>
      <c r="Y18" s="476" t="s">
        <v>260</v>
      </c>
      <c r="Z18" s="950">
        <f>H18</f>
        <v>0</v>
      </c>
      <c r="AA18" s="951"/>
      <c r="AB18" s="952"/>
      <c r="AC18" s="476" t="s">
        <v>261</v>
      </c>
      <c r="AD18" s="950">
        <f>L18</f>
        <v>0</v>
      </c>
      <c r="AE18" s="951"/>
      <c r="AF18" s="952"/>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9"/>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936" t="s">
        <v>263</v>
      </c>
      <c r="D20" s="936"/>
      <c r="E20" s="936"/>
      <c r="F20" s="936"/>
      <c r="G20" s="936"/>
      <c r="H20" s="936"/>
      <c r="I20" s="936"/>
      <c r="J20" s="936"/>
      <c r="K20" s="936"/>
      <c r="L20" s="936"/>
      <c r="M20" s="936"/>
      <c r="N20" s="937"/>
      <c r="O20" s="938"/>
      <c r="P20" s="939"/>
      <c r="Q20" s="940"/>
      <c r="R20" s="482"/>
      <c r="S20" s="647"/>
      <c r="T20" s="482"/>
      <c r="U20" s="941" t="s">
        <v>263</v>
      </c>
      <c r="V20" s="941"/>
      <c r="W20" s="941"/>
      <c r="X20" s="941"/>
      <c r="Y20" s="941"/>
      <c r="Z20" s="941"/>
      <c r="AA20" s="941"/>
      <c r="AB20" s="941"/>
      <c r="AC20" s="941"/>
      <c r="AD20" s="941"/>
      <c r="AE20" s="941"/>
      <c r="AF20" s="942"/>
      <c r="AG20" s="938">
        <f>O20</f>
        <v>0</v>
      </c>
      <c r="AH20" s="939"/>
      <c r="AI20" s="940"/>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7"/>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264</v>
      </c>
      <c r="D22" s="484"/>
      <c r="E22" s="482"/>
      <c r="F22" s="943">
        <f>D11-D15-L15</f>
        <v>183.98999999999998</v>
      </c>
      <c r="G22" s="944"/>
      <c r="H22" s="945"/>
      <c r="I22" s="482"/>
      <c r="J22" s="484"/>
      <c r="K22" s="482"/>
      <c r="L22" s="482"/>
      <c r="M22" s="482"/>
      <c r="N22" s="482"/>
      <c r="O22" s="482"/>
      <c r="P22" s="482"/>
      <c r="Q22" s="482"/>
      <c r="R22" s="482"/>
      <c r="S22" s="647"/>
      <c r="T22" s="482"/>
      <c r="U22" s="484" t="s">
        <v>265</v>
      </c>
      <c r="V22" s="484"/>
      <c r="W22" s="482"/>
      <c r="X22" s="943">
        <f>V11-V15-AD15</f>
        <v>183.98999999999998</v>
      </c>
      <c r="Y22" s="944"/>
      <c r="Z22" s="945"/>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7"/>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953" t="s">
        <v>266</v>
      </c>
      <c r="D24" s="953"/>
      <c r="E24" s="954"/>
      <c r="F24" s="954"/>
      <c r="G24" s="953" t="s">
        <v>267</v>
      </c>
      <c r="H24" s="953"/>
      <c r="I24" s="487"/>
      <c r="J24" s="955" t="s">
        <v>268</v>
      </c>
      <c r="K24" s="955"/>
      <c r="L24" s="487"/>
      <c r="M24" s="955" t="s">
        <v>269</v>
      </c>
      <c r="N24" s="955"/>
      <c r="O24" s="487"/>
      <c r="P24" s="955" t="s">
        <v>270</v>
      </c>
      <c r="Q24" s="955"/>
      <c r="R24" s="482"/>
      <c r="S24" s="647"/>
      <c r="T24" s="482"/>
      <c r="U24" s="953" t="s">
        <v>266</v>
      </c>
      <c r="V24" s="953"/>
      <c r="W24" s="964"/>
      <c r="X24" s="964"/>
      <c r="Y24" s="953" t="s">
        <v>267</v>
      </c>
      <c r="Z24" s="953"/>
      <c r="AA24" s="483"/>
      <c r="AB24" s="955" t="s">
        <v>268</v>
      </c>
      <c r="AC24" s="955"/>
      <c r="AD24" s="486"/>
      <c r="AE24" s="955" t="s">
        <v>269</v>
      </c>
      <c r="AF24" s="955"/>
      <c r="AG24" s="486"/>
      <c r="AH24" s="955" t="s">
        <v>270</v>
      </c>
      <c r="AI24" s="955"/>
      <c r="AJ24" s="483"/>
      <c r="AK24" s="81"/>
    </row>
    <row r="25" spans="1:43" ht="15" customHeight="1" thickTop="1" thickBot="1" x14ac:dyDescent="0.3">
      <c r="A25" s="80"/>
      <c r="B25" s="482"/>
      <c r="C25" s="956">
        <v>5.05</v>
      </c>
      <c r="D25" s="957"/>
      <c r="E25" s="954"/>
      <c r="F25" s="954"/>
      <c r="G25" s="956">
        <v>5.07</v>
      </c>
      <c r="H25" s="957"/>
      <c r="I25" s="487"/>
      <c r="J25" s="958">
        <f>(C25+G25)/2</f>
        <v>5.0600000000000005</v>
      </c>
      <c r="K25" s="959"/>
      <c r="L25" s="486">
        <f>G29*D15/F22</f>
        <v>2.2541442469699434E-2</v>
      </c>
      <c r="M25" s="960">
        <f>P25-J25</f>
        <v>-2.2500000000000853E-2</v>
      </c>
      <c r="N25" s="961"/>
      <c r="O25" s="487"/>
      <c r="P25" s="962">
        <f>ROUND((J25-L25),4)-D18</f>
        <v>5.0374999999999996</v>
      </c>
      <c r="Q25" s="959"/>
      <c r="R25" s="482"/>
      <c r="S25" s="647"/>
      <c r="T25" s="482"/>
      <c r="U25" s="956">
        <v>13.06</v>
      </c>
      <c r="V25" s="957"/>
      <c r="W25" s="964"/>
      <c r="X25" s="964"/>
      <c r="Y25" s="956">
        <v>13.06</v>
      </c>
      <c r="Z25" s="957"/>
      <c r="AA25" s="483"/>
      <c r="AB25" s="958">
        <f>(U25+Y25)/2</f>
        <v>13.06</v>
      </c>
      <c r="AC25" s="959"/>
      <c r="AD25" s="486">
        <f>Y29*V15/X22</f>
        <v>2.0261970759280416E-3</v>
      </c>
      <c r="AE25" s="960">
        <f>AH25-AB25</f>
        <v>-2.0000000000006679E-3</v>
      </c>
      <c r="AF25" s="961"/>
      <c r="AG25" s="486"/>
      <c r="AH25" s="963">
        <f>ROUND((AB25-AD25),4)-V18</f>
        <v>13.058</v>
      </c>
      <c r="AI25" s="959"/>
      <c r="AJ25" s="483"/>
      <c r="AK25" s="81"/>
    </row>
    <row r="26" spans="1:43" ht="15" customHeight="1" thickTop="1" thickBot="1" x14ac:dyDescent="0.3">
      <c r="A26" s="80"/>
      <c r="B26" s="482"/>
      <c r="C26" s="956">
        <v>5.84</v>
      </c>
      <c r="D26" s="957"/>
      <c r="E26" s="954"/>
      <c r="F26" s="954"/>
      <c r="G26" s="956">
        <v>5.91</v>
      </c>
      <c r="H26" s="957"/>
      <c r="I26" s="487"/>
      <c r="J26" s="958">
        <f>(C26+G26)/2</f>
        <v>5.875</v>
      </c>
      <c r="K26" s="959"/>
      <c r="L26" s="486">
        <f>G29*H15/F22</f>
        <v>0</v>
      </c>
      <c r="M26" s="960">
        <f t="shared" ref="M26:M27" si="0">P26-J26</f>
        <v>0</v>
      </c>
      <c r="N26" s="961"/>
      <c r="O26" s="487"/>
      <c r="P26" s="958">
        <f>ROUND((J26-L26),4)-H18</f>
        <v>5.875</v>
      </c>
      <c r="Q26" s="959"/>
      <c r="R26" s="482"/>
      <c r="S26" s="647"/>
      <c r="T26" s="482"/>
      <c r="U26" s="956">
        <v>13.24</v>
      </c>
      <c r="V26" s="957"/>
      <c r="W26" s="964"/>
      <c r="X26" s="964"/>
      <c r="Y26" s="956">
        <v>13.22</v>
      </c>
      <c r="Z26" s="957"/>
      <c r="AA26" s="483"/>
      <c r="AB26" s="958">
        <f>(U26+Y26)/2</f>
        <v>13.23</v>
      </c>
      <c r="AC26" s="959"/>
      <c r="AD26" s="486">
        <f>Y29*Z15/X22</f>
        <v>4.6959073862709984E-4</v>
      </c>
      <c r="AE26" s="960">
        <f t="shared" ref="AE26:AE27" si="1">AH26-AB26</f>
        <v>-5.0000000000061107E-4</v>
      </c>
      <c r="AF26" s="961"/>
      <c r="AG26" s="486"/>
      <c r="AH26" s="963">
        <f>ROUND((AB26-AD26),4)-Z18</f>
        <v>13.2295</v>
      </c>
      <c r="AI26" s="959"/>
      <c r="AJ26" s="483"/>
      <c r="AK26" s="81"/>
    </row>
    <row r="27" spans="1:43" ht="15" customHeight="1" thickTop="1" thickBot="1" x14ac:dyDescent="0.3">
      <c r="A27" s="80"/>
      <c r="B27" s="482"/>
      <c r="C27" s="956">
        <v>6.84</v>
      </c>
      <c r="D27" s="957"/>
      <c r="E27" s="954"/>
      <c r="F27" s="954"/>
      <c r="G27" s="956">
        <v>6.84</v>
      </c>
      <c r="H27" s="957"/>
      <c r="I27" s="487"/>
      <c r="J27" s="958">
        <f>(C27+G27)/2</f>
        <v>6.84</v>
      </c>
      <c r="K27" s="959"/>
      <c r="L27" s="486">
        <f>G29*L15/F22</f>
        <v>8.7843904560030411E-2</v>
      </c>
      <c r="M27" s="960">
        <f t="shared" si="0"/>
        <v>8.7800000000000544E-2</v>
      </c>
      <c r="N27" s="961"/>
      <c r="O27" s="487"/>
      <c r="P27" s="962">
        <f>ROUND((J27+L27),4)-L18</f>
        <v>6.9278000000000004</v>
      </c>
      <c r="Q27" s="959"/>
      <c r="R27" s="482"/>
      <c r="S27" s="647"/>
      <c r="T27" s="482"/>
      <c r="U27" s="956">
        <v>13.23</v>
      </c>
      <c r="V27" s="957"/>
      <c r="W27" s="964"/>
      <c r="X27" s="964"/>
      <c r="Y27" s="956">
        <v>13.21</v>
      </c>
      <c r="Z27" s="957"/>
      <c r="AA27" s="483"/>
      <c r="AB27" s="958">
        <f>(U27+Y27)/2</f>
        <v>13.22</v>
      </c>
      <c r="AC27" s="959"/>
      <c r="AD27" s="486">
        <f>Y29*AD15/X22</f>
        <v>7.8960813087667874E-3</v>
      </c>
      <c r="AE27" s="960">
        <f t="shared" si="1"/>
        <v>7.899999999999352E-3</v>
      </c>
      <c r="AF27" s="961"/>
      <c r="AG27" s="486"/>
      <c r="AH27" s="963">
        <f>ROUND((AB27+AD27),4)-AD18</f>
        <v>13.2279</v>
      </c>
      <c r="AI27" s="959"/>
      <c r="AJ27" s="483"/>
      <c r="AK27" s="81"/>
    </row>
    <row r="28" spans="1:43" ht="15" customHeight="1" thickTop="1" thickBot="1" x14ac:dyDescent="0.3">
      <c r="A28" s="80"/>
      <c r="B28" s="482"/>
      <c r="C28" s="488"/>
      <c r="D28" s="488"/>
      <c r="E28" s="954"/>
      <c r="F28" s="954"/>
      <c r="G28" s="488"/>
      <c r="H28" s="488"/>
      <c r="I28" s="487"/>
      <c r="J28" s="489"/>
      <c r="K28" s="489"/>
      <c r="L28" s="487"/>
      <c r="M28" s="489"/>
      <c r="N28" s="489"/>
      <c r="O28" s="487"/>
      <c r="P28" s="489"/>
      <c r="Q28" s="489"/>
      <c r="R28" s="482"/>
      <c r="S28" s="647"/>
      <c r="T28" s="482"/>
      <c r="U28" s="490"/>
      <c r="V28" s="490"/>
      <c r="W28" s="964"/>
      <c r="X28" s="964"/>
      <c r="Y28" s="490"/>
      <c r="Z28" s="490"/>
      <c r="AA28" s="483"/>
      <c r="AB28" s="491"/>
      <c r="AC28" s="491"/>
      <c r="AD28" s="486"/>
      <c r="AE28" s="491"/>
      <c r="AF28" s="491"/>
      <c r="AG28" s="486"/>
      <c r="AH28" s="491"/>
      <c r="AI28" s="491"/>
      <c r="AJ28" s="483"/>
      <c r="AK28" s="81"/>
    </row>
    <row r="29" spans="1:43" ht="15" customHeight="1" thickTop="1" thickBot="1" x14ac:dyDescent="0.3">
      <c r="A29" s="80"/>
      <c r="B29" s="487"/>
      <c r="C29" s="965" t="s">
        <v>271</v>
      </c>
      <c r="D29" s="965"/>
      <c r="E29" s="965"/>
      <c r="F29" s="966"/>
      <c r="G29" s="958">
        <f>($J$27-$J$25)</f>
        <v>1.7799999999999994</v>
      </c>
      <c r="H29" s="959"/>
      <c r="I29" s="487"/>
      <c r="J29" s="487"/>
      <c r="K29" s="487"/>
      <c r="L29" s="487"/>
      <c r="M29" s="492" t="s">
        <v>272</v>
      </c>
      <c r="N29" s="487"/>
      <c r="O29" s="487"/>
      <c r="P29" s="958">
        <f>($P$27-$P$25)</f>
        <v>1.8903000000000008</v>
      </c>
      <c r="Q29" s="959"/>
      <c r="R29" s="487"/>
      <c r="S29" s="647"/>
      <c r="T29" s="482"/>
      <c r="U29" s="965" t="s">
        <v>271</v>
      </c>
      <c r="V29" s="965"/>
      <c r="W29" s="965"/>
      <c r="X29" s="966"/>
      <c r="Y29" s="958">
        <f>(AB27-AB25)</f>
        <v>0.16000000000000014</v>
      </c>
      <c r="Z29" s="959"/>
      <c r="AA29" s="486"/>
      <c r="AB29" s="486"/>
      <c r="AC29" s="486"/>
      <c r="AD29" s="486"/>
      <c r="AE29" s="492" t="s">
        <v>272</v>
      </c>
      <c r="AF29" s="486"/>
      <c r="AG29" s="486"/>
      <c r="AH29" s="958">
        <f>(AH27-AH25)</f>
        <v>0.16990000000000016</v>
      </c>
      <c r="AI29" s="959"/>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7"/>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970" t="s">
        <v>273</v>
      </c>
      <c r="D31" s="970"/>
      <c r="E31" s="970"/>
      <c r="F31" s="970"/>
      <c r="G31" s="970"/>
      <c r="H31" s="970"/>
      <c r="I31" s="970"/>
      <c r="J31" s="971"/>
      <c r="K31" s="972">
        <f>$O$31</f>
        <v>5.9019124999999999</v>
      </c>
      <c r="L31" s="973"/>
      <c r="M31" s="974" t="s">
        <v>274</v>
      </c>
      <c r="N31" s="975"/>
      <c r="O31" s="969">
        <f>(((P25+P27)/2+P26)/2+P26)/2-O20</f>
        <v>5.9019124999999999</v>
      </c>
      <c r="P31" s="969"/>
      <c r="Q31" s="969"/>
      <c r="R31" s="487"/>
      <c r="S31" s="647"/>
      <c r="T31" s="482"/>
      <c r="U31" s="970" t="s">
        <v>273</v>
      </c>
      <c r="V31" s="970"/>
      <c r="W31" s="970"/>
      <c r="X31" s="970"/>
      <c r="Y31" s="970"/>
      <c r="Z31" s="970"/>
      <c r="AA31" s="970"/>
      <c r="AB31" s="971"/>
      <c r="AC31" s="972">
        <f>AG31</f>
        <v>13.207862500000001</v>
      </c>
      <c r="AD31" s="973"/>
      <c r="AE31" s="967" t="s">
        <v>274</v>
      </c>
      <c r="AF31" s="968"/>
      <c r="AG31" s="969">
        <f>(((AH25+AH27)/2+AH26)/2+AH26)/2-AG20</f>
        <v>13.207862500000001</v>
      </c>
      <c r="AH31" s="969"/>
      <c r="AI31" s="969"/>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7"/>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965" t="s">
        <v>275</v>
      </c>
      <c r="D33" s="965"/>
      <c r="E33" s="965"/>
      <c r="F33" s="487"/>
      <c r="G33" s="958">
        <f>ABS(AVERAGE(P25,P27)-P26)*100</f>
        <v>10.764999999999958</v>
      </c>
      <c r="H33" s="959"/>
      <c r="I33" s="487"/>
      <c r="J33" s="487" t="s">
        <v>276</v>
      </c>
      <c r="K33" s="492"/>
      <c r="L33" s="487"/>
      <c r="M33" s="958" t="str">
        <f>IF(G33=0,"",IF(AVERAGE(P25,P27)&gt;P26,"HOGGING","SAGGING"))</f>
        <v>HOGGING</v>
      </c>
      <c r="N33" s="959"/>
      <c r="O33" s="487"/>
      <c r="P33" s="487"/>
      <c r="Q33" s="487"/>
      <c r="R33" s="487"/>
      <c r="S33" s="647"/>
      <c r="T33" s="482"/>
      <c r="U33" s="965" t="s">
        <v>277</v>
      </c>
      <c r="V33" s="965"/>
      <c r="W33" s="965"/>
      <c r="X33" s="486"/>
      <c r="Y33" s="958">
        <f>ABS(AVERAGE(AH25,AH27)-AH26)*100</f>
        <v>8.6550000000000793</v>
      </c>
      <c r="Z33" s="959"/>
      <c r="AA33" s="486"/>
      <c r="AB33" s="487" t="s">
        <v>276</v>
      </c>
      <c r="AC33" s="493"/>
      <c r="AD33" s="486"/>
      <c r="AE33" s="958" t="str">
        <f>IF(Y33=0,"",IF(AVERAGE(AH25,AH27)&gt;AH26,"HOGGING","SAGGING"))</f>
        <v>SAGGING</v>
      </c>
      <c r="AF33" s="959"/>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7"/>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965" t="s">
        <v>278</v>
      </c>
      <c r="D35" s="965"/>
      <c r="E35" s="965"/>
      <c r="F35" s="487"/>
      <c r="G35" s="985">
        <f>ROUND(IF(C18="FORE",ABS(C26-G26)*100,ABS(C26-G26)*12),2)</f>
        <v>7</v>
      </c>
      <c r="H35" s="986"/>
      <c r="I35" s="487"/>
      <c r="J35" s="487"/>
      <c r="K35" s="487" t="s">
        <v>279</v>
      </c>
      <c r="L35" s="487"/>
      <c r="M35" s="987">
        <f>IF(G35=0,"",IF(C18="FORE",ABS(DEGREES(ATAN((C26-G26)/L11))),ABS(DEGREES(ATAN((C26*0.3048-G26*0.3048)/L11)))))</f>
        <v>0.12440131090388726</v>
      </c>
      <c r="N35" s="988"/>
      <c r="O35" s="82" t="s">
        <v>127</v>
      </c>
      <c r="P35" s="83" t="str">
        <f>IF(C26=G26,"N",IF(C26&gt;G26,"P","S"))</f>
        <v>S</v>
      </c>
      <c r="Q35" s="487"/>
      <c r="R35" s="487"/>
      <c r="S35" s="647"/>
      <c r="T35" s="482"/>
      <c r="U35" s="965" t="s">
        <v>278</v>
      </c>
      <c r="V35" s="965"/>
      <c r="W35" s="965"/>
      <c r="X35" s="486"/>
      <c r="Y35" s="985">
        <f>ROUND(IF(U18="FORE",ABS(U26-Y26)*100,ABS(U26-Y26)*12),2)</f>
        <v>2</v>
      </c>
      <c r="Z35" s="986"/>
      <c r="AA35" s="486"/>
      <c r="AB35" s="486"/>
      <c r="AC35" s="487" t="s">
        <v>279</v>
      </c>
      <c r="AD35" s="486"/>
      <c r="AE35" s="987">
        <f>IF(Y35=0,"",IF(U18="FORE",ABS(DEGREES(ATAN((U26-Y26)/AD11))),ABS(DEGREES(ATAN((U26*0.3048-Y26*0.3048)/AD11)))))</f>
        <v>3.5543282979748257E-2</v>
      </c>
      <c r="AF35" s="988"/>
      <c r="AG35" s="82" t="s">
        <v>127</v>
      </c>
      <c r="AH35" s="83" t="str">
        <f>IF(U26=Y26,"N",IF(U26&gt;Y26,"P","S"))</f>
        <v>P</v>
      </c>
      <c r="AI35" s="486"/>
      <c r="AJ35" s="486"/>
      <c r="AK35" s="81"/>
      <c r="AN35" s="75" t="str">
        <f>IFERROR(IF(Y33&gt;8,"HOGGING",""),"")</f>
        <v>HOGGING</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7"/>
      <c r="T36" s="482"/>
      <c r="U36" s="486"/>
      <c r="V36" s="486"/>
      <c r="W36" s="486"/>
      <c r="X36" s="486"/>
      <c r="Y36" s="486"/>
      <c r="Z36" s="486"/>
      <c r="AA36" s="486"/>
      <c r="AB36" s="486"/>
      <c r="AC36" s="486"/>
      <c r="AD36" s="486"/>
      <c r="AE36" s="486"/>
      <c r="AF36" s="486"/>
      <c r="AG36" s="486"/>
      <c r="AH36" s="486"/>
      <c r="AI36" s="486"/>
      <c r="AJ36" s="486"/>
      <c r="AK36" s="81"/>
      <c r="AN36" s="75" t="str">
        <f>IFERROR(IF(Y33&gt;5,"SAGGING",""),"")</f>
        <v>SAGGING</v>
      </c>
      <c r="AQ36" s="76" t="str">
        <f>IFERROR(IF(AN36=AE33,"sagging",""),"")</f>
        <v>sagging</v>
      </c>
    </row>
    <row r="37" spans="1:52" ht="15" customHeight="1" thickTop="1" thickBot="1" x14ac:dyDescent="0.3">
      <c r="A37" s="80"/>
      <c r="B37" s="487"/>
      <c r="C37" s="492" t="s">
        <v>280</v>
      </c>
      <c r="D37" s="487"/>
      <c r="E37" s="487"/>
      <c r="F37" s="487"/>
      <c r="G37" s="487"/>
      <c r="H37" s="487"/>
      <c r="I37" s="487"/>
      <c r="J37" s="487"/>
      <c r="K37" s="487"/>
      <c r="L37" s="487"/>
      <c r="M37" s="976">
        <f>M39-K31</f>
        <v>1.0400861600940559E-2</v>
      </c>
      <c r="N37" s="977"/>
      <c r="O37" s="497"/>
      <c r="P37" s="497"/>
      <c r="Q37" s="487"/>
      <c r="R37" s="487"/>
      <c r="S37" s="647"/>
      <c r="T37" s="482"/>
      <c r="U37" s="492" t="s">
        <v>280</v>
      </c>
      <c r="V37" s="486"/>
      <c r="W37" s="486"/>
      <c r="X37" s="486"/>
      <c r="Y37" s="486"/>
      <c r="Z37" s="486"/>
      <c r="AA37" s="486"/>
      <c r="AB37" s="486"/>
      <c r="AC37" s="486"/>
      <c r="AD37" s="486"/>
      <c r="AE37" s="976">
        <f>AE39-AC31</f>
        <v>-1.258101803976075E-2</v>
      </c>
      <c r="AF37" s="977"/>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7"/>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603</v>
      </c>
      <c r="D39" s="496"/>
      <c r="E39" s="496"/>
      <c r="F39" s="487"/>
      <c r="G39" s="496"/>
      <c r="H39" s="496"/>
      <c r="I39" s="496"/>
      <c r="J39" s="496"/>
      <c r="K39" s="487"/>
      <c r="L39" s="487"/>
      <c r="M39" s="978">
        <f>'wpc '!$H$19</f>
        <v>5.9123133616009405</v>
      </c>
      <c r="N39" s="979"/>
      <c r="O39" s="980">
        <f>K31-H41</f>
        <v>1.9124999999995396E-3</v>
      </c>
      <c r="P39" s="981"/>
      <c r="Q39" s="982">
        <f>M39-H41</f>
        <v>1.2313361600940098E-2</v>
      </c>
      <c r="R39" s="982"/>
      <c r="S39" s="647"/>
      <c r="T39" s="482"/>
      <c r="U39" s="496" t="s">
        <v>603</v>
      </c>
      <c r="V39" s="499"/>
      <c r="W39" s="499"/>
      <c r="X39" s="499"/>
      <c r="Y39" s="499"/>
      <c r="Z39" s="499"/>
      <c r="AA39" s="499"/>
      <c r="AB39" s="499"/>
      <c r="AC39" s="486"/>
      <c r="AD39" s="486"/>
      <c r="AE39" s="983">
        <f>'wpc '!$P$19</f>
        <v>13.19528148196024</v>
      </c>
      <c r="AF39" s="984"/>
      <c r="AG39" s="980">
        <f>AC31-Z41</f>
        <v>5.7862500000000594E-2</v>
      </c>
      <c r="AH39" s="981"/>
      <c r="AI39" s="982">
        <f>AE39-Z41</f>
        <v>4.5281481960239844E-2</v>
      </c>
      <c r="AJ39" s="982"/>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50"/>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281</v>
      </c>
      <c r="D41" s="482"/>
      <c r="E41" s="482"/>
      <c r="F41" s="482"/>
      <c r="G41" s="502"/>
      <c r="H41" s="989">
        <v>5.9</v>
      </c>
      <c r="I41" s="990"/>
      <c r="J41" s="991">
        <v>30560</v>
      </c>
      <c r="K41" s="992"/>
      <c r="L41" s="993"/>
      <c r="M41" s="994">
        <f>ROUND((J42-J41),2)</f>
        <v>275</v>
      </c>
      <c r="N41" s="995"/>
      <c r="O41" s="996">
        <f>ROUND((M41/G42),1)</f>
        <v>5500</v>
      </c>
      <c r="P41" s="996"/>
      <c r="Q41" s="486"/>
      <c r="R41" s="486"/>
      <c r="S41" s="650"/>
      <c r="T41" s="500"/>
      <c r="U41" s="503" t="s">
        <v>281</v>
      </c>
      <c r="V41" s="483"/>
      <c r="W41" s="483"/>
      <c r="X41" s="483"/>
      <c r="Y41" s="504"/>
      <c r="Z41" s="989">
        <v>13.15</v>
      </c>
      <c r="AA41" s="990"/>
      <c r="AB41" s="991">
        <v>73184</v>
      </c>
      <c r="AC41" s="992"/>
      <c r="AD41" s="993"/>
      <c r="AE41" s="994">
        <f>ROUND((AB42-AB41),2)</f>
        <v>614</v>
      </c>
      <c r="AF41" s="995"/>
      <c r="AG41" s="996">
        <f>ROUND((AE41/Y42),1)</f>
        <v>6140</v>
      </c>
      <c r="AH41" s="996"/>
      <c r="AI41" s="486"/>
      <c r="AJ41" s="486"/>
      <c r="AK41" s="86"/>
      <c r="AL41" s="84"/>
      <c r="AM41" s="84"/>
      <c r="AN41" s="85"/>
      <c r="AO41" s="617"/>
      <c r="AP41" s="617"/>
      <c r="AQ41" s="617"/>
      <c r="AR41" s="618"/>
      <c r="AS41" s="618"/>
      <c r="AT41" s="618"/>
      <c r="AV41" s="85"/>
      <c r="AZ41" s="87"/>
    </row>
    <row r="42" spans="1:52" ht="15" customHeight="1" thickTop="1" thickBot="1" x14ac:dyDescent="0.3">
      <c r="A42" s="80"/>
      <c r="B42" s="482"/>
      <c r="C42" s="501"/>
      <c r="D42" s="482"/>
      <c r="E42" s="482"/>
      <c r="F42" s="482"/>
      <c r="G42" s="505">
        <f>ROUND((H42-H41),3)</f>
        <v>0.05</v>
      </c>
      <c r="H42" s="989">
        <v>5.95</v>
      </c>
      <c r="I42" s="990"/>
      <c r="J42" s="991">
        <v>30835</v>
      </c>
      <c r="K42" s="992"/>
      <c r="L42" s="993"/>
      <c r="M42" s="997" t="s">
        <v>282</v>
      </c>
      <c r="N42" s="998"/>
      <c r="O42" s="999">
        <f>ROUND((O41*O39),2)</f>
        <v>10.52</v>
      </c>
      <c r="P42" s="999"/>
      <c r="Q42" s="1000">
        <f>ROUND((O41*Q39),2)</f>
        <v>67.72</v>
      </c>
      <c r="R42" s="1000"/>
      <c r="S42" s="650"/>
      <c r="T42" s="500"/>
      <c r="U42" s="506"/>
      <c r="V42" s="483"/>
      <c r="W42" s="483"/>
      <c r="X42" s="483"/>
      <c r="Y42" s="505">
        <f>ROUND((Z42-Z41),3)</f>
        <v>0.1</v>
      </c>
      <c r="Z42" s="989">
        <v>13.25</v>
      </c>
      <c r="AA42" s="990"/>
      <c r="AB42" s="991">
        <v>73798</v>
      </c>
      <c r="AC42" s="992"/>
      <c r="AD42" s="993"/>
      <c r="AE42" s="997" t="s">
        <v>282</v>
      </c>
      <c r="AF42" s="998"/>
      <c r="AG42" s="999">
        <f>ROUND((AG41*AG39),2)</f>
        <v>355.28</v>
      </c>
      <c r="AH42" s="999"/>
      <c r="AI42" s="1000">
        <f>ROUND((AG41*AI39),2)</f>
        <v>278.02999999999997</v>
      </c>
      <c r="AJ42" s="1000"/>
      <c r="AK42" s="86"/>
      <c r="AL42" s="84"/>
      <c r="AM42" s="84"/>
      <c r="AN42" s="85"/>
      <c r="AO42" s="617"/>
      <c r="AP42" s="617"/>
      <c r="AQ42" s="617"/>
      <c r="AR42" s="618"/>
      <c r="AS42" s="618"/>
      <c r="AT42" s="618"/>
    </row>
    <row r="43" spans="1:52" ht="15" customHeight="1" thickTop="1" thickBot="1" x14ac:dyDescent="0.3">
      <c r="A43" s="80"/>
      <c r="B43" s="482"/>
      <c r="C43" s="501" t="s">
        <v>283</v>
      </c>
      <c r="D43" s="482"/>
      <c r="E43" s="482"/>
      <c r="F43" s="482"/>
      <c r="G43" s="483"/>
      <c r="H43" s="482"/>
      <c r="I43" s="482"/>
      <c r="J43" s="1001">
        <f>$J$41+$O$42</f>
        <v>30570.52</v>
      </c>
      <c r="K43" s="1002"/>
      <c r="L43" s="1003"/>
      <c r="M43" s="1004">
        <f>$J$41+$Q$42</f>
        <v>30627.72</v>
      </c>
      <c r="N43" s="1005"/>
      <c r="O43" s="1006"/>
      <c r="P43" s="498"/>
      <c r="Q43" s="498"/>
      <c r="R43" s="498"/>
      <c r="S43" s="650"/>
      <c r="T43" s="500"/>
      <c r="U43" s="503" t="s">
        <v>283</v>
      </c>
      <c r="V43" s="483"/>
      <c r="W43" s="483"/>
      <c r="X43" s="483"/>
      <c r="Y43" s="483"/>
      <c r="Z43" s="483">
        <v>35905.1</v>
      </c>
      <c r="AA43" s="483"/>
      <c r="AB43" s="1007">
        <f>AB41+AG42</f>
        <v>73539.28</v>
      </c>
      <c r="AC43" s="1008"/>
      <c r="AD43" s="1009"/>
      <c r="AE43" s="1010">
        <f>AB41+AI42</f>
        <v>73462.03</v>
      </c>
      <c r="AF43" s="1005"/>
      <c r="AG43" s="1006"/>
      <c r="AH43" s="486"/>
      <c r="AI43" s="486"/>
      <c r="AJ43" s="486"/>
      <c r="AK43" s="86"/>
      <c r="AL43" s="84"/>
      <c r="AM43" s="84" t="s">
        <v>257</v>
      </c>
      <c r="AN43" s="85"/>
      <c r="AO43" s="617"/>
      <c r="AP43" s="617"/>
      <c r="AQ43" s="617"/>
      <c r="AR43" s="618"/>
      <c r="AS43" s="618"/>
      <c r="AT43" s="618"/>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50"/>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135</v>
      </c>
      <c r="D45" s="482"/>
      <c r="E45" s="482"/>
      <c r="F45" s="482"/>
      <c r="G45" s="483"/>
      <c r="H45" s="1011">
        <f>H41</f>
        <v>5.9</v>
      </c>
      <c r="I45" s="1012"/>
      <c r="J45" s="1013">
        <v>55.1</v>
      </c>
      <c r="K45" s="1014"/>
      <c r="L45" s="1015"/>
      <c r="M45" s="1016">
        <f>ROUND((J46-J45),2)</f>
        <v>0.1</v>
      </c>
      <c r="N45" s="999"/>
      <c r="O45" s="999">
        <f>ROUND((M45/G46),1)</f>
        <v>2</v>
      </c>
      <c r="P45" s="999"/>
      <c r="Q45" s="982">
        <f>M39-H45</f>
        <v>1.2313361600940098E-2</v>
      </c>
      <c r="R45" s="982"/>
      <c r="S45" s="650"/>
      <c r="T45" s="500"/>
      <c r="U45" s="503" t="s">
        <v>135</v>
      </c>
      <c r="V45" s="483"/>
      <c r="W45" s="483"/>
      <c r="X45" s="483"/>
      <c r="Y45" s="483"/>
      <c r="Z45" s="1017">
        <f>Z41</f>
        <v>13.15</v>
      </c>
      <c r="AA45" s="1018"/>
      <c r="AB45" s="1013">
        <v>61.4</v>
      </c>
      <c r="AC45" s="1014"/>
      <c r="AD45" s="1015"/>
      <c r="AE45" s="1016">
        <f>ROUND((AB46-AB45),2)</f>
        <v>0</v>
      </c>
      <c r="AF45" s="999"/>
      <c r="AG45" s="999">
        <f>ROUND((AE45/Y46),1)</f>
        <v>0</v>
      </c>
      <c r="AH45" s="999"/>
      <c r="AI45" s="982">
        <f>AE39-Z45</f>
        <v>4.5281481960239844E-2</v>
      </c>
      <c r="AJ45" s="982"/>
      <c r="AK45" s="86"/>
      <c r="AL45" s="84"/>
    </row>
    <row r="46" spans="1:52" ht="16.5" thickTop="1" thickBot="1" x14ac:dyDescent="0.3">
      <c r="A46" s="80"/>
      <c r="B46" s="482"/>
      <c r="C46" s="501"/>
      <c r="D46" s="482"/>
      <c r="E46" s="482"/>
      <c r="F46" s="482"/>
      <c r="G46" s="505">
        <f>ROUND((H46-H45),3)</f>
        <v>0.05</v>
      </c>
      <c r="H46" s="1011">
        <f>H42</f>
        <v>5.95</v>
      </c>
      <c r="I46" s="1012"/>
      <c r="J46" s="1013">
        <v>55.2</v>
      </c>
      <c r="K46" s="1014"/>
      <c r="L46" s="1015"/>
      <c r="M46" s="509"/>
      <c r="N46" s="509"/>
      <c r="O46" s="982">
        <f>ROUND((O45*O39),3)</f>
        <v>4.0000000000000001E-3</v>
      </c>
      <c r="P46" s="982"/>
      <c r="Q46" s="982">
        <f>ROUND((O45*Q39),3)</f>
        <v>2.5000000000000001E-2</v>
      </c>
      <c r="R46" s="982"/>
      <c r="S46" s="650"/>
      <c r="T46" s="500"/>
      <c r="U46" s="506"/>
      <c r="V46" s="483"/>
      <c r="W46" s="483"/>
      <c r="X46" s="483"/>
      <c r="Y46" s="505">
        <f>ROUND((Z46-Z45),3)</f>
        <v>0.1</v>
      </c>
      <c r="Z46" s="1011">
        <f>Z42</f>
        <v>13.25</v>
      </c>
      <c r="AA46" s="1012"/>
      <c r="AB46" s="1013">
        <v>61.4</v>
      </c>
      <c r="AC46" s="1014"/>
      <c r="AD46" s="1015"/>
      <c r="AE46" s="509"/>
      <c r="AF46" s="509"/>
      <c r="AG46" s="982">
        <f>ROUND((AG45*AG39),3)</f>
        <v>0</v>
      </c>
      <c r="AH46" s="982"/>
      <c r="AI46" s="982">
        <f>ROUND((AG45*AI39),3)</f>
        <v>0</v>
      </c>
      <c r="AJ46" s="982"/>
      <c r="AK46" s="86"/>
      <c r="AL46" s="84"/>
    </row>
    <row r="47" spans="1:52" ht="16.5" thickTop="1" thickBot="1" x14ac:dyDescent="0.3">
      <c r="A47" s="80"/>
      <c r="B47" s="482"/>
      <c r="C47" s="501" t="s">
        <v>284</v>
      </c>
      <c r="D47" s="482"/>
      <c r="E47" s="482"/>
      <c r="F47" s="482"/>
      <c r="G47" s="483"/>
      <c r="H47" s="482"/>
      <c r="I47" s="482"/>
      <c r="J47" s="1019">
        <f>$J$45+$O$46</f>
        <v>55.103999999999999</v>
      </c>
      <c r="K47" s="1020"/>
      <c r="L47" s="1021"/>
      <c r="M47" s="1010">
        <f>$J$45+$Q$46</f>
        <v>55.125</v>
      </c>
      <c r="N47" s="1005"/>
      <c r="O47" s="1006"/>
      <c r="P47" s="510"/>
      <c r="Q47" s="510"/>
      <c r="R47" s="510"/>
      <c r="S47" s="650"/>
      <c r="T47" s="500"/>
      <c r="U47" s="503" t="s">
        <v>284</v>
      </c>
      <c r="V47" s="483"/>
      <c r="W47" s="483"/>
      <c r="X47" s="483"/>
      <c r="Y47" s="483"/>
      <c r="Z47" s="483"/>
      <c r="AA47" s="483"/>
      <c r="AB47" s="1019">
        <f>AB45+AG46</f>
        <v>61.4</v>
      </c>
      <c r="AC47" s="1020"/>
      <c r="AD47" s="1021"/>
      <c r="AE47" s="1010">
        <f>AB45+AI46</f>
        <v>61.4</v>
      </c>
      <c r="AF47" s="1005"/>
      <c r="AG47" s="1006"/>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50"/>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285</v>
      </c>
      <c r="D49" s="482"/>
      <c r="E49" s="482"/>
      <c r="F49" s="482"/>
      <c r="G49" s="483"/>
      <c r="H49" s="1011">
        <f>H41</f>
        <v>5.9</v>
      </c>
      <c r="I49" s="1012"/>
      <c r="J49" s="1022">
        <v>-6.18</v>
      </c>
      <c r="K49" s="1023"/>
      <c r="L49" s="1024"/>
      <c r="M49" s="994">
        <f>J50-J49</f>
        <v>5.9999999999999609E-2</v>
      </c>
      <c r="N49" s="995"/>
      <c r="O49" s="996"/>
      <c r="P49" s="996"/>
      <c r="Q49" s="981"/>
      <c r="R49" s="981"/>
      <c r="S49" s="650"/>
      <c r="T49" s="500"/>
      <c r="U49" s="503" t="s">
        <v>285</v>
      </c>
      <c r="V49" s="483"/>
      <c r="W49" s="483"/>
      <c r="X49" s="483"/>
      <c r="Y49" s="483"/>
      <c r="Z49" s="1011">
        <f>Z41</f>
        <v>13.15</v>
      </c>
      <c r="AA49" s="1012"/>
      <c r="AB49" s="1022">
        <v>3.51</v>
      </c>
      <c r="AC49" s="1023"/>
      <c r="AD49" s="1024"/>
      <c r="AE49" s="994">
        <f>AB50-AB49</f>
        <v>2.0000000000000018E-2</v>
      </c>
      <c r="AF49" s="995"/>
      <c r="AG49" s="996"/>
      <c r="AH49" s="996"/>
      <c r="AI49" s="981"/>
      <c r="AJ49" s="981"/>
      <c r="AK49" s="86"/>
      <c r="AL49" s="84"/>
    </row>
    <row r="50" spans="1:47" ht="16.5" thickTop="1" thickBot="1" x14ac:dyDescent="0.3">
      <c r="A50" s="80"/>
      <c r="B50" s="482"/>
      <c r="C50" s="501"/>
      <c r="D50" s="482"/>
      <c r="E50" s="482"/>
      <c r="F50" s="482"/>
      <c r="G50" s="505">
        <f>ROUND((H50-H49),3)</f>
        <v>0.05</v>
      </c>
      <c r="H50" s="1011">
        <f>H42</f>
        <v>5.95</v>
      </c>
      <c r="I50" s="1012"/>
      <c r="J50" s="1022">
        <v>-6.12</v>
      </c>
      <c r="K50" s="1023"/>
      <c r="L50" s="1024"/>
      <c r="M50" s="1025">
        <f>M49/G50</f>
        <v>1.1999999999999922</v>
      </c>
      <c r="N50" s="1026"/>
      <c r="O50" s="982">
        <f>M50*O39</f>
        <v>2.2949999999994325E-3</v>
      </c>
      <c r="P50" s="982"/>
      <c r="Q50" s="981">
        <f>M50*Q39</f>
        <v>1.4776033921128022E-2</v>
      </c>
      <c r="R50" s="981"/>
      <c r="S50" s="650"/>
      <c r="T50" s="500"/>
      <c r="U50" s="506"/>
      <c r="V50" s="483"/>
      <c r="W50" s="483"/>
      <c r="X50" s="483"/>
      <c r="Y50" s="505">
        <f>ROUND((Z50-Z49),3)</f>
        <v>0.1</v>
      </c>
      <c r="Z50" s="1011">
        <f>Z42</f>
        <v>13.25</v>
      </c>
      <c r="AA50" s="1012"/>
      <c r="AB50" s="1022">
        <v>3.53</v>
      </c>
      <c r="AC50" s="1023"/>
      <c r="AD50" s="1024"/>
      <c r="AE50" s="1025">
        <f>AE49/Y50</f>
        <v>0.20000000000000018</v>
      </c>
      <c r="AF50" s="1026"/>
      <c r="AG50" s="982">
        <f>AE50*AG39</f>
        <v>1.157250000000013E-2</v>
      </c>
      <c r="AH50" s="982"/>
      <c r="AI50" s="981">
        <f>AE50*AI39</f>
        <v>9.0562963920479776E-3</v>
      </c>
      <c r="AJ50" s="981"/>
      <c r="AK50" s="86"/>
      <c r="AL50" s="84"/>
    </row>
    <row r="51" spans="1:47" ht="16.5" thickTop="1" thickBot="1" x14ac:dyDescent="0.3">
      <c r="A51" s="80"/>
      <c r="B51" s="482"/>
      <c r="C51" s="501" t="s">
        <v>286</v>
      </c>
      <c r="D51" s="482"/>
      <c r="E51" s="482"/>
      <c r="F51" s="482"/>
      <c r="G51" s="511"/>
      <c r="H51" s="482"/>
      <c r="I51" s="482"/>
      <c r="J51" s="1027">
        <f>Planilha1!$K$16</f>
        <v>-6.1776999999999997</v>
      </c>
      <c r="K51" s="1028"/>
      <c r="L51" s="1029"/>
      <c r="M51" s="1030">
        <f>Planilha1!$K$33</f>
        <v>-6.1651999999999996</v>
      </c>
      <c r="N51" s="1031"/>
      <c r="O51" s="1032"/>
      <c r="P51" s="498"/>
      <c r="Q51" s="498"/>
      <c r="R51" s="498"/>
      <c r="S51" s="650"/>
      <c r="T51" s="500"/>
      <c r="U51" s="503" t="s">
        <v>286</v>
      </c>
      <c r="V51" s="483"/>
      <c r="W51" s="483"/>
      <c r="X51" s="483"/>
      <c r="Y51" s="483"/>
      <c r="Z51" s="483"/>
      <c r="AA51" s="483"/>
      <c r="AB51" s="1027">
        <f>Planilha1!$V$16</f>
        <v>3.5215999999999998</v>
      </c>
      <c r="AC51" s="1028"/>
      <c r="AD51" s="1029"/>
      <c r="AE51" s="1030">
        <f>Planilha1!$V$33</f>
        <v>3.5190999999999999</v>
      </c>
      <c r="AF51" s="1031"/>
      <c r="AG51" s="1032"/>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50"/>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287</v>
      </c>
      <c r="D53" s="482"/>
      <c r="E53" s="482"/>
      <c r="F53" s="482"/>
      <c r="G53" s="482"/>
      <c r="H53" s="1011">
        <f>K31+0.5</f>
        <v>6.4019124999999999</v>
      </c>
      <c r="I53" s="1012"/>
      <c r="J53" s="1013">
        <v>688.4</v>
      </c>
      <c r="K53" s="1014"/>
      <c r="L53" s="1044"/>
      <c r="M53" s="88"/>
      <c r="N53" s="512"/>
      <c r="O53" s="498"/>
      <c r="P53" s="498"/>
      <c r="Q53" s="498"/>
      <c r="R53" s="498"/>
      <c r="S53" s="650"/>
      <c r="T53" s="500"/>
      <c r="U53" s="503" t="s">
        <v>287</v>
      </c>
      <c r="V53" s="483"/>
      <c r="W53" s="483"/>
      <c r="X53" s="483"/>
      <c r="Y53" s="483"/>
      <c r="Z53" s="1011">
        <f>AC31+0.5</f>
        <v>13.707862500000001</v>
      </c>
      <c r="AA53" s="1012"/>
      <c r="AB53" s="1013">
        <v>923.3</v>
      </c>
      <c r="AC53" s="1014"/>
      <c r="AD53" s="1044"/>
      <c r="AE53" s="89"/>
      <c r="AF53" s="505"/>
      <c r="AG53" s="486"/>
      <c r="AH53" s="486"/>
      <c r="AI53" s="486"/>
      <c r="AJ53" s="486"/>
      <c r="AK53" s="86"/>
      <c r="AL53" s="84"/>
    </row>
    <row r="54" spans="1:47" ht="16.5" thickTop="1" thickBot="1" x14ac:dyDescent="0.3">
      <c r="A54" s="80"/>
      <c r="B54" s="482"/>
      <c r="C54" s="501" t="s">
        <v>288</v>
      </c>
      <c r="D54" s="482"/>
      <c r="E54" s="482"/>
      <c r="F54" s="482"/>
      <c r="G54" s="482"/>
      <c r="H54" s="1011">
        <f>K31-0.5</f>
        <v>5.4019124999999999</v>
      </c>
      <c r="I54" s="1012"/>
      <c r="J54" s="1013">
        <v>657.8</v>
      </c>
      <c r="K54" s="1014"/>
      <c r="L54" s="1044"/>
      <c r="M54" s="88"/>
      <c r="N54" s="512"/>
      <c r="O54" s="498"/>
      <c r="P54" s="498"/>
      <c r="Q54" s="498"/>
      <c r="R54" s="498"/>
      <c r="S54" s="650"/>
      <c r="T54" s="500"/>
      <c r="U54" s="503" t="s">
        <v>288</v>
      </c>
      <c r="V54" s="483"/>
      <c r="W54" s="483"/>
      <c r="X54" s="483"/>
      <c r="Y54" s="483"/>
      <c r="Z54" s="1011">
        <f>AC31-0.5</f>
        <v>12.707862500000001</v>
      </c>
      <c r="AA54" s="1012"/>
      <c r="AB54" s="1013">
        <v>917.4</v>
      </c>
      <c r="AC54" s="1014"/>
      <c r="AD54" s="1044"/>
      <c r="AE54" s="89"/>
      <c r="AF54" s="505"/>
      <c r="AG54" s="486"/>
      <c r="AH54" s="486"/>
      <c r="AI54" s="486"/>
      <c r="AJ54" s="486"/>
      <c r="AK54" s="86"/>
      <c r="AL54" s="84"/>
    </row>
    <row r="55" spans="1:47" ht="16.5" thickTop="1" thickBot="1" x14ac:dyDescent="0.3">
      <c r="A55" s="80"/>
      <c r="B55" s="482"/>
      <c r="C55" s="501" t="s">
        <v>289</v>
      </c>
      <c r="D55" s="482"/>
      <c r="E55" s="482"/>
      <c r="F55" s="482"/>
      <c r="G55" s="482"/>
      <c r="H55" s="482"/>
      <c r="I55" s="482"/>
      <c r="J55" s="1019">
        <f>J53-J54</f>
        <v>30.600000000000023</v>
      </c>
      <c r="K55" s="1020"/>
      <c r="L55" s="1033"/>
      <c r="M55" s="88"/>
      <c r="N55" s="512"/>
      <c r="O55" s="498"/>
      <c r="P55" s="498"/>
      <c r="Q55" s="498"/>
      <c r="R55" s="498"/>
      <c r="S55" s="650"/>
      <c r="T55" s="500"/>
      <c r="U55" s="503" t="s">
        <v>289</v>
      </c>
      <c r="V55" s="483"/>
      <c r="W55" s="483"/>
      <c r="X55" s="483"/>
      <c r="Y55" s="483"/>
      <c r="Z55" s="483"/>
      <c r="AA55" s="483"/>
      <c r="AB55" s="1007">
        <f>AB53-AB54</f>
        <v>5.8999999999999773</v>
      </c>
      <c r="AC55" s="1008"/>
      <c r="AD55" s="1034"/>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1035" t="s">
        <v>282</v>
      </c>
      <c r="O56" s="1036"/>
      <c r="P56" s="1036"/>
      <c r="Q56" s="1037"/>
      <c r="R56" s="498"/>
      <c r="S56" s="650"/>
      <c r="T56" s="500"/>
      <c r="U56" s="508"/>
      <c r="V56" s="483"/>
      <c r="W56" s="483"/>
      <c r="X56" s="483"/>
      <c r="Y56" s="483"/>
      <c r="Z56" s="483"/>
      <c r="AA56" s="483"/>
      <c r="AB56" s="483"/>
      <c r="AC56" s="483"/>
      <c r="AD56" s="483"/>
      <c r="AE56" s="486"/>
      <c r="AF56" s="1035" t="s">
        <v>282</v>
      </c>
      <c r="AG56" s="1036"/>
      <c r="AH56" s="1036"/>
      <c r="AI56" s="1037"/>
      <c r="AJ56" s="486"/>
      <c r="AK56" s="81"/>
    </row>
    <row r="57" spans="1:47" ht="16.5" customHeight="1" thickTop="1" thickBot="1" x14ac:dyDescent="0.3">
      <c r="A57" s="80"/>
      <c r="B57" s="482"/>
      <c r="C57" s="501" t="s">
        <v>290</v>
      </c>
      <c r="D57" s="482"/>
      <c r="E57" s="482"/>
      <c r="F57" s="482"/>
      <c r="G57" s="482"/>
      <c r="H57" s="1038">
        <f>(P29*J47)*(J51*100)/D11</f>
        <v>-329.31848951189363</v>
      </c>
      <c r="I57" s="1039"/>
      <c r="J57" s="1039"/>
      <c r="K57" s="1039"/>
      <c r="L57" s="1040"/>
      <c r="M57" s="512"/>
      <c r="N57" s="1041">
        <f>(P29*M47)*(M51*100)/D11</f>
        <v>-328.77739278147402</v>
      </c>
      <c r="O57" s="1042"/>
      <c r="P57" s="1042"/>
      <c r="Q57" s="1043"/>
      <c r="R57" s="498"/>
      <c r="S57" s="650"/>
      <c r="T57" s="500"/>
      <c r="U57" s="503" t="s">
        <v>290</v>
      </c>
      <c r="V57" s="483"/>
      <c r="W57" s="483"/>
      <c r="X57" s="483"/>
      <c r="Y57" s="483"/>
      <c r="Z57" s="1038">
        <f>(AH29*AB47)*(AB51*100)/V11</f>
        <v>18.800838370522019</v>
      </c>
      <c r="AA57" s="1039"/>
      <c r="AB57" s="1039"/>
      <c r="AC57" s="1039"/>
      <c r="AD57" s="1040"/>
      <c r="AE57" s="505"/>
      <c r="AF57" s="1041">
        <f>(AH29*AE47)*(AE51*100)/V11</f>
        <v>18.787491569089063</v>
      </c>
      <c r="AG57" s="1042"/>
      <c r="AH57" s="1042"/>
      <c r="AI57" s="1043"/>
      <c r="AJ57" s="486"/>
      <c r="AK57" s="81"/>
    </row>
    <row r="58" spans="1:47" ht="16.5" customHeight="1" thickTop="1" thickBot="1" x14ac:dyDescent="0.3">
      <c r="A58" s="80"/>
      <c r="B58" s="482"/>
      <c r="C58" s="501" t="s">
        <v>291</v>
      </c>
      <c r="D58" s="482"/>
      <c r="E58" s="482"/>
      <c r="F58" s="482"/>
      <c r="G58" s="482"/>
      <c r="H58" s="1054">
        <f>(P29*P29)*(50*J55)/D11</f>
        <v>27.978752086489294</v>
      </c>
      <c r="I58" s="1055"/>
      <c r="J58" s="1055"/>
      <c r="K58" s="1055"/>
      <c r="L58" s="1056"/>
      <c r="M58" s="512"/>
      <c r="N58" s="1041">
        <f>(P29*P29)*(50*J55)/D11</f>
        <v>27.978752086489294</v>
      </c>
      <c r="O58" s="1042"/>
      <c r="P58" s="1042"/>
      <c r="Q58" s="1043"/>
      <c r="R58" s="498"/>
      <c r="S58" s="650"/>
      <c r="T58" s="500"/>
      <c r="U58" s="503" t="s">
        <v>291</v>
      </c>
      <c r="V58" s="483"/>
      <c r="W58" s="483"/>
      <c r="X58" s="483"/>
      <c r="Y58" s="483"/>
      <c r="Z58" s="1054">
        <f>(AH29*AH29)*(50*AB55)/V11</f>
        <v>4.3579697799385787E-2</v>
      </c>
      <c r="AA58" s="1055"/>
      <c r="AB58" s="1055"/>
      <c r="AC58" s="1055"/>
      <c r="AD58" s="1056"/>
      <c r="AE58" s="505"/>
      <c r="AF58" s="1041">
        <f>(AH29*AH29)*(50*AB55)/V11</f>
        <v>4.3579697799385787E-2</v>
      </c>
      <c r="AG58" s="1042"/>
      <c r="AH58" s="1042"/>
      <c r="AI58" s="1043"/>
      <c r="AJ58" s="486"/>
      <c r="AK58" s="81"/>
    </row>
    <row r="59" spans="1:47" ht="16.5" customHeight="1" thickTop="1" thickBot="1" x14ac:dyDescent="0.3">
      <c r="A59" s="80"/>
      <c r="B59" s="482"/>
      <c r="C59" s="501" t="s">
        <v>292</v>
      </c>
      <c r="D59" s="482"/>
      <c r="E59" s="482"/>
      <c r="F59" s="482"/>
      <c r="G59" s="482"/>
      <c r="H59" s="1057">
        <f>H57+H58</f>
        <v>-301.33973742540434</v>
      </c>
      <c r="I59" s="1058"/>
      <c r="J59" s="1058"/>
      <c r="K59" s="1058"/>
      <c r="L59" s="1059"/>
      <c r="M59" s="512"/>
      <c r="N59" s="1060">
        <f>N57+N58</f>
        <v>-300.79864069498473</v>
      </c>
      <c r="O59" s="1061"/>
      <c r="P59" s="1061"/>
      <c r="Q59" s="1062"/>
      <c r="R59" s="498"/>
      <c r="S59" s="650"/>
      <c r="T59" s="500"/>
      <c r="U59" s="503" t="s">
        <v>292</v>
      </c>
      <c r="V59" s="483"/>
      <c r="W59" s="483"/>
      <c r="X59" s="483"/>
      <c r="Y59" s="483"/>
      <c r="Z59" s="1057">
        <f>Z57+Z58</f>
        <v>18.844418068321406</v>
      </c>
      <c r="AA59" s="1058"/>
      <c r="AB59" s="1058"/>
      <c r="AC59" s="1058"/>
      <c r="AD59" s="1059"/>
      <c r="AE59" s="505"/>
      <c r="AF59" s="1060">
        <f>AF57+AF58</f>
        <v>18.831071266888451</v>
      </c>
      <c r="AG59" s="1061"/>
      <c r="AH59" s="1061"/>
      <c r="AI59" s="1062"/>
      <c r="AJ59" s="486"/>
      <c r="AK59" s="81"/>
    </row>
    <row r="60" spans="1:47" ht="15.75" thickBot="1" x14ac:dyDescent="0.3">
      <c r="A60" s="80"/>
      <c r="B60" s="482"/>
      <c r="C60" s="507"/>
      <c r="D60" s="482"/>
      <c r="E60" s="482"/>
      <c r="F60" s="482"/>
      <c r="G60" s="482"/>
      <c r="H60" s="487"/>
      <c r="I60" s="487"/>
      <c r="J60" s="489"/>
      <c r="K60" s="487"/>
      <c r="L60" s="487"/>
      <c r="M60" s="498"/>
      <c r="N60" s="653"/>
      <c r="O60" s="653"/>
      <c r="P60" s="653"/>
      <c r="Q60" s="653"/>
      <c r="R60" s="498"/>
      <c r="S60" s="650"/>
      <c r="T60" s="500"/>
      <c r="U60" s="508"/>
      <c r="V60" s="483"/>
      <c r="W60" s="483"/>
      <c r="X60" s="483"/>
      <c r="Y60" s="483"/>
      <c r="Z60" s="483"/>
      <c r="AA60" s="483"/>
      <c r="AB60" s="490"/>
      <c r="AC60" s="483"/>
      <c r="AD60" s="483"/>
      <c r="AE60" s="486"/>
      <c r="AF60" s="653"/>
      <c r="AG60" s="653"/>
      <c r="AH60" s="653"/>
      <c r="AI60" s="653"/>
      <c r="AJ60" s="486"/>
      <c r="AK60" s="81"/>
    </row>
    <row r="61" spans="1:47" ht="15.75" thickBot="1" x14ac:dyDescent="0.3">
      <c r="A61" s="80"/>
      <c r="B61" s="482"/>
      <c r="C61" s="501" t="s">
        <v>293</v>
      </c>
      <c r="D61" s="482"/>
      <c r="E61" s="482"/>
      <c r="F61" s="482"/>
      <c r="G61" s="482"/>
      <c r="H61" s="1038">
        <f>J43+H59</f>
        <v>30269.180262574595</v>
      </c>
      <c r="I61" s="1039"/>
      <c r="J61" s="1039"/>
      <c r="K61" s="1039"/>
      <c r="L61" s="1040"/>
      <c r="M61" s="498"/>
      <c r="N61" s="1045">
        <f>M43+N59</f>
        <v>30326.921359305015</v>
      </c>
      <c r="O61" s="1046"/>
      <c r="P61" s="1046"/>
      <c r="Q61" s="1047"/>
      <c r="R61" s="498"/>
      <c r="S61" s="650"/>
      <c r="T61" s="500"/>
      <c r="U61" s="503" t="s">
        <v>293</v>
      </c>
      <c r="V61" s="483"/>
      <c r="W61" s="483"/>
      <c r="X61" s="483"/>
      <c r="Y61" s="483"/>
      <c r="Z61" s="1038">
        <f>AB43+Z59</f>
        <v>73558.124418068313</v>
      </c>
      <c r="AA61" s="1039"/>
      <c r="AB61" s="1039"/>
      <c r="AC61" s="1039"/>
      <c r="AD61" s="1040"/>
      <c r="AE61" s="486"/>
      <c r="AF61" s="1045">
        <f>AE43+AF59</f>
        <v>73480.861071266889</v>
      </c>
      <c r="AG61" s="1046"/>
      <c r="AH61" s="1046"/>
      <c r="AI61" s="1047"/>
      <c r="AJ61" s="486"/>
      <c r="AK61" s="81"/>
    </row>
    <row r="62" spans="1:47" ht="16.5" thickTop="1" thickBot="1" x14ac:dyDescent="0.3">
      <c r="A62" s="80"/>
      <c r="B62" s="482"/>
      <c r="C62" s="513" t="s">
        <v>294</v>
      </c>
      <c r="D62" s="482"/>
      <c r="E62" s="482"/>
      <c r="F62" s="482"/>
      <c r="G62" s="482"/>
      <c r="H62" s="1048">
        <v>1.0155000000000001</v>
      </c>
      <c r="I62" s="1049"/>
      <c r="J62" s="1049"/>
      <c r="K62" s="1049"/>
      <c r="L62" s="1050"/>
      <c r="M62" s="498"/>
      <c r="N62" s="1051">
        <f>H62</f>
        <v>1.0155000000000001</v>
      </c>
      <c r="O62" s="1052"/>
      <c r="P62" s="1052"/>
      <c r="Q62" s="1053"/>
      <c r="R62" s="498"/>
      <c r="S62" s="650"/>
      <c r="T62" s="500"/>
      <c r="U62" s="503" t="s">
        <v>294</v>
      </c>
      <c r="V62" s="483"/>
      <c r="W62" s="483"/>
      <c r="X62" s="483"/>
      <c r="Y62" s="483"/>
      <c r="Z62" s="1048">
        <v>1.0135000000000001</v>
      </c>
      <c r="AA62" s="1049"/>
      <c r="AB62" s="1049"/>
      <c r="AC62" s="1049"/>
      <c r="AD62" s="1050"/>
      <c r="AE62" s="486"/>
      <c r="AF62" s="1051">
        <f>Z62</f>
        <v>1.0135000000000001</v>
      </c>
      <c r="AG62" s="1052"/>
      <c r="AH62" s="1052"/>
      <c r="AI62" s="1053"/>
      <c r="AJ62" s="486"/>
      <c r="AK62" s="81"/>
    </row>
    <row r="63" spans="1:47" ht="16.5" thickTop="1" thickBot="1" x14ac:dyDescent="0.3">
      <c r="A63" s="80"/>
      <c r="B63" s="482"/>
      <c r="C63" s="501" t="s">
        <v>295</v>
      </c>
      <c r="D63" s="482"/>
      <c r="E63" s="482"/>
      <c r="F63" s="482"/>
      <c r="G63" s="482"/>
      <c r="H63" s="1057">
        <f>(H61*H62)/1.025</f>
        <v>29988.636640628785</v>
      </c>
      <c r="I63" s="1058"/>
      <c r="J63" s="1058"/>
      <c r="K63" s="1058"/>
      <c r="L63" s="1059"/>
      <c r="M63" s="498"/>
      <c r="N63" s="1063">
        <f>(N61*N62)/1.025</f>
        <v>30045.842575974875</v>
      </c>
      <c r="O63" s="1064"/>
      <c r="P63" s="1064"/>
      <c r="Q63" s="1065"/>
      <c r="R63" s="498"/>
      <c r="S63" s="650"/>
      <c r="T63" s="500"/>
      <c r="U63" s="503" t="s">
        <v>295</v>
      </c>
      <c r="V63" s="483"/>
      <c r="W63" s="483"/>
      <c r="X63" s="483"/>
      <c r="Y63" s="483"/>
      <c r="Z63" s="1057">
        <f>(Z61*Z62)/1.025</f>
        <v>72732.838144109512</v>
      </c>
      <c r="AA63" s="1058"/>
      <c r="AB63" s="1058"/>
      <c r="AC63" s="1058"/>
      <c r="AD63" s="1059"/>
      <c r="AE63" s="486"/>
      <c r="AF63" s="1063">
        <f>(AF61*AF62)/1.025</f>
        <v>72656.441654369759</v>
      </c>
      <c r="AG63" s="1064"/>
      <c r="AH63" s="1064"/>
      <c r="AI63" s="1065"/>
      <c r="AJ63" s="486"/>
      <c r="AK63" s="81"/>
    </row>
    <row r="64" spans="1:47" s="645" customFormat="1" ht="15.75" thickBot="1" x14ac:dyDescent="0.3">
      <c r="A64" s="636"/>
      <c r="B64" s="636"/>
      <c r="C64" s="638"/>
      <c r="D64" s="636"/>
      <c r="E64" s="636"/>
      <c r="F64" s="636"/>
      <c r="G64" s="636"/>
      <c r="H64" s="643"/>
      <c r="I64" s="643"/>
      <c r="J64" s="643"/>
      <c r="K64" s="643"/>
      <c r="L64" s="643"/>
      <c r="M64" s="637"/>
      <c r="N64" s="644"/>
      <c r="O64" s="644"/>
      <c r="P64" s="644"/>
      <c r="Q64" s="644"/>
      <c r="R64" s="637"/>
      <c r="S64" s="650"/>
      <c r="T64" s="639"/>
      <c r="U64" s="640"/>
      <c r="V64" s="641"/>
      <c r="W64" s="641"/>
      <c r="X64" s="641"/>
      <c r="Y64" s="641"/>
      <c r="Z64" s="643"/>
      <c r="AA64" s="643"/>
      <c r="AB64" s="643"/>
      <c r="AC64" s="643"/>
      <c r="AD64" s="643"/>
      <c r="AE64" s="642"/>
      <c r="AF64" s="644"/>
      <c r="AG64" s="644"/>
      <c r="AH64" s="644"/>
      <c r="AI64" s="644"/>
      <c r="AJ64" s="642"/>
      <c r="AK64" s="636"/>
      <c r="AO64" s="646"/>
      <c r="AP64" s="646"/>
      <c r="AQ64" s="646"/>
      <c r="AR64" s="646"/>
      <c r="AS64" s="646"/>
      <c r="AT64" s="646"/>
      <c r="AU64" s="646"/>
    </row>
    <row r="65" spans="1:47" ht="15.75" thickBot="1" x14ac:dyDescent="0.3">
      <c r="A65" s="80"/>
      <c r="B65" s="482"/>
      <c r="C65" s="501" t="s">
        <v>296</v>
      </c>
      <c r="D65" s="482"/>
      <c r="E65" s="482"/>
      <c r="F65" s="482"/>
      <c r="G65" s="482"/>
      <c r="H65" s="1066">
        <v>979.3</v>
      </c>
      <c r="I65" s="1067"/>
      <c r="J65" s="1067"/>
      <c r="K65" s="1067"/>
      <c r="L65" s="1068"/>
      <c r="M65" s="498"/>
      <c r="N65" s="1045">
        <f>H65</f>
        <v>979.3</v>
      </c>
      <c r="O65" s="1046"/>
      <c r="P65" s="1046"/>
      <c r="Q65" s="1047"/>
      <c r="R65" s="498"/>
      <c r="S65" s="650"/>
      <c r="T65" s="500"/>
      <c r="U65" s="503" t="s">
        <v>296</v>
      </c>
      <c r="V65" s="483"/>
      <c r="W65" s="1069" t="str">
        <f>IF(Z65&gt;H65,"PEDIR BDN","")</f>
        <v/>
      </c>
      <c r="X65" s="1069"/>
      <c r="Y65" s="1069"/>
      <c r="Z65" s="1066">
        <v>972.8</v>
      </c>
      <c r="AA65" s="1067"/>
      <c r="AB65" s="1067"/>
      <c r="AC65" s="1067"/>
      <c r="AD65" s="1068"/>
      <c r="AE65" s="486"/>
      <c r="AF65" s="1045">
        <f>Z65</f>
        <v>972.8</v>
      </c>
      <c r="AG65" s="1046"/>
      <c r="AH65" s="1046"/>
      <c r="AI65" s="1047"/>
      <c r="AJ65" s="486"/>
      <c r="AK65" s="81"/>
    </row>
    <row r="66" spans="1:47" ht="16.5" thickTop="1" thickBot="1" x14ac:dyDescent="0.3">
      <c r="A66" s="80"/>
      <c r="B66" s="482"/>
      <c r="C66" s="501" t="s">
        <v>297</v>
      </c>
      <c r="D66" s="482"/>
      <c r="E66" s="482"/>
      <c r="F66" s="482"/>
      <c r="G66" s="482"/>
      <c r="H66" s="1070">
        <v>258.89999999999998</v>
      </c>
      <c r="I66" s="1071"/>
      <c r="J66" s="1071"/>
      <c r="K66" s="1071"/>
      <c r="L66" s="1072"/>
      <c r="M66" s="498"/>
      <c r="N66" s="1073">
        <f t="shared" ref="N66:N71" si="2">H66</f>
        <v>258.89999999999998</v>
      </c>
      <c r="O66" s="1074"/>
      <c r="P66" s="1074"/>
      <c r="Q66" s="1075"/>
      <c r="R66" s="498"/>
      <c r="S66" s="650"/>
      <c r="T66" s="500"/>
      <c r="U66" s="503" t="s">
        <v>297</v>
      </c>
      <c r="V66" s="483"/>
      <c r="W66" s="1069" t="str">
        <f>IF(Z66&gt;H66,"PEDIR BDN","")</f>
        <v/>
      </c>
      <c r="X66" s="1069"/>
      <c r="Y66" s="1069"/>
      <c r="Z66" s="1076">
        <v>258.89999999999998</v>
      </c>
      <c r="AA66" s="1071"/>
      <c r="AB66" s="1071"/>
      <c r="AC66" s="1071"/>
      <c r="AD66" s="1072"/>
      <c r="AE66" s="486"/>
      <c r="AF66" s="1073">
        <f t="shared" ref="AF66:AF71" si="3">Z66</f>
        <v>258.89999999999998</v>
      </c>
      <c r="AG66" s="1074"/>
      <c r="AH66" s="1074"/>
      <c r="AI66" s="1075"/>
      <c r="AJ66" s="486"/>
      <c r="AK66" s="81"/>
    </row>
    <row r="67" spans="1:47" ht="16.5" thickTop="1" thickBot="1" x14ac:dyDescent="0.3">
      <c r="A67" s="80"/>
      <c r="B67" s="482"/>
      <c r="C67" s="501" t="s">
        <v>298</v>
      </c>
      <c r="D67" s="482"/>
      <c r="E67" s="482"/>
      <c r="F67" s="482"/>
      <c r="G67" s="482"/>
      <c r="H67" s="1070" t="s">
        <v>754</v>
      </c>
      <c r="I67" s="1071"/>
      <c r="J67" s="1071"/>
      <c r="K67" s="1071"/>
      <c r="L67" s="1072"/>
      <c r="M67" s="498"/>
      <c r="N67" s="1073" t="str">
        <f t="shared" si="2"/>
        <v>K</v>
      </c>
      <c r="O67" s="1074"/>
      <c r="P67" s="1074"/>
      <c r="Q67" s="1075"/>
      <c r="R67" s="498"/>
      <c r="S67" s="650"/>
      <c r="T67" s="500"/>
      <c r="U67" s="503" t="s">
        <v>298</v>
      </c>
      <c r="V67" s="483"/>
      <c r="W67" s="483"/>
      <c r="X67" s="483"/>
      <c r="Y67" s="483"/>
      <c r="Z67" s="1070" t="s">
        <v>754</v>
      </c>
      <c r="AA67" s="1071"/>
      <c r="AB67" s="1071"/>
      <c r="AC67" s="1071"/>
      <c r="AD67" s="1072"/>
      <c r="AE67" s="486"/>
      <c r="AF67" s="1073" t="str">
        <f t="shared" si="3"/>
        <v>K</v>
      </c>
      <c r="AG67" s="1074"/>
      <c r="AH67" s="1074"/>
      <c r="AI67" s="1075"/>
      <c r="AJ67" s="486"/>
      <c r="AK67" s="81"/>
    </row>
    <row r="68" spans="1:47" ht="16.5" thickTop="1" thickBot="1" x14ac:dyDescent="0.3">
      <c r="A68" s="80"/>
      <c r="B68" s="482"/>
      <c r="C68" s="501" t="s">
        <v>299</v>
      </c>
      <c r="D68" s="482"/>
      <c r="E68" s="482"/>
      <c r="F68" s="482"/>
      <c r="G68" s="482"/>
      <c r="H68" s="1054">
        <f>Relato!$J$261</f>
        <v>16664.7</v>
      </c>
      <c r="I68" s="1055"/>
      <c r="J68" s="1055"/>
      <c r="K68" s="1055"/>
      <c r="L68" s="1056"/>
      <c r="M68" s="498"/>
      <c r="N68" s="1073">
        <f t="shared" si="2"/>
        <v>16664.7</v>
      </c>
      <c r="O68" s="1074"/>
      <c r="P68" s="1074"/>
      <c r="Q68" s="1075"/>
      <c r="R68" s="498"/>
      <c r="S68" s="650"/>
      <c r="T68" s="500"/>
      <c r="U68" s="503" t="s">
        <v>299</v>
      </c>
      <c r="V68" s="483"/>
      <c r="W68" s="483"/>
      <c r="X68" s="483"/>
      <c r="Y68" s="483"/>
      <c r="Z68" s="1054">
        <f>Relato!$J$281</f>
        <v>275.3</v>
      </c>
      <c r="AA68" s="1055"/>
      <c r="AB68" s="1055"/>
      <c r="AC68" s="1055"/>
      <c r="AD68" s="1056"/>
      <c r="AE68" s="486"/>
      <c r="AF68" s="1073">
        <f t="shared" si="3"/>
        <v>275.3</v>
      </c>
      <c r="AG68" s="1074"/>
      <c r="AH68" s="1074"/>
      <c r="AI68" s="1075"/>
      <c r="AJ68" s="486"/>
      <c r="AK68" s="81"/>
    </row>
    <row r="69" spans="1:47" ht="16.5" thickTop="1" thickBot="1" x14ac:dyDescent="0.3">
      <c r="A69" s="80"/>
      <c r="B69" s="482"/>
      <c r="C69" s="501" t="s">
        <v>300</v>
      </c>
      <c r="D69" s="482"/>
      <c r="E69" s="482"/>
      <c r="F69" s="482"/>
      <c r="G69" s="482"/>
      <c r="H69" s="1054">
        <f>Relato!$J$290</f>
        <v>100</v>
      </c>
      <c r="I69" s="1055"/>
      <c r="J69" s="1055"/>
      <c r="K69" s="1055"/>
      <c r="L69" s="1056"/>
      <c r="M69" s="498"/>
      <c r="N69" s="1073">
        <f t="shared" si="2"/>
        <v>100</v>
      </c>
      <c r="O69" s="1074"/>
      <c r="P69" s="1074"/>
      <c r="Q69" s="1075"/>
      <c r="R69" s="498"/>
      <c r="S69" s="650"/>
      <c r="T69" s="500"/>
      <c r="U69" s="503" t="s">
        <v>300</v>
      </c>
      <c r="V69" s="483"/>
      <c r="W69" s="483"/>
      <c r="X69" s="483"/>
      <c r="Y69" s="483"/>
      <c r="Z69" s="1054">
        <f>Relato!$J$298</f>
        <v>88</v>
      </c>
      <c r="AA69" s="1055"/>
      <c r="AB69" s="1055"/>
      <c r="AC69" s="1055"/>
      <c r="AD69" s="1056"/>
      <c r="AE69" s="486"/>
      <c r="AF69" s="1073">
        <f t="shared" si="3"/>
        <v>88</v>
      </c>
      <c r="AG69" s="1074"/>
      <c r="AH69" s="1074"/>
      <c r="AI69" s="1075"/>
      <c r="AJ69" s="486"/>
      <c r="AK69" s="81"/>
    </row>
    <row r="70" spans="1:47" ht="14.25" hidden="1" customHeight="1" thickTop="1" thickBot="1" x14ac:dyDescent="0.3">
      <c r="A70" s="80"/>
      <c r="B70" s="482"/>
      <c r="C70" s="501" t="s">
        <v>301</v>
      </c>
      <c r="D70" s="482"/>
      <c r="E70" s="482"/>
      <c r="F70" s="482"/>
      <c r="G70" s="482"/>
      <c r="H70" s="1077">
        <v>0</v>
      </c>
      <c r="I70" s="1078"/>
      <c r="J70" s="1078"/>
      <c r="K70" s="1078"/>
      <c r="L70" s="1079"/>
      <c r="M70" s="498"/>
      <c r="N70" s="1073">
        <f>H70</f>
        <v>0</v>
      </c>
      <c r="O70" s="1074"/>
      <c r="P70" s="1074"/>
      <c r="Q70" s="1075"/>
      <c r="R70" s="498"/>
      <c r="S70" s="650"/>
      <c r="T70" s="500"/>
      <c r="U70" s="503" t="s">
        <v>302</v>
      </c>
      <c r="V70" s="483"/>
      <c r="W70" s="483"/>
      <c r="X70" s="483"/>
      <c r="Y70" s="483"/>
      <c r="Z70" s="1077">
        <v>0</v>
      </c>
      <c r="AA70" s="1078"/>
      <c r="AB70" s="1078"/>
      <c r="AC70" s="1078"/>
      <c r="AD70" s="1079"/>
      <c r="AE70" s="486"/>
      <c r="AF70" s="1073">
        <f>Z70</f>
        <v>0</v>
      </c>
      <c r="AG70" s="1074"/>
      <c r="AH70" s="1074"/>
      <c r="AI70" s="1075"/>
      <c r="AJ70" s="486"/>
      <c r="AK70" s="81"/>
    </row>
    <row r="71" spans="1:47" ht="16.5" thickTop="1" thickBot="1" x14ac:dyDescent="0.3">
      <c r="A71" s="80"/>
      <c r="B71" s="482"/>
      <c r="C71" s="501" t="s">
        <v>303</v>
      </c>
      <c r="D71" s="482"/>
      <c r="E71" s="482"/>
      <c r="F71" s="482"/>
      <c r="G71" s="482"/>
      <c r="H71" s="1080">
        <v>0</v>
      </c>
      <c r="I71" s="1081"/>
      <c r="J71" s="1081"/>
      <c r="K71" s="1081"/>
      <c r="L71" s="1082"/>
      <c r="M71" s="498"/>
      <c r="N71" s="1073">
        <f t="shared" si="2"/>
        <v>0</v>
      </c>
      <c r="O71" s="1074"/>
      <c r="P71" s="1074"/>
      <c r="Q71" s="1075"/>
      <c r="R71" s="498"/>
      <c r="S71" s="650"/>
      <c r="T71" s="500"/>
      <c r="U71" s="503" t="s">
        <v>303</v>
      </c>
      <c r="V71" s="483"/>
      <c r="W71" s="483"/>
      <c r="X71" s="483"/>
      <c r="Y71" s="483"/>
      <c r="Z71" s="1080">
        <v>0</v>
      </c>
      <c r="AA71" s="1081"/>
      <c r="AB71" s="1081"/>
      <c r="AC71" s="1081"/>
      <c r="AD71" s="1082"/>
      <c r="AE71" s="486"/>
      <c r="AF71" s="1073">
        <f t="shared" si="3"/>
        <v>0</v>
      </c>
      <c r="AG71" s="1074"/>
      <c r="AH71" s="1074"/>
      <c r="AI71" s="1075"/>
      <c r="AJ71" s="486"/>
      <c r="AK71" s="81"/>
    </row>
    <row r="72" spans="1:47" ht="16.5" customHeight="1" thickTop="1" thickBot="1" x14ac:dyDescent="0.3">
      <c r="A72" s="80"/>
      <c r="B72" s="482"/>
      <c r="C72" s="501" t="s">
        <v>304</v>
      </c>
      <c r="D72" s="482"/>
      <c r="E72" s="482"/>
      <c r="F72" s="482"/>
      <c r="G72" s="482"/>
      <c r="H72" s="1090">
        <f>SUM(H65:L69,H71)</f>
        <v>18002.900000000001</v>
      </c>
      <c r="I72" s="1091"/>
      <c r="J72" s="1091"/>
      <c r="K72" s="1091"/>
      <c r="L72" s="1092"/>
      <c r="M72" s="498"/>
      <c r="N72" s="1063">
        <f>SUM(H65:L71)</f>
        <v>18002.900000000001</v>
      </c>
      <c r="O72" s="1064"/>
      <c r="P72" s="1064"/>
      <c r="Q72" s="1065"/>
      <c r="R72" s="498"/>
      <c r="S72" s="650"/>
      <c r="T72" s="500"/>
      <c r="U72" s="503" t="s">
        <v>304</v>
      </c>
      <c r="V72" s="483"/>
      <c r="W72" s="483"/>
      <c r="X72" s="483"/>
      <c r="Y72" s="483"/>
      <c r="Z72" s="1090">
        <f>SUM(Z65:AD71)</f>
        <v>1594.9999999999998</v>
      </c>
      <c r="AA72" s="1091"/>
      <c r="AB72" s="1091"/>
      <c r="AC72" s="1091"/>
      <c r="AD72" s="1092"/>
      <c r="AE72" s="486"/>
      <c r="AF72" s="1063">
        <f>SUM(Z65:AD71)</f>
        <v>1594.9999999999998</v>
      </c>
      <c r="AG72" s="1064"/>
      <c r="AH72" s="1064"/>
      <c r="AI72" s="1065"/>
      <c r="AJ72" s="486"/>
      <c r="AK72" s="81"/>
    </row>
    <row r="73" spans="1:47" s="645" customFormat="1" ht="16.5" customHeight="1" thickBot="1" x14ac:dyDescent="0.3">
      <c r="A73" s="636"/>
      <c r="B73" s="636"/>
      <c r="C73" s="638"/>
      <c r="D73" s="636"/>
      <c r="E73" s="636"/>
      <c r="F73" s="636"/>
      <c r="G73" s="636"/>
      <c r="H73" s="643"/>
      <c r="I73" s="643"/>
      <c r="J73" s="643"/>
      <c r="K73" s="643"/>
      <c r="L73" s="643"/>
      <c r="M73" s="637"/>
      <c r="N73" s="644"/>
      <c r="O73" s="644"/>
      <c r="P73" s="644"/>
      <c r="Q73" s="644"/>
      <c r="R73" s="637"/>
      <c r="S73" s="650"/>
      <c r="T73" s="639"/>
      <c r="U73" s="640"/>
      <c r="V73" s="641"/>
      <c r="W73" s="641"/>
      <c r="X73" s="641"/>
      <c r="Y73" s="641"/>
      <c r="Z73" s="643"/>
      <c r="AA73" s="643"/>
      <c r="AB73" s="643"/>
      <c r="AC73" s="643"/>
      <c r="AD73" s="643"/>
      <c r="AE73" s="642"/>
      <c r="AF73" s="644"/>
      <c r="AG73" s="644"/>
      <c r="AH73" s="644"/>
      <c r="AI73" s="644"/>
      <c r="AJ73" s="642"/>
      <c r="AK73" s="636"/>
      <c r="AO73" s="646"/>
      <c r="AP73" s="646"/>
      <c r="AQ73" s="646"/>
      <c r="AR73" s="646"/>
      <c r="AS73" s="646"/>
      <c r="AT73" s="646"/>
      <c r="AU73" s="646"/>
    </row>
    <row r="74" spans="1:47" ht="16.5" customHeight="1" thickBot="1" x14ac:dyDescent="0.3">
      <c r="A74" s="80"/>
      <c r="B74" s="482"/>
      <c r="C74" s="501" t="s">
        <v>305</v>
      </c>
      <c r="D74" s="482"/>
      <c r="E74" s="482"/>
      <c r="F74" s="482"/>
      <c r="G74" s="482"/>
      <c r="H74" s="1093">
        <f>H63-H72</f>
        <v>11985.736640628784</v>
      </c>
      <c r="I74" s="1094"/>
      <c r="J74" s="1094"/>
      <c r="K74" s="1094"/>
      <c r="L74" s="1095"/>
      <c r="M74" s="498"/>
      <c r="N74" s="1045">
        <f>N63-N72</f>
        <v>12042.942575974874</v>
      </c>
      <c r="O74" s="1046"/>
      <c r="P74" s="1046"/>
      <c r="Q74" s="1047"/>
      <c r="R74" s="498"/>
      <c r="S74" s="650"/>
      <c r="T74" s="500"/>
      <c r="U74" s="503" t="s">
        <v>305</v>
      </c>
      <c r="V74" s="483"/>
      <c r="W74" s="483"/>
      <c r="X74" s="483"/>
      <c r="Y74" s="483"/>
      <c r="Z74" s="1096">
        <f>Z63-Z72</f>
        <v>71137.838144109512</v>
      </c>
      <c r="AA74" s="1097"/>
      <c r="AB74" s="1097"/>
      <c r="AC74" s="1097"/>
      <c r="AD74" s="1098"/>
      <c r="AE74" s="486"/>
      <c r="AF74" s="1045">
        <f>AF63-AF72</f>
        <v>71061.441654369759</v>
      </c>
      <c r="AG74" s="1046"/>
      <c r="AH74" s="1046"/>
      <c r="AI74" s="1047"/>
      <c r="AJ74" s="486"/>
      <c r="AK74" s="81"/>
    </row>
    <row r="75" spans="1:47" ht="16.5" customHeight="1" thickTop="1" thickBot="1" x14ac:dyDescent="0.3">
      <c r="A75" s="80"/>
      <c r="B75" s="482"/>
      <c r="C75" s="501" t="s">
        <v>306</v>
      </c>
      <c r="D75" s="482"/>
      <c r="E75" s="482"/>
      <c r="F75" s="482"/>
      <c r="G75" s="482"/>
      <c r="H75" s="1085">
        <f>CAPA!$B$19</f>
        <v>11774</v>
      </c>
      <c r="I75" s="1086"/>
      <c r="J75" s="1086"/>
      <c r="K75" s="1086"/>
      <c r="L75" s="1087"/>
      <c r="M75" s="498"/>
      <c r="N75" s="1073">
        <f>H75</f>
        <v>11774</v>
      </c>
      <c r="O75" s="1074"/>
      <c r="P75" s="1074"/>
      <c r="Q75" s="1075"/>
      <c r="R75" s="498"/>
      <c r="S75" s="650"/>
      <c r="T75" s="500"/>
      <c r="U75" s="503" t="s">
        <v>307</v>
      </c>
      <c r="V75" s="483"/>
      <c r="W75" s="483"/>
      <c r="X75" s="483"/>
      <c r="Y75" s="483"/>
      <c r="Z75" s="1083">
        <f>H74</f>
        <v>11985.736640628784</v>
      </c>
      <c r="AA75" s="1020"/>
      <c r="AB75" s="1020"/>
      <c r="AC75" s="1020"/>
      <c r="AD75" s="1084"/>
      <c r="AE75" s="486"/>
      <c r="AF75" s="1073">
        <f>N74</f>
        <v>12042.942575974874</v>
      </c>
      <c r="AG75" s="1074"/>
      <c r="AH75" s="1074"/>
      <c r="AI75" s="1075"/>
      <c r="AJ75" s="486"/>
      <c r="AK75" s="81"/>
    </row>
    <row r="76" spans="1:47" ht="16.5" customHeight="1" thickTop="1" thickBot="1" x14ac:dyDescent="0.3">
      <c r="A76" s="80"/>
      <c r="B76" s="482"/>
      <c r="C76" s="501" t="s">
        <v>301</v>
      </c>
      <c r="D76" s="482"/>
      <c r="E76" s="482"/>
      <c r="F76" s="482"/>
      <c r="G76" s="482"/>
      <c r="H76" s="1085">
        <v>21.9</v>
      </c>
      <c r="I76" s="1086"/>
      <c r="J76" s="1086"/>
      <c r="K76" s="1086"/>
      <c r="L76" s="1087"/>
      <c r="M76" s="498"/>
      <c r="N76" s="1073">
        <f>H76</f>
        <v>21.9</v>
      </c>
      <c r="O76" s="1074"/>
      <c r="P76" s="1074"/>
      <c r="Q76" s="1075"/>
      <c r="R76" s="498"/>
      <c r="S76" s="650"/>
      <c r="T76" s="500"/>
      <c r="U76" s="503" t="s">
        <v>302</v>
      </c>
      <c r="V76" s="483"/>
      <c r="W76" s="483"/>
      <c r="X76" s="483"/>
      <c r="Y76" s="483"/>
      <c r="Z76" s="1088">
        <v>0</v>
      </c>
      <c r="AA76" s="1014"/>
      <c r="AB76" s="1014"/>
      <c r="AC76" s="1014"/>
      <c r="AD76" s="1089"/>
      <c r="AE76" s="486"/>
      <c r="AF76" s="1073">
        <f>Z76</f>
        <v>0</v>
      </c>
      <c r="AG76" s="1074"/>
      <c r="AH76" s="1074"/>
      <c r="AI76" s="1075"/>
      <c r="AJ76" s="486"/>
      <c r="AK76" s="81"/>
    </row>
    <row r="77" spans="1:47" ht="16.5" customHeight="1" thickTop="1" thickBot="1" x14ac:dyDescent="0.3">
      <c r="A77" s="80"/>
      <c r="B77" s="482"/>
      <c r="C77" s="501" t="s">
        <v>308</v>
      </c>
      <c r="D77" s="482"/>
      <c r="E77" s="482"/>
      <c r="F77" s="482"/>
      <c r="G77" s="482"/>
      <c r="H77" s="1112">
        <f>H74-(H75-H76)</f>
        <v>233.63664062878343</v>
      </c>
      <c r="I77" s="1113"/>
      <c r="J77" s="1113"/>
      <c r="K77" s="1113"/>
      <c r="L77" s="1114"/>
      <c r="M77" s="498"/>
      <c r="N77" s="1073">
        <f>N74-(N75-N76)</f>
        <v>290.8425759748734</v>
      </c>
      <c r="O77" s="1074"/>
      <c r="P77" s="1074"/>
      <c r="Q77" s="1075"/>
      <c r="R77" s="498"/>
      <c r="S77" s="650"/>
      <c r="T77" s="500"/>
      <c r="U77" s="503" t="s">
        <v>309</v>
      </c>
      <c r="V77" s="483"/>
      <c r="W77" s="483"/>
      <c r="X77" s="483"/>
      <c r="Y77" s="483"/>
      <c r="Z77" s="1083">
        <f>Z74-Z75-H76+Z76</f>
        <v>59130.201503480726</v>
      </c>
      <c r="AA77" s="1020"/>
      <c r="AB77" s="1020"/>
      <c r="AC77" s="1020"/>
      <c r="AD77" s="1084"/>
      <c r="AE77" s="486"/>
      <c r="AF77" s="1073">
        <f>AF74-AF75-N76+AF76</f>
        <v>58996.599078394887</v>
      </c>
      <c r="AG77" s="1074"/>
      <c r="AH77" s="1074"/>
      <c r="AI77" s="1075"/>
      <c r="AJ77" s="486"/>
      <c r="AK77" s="81"/>
    </row>
    <row r="78" spans="1:47" ht="16.5" thickTop="1" thickBot="1" x14ac:dyDescent="0.3">
      <c r="A78" s="80"/>
      <c r="B78" s="482"/>
      <c r="C78" s="501" t="s">
        <v>310</v>
      </c>
      <c r="D78" s="482"/>
      <c r="E78" s="482"/>
      <c r="F78" s="482"/>
      <c r="G78" s="482"/>
      <c r="H78" s="1115">
        <v>236</v>
      </c>
      <c r="I78" s="1116"/>
      <c r="J78" s="1116"/>
      <c r="K78" s="1116"/>
      <c r="L78" s="1117"/>
      <c r="M78" s="498"/>
      <c r="N78" s="1063">
        <f>H78</f>
        <v>236</v>
      </c>
      <c r="O78" s="1064"/>
      <c r="P78" s="1064"/>
      <c r="Q78" s="1065"/>
      <c r="R78" s="498"/>
      <c r="S78" s="650"/>
      <c r="T78" s="500"/>
      <c r="U78" s="503" t="s">
        <v>311</v>
      </c>
      <c r="V78" s="483"/>
      <c r="W78" s="483"/>
      <c r="X78" s="483"/>
      <c r="Y78" s="483"/>
      <c r="Z78" s="1118">
        <v>59000</v>
      </c>
      <c r="AA78" s="1008"/>
      <c r="AB78" s="1008"/>
      <c r="AC78" s="1008"/>
      <c r="AD78" s="1119"/>
      <c r="AE78" s="486"/>
      <c r="AF78" s="1073">
        <f>Z78</f>
        <v>59000</v>
      </c>
      <c r="AG78" s="1074"/>
      <c r="AH78" s="1074"/>
      <c r="AI78" s="1075"/>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50"/>
      <c r="T79" s="500"/>
      <c r="U79" s="503" t="s">
        <v>312</v>
      </c>
      <c r="V79" s="483"/>
      <c r="W79" s="483"/>
      <c r="X79" s="483"/>
      <c r="Y79" s="483"/>
      <c r="Z79" s="1130">
        <f>Z77-Z78</f>
        <v>130.20150348072639</v>
      </c>
      <c r="AA79" s="1131"/>
      <c r="AB79" s="1131"/>
      <c r="AC79" s="1132">
        <f>Z79/Z78*100</f>
        <v>0.22068051437411254</v>
      </c>
      <c r="AD79" s="1133"/>
      <c r="AE79" s="486"/>
      <c r="AF79" s="1099">
        <f>AF77-AF78</f>
        <v>-3.4009216051126714</v>
      </c>
      <c r="AG79" s="1100"/>
      <c r="AH79" s="1100"/>
      <c r="AI79" s="654">
        <f>AF79/AF78*100</f>
        <v>-5.7642739069706291E-3</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51"/>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51"/>
      <c r="T81" s="515"/>
      <c r="U81" s="516"/>
      <c r="V81" s="479"/>
      <c r="W81" s="479"/>
      <c r="X81" s="479"/>
      <c r="Y81" s="479"/>
      <c r="AA81" s="1101" t="s">
        <v>313</v>
      </c>
      <c r="AB81" s="1101"/>
      <c r="AC81" s="1101" t="s">
        <v>136</v>
      </c>
      <c r="AD81" s="1101"/>
      <c r="AE81" s="478"/>
      <c r="AF81" s="519"/>
      <c r="AG81" s="519"/>
      <c r="AH81" s="519"/>
      <c r="AI81" s="520"/>
      <c r="AJ81" s="478"/>
      <c r="AK81" s="79"/>
      <c r="AM81" s="90" t="s">
        <v>314</v>
      </c>
    </row>
    <row r="82" spans="1:39" ht="14.25" customHeight="1" x14ac:dyDescent="0.2">
      <c r="A82" s="77"/>
      <c r="B82" s="78"/>
      <c r="C82" s="78"/>
      <c r="D82" s="78"/>
      <c r="E82" s="78"/>
      <c r="F82" s="78"/>
      <c r="G82" s="78"/>
      <c r="H82" s="1102" t="s">
        <v>315</v>
      </c>
      <c r="I82" s="1102"/>
      <c r="J82" s="1102"/>
      <c r="K82" s="1102"/>
      <c r="L82" s="1102"/>
      <c r="M82" s="1102"/>
      <c r="N82" s="1102"/>
      <c r="O82" s="1102"/>
      <c r="P82" s="1102"/>
      <c r="Q82" s="1102"/>
      <c r="R82" s="515"/>
      <c r="S82" s="651"/>
      <c r="T82" s="515"/>
      <c r="U82" s="1103" t="s">
        <v>138</v>
      </c>
      <c r="V82" s="1104"/>
      <c r="W82" s="1104"/>
      <c r="X82" s="1105">
        <v>59018.563999999998</v>
      </c>
      <c r="Y82" s="1105"/>
      <c r="Z82" s="1105"/>
      <c r="AA82" s="1105">
        <f>X82-Z78</f>
        <v>18.563999999998487</v>
      </c>
      <c r="AB82" s="1105"/>
      <c r="AC82" s="1108">
        <f>AA82/Z78*100</f>
        <v>3.1464406779658449E-2</v>
      </c>
      <c r="AD82" s="1109"/>
      <c r="AE82" s="479"/>
      <c r="AF82" s="517"/>
      <c r="AG82" s="517"/>
      <c r="AH82" s="517"/>
      <c r="AI82" s="518"/>
      <c r="AJ82" s="479"/>
      <c r="AK82" s="79"/>
      <c r="AM82" s="90" t="s">
        <v>316</v>
      </c>
    </row>
    <row r="83" spans="1:39" ht="14.25" customHeight="1" x14ac:dyDescent="0.2">
      <c r="A83" s="77"/>
      <c r="B83" s="78"/>
      <c r="C83" s="78"/>
      <c r="D83" s="78"/>
      <c r="E83" s="78"/>
      <c r="F83" s="78"/>
      <c r="G83" s="78"/>
      <c r="H83" s="1102"/>
      <c r="I83" s="1102"/>
      <c r="J83" s="1102"/>
      <c r="K83" s="1102"/>
      <c r="L83" s="1102"/>
      <c r="M83" s="1102"/>
      <c r="N83" s="1102"/>
      <c r="O83" s="1102"/>
      <c r="P83" s="1102"/>
      <c r="Q83" s="1102"/>
      <c r="R83" s="515"/>
      <c r="S83" s="651"/>
      <c r="T83" s="515"/>
      <c r="U83" s="1106" t="s">
        <v>139</v>
      </c>
      <c r="V83" s="1107"/>
      <c r="W83" s="1107"/>
      <c r="X83" s="1128">
        <v>59023.142</v>
      </c>
      <c r="Y83" s="1128"/>
      <c r="Z83" s="1128"/>
      <c r="AA83" s="1128">
        <f>X83-Z78</f>
        <v>23.141999999999825</v>
      </c>
      <c r="AB83" s="1128"/>
      <c r="AC83" s="1110">
        <f>AA83/Z78*100</f>
        <v>3.9223728813559025E-2</v>
      </c>
      <c r="AD83" s="1111"/>
      <c r="AE83" s="479"/>
      <c r="AF83" s="517"/>
      <c r="AG83" s="517"/>
      <c r="AH83" s="517"/>
      <c r="AI83" s="518"/>
      <c r="AJ83" s="479"/>
      <c r="AK83" s="79"/>
      <c r="AM83" s="90" t="s">
        <v>317</v>
      </c>
    </row>
    <row r="84" spans="1:39" ht="16.5" customHeight="1" x14ac:dyDescent="0.2">
      <c r="A84" s="77"/>
      <c r="B84" s="78"/>
      <c r="C84" s="78"/>
      <c r="D84" s="78"/>
      <c r="E84" s="78"/>
      <c r="F84" s="78"/>
      <c r="G84" s="78"/>
      <c r="H84" s="1129" t="s">
        <v>318</v>
      </c>
      <c r="I84" s="1129"/>
      <c r="J84" s="1129"/>
      <c r="K84" s="1129"/>
      <c r="L84" s="1129"/>
      <c r="M84" s="1129"/>
      <c r="N84" s="1129"/>
      <c r="O84" s="1129"/>
      <c r="P84" s="1129"/>
      <c r="Q84" s="1129"/>
      <c r="R84" s="515"/>
      <c r="S84" s="651"/>
      <c r="T84" s="515"/>
      <c r="U84" s="1106" t="s">
        <v>319</v>
      </c>
      <c r="V84" s="1107"/>
      <c r="W84" s="1107"/>
      <c r="X84" s="1128">
        <v>59021.83</v>
      </c>
      <c r="Y84" s="1128"/>
      <c r="Z84" s="1128"/>
      <c r="AA84" s="1128">
        <f>X84-Z78</f>
        <v>21.830000000001746</v>
      </c>
      <c r="AB84" s="1128"/>
      <c r="AC84" s="1110">
        <f>AA84/Z78*100</f>
        <v>3.7000000000002961E-2</v>
      </c>
      <c r="AD84" s="1111"/>
      <c r="AE84" s="479"/>
      <c r="AF84" s="517"/>
      <c r="AG84" s="517"/>
      <c r="AH84" s="517"/>
      <c r="AI84" s="518"/>
      <c r="AJ84" s="479"/>
      <c r="AK84" s="79"/>
      <c r="AM84" s="90" t="s">
        <v>319</v>
      </c>
    </row>
    <row r="85" spans="1:39" ht="14.25" customHeight="1" x14ac:dyDescent="0.2">
      <c r="A85" s="77"/>
      <c r="B85" s="78"/>
      <c r="C85" s="78"/>
      <c r="D85" s="78"/>
      <c r="E85" s="78"/>
      <c r="F85" s="78"/>
      <c r="G85" s="78"/>
      <c r="H85" s="1129"/>
      <c r="I85" s="1129"/>
      <c r="J85" s="1129"/>
      <c r="K85" s="1129"/>
      <c r="L85" s="1129"/>
      <c r="M85" s="1129"/>
      <c r="N85" s="1129"/>
      <c r="O85" s="1129"/>
      <c r="P85" s="1129"/>
      <c r="Q85" s="1129"/>
      <c r="R85" s="515"/>
      <c r="S85" s="651"/>
      <c r="T85" s="515"/>
      <c r="U85" s="1106"/>
      <c r="V85" s="1107"/>
      <c r="W85" s="1107"/>
      <c r="X85" s="1128"/>
      <c r="Y85" s="1128"/>
      <c r="Z85" s="1128"/>
      <c r="AA85" s="1128">
        <f>X85-Z78</f>
        <v>-59000</v>
      </c>
      <c r="AB85" s="1128"/>
      <c r="AC85" s="1110">
        <f>AA85/Z78*100</f>
        <v>-100</v>
      </c>
      <c r="AD85" s="1111"/>
      <c r="AE85" s="479"/>
      <c r="AF85" s="517"/>
      <c r="AG85" s="517"/>
      <c r="AH85" s="517"/>
      <c r="AI85" s="518"/>
      <c r="AJ85" s="479"/>
      <c r="AK85" s="79"/>
      <c r="AM85" s="90" t="s">
        <v>320</v>
      </c>
    </row>
    <row r="86" spans="1:39" ht="16.5" customHeight="1" x14ac:dyDescent="0.2">
      <c r="A86" s="77"/>
      <c r="B86" s="78"/>
      <c r="C86" s="78"/>
      <c r="D86" s="78"/>
      <c r="E86" s="78"/>
      <c r="F86" s="78"/>
      <c r="G86" s="78"/>
      <c r="H86" s="521"/>
      <c r="I86" s="78"/>
      <c r="J86" s="78"/>
      <c r="K86" s="78"/>
      <c r="L86" s="78"/>
      <c r="M86" s="515"/>
      <c r="N86" s="515"/>
      <c r="O86" s="515"/>
      <c r="P86" s="515"/>
      <c r="Q86" s="515"/>
      <c r="R86" s="515"/>
      <c r="S86" s="651"/>
      <c r="T86" s="515"/>
      <c r="U86" s="1106"/>
      <c r="V86" s="1107"/>
      <c r="W86" s="1107"/>
      <c r="X86" s="1128"/>
      <c r="Y86" s="1128"/>
      <c r="Z86" s="1128"/>
      <c r="AA86" s="1128">
        <f>X86-Z78</f>
        <v>-59000</v>
      </c>
      <c r="AB86" s="1128"/>
      <c r="AC86" s="1110">
        <f>AA86/Z78*100</f>
        <v>-100</v>
      </c>
      <c r="AD86" s="1111"/>
      <c r="AE86" s="479"/>
      <c r="AF86" s="479"/>
      <c r="AG86" s="479"/>
      <c r="AH86" s="479"/>
      <c r="AI86" s="479"/>
      <c r="AJ86" s="479"/>
      <c r="AK86" s="79"/>
      <c r="AM86" s="90" t="s">
        <v>321</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52"/>
      <c r="T87" s="523"/>
      <c r="U87" s="1106"/>
      <c r="V87" s="1107"/>
      <c r="W87" s="1107"/>
      <c r="X87" s="1128"/>
      <c r="Y87" s="1128"/>
      <c r="Z87" s="1128"/>
      <c r="AA87" s="1128">
        <f>X87-Z78</f>
        <v>-59000</v>
      </c>
      <c r="AB87" s="1128"/>
      <c r="AC87" s="1110">
        <f>AA87/Z78*100</f>
        <v>-100</v>
      </c>
      <c r="AD87" s="1111"/>
      <c r="AE87" s="524"/>
      <c r="AF87" s="524"/>
      <c r="AG87" s="524"/>
      <c r="AH87" s="524"/>
      <c r="AI87" s="524"/>
      <c r="AJ87" s="524"/>
      <c r="AK87" s="94"/>
      <c r="AM87" s="90" t="s">
        <v>322</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22" t="s">
        <v>323</v>
      </c>
      <c r="B89" s="1123"/>
      <c r="C89" s="1123"/>
      <c r="D89" s="1123"/>
      <c r="E89" s="1123"/>
      <c r="F89" s="1124">
        <v>7.4249999999999998</v>
      </c>
      <c r="G89" s="1125"/>
      <c r="H89" s="1120" t="s">
        <v>324</v>
      </c>
      <c r="I89" s="1120"/>
      <c r="J89" s="1120"/>
      <c r="K89" s="1124">
        <v>4</v>
      </c>
      <c r="L89" s="1125"/>
      <c r="M89" s="1126" t="s">
        <v>325</v>
      </c>
      <c r="N89" s="1127"/>
      <c r="O89" s="1124">
        <v>78</v>
      </c>
      <c r="P89" s="1125"/>
      <c r="Q89" s="1120" t="s">
        <v>326</v>
      </c>
      <c r="R89" s="1120"/>
      <c r="S89" s="1121">
        <f>-ROUND(IF(K89=0,0,(O89*O89*K89*27.5*0.0216)/1000+F89),1)</f>
        <v>-21.9</v>
      </c>
      <c r="T89" s="1121"/>
      <c r="U89" s="1121"/>
      <c r="V89" s="1121"/>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604</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49" priority="19" operator="equal">
      <formula>0</formula>
    </cfRule>
  </conditionalFormatting>
  <conditionalFormatting sqref="F89:G89">
    <cfRule type="cellIs" dxfId="48" priority="18" operator="equal">
      <formula>0</formula>
    </cfRule>
  </conditionalFormatting>
  <conditionalFormatting sqref="O89:P89">
    <cfRule type="cellIs" dxfId="47" priority="16" operator="equal">
      <formula>0</formula>
    </cfRule>
  </conditionalFormatting>
  <conditionalFormatting sqref="K89:L89">
    <cfRule type="cellIs" dxfId="46" priority="17" operator="equal">
      <formula>0</formula>
    </cfRule>
  </conditionalFormatting>
  <conditionalFormatting sqref="H71 H76:L76 Z76 Z71">
    <cfRule type="cellIs" dxfId="45"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4" priority="14" operator="equal">
      <formula>0</formula>
    </cfRule>
  </conditionalFormatting>
  <conditionalFormatting sqref="H65:L67">
    <cfRule type="cellIs" dxfId="43" priority="13" operator="equal">
      <formula>0</formula>
    </cfRule>
  </conditionalFormatting>
  <conditionalFormatting sqref="Z65:AD67">
    <cfRule type="cellIs" dxfId="42" priority="12" operator="equal">
      <formula>0</formula>
    </cfRule>
  </conditionalFormatting>
  <conditionalFormatting sqref="H75:L75">
    <cfRule type="cellIs" dxfId="41" priority="11" operator="equal">
      <formula>0</formula>
    </cfRule>
  </conditionalFormatting>
  <conditionalFormatting sqref="H78">
    <cfRule type="cellIs" dxfId="40" priority="10" operator="equal">
      <formula>0</formula>
    </cfRule>
  </conditionalFormatting>
  <conditionalFormatting sqref="Z78">
    <cfRule type="cellIs" dxfId="39" priority="9" operator="equal">
      <formula>0</formula>
    </cfRule>
  </conditionalFormatting>
  <conditionalFormatting sqref="X82:X83">
    <cfRule type="cellIs" dxfId="38" priority="8" operator="equal">
      <formula>0</formula>
    </cfRule>
  </conditionalFormatting>
  <conditionalFormatting sqref="O7:R8">
    <cfRule type="cellIs" dxfId="37" priority="7" operator="equal">
      <formula>0</formula>
    </cfRule>
  </conditionalFormatting>
  <conditionalFormatting sqref="X6:Z6">
    <cfRule type="cellIs" dxfId="36" priority="5" operator="equal">
      <formula>0</formula>
    </cfRule>
  </conditionalFormatting>
  <conditionalFormatting sqref="J6">
    <cfRule type="cellIs" dxfId="35" priority="4" operator="equal">
      <formula>0</formula>
    </cfRule>
  </conditionalFormatting>
  <conditionalFormatting sqref="AA6">
    <cfRule type="cellIs" dxfId="34" priority="3" operator="equal">
      <formula>0</formula>
    </cfRule>
  </conditionalFormatting>
  <conditionalFormatting sqref="AC6">
    <cfRule type="cellIs" dxfId="33"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4"/>
      <c r="C4" s="584"/>
      <c r="D4" s="584"/>
      <c r="E4" s="293" t="s">
        <v>579</v>
      </c>
      <c r="F4" s="585">
        <f>Draft!$D$11/2</f>
        <v>97.7</v>
      </c>
      <c r="G4" s="5"/>
      <c r="H4" s="586"/>
      <c r="I4" s="586"/>
      <c r="J4" s="586"/>
      <c r="K4" s="586"/>
      <c r="M4" s="584"/>
      <c r="N4" s="584"/>
      <c r="O4" s="584"/>
      <c r="P4" s="293" t="s">
        <v>579</v>
      </c>
      <c r="Q4" s="585">
        <f>Draft!$D$11/2</f>
        <v>97.7</v>
      </c>
      <c r="R4" s="5"/>
      <c r="S4" s="586"/>
      <c r="T4" s="586"/>
      <c r="U4" s="586"/>
      <c r="V4" s="586"/>
    </row>
    <row r="5" spans="2:22" ht="15.75" x14ac:dyDescent="0.25">
      <c r="B5" s="587"/>
      <c r="C5" s="587"/>
      <c r="D5" s="587"/>
      <c r="E5" s="586"/>
      <c r="F5" s="586"/>
      <c r="G5" s="586"/>
      <c r="H5" s="586"/>
      <c r="I5" s="586"/>
      <c r="J5" s="586"/>
      <c r="K5" s="586"/>
      <c r="M5" s="587"/>
      <c r="N5" s="587"/>
      <c r="O5" s="587"/>
      <c r="P5" s="586"/>
      <c r="Q5" s="586"/>
      <c r="R5" s="586"/>
      <c r="S5" s="586"/>
      <c r="T5" s="586"/>
      <c r="U5" s="586"/>
      <c r="V5" s="586"/>
    </row>
    <row r="6" spans="2:22" ht="15.75" x14ac:dyDescent="0.25">
      <c r="B6" s="440"/>
      <c r="C6" s="588">
        <f>Draft!$K$31</f>
        <v>5.9019124999999999</v>
      </c>
      <c r="D6" s="587" t="str">
        <f>IF(C7="m","",INT(C6))</f>
        <v/>
      </c>
      <c r="E6" s="589" t="str">
        <f>IF(C7="m","",(C6-INT(C6))*12)</f>
        <v/>
      </c>
      <c r="F6" s="587"/>
      <c r="G6" s="586"/>
      <c r="H6" s="586"/>
      <c r="I6" s="586"/>
      <c r="J6" s="586"/>
      <c r="K6" s="586"/>
      <c r="M6" s="440"/>
      <c r="N6" s="588">
        <f>Draft!$AC$31</f>
        <v>13.207862500000001</v>
      </c>
      <c r="O6" s="587" t="str">
        <f>IF(N7="m","",INT(N6))</f>
        <v/>
      </c>
      <c r="P6" s="589" t="str">
        <f>IF(N7="m","",(N6-INT(N6))*12)</f>
        <v/>
      </c>
      <c r="Q6" s="587"/>
      <c r="R6" s="586"/>
      <c r="S6" s="586"/>
      <c r="T6" s="586"/>
      <c r="U6" s="586"/>
      <c r="V6" s="586"/>
    </row>
    <row r="7" spans="2:22" ht="15.75" x14ac:dyDescent="0.25">
      <c r="B7" s="440"/>
      <c r="C7" s="587" t="s">
        <v>592</v>
      </c>
      <c r="D7" s="587" t="str">
        <f>IF(C7="m","","feet")</f>
        <v/>
      </c>
      <c r="E7" s="587" t="str">
        <f>IF(C7="m","","in")</f>
        <v/>
      </c>
      <c r="F7" s="587"/>
      <c r="G7" s="586"/>
      <c r="H7" s="586"/>
      <c r="I7" s="586"/>
      <c r="J7" s="586"/>
      <c r="K7" s="586"/>
      <c r="M7" s="440"/>
      <c r="N7" s="587" t="s">
        <v>592</v>
      </c>
      <c r="O7" s="587" t="str">
        <f>IF(N7="m","","feet")</f>
        <v/>
      </c>
      <c r="P7" s="587" t="str">
        <f>IF(N7="m","","in")</f>
        <v/>
      </c>
      <c r="Q7" s="587"/>
      <c r="R7" s="586"/>
      <c r="S7" s="586"/>
      <c r="T7" s="586"/>
      <c r="U7" s="586"/>
      <c r="V7" s="586"/>
    </row>
    <row r="8" spans="2:22" ht="19.5" thickBot="1" x14ac:dyDescent="0.3">
      <c r="B8" s="590"/>
      <c r="C8" s="587"/>
      <c r="D8" s="587"/>
      <c r="E8" s="591" t="s">
        <v>9</v>
      </c>
      <c r="F8" s="592">
        <f>Draft!$M$35</f>
        <v>0.12440131090388726</v>
      </c>
      <c r="G8" s="593" t="s">
        <v>580</v>
      </c>
      <c r="H8" s="586"/>
      <c r="I8" s="586"/>
      <c r="J8" s="586"/>
      <c r="K8" s="586"/>
      <c r="M8" s="590"/>
      <c r="N8" s="587"/>
      <c r="O8" s="587"/>
      <c r="P8" s="591" t="s">
        <v>9</v>
      </c>
      <c r="Q8" s="592">
        <f>Draft!$M$35</f>
        <v>0.12440131090388726</v>
      </c>
      <c r="R8" s="593" t="s">
        <v>580</v>
      </c>
      <c r="S8" s="586"/>
      <c r="T8" s="586"/>
      <c r="U8" s="586"/>
      <c r="V8" s="586"/>
    </row>
    <row r="9" spans="2:22" ht="17.25" thickTop="1" thickBot="1" x14ac:dyDescent="0.3">
      <c r="B9" s="594" t="s">
        <v>581</v>
      </c>
      <c r="C9" s="594" t="s">
        <v>364</v>
      </c>
      <c r="D9" s="587"/>
      <c r="E9" s="591" t="str">
        <f>Draft!$P$35</f>
        <v>S</v>
      </c>
      <c r="F9" s="595">
        <f>Draft!$G$35</f>
        <v>7</v>
      </c>
      <c r="G9" s="586" t="s">
        <v>593</v>
      </c>
      <c r="H9" s="586"/>
      <c r="I9" s="586"/>
      <c r="J9" s="586"/>
      <c r="K9" s="586"/>
      <c r="M9" s="594" t="s">
        <v>581</v>
      </c>
      <c r="N9" s="594" t="s">
        <v>364</v>
      </c>
      <c r="O9" s="587"/>
      <c r="P9" s="591" t="str">
        <f>Draft!$P$35</f>
        <v>S</v>
      </c>
      <c r="Q9" s="595">
        <f>Draft!$G$35</f>
        <v>7</v>
      </c>
      <c r="R9" s="586" t="s">
        <v>593</v>
      </c>
      <c r="S9" s="586"/>
      <c r="T9" s="586"/>
      <c r="U9" s="586"/>
      <c r="V9" s="586"/>
    </row>
    <row r="10" spans="2:22" ht="16.5" thickTop="1" x14ac:dyDescent="0.25">
      <c r="B10" s="590" t="s">
        <v>582</v>
      </c>
      <c r="C10" s="596">
        <f>Draft!$H$41</f>
        <v>5.9</v>
      </c>
      <c r="D10" s="597">
        <f>INT(C6*100)</f>
        <v>590</v>
      </c>
      <c r="E10" s="591"/>
      <c r="F10" s="586"/>
      <c r="G10" s="586"/>
      <c r="H10" s="586"/>
      <c r="I10" s="586"/>
      <c r="J10" s="586"/>
      <c r="K10" s="586"/>
      <c r="M10" s="590" t="s">
        <v>582</v>
      </c>
      <c r="N10" s="596">
        <f>Draft!$Z$41</f>
        <v>13.15</v>
      </c>
      <c r="O10" s="597">
        <f>INT(N6*100)</f>
        <v>1320</v>
      </c>
      <c r="P10" s="591"/>
      <c r="Q10" s="586"/>
      <c r="R10" s="586"/>
      <c r="S10" s="586"/>
      <c r="T10" s="586"/>
      <c r="U10" s="586"/>
      <c r="V10" s="586"/>
    </row>
    <row r="11" spans="2:22" ht="15.75" x14ac:dyDescent="0.25">
      <c r="B11" s="590" t="s">
        <v>583</v>
      </c>
      <c r="C11" s="596">
        <f>Draft!$H$42</f>
        <v>5.95</v>
      </c>
      <c r="D11" s="587"/>
      <c r="E11" s="591"/>
      <c r="F11" s="587"/>
      <c r="G11" s="586"/>
      <c r="H11" s="586"/>
      <c r="I11" s="586"/>
      <c r="J11" s="586"/>
      <c r="K11" s="586"/>
      <c r="M11" s="590" t="s">
        <v>583</v>
      </c>
      <c r="N11" s="596">
        <f>Draft!$Z$42</f>
        <v>13.25</v>
      </c>
      <c r="O11" s="587"/>
      <c r="P11" s="591"/>
      <c r="Q11" s="587"/>
      <c r="R11" s="586"/>
      <c r="S11" s="586"/>
      <c r="T11" s="586"/>
      <c r="U11" s="586"/>
      <c r="V11" s="586"/>
    </row>
    <row r="12" spans="2:22" ht="15.75" x14ac:dyDescent="0.25">
      <c r="B12" s="598" t="s">
        <v>584</v>
      </c>
      <c r="C12" s="599">
        <f>Draft!$J$41</f>
        <v>30560</v>
      </c>
      <c r="D12" s="600"/>
      <c r="E12" s="601" t="s">
        <v>585</v>
      </c>
      <c r="F12" s="5"/>
      <c r="G12" s="5"/>
      <c r="H12" s="586"/>
      <c r="I12" s="586"/>
      <c r="J12" s="586" t="s">
        <v>586</v>
      </c>
      <c r="K12" s="586"/>
      <c r="M12" s="598" t="s">
        <v>584</v>
      </c>
      <c r="N12" s="599">
        <f>Draft!$AB$41</f>
        <v>73184</v>
      </c>
      <c r="O12" s="600"/>
      <c r="P12" s="601" t="s">
        <v>585</v>
      </c>
      <c r="Q12" s="5"/>
      <c r="R12" s="5"/>
      <c r="S12" s="586"/>
      <c r="T12" s="586"/>
      <c r="U12" s="586" t="s">
        <v>586</v>
      </c>
      <c r="V12" s="586"/>
    </row>
    <row r="13" spans="2:22" ht="15.75" x14ac:dyDescent="0.25">
      <c r="B13" s="602" t="s">
        <v>587</v>
      </c>
      <c r="C13" s="603">
        <f>Draft!$J$42</f>
        <v>30835</v>
      </c>
      <c r="D13" s="604">
        <f>IF(E13=0,K13,E13)</f>
        <v>30570.5</v>
      </c>
      <c r="E13" s="605">
        <v>0</v>
      </c>
      <c r="F13" s="5"/>
      <c r="G13" s="5"/>
      <c r="H13" s="586"/>
      <c r="I13" s="586"/>
      <c r="J13" s="586"/>
      <c r="K13" s="606">
        <f>ROUND((IF(E13=0,IF(C11=0,0,IF(C10=0,C13,IF(C7="m",(C6-C10)*(C13-C12)/(C11-C10)+C12,(E6-C10)*(C13-C12)/(C11-C10)+C12))),E13)),1)</f>
        <v>30570.5</v>
      </c>
      <c r="M13" s="602" t="s">
        <v>587</v>
      </c>
      <c r="N13" s="603">
        <f>Draft!$AB$42</f>
        <v>73798</v>
      </c>
      <c r="O13" s="604">
        <f>IF(P13=0,V13,P13)</f>
        <v>73539.3</v>
      </c>
      <c r="P13" s="605">
        <v>0</v>
      </c>
      <c r="Q13" s="5"/>
      <c r="R13" s="5"/>
      <c r="S13" s="586"/>
      <c r="T13" s="586"/>
      <c r="U13" s="586"/>
      <c r="V13" s="606">
        <f>ROUND((IF(P13=0,IF(N11=0,0,IF(N10=0,N13,IF(N7="m",(N6-N10)*(N13-N12)/(N11-N10)+N12,(P6-N10)*(N13-N12)/(N11-N10)+N12))),P13)),1)</f>
        <v>73539.3</v>
      </c>
    </row>
    <row r="14" spans="2:22" ht="15.75" x14ac:dyDescent="0.25">
      <c r="B14" s="598" t="s">
        <v>588</v>
      </c>
      <c r="C14" s="607">
        <f>Draft!$J$45</f>
        <v>55.1</v>
      </c>
      <c r="D14" s="608"/>
      <c r="E14" s="293"/>
      <c r="F14" s="5"/>
      <c r="G14" s="5"/>
      <c r="H14" s="586"/>
      <c r="I14" s="586"/>
      <c r="J14" s="586" t="s">
        <v>135</v>
      </c>
      <c r="K14" s="586"/>
      <c r="M14" s="598" t="s">
        <v>588</v>
      </c>
      <c r="N14" s="607">
        <f>Draft!$AB$45</f>
        <v>61.4</v>
      </c>
      <c r="O14" s="608"/>
      <c r="P14" s="293"/>
      <c r="Q14" s="5"/>
      <c r="R14" s="5"/>
      <c r="S14" s="586"/>
      <c r="T14" s="586"/>
      <c r="U14" s="586" t="s">
        <v>135</v>
      </c>
      <c r="V14" s="586"/>
    </row>
    <row r="15" spans="2:22" ht="15.75" x14ac:dyDescent="0.25">
      <c r="B15" s="590" t="s">
        <v>589</v>
      </c>
      <c r="C15" s="607">
        <f>Draft!$J$46</f>
        <v>55.2</v>
      </c>
      <c r="D15" s="609">
        <f>IF(E15=0,K15,E15)</f>
        <v>55.1038</v>
      </c>
      <c r="E15" s="610">
        <v>0</v>
      </c>
      <c r="F15" s="5"/>
      <c r="G15" s="5"/>
      <c r="H15" s="586"/>
      <c r="I15" s="586"/>
      <c r="J15" s="586"/>
      <c r="K15" s="611">
        <f>ROUND((IF(E15=0,IF(C11=0,0,IF(C10=0,C15,IF(C7="m",(C6-C10)*(C15-C14)/(C11-C10)+C14,(E6-C10)*(C15-C14)/(C11-C10)+C14))),E15)),4)</f>
        <v>55.1038</v>
      </c>
      <c r="M15" s="590" t="s">
        <v>589</v>
      </c>
      <c r="N15" s="607">
        <f>Draft!$AB$46</f>
        <v>61.4</v>
      </c>
      <c r="O15" s="609">
        <f>IF(P15=0,V15,P15)</f>
        <v>61.4</v>
      </c>
      <c r="P15" s="610">
        <v>0</v>
      </c>
      <c r="Q15" s="5"/>
      <c r="R15" s="5"/>
      <c r="S15" s="586"/>
      <c r="T15" s="586"/>
      <c r="U15" s="586"/>
      <c r="V15" s="611">
        <f>ROUND((IF(P15=0,IF(N11=0,0,IF(N10=0,N15,IF(N7="m",(N6-N10)*(N15-N14)/(N11-N10)+N14,(P6-N10)*(N15-N14)/(N11-N10)+N14))),P15)),4)</f>
        <v>61.4</v>
      </c>
    </row>
    <row r="16" spans="2:22" ht="15.75" x14ac:dyDescent="0.25">
      <c r="B16" s="612" t="s">
        <v>590</v>
      </c>
      <c r="C16" s="613">
        <f>Draft!$J$49</f>
        <v>-6.18</v>
      </c>
      <c r="D16" s="614"/>
      <c r="E16" s="293"/>
      <c r="F16" s="5"/>
      <c r="G16" s="5"/>
      <c r="H16" s="586"/>
      <c r="I16" s="586"/>
      <c r="J16" s="586" t="s">
        <v>285</v>
      </c>
      <c r="K16" s="611">
        <f>IF(F4*0.75&gt;K17,K17,F4-K17)</f>
        <v>-6.1776999999999997</v>
      </c>
      <c r="M16" s="612" t="s">
        <v>590</v>
      </c>
      <c r="N16" s="613">
        <f>Draft!$AB$49</f>
        <v>3.51</v>
      </c>
      <c r="O16" s="614"/>
      <c r="P16" s="293"/>
      <c r="Q16" s="5"/>
      <c r="R16" s="5"/>
      <c r="S16" s="586"/>
      <c r="T16" s="586"/>
      <c r="U16" s="586" t="s">
        <v>285</v>
      </c>
      <c r="V16" s="611">
        <f>IF(Q4*0.75&gt;V17,V17,Q4-V17)</f>
        <v>3.5215999999999998</v>
      </c>
    </row>
    <row r="17" spans="2:22" ht="15.75" x14ac:dyDescent="0.25">
      <c r="B17" s="615" t="s">
        <v>591</v>
      </c>
      <c r="C17" s="616">
        <f>Draft!$J$50</f>
        <v>-6.12</v>
      </c>
      <c r="D17" s="609">
        <f>IF(E17=0,K16,E17)</f>
        <v>-6.1776999999999997</v>
      </c>
      <c r="E17" s="610">
        <v>0</v>
      </c>
      <c r="F17" s="5"/>
      <c r="G17" s="5"/>
      <c r="H17" s="586"/>
      <c r="I17" s="586"/>
      <c r="J17" s="586"/>
      <c r="K17" s="586">
        <f>ROUND((IF(E17=0,IF(C11=0,0,IF(C10=0,C17,IF(C7="m",(C6-C10)*(C17-C16)/(C11-C10)+C16,(E6-C10)*(C17-C16)/(C11-C10)+C16))),E17)),4)</f>
        <v>-6.1776999999999997</v>
      </c>
      <c r="M17" s="615" t="s">
        <v>591</v>
      </c>
      <c r="N17" s="616">
        <f>Draft!$AB$50</f>
        <v>3.53</v>
      </c>
      <c r="O17" s="609">
        <f>IF(P17=0,V16,P17)</f>
        <v>3.5215999999999998</v>
      </c>
      <c r="P17" s="610">
        <v>0</v>
      </c>
      <c r="Q17" s="5"/>
      <c r="R17" s="5"/>
      <c r="S17" s="586"/>
      <c r="T17" s="586"/>
      <c r="U17" s="586"/>
      <c r="V17" s="586">
        <f>ROUND((IF(P17=0,IF(N11=0,0,IF(N10=0,N17,IF(N7="m",(N6-N10)*(N17-N16)/(N11-N10)+N16,(P6-N10)*(N17-N16)/(N11-N10)+N16))),P17)),4)</f>
        <v>3.5215999999999998</v>
      </c>
    </row>
    <row r="21" spans="2:22" ht="15.75" x14ac:dyDescent="0.25">
      <c r="B21" s="584"/>
      <c r="C21" s="584"/>
      <c r="D21" s="584"/>
      <c r="E21" s="293" t="s">
        <v>579</v>
      </c>
      <c r="F21" s="585">
        <f>Draft!$D$11/2</f>
        <v>97.7</v>
      </c>
      <c r="G21" s="5"/>
      <c r="H21" s="586"/>
      <c r="I21" s="586"/>
      <c r="J21" s="586"/>
      <c r="K21" s="586"/>
      <c r="M21" s="584"/>
      <c r="N21" s="584"/>
      <c r="O21" s="584"/>
      <c r="P21" s="293" t="s">
        <v>579</v>
      </c>
      <c r="Q21" s="585">
        <f>Draft!$D$11/2</f>
        <v>97.7</v>
      </c>
      <c r="R21" s="5"/>
      <c r="S21" s="586"/>
      <c r="T21" s="586"/>
      <c r="U21" s="586"/>
      <c r="V21" s="586"/>
    </row>
    <row r="22" spans="2:22" ht="15.75" x14ac:dyDescent="0.25">
      <c r="B22" s="587"/>
      <c r="C22" s="587"/>
      <c r="D22" s="587"/>
      <c r="E22" s="586"/>
      <c r="F22" s="586"/>
      <c r="G22" s="586"/>
      <c r="H22" s="586"/>
      <c r="I22" s="586"/>
      <c r="J22" s="586"/>
      <c r="K22" s="586"/>
      <c r="M22" s="587"/>
      <c r="N22" s="587"/>
      <c r="O22" s="587"/>
      <c r="P22" s="586"/>
      <c r="Q22" s="586"/>
      <c r="R22" s="586"/>
      <c r="S22" s="586"/>
      <c r="T22" s="586"/>
      <c r="U22" s="586"/>
      <c r="V22" s="586"/>
    </row>
    <row r="23" spans="2:22" ht="15.75" x14ac:dyDescent="0.25">
      <c r="B23" s="440"/>
      <c r="C23" s="588">
        <f>Draft!$M$39</f>
        <v>5.9123133616009405</v>
      </c>
      <c r="D23" s="587" t="str">
        <f>IF(C24="m","",INT(C23))</f>
        <v/>
      </c>
      <c r="E23" s="589" t="str">
        <f>IF(C24="m","",(C23-INT(C23))*12)</f>
        <v/>
      </c>
      <c r="F23" s="587"/>
      <c r="G23" s="586"/>
      <c r="H23" s="586"/>
      <c r="I23" s="586"/>
      <c r="J23" s="586"/>
      <c r="K23" s="586"/>
      <c r="M23" s="440"/>
      <c r="N23" s="588">
        <f>Draft!$AE$39</f>
        <v>13.19528148196024</v>
      </c>
      <c r="O23" s="587" t="str">
        <f>IF(N24="m","",INT(N23))</f>
        <v/>
      </c>
      <c r="P23" s="589" t="str">
        <f>IF(N24="m","",(N23-INT(N23))*12)</f>
        <v/>
      </c>
      <c r="Q23" s="587"/>
      <c r="R23" s="586"/>
      <c r="S23" s="586"/>
      <c r="T23" s="586"/>
      <c r="U23" s="586"/>
      <c r="V23" s="586"/>
    </row>
    <row r="24" spans="2:22" ht="15.75" x14ac:dyDescent="0.25">
      <c r="B24" s="440"/>
      <c r="C24" s="587" t="s">
        <v>592</v>
      </c>
      <c r="D24" s="587" t="str">
        <f>IF(C24="m","","feet")</f>
        <v/>
      </c>
      <c r="E24" s="587" t="str">
        <f>IF(C24="m","","in")</f>
        <v/>
      </c>
      <c r="F24" s="587"/>
      <c r="G24" s="586"/>
      <c r="H24" s="586"/>
      <c r="I24" s="586"/>
      <c r="J24" s="586"/>
      <c r="K24" s="586"/>
      <c r="M24" s="440"/>
      <c r="N24" s="587" t="s">
        <v>592</v>
      </c>
      <c r="O24" s="587" t="str">
        <f>IF(N24="m","","feet")</f>
        <v/>
      </c>
      <c r="P24" s="587" t="str">
        <f>IF(N24="m","","in")</f>
        <v/>
      </c>
      <c r="Q24" s="587"/>
      <c r="R24" s="586"/>
      <c r="S24" s="586"/>
      <c r="T24" s="586"/>
      <c r="U24" s="586"/>
      <c r="V24" s="586"/>
    </row>
    <row r="25" spans="2:22" ht="19.5" thickBot="1" x14ac:dyDescent="0.3">
      <c r="B25" s="590"/>
      <c r="C25" s="587"/>
      <c r="D25" s="587"/>
      <c r="E25" s="591" t="s">
        <v>9</v>
      </c>
      <c r="F25" s="592">
        <f>Draft!$M$35</f>
        <v>0.12440131090388726</v>
      </c>
      <c r="G25" s="593" t="s">
        <v>580</v>
      </c>
      <c r="H25" s="586"/>
      <c r="I25" s="586"/>
      <c r="J25" s="586"/>
      <c r="K25" s="586"/>
      <c r="M25" s="590"/>
      <c r="N25" s="587"/>
      <c r="O25" s="587"/>
      <c r="P25" s="591" t="s">
        <v>9</v>
      </c>
      <c r="Q25" s="592">
        <f>Draft!$M$35</f>
        <v>0.12440131090388726</v>
      </c>
      <c r="R25" s="593" t="s">
        <v>580</v>
      </c>
      <c r="S25" s="586"/>
      <c r="T25" s="586"/>
      <c r="U25" s="586"/>
      <c r="V25" s="586"/>
    </row>
    <row r="26" spans="2:22" ht="17.25" thickTop="1" thickBot="1" x14ac:dyDescent="0.3">
      <c r="B26" s="594" t="s">
        <v>581</v>
      </c>
      <c r="C26" s="594" t="s">
        <v>364</v>
      </c>
      <c r="D26" s="587"/>
      <c r="E26" s="591" t="str">
        <f>Draft!$P35</f>
        <v>S</v>
      </c>
      <c r="F26" s="595">
        <f>Draft!$G$35</f>
        <v>7</v>
      </c>
      <c r="G26" s="586" t="s">
        <v>593</v>
      </c>
      <c r="H26" s="586"/>
      <c r="I26" s="586"/>
      <c r="J26" s="586"/>
      <c r="K26" s="586"/>
      <c r="M26" s="594" t="s">
        <v>581</v>
      </c>
      <c r="N26" s="594" t="s">
        <v>364</v>
      </c>
      <c r="O26" s="587"/>
      <c r="P26" s="591" t="str">
        <f>Draft!$P35</f>
        <v>S</v>
      </c>
      <c r="Q26" s="595">
        <f>Draft!$G$35</f>
        <v>7</v>
      </c>
      <c r="R26" s="586" t="s">
        <v>593</v>
      </c>
      <c r="S26" s="586"/>
      <c r="T26" s="586"/>
      <c r="U26" s="586"/>
      <c r="V26" s="586"/>
    </row>
    <row r="27" spans="2:22" ht="16.5" thickTop="1" x14ac:dyDescent="0.25">
      <c r="B27" s="590" t="s">
        <v>582</v>
      </c>
      <c r="C27" s="596">
        <f>Draft!$H$41</f>
        <v>5.9</v>
      </c>
      <c r="D27" s="597">
        <f>INT(C23*100)</f>
        <v>591</v>
      </c>
      <c r="E27" s="591"/>
      <c r="F27" s="586"/>
      <c r="G27" s="586"/>
      <c r="H27" s="586"/>
      <c r="I27" s="586"/>
      <c r="J27" s="586"/>
      <c r="K27" s="586"/>
      <c r="M27" s="590" t="s">
        <v>582</v>
      </c>
      <c r="N27" s="596">
        <f>Draft!$Z$41</f>
        <v>13.15</v>
      </c>
      <c r="O27" s="597">
        <f>INT(N23*100)</f>
        <v>1319</v>
      </c>
      <c r="P27" s="591"/>
      <c r="Q27" s="586"/>
      <c r="R27" s="586"/>
      <c r="S27" s="586"/>
      <c r="T27" s="586"/>
      <c r="U27" s="586"/>
      <c r="V27" s="586"/>
    </row>
    <row r="28" spans="2:22" ht="15.75" x14ac:dyDescent="0.25">
      <c r="B28" s="590" t="s">
        <v>583</v>
      </c>
      <c r="C28" s="596">
        <f>Draft!$H$42</f>
        <v>5.95</v>
      </c>
      <c r="D28" s="587"/>
      <c r="E28" s="591"/>
      <c r="F28" s="587"/>
      <c r="G28" s="586"/>
      <c r="H28" s="586"/>
      <c r="I28" s="586"/>
      <c r="J28" s="586"/>
      <c r="K28" s="586"/>
      <c r="M28" s="590" t="s">
        <v>583</v>
      </c>
      <c r="N28" s="596">
        <f>Draft!$Z$42</f>
        <v>13.25</v>
      </c>
      <c r="O28" s="587"/>
      <c r="P28" s="591"/>
      <c r="Q28" s="587"/>
      <c r="R28" s="586"/>
      <c r="S28" s="586"/>
      <c r="T28" s="586"/>
      <c r="U28" s="586"/>
      <c r="V28" s="586"/>
    </row>
    <row r="29" spans="2:22" ht="15.75" x14ac:dyDescent="0.25">
      <c r="B29" s="598" t="s">
        <v>584</v>
      </c>
      <c r="C29" s="599">
        <f>Draft!$J$41</f>
        <v>30560</v>
      </c>
      <c r="D29" s="600"/>
      <c r="E29" s="601" t="s">
        <v>585</v>
      </c>
      <c r="F29" s="5"/>
      <c r="G29" s="5"/>
      <c r="H29" s="586"/>
      <c r="I29" s="586"/>
      <c r="J29" s="586" t="s">
        <v>586</v>
      </c>
      <c r="K29" s="586"/>
      <c r="M29" s="598" t="s">
        <v>584</v>
      </c>
      <c r="N29" s="599">
        <f>Draft!$AB$41</f>
        <v>73184</v>
      </c>
      <c r="O29" s="600"/>
      <c r="P29" s="601" t="s">
        <v>585</v>
      </c>
      <c r="Q29" s="5"/>
      <c r="R29" s="5"/>
      <c r="S29" s="586"/>
      <c r="T29" s="586"/>
      <c r="U29" s="586" t="s">
        <v>586</v>
      </c>
      <c r="V29" s="586"/>
    </row>
    <row r="30" spans="2:22" ht="15.75" x14ac:dyDescent="0.25">
      <c r="B30" s="602" t="s">
        <v>587</v>
      </c>
      <c r="C30" s="603">
        <f>Draft!$J$42</f>
        <v>30835</v>
      </c>
      <c r="D30" s="604">
        <f>IF(E30=0,K30,E30)</f>
        <v>30627.7</v>
      </c>
      <c r="E30" s="605">
        <v>0</v>
      </c>
      <c r="F30" s="5"/>
      <c r="G30" s="5"/>
      <c r="H30" s="586"/>
      <c r="I30" s="586"/>
      <c r="J30" s="586"/>
      <c r="K30" s="606">
        <f>ROUND((IF(E30=0,IF(C28=0,0,IF(C27=0,C30,IF(C24="m",(C23-C27)*(C30-C29)/(C28-C27)+C29,(E23-C27)*(C30-C29)/(C28-C27)+C29))),E30)),1)</f>
        <v>30627.7</v>
      </c>
      <c r="M30" s="602" t="s">
        <v>587</v>
      </c>
      <c r="N30" s="603">
        <f>Draft!$AB$42</f>
        <v>73798</v>
      </c>
      <c r="O30" s="604">
        <f>IF(P30=0,V30,P30)</f>
        <v>73462</v>
      </c>
      <c r="P30" s="605">
        <v>0</v>
      </c>
      <c r="Q30" s="5"/>
      <c r="R30" s="5"/>
      <c r="S30" s="586"/>
      <c r="T30" s="586"/>
      <c r="U30" s="586"/>
      <c r="V30" s="606">
        <f>ROUND((IF(P30=0,IF(N28=0,0,IF(N27=0,N30,IF(N24="m",(N23-N27)*(N30-N29)/(N28-N27)+N29,(P23-N27)*(N30-N29)/(N28-N27)+N29))),P30)),1)</f>
        <v>73462</v>
      </c>
    </row>
    <row r="31" spans="2:22" ht="15.75" x14ac:dyDescent="0.25">
      <c r="B31" s="598" t="s">
        <v>588</v>
      </c>
      <c r="C31" s="607">
        <f>Draft!$J$45</f>
        <v>55.1</v>
      </c>
      <c r="D31" s="608"/>
      <c r="E31" s="293"/>
      <c r="F31" s="5"/>
      <c r="G31" s="5"/>
      <c r="H31" s="586"/>
      <c r="I31" s="586"/>
      <c r="J31" s="586" t="s">
        <v>135</v>
      </c>
      <c r="K31" s="586"/>
      <c r="M31" s="598" t="s">
        <v>588</v>
      </c>
      <c r="N31" s="607">
        <f>Draft!$AB$45</f>
        <v>61.4</v>
      </c>
      <c r="O31" s="608"/>
      <c r="P31" s="293"/>
      <c r="Q31" s="5"/>
      <c r="R31" s="5"/>
      <c r="S31" s="586"/>
      <c r="T31" s="586"/>
      <c r="U31" s="586" t="s">
        <v>135</v>
      </c>
      <c r="V31" s="586"/>
    </row>
    <row r="32" spans="2:22" ht="15.75" x14ac:dyDescent="0.25">
      <c r="B32" s="590" t="s">
        <v>589</v>
      </c>
      <c r="C32" s="607">
        <f>Draft!$J$46</f>
        <v>55.2</v>
      </c>
      <c r="D32" s="609">
        <f>IF(E32=0,K32,E32)</f>
        <v>55.124600000000001</v>
      </c>
      <c r="E32" s="610">
        <v>0</v>
      </c>
      <c r="F32" s="5"/>
      <c r="G32" s="5"/>
      <c r="H32" s="586"/>
      <c r="I32" s="586"/>
      <c r="J32" s="586"/>
      <c r="K32" s="611">
        <f>ROUND((IF(E32=0,IF(C28=0,0,IF(C27=0,C32,IF(C24="m",(C23-C27)*(C32-C31)/(C28-C27)+C31,(E23-C27)*(C32-C31)/(C28-C27)+C31))),E32)),4)</f>
        <v>55.124600000000001</v>
      </c>
      <c r="M32" s="590" t="s">
        <v>589</v>
      </c>
      <c r="N32" s="607">
        <f>Draft!$AB$46</f>
        <v>61.4</v>
      </c>
      <c r="O32" s="609">
        <f>IF(P32=0,V32,P32)</f>
        <v>61.4</v>
      </c>
      <c r="P32" s="610">
        <v>0</v>
      </c>
      <c r="Q32" s="5"/>
      <c r="R32" s="5"/>
      <c r="S32" s="586"/>
      <c r="T32" s="586"/>
      <c r="U32" s="586"/>
      <c r="V32" s="611">
        <f>ROUND((IF(P32=0,IF(N28=0,0,IF(N27=0,N32,IF(N24="m",(N23-N27)*(N32-N31)/(N28-N27)+N31,(P23-N27)*(N32-N31)/(N28-N27)+N31))),P32)),4)</f>
        <v>61.4</v>
      </c>
    </row>
    <row r="33" spans="2:22" ht="15.75" x14ac:dyDescent="0.25">
      <c r="B33" s="612" t="s">
        <v>590</v>
      </c>
      <c r="C33" s="613">
        <f>Draft!$J$49</f>
        <v>-6.18</v>
      </c>
      <c r="D33" s="614"/>
      <c r="E33" s="293"/>
      <c r="F33" s="5"/>
      <c r="G33" s="5"/>
      <c r="H33" s="586"/>
      <c r="I33" s="586"/>
      <c r="J33" s="586" t="s">
        <v>285</v>
      </c>
      <c r="K33" s="611">
        <f>IF(F21*0.75&gt;K34,K34,F21-K34)</f>
        <v>-6.1651999999999996</v>
      </c>
      <c r="M33" s="612" t="s">
        <v>590</v>
      </c>
      <c r="N33" s="613">
        <f>Draft!$AB$49</f>
        <v>3.51</v>
      </c>
      <c r="O33" s="614"/>
      <c r="P33" s="293"/>
      <c r="Q33" s="5"/>
      <c r="R33" s="5"/>
      <c r="S33" s="586"/>
      <c r="T33" s="586"/>
      <c r="U33" s="586" t="s">
        <v>285</v>
      </c>
      <c r="V33" s="611">
        <f>IF(Q21*0.75&gt;V34,V34,Q21-V34)</f>
        <v>3.5190999999999999</v>
      </c>
    </row>
    <row r="34" spans="2:22" ht="15.75" x14ac:dyDescent="0.25">
      <c r="B34" s="615" t="s">
        <v>591</v>
      </c>
      <c r="C34" s="616">
        <f>Draft!$J$50</f>
        <v>-6.12</v>
      </c>
      <c r="D34" s="609">
        <f>IF(E34=0,K33,E34)</f>
        <v>-6.1651999999999996</v>
      </c>
      <c r="E34" s="610">
        <v>0</v>
      </c>
      <c r="F34" s="5"/>
      <c r="G34" s="5"/>
      <c r="H34" s="586"/>
      <c r="I34" s="586"/>
      <c r="J34" s="586"/>
      <c r="K34" s="586">
        <f>ROUND((IF(E34=0,IF(C28=0,0,IF(C27=0,C34,IF(C24="m",(C23-C27)*(C34-C33)/(C28-C27)+C33,(E23-C27)*(C34-C33)/(C28-C27)+C33))),E34)),4)</f>
        <v>-6.1651999999999996</v>
      </c>
      <c r="M34" s="615" t="s">
        <v>591</v>
      </c>
      <c r="N34" s="616">
        <f>Draft!$AB$50</f>
        <v>3.53</v>
      </c>
      <c r="O34" s="609">
        <f>IF(P34=0,V33,P34)</f>
        <v>3.5190999999999999</v>
      </c>
      <c r="P34" s="610">
        <v>0</v>
      </c>
      <c r="Q34" s="5"/>
      <c r="R34" s="5"/>
      <c r="S34" s="586"/>
      <c r="T34" s="586"/>
      <c r="U34" s="586"/>
      <c r="V34" s="586">
        <f>ROUND((IF(P34=0,IF(N28=0,0,IF(N27=0,N34,IF(N24="m",(N23-N27)*(N34-N33)/(N28-N27)+N33,(P23-N27)*(N34-N33)/(N28-N27)+N33))),P34)),4)</f>
        <v>3.5190999999999999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L37"/>
  <sheetViews>
    <sheetView zoomScaleNormal="100" workbookViewId="0">
      <selection activeCell="J24" sqref="J24"/>
    </sheetView>
  </sheetViews>
  <sheetFormatPr defaultColWidth="9.140625" defaultRowHeight="12.75" x14ac:dyDescent="0.2"/>
  <cols>
    <col min="1" max="1" width="20" style="95" bestFit="1" customWidth="1"/>
    <col min="2" max="7" width="13.7109375" style="95" customWidth="1"/>
    <col min="8" max="16384" width="9.140625" style="95"/>
  </cols>
  <sheetData>
    <row r="2" spans="1:12" x14ac:dyDescent="0.2">
      <c r="A2" s="95" t="str">
        <f>Relato!A189</f>
        <v>PGUA/DS/081/26</v>
      </c>
    </row>
    <row r="4" spans="1:12" ht="15.75" x14ac:dyDescent="0.25">
      <c r="A4" s="631" t="s">
        <v>327</v>
      </c>
      <c r="B4" s="1145" t="str">
        <f>CAPA!$B$8</f>
        <v>Karlovasi</v>
      </c>
      <c r="C4" s="1145"/>
      <c r="D4" s="1145"/>
      <c r="E4" s="18"/>
      <c r="F4" s="18"/>
      <c r="G4" s="18"/>
      <c r="H4" s="18"/>
      <c r="I4" s="18"/>
      <c r="J4" s="632"/>
      <c r="K4" s="632"/>
      <c r="L4" s="632"/>
    </row>
    <row r="5" spans="1:12" ht="15.75" x14ac:dyDescent="0.25">
      <c r="A5" s="631" t="s">
        <v>328</v>
      </c>
      <c r="B5" s="1145" t="str">
        <f>CAPA!$A$41</f>
        <v>AGÊNCIA MARITIMA CARGONAVE LTDA</v>
      </c>
      <c r="C5" s="1145"/>
      <c r="D5" s="1145"/>
      <c r="E5" s="18"/>
      <c r="F5" s="18"/>
      <c r="G5" s="18"/>
      <c r="H5" s="18"/>
      <c r="I5" s="18"/>
      <c r="J5" s="632"/>
      <c r="K5" s="632"/>
      <c r="L5" s="632"/>
    </row>
    <row r="6" spans="1:12" ht="15.75" x14ac:dyDescent="0.25">
      <c r="A6" s="631" t="s">
        <v>329</v>
      </c>
      <c r="B6" s="1145" t="str">
        <f>CAPA!$A$43</f>
        <v>AGÊNCIA MARITIMA CARGONAVE LTDA</v>
      </c>
      <c r="C6" s="1145"/>
      <c r="D6" s="1145"/>
      <c r="E6" s="18"/>
      <c r="F6" s="18"/>
      <c r="G6" s="18"/>
      <c r="H6" s="18"/>
      <c r="I6" s="18"/>
      <c r="J6" s="632"/>
      <c r="K6" s="632"/>
      <c r="L6" s="632"/>
    </row>
    <row r="7" spans="1:12" ht="15.75" x14ac:dyDescent="0.25">
      <c r="A7" s="631" t="s">
        <v>330</v>
      </c>
      <c r="B7" s="1146">
        <f>Draft!$X$4</f>
        <v>46099</v>
      </c>
      <c r="C7" s="1146"/>
      <c r="D7" s="1146"/>
      <c r="E7" s="18"/>
      <c r="F7" s="18"/>
      <c r="G7" s="18"/>
      <c r="H7" s="18"/>
      <c r="I7" s="18"/>
      <c r="J7" s="632"/>
      <c r="K7" s="1134" t="s">
        <v>282</v>
      </c>
      <c r="L7" s="1135"/>
    </row>
    <row r="8" spans="1:12" ht="15.75" x14ac:dyDescent="0.25">
      <c r="A8" s="631" t="s">
        <v>331</v>
      </c>
      <c r="B8" s="1142">
        <f>($G$27)</f>
        <v>59000</v>
      </c>
      <c r="C8" s="1142"/>
      <c r="D8" s="1142"/>
      <c r="E8" s="18"/>
      <c r="F8" s="18"/>
      <c r="G8" s="18"/>
      <c r="H8" s="18"/>
      <c r="I8" s="18"/>
      <c r="J8" s="632"/>
      <c r="K8" s="1136"/>
      <c r="L8" s="1137"/>
    </row>
    <row r="9" spans="1:12" ht="15.75" x14ac:dyDescent="0.25">
      <c r="A9" s="631" t="s">
        <v>332</v>
      </c>
      <c r="B9" s="1142">
        <f>IF($K$9="SIM",Draft!$AF$77,Draft!$Z$77)</f>
        <v>58996.599078394887</v>
      </c>
      <c r="C9" s="1142"/>
      <c r="D9" s="1142"/>
      <c r="E9" s="18"/>
      <c r="F9" s="18"/>
      <c r="G9" s="18"/>
      <c r="H9" s="18"/>
      <c r="I9" s="18"/>
      <c r="J9" s="632"/>
      <c r="K9" s="1138" t="s">
        <v>573</v>
      </c>
      <c r="L9" s="1139"/>
    </row>
    <row r="10" spans="1:12" ht="15.75" x14ac:dyDescent="0.25">
      <c r="A10" s="631" t="s">
        <v>333</v>
      </c>
      <c r="B10" s="1142">
        <f>(-$B$8+$B$9)</f>
        <v>-3.4009216051126714</v>
      </c>
      <c r="C10" s="1142"/>
      <c r="D10" s="1142"/>
      <c r="E10" s="18"/>
      <c r="F10" s="18"/>
      <c r="G10" s="18"/>
      <c r="H10" s="18"/>
      <c r="I10" s="18"/>
      <c r="J10" s="632"/>
      <c r="K10" s="1140"/>
      <c r="L10" s="1141"/>
    </row>
    <row r="11" spans="1:12" ht="15.75" x14ac:dyDescent="0.25">
      <c r="A11" s="631" t="s">
        <v>334</v>
      </c>
      <c r="B11" s="1143">
        <f>($B$10/$B$8)</f>
        <v>-5.7642739069706295E-5</v>
      </c>
      <c r="C11" s="1143"/>
      <c r="D11" s="1143"/>
      <c r="E11" s="18"/>
      <c r="F11" s="18"/>
      <c r="G11" s="18"/>
      <c r="H11" s="18"/>
      <c r="I11" s="18"/>
      <c r="J11" s="632"/>
      <c r="K11" s="632"/>
      <c r="L11" s="632"/>
    </row>
    <row r="12" spans="1:12" ht="15.75" x14ac:dyDescent="0.25">
      <c r="A12" s="631" t="s">
        <v>335</v>
      </c>
      <c r="B12" s="1144" t="s">
        <v>336</v>
      </c>
      <c r="C12" s="1144"/>
      <c r="D12" s="1144"/>
      <c r="E12" s="18"/>
      <c r="F12" s="18"/>
      <c r="G12" s="18"/>
      <c r="H12" s="18"/>
      <c r="I12" s="18"/>
      <c r="J12" s="632"/>
      <c r="K12" s="632"/>
      <c r="L12" s="632"/>
    </row>
    <row r="13" spans="1:12" ht="15.75" x14ac:dyDescent="0.25">
      <c r="A13" s="18"/>
      <c r="B13" s="18"/>
      <c r="C13" s="18"/>
      <c r="D13" s="18"/>
      <c r="E13" s="18"/>
      <c r="F13" s="18"/>
      <c r="G13" s="18"/>
      <c r="H13" s="18"/>
      <c r="I13" s="18"/>
      <c r="J13" s="632"/>
      <c r="K13" s="632"/>
      <c r="L13" s="632"/>
    </row>
    <row r="14" spans="1:12" ht="15.75" x14ac:dyDescent="0.25">
      <c r="A14" s="631" t="s">
        <v>337</v>
      </c>
      <c r="B14" s="711">
        <v>1</v>
      </c>
      <c r="C14" s="711">
        <v>2</v>
      </c>
      <c r="D14" s="711">
        <v>3</v>
      </c>
      <c r="E14" s="711">
        <v>4</v>
      </c>
      <c r="F14" s="711">
        <v>5</v>
      </c>
      <c r="G14" s="711" t="s">
        <v>14</v>
      </c>
      <c r="H14" s="18"/>
      <c r="I14" s="18"/>
      <c r="J14" s="632"/>
      <c r="K14" s="632"/>
      <c r="L14" s="632"/>
    </row>
    <row r="15" spans="1:12" ht="15.75" x14ac:dyDescent="0.25">
      <c r="A15" s="631" t="s">
        <v>338</v>
      </c>
      <c r="B15" s="712" t="s">
        <v>773</v>
      </c>
      <c r="C15" s="712" t="s">
        <v>773</v>
      </c>
      <c r="D15" s="712" t="s">
        <v>773</v>
      </c>
      <c r="E15" s="712" t="s">
        <v>773</v>
      </c>
      <c r="F15" s="712" t="s">
        <v>773</v>
      </c>
      <c r="G15" s="712"/>
      <c r="H15" s="18"/>
      <c r="I15" s="18"/>
      <c r="J15" s="632"/>
      <c r="K15" s="632"/>
      <c r="L15" s="632"/>
    </row>
    <row r="16" spans="1:12" ht="15.75" x14ac:dyDescent="0.25">
      <c r="A16" s="723" t="s">
        <v>339</v>
      </c>
      <c r="B16" s="724"/>
      <c r="C16" s="724"/>
      <c r="D16" s="724">
        <v>4766.37</v>
      </c>
      <c r="E16" s="724">
        <v>2377.5549999999998</v>
      </c>
      <c r="F16" s="724">
        <v>5000</v>
      </c>
      <c r="G16" s="724">
        <f t="shared" ref="G16:G26" si="0">SUM(B16:F16)</f>
        <v>12143.924999999999</v>
      </c>
      <c r="H16" s="18"/>
      <c r="I16" s="18"/>
      <c r="J16" s="632"/>
      <c r="K16" s="632"/>
      <c r="L16" s="632"/>
    </row>
    <row r="17" spans="1:12" ht="15.75" x14ac:dyDescent="0.25">
      <c r="A17" s="723" t="s">
        <v>729</v>
      </c>
      <c r="B17" s="724">
        <v>4429.33</v>
      </c>
      <c r="C17" s="724">
        <v>1562.395</v>
      </c>
      <c r="D17" s="724">
        <v>1008.275</v>
      </c>
      <c r="E17" s="724"/>
      <c r="F17" s="724"/>
      <c r="G17" s="724">
        <f t="shared" si="0"/>
        <v>7000</v>
      </c>
      <c r="H17" s="18"/>
      <c r="I17" s="18"/>
      <c r="J17" s="632"/>
      <c r="K17" s="632"/>
      <c r="L17" s="632"/>
    </row>
    <row r="18" spans="1:12" ht="15.75" x14ac:dyDescent="0.25">
      <c r="A18" s="631" t="s">
        <v>730</v>
      </c>
      <c r="B18" s="712"/>
      <c r="C18" s="712"/>
      <c r="D18" s="712"/>
      <c r="E18" s="712"/>
      <c r="F18" s="712"/>
      <c r="G18" s="712">
        <f t="shared" si="0"/>
        <v>0</v>
      </c>
      <c r="H18" s="18"/>
      <c r="I18" s="18"/>
      <c r="J18" s="632"/>
      <c r="K18" s="632"/>
      <c r="L18" s="632"/>
    </row>
    <row r="19" spans="1:12" ht="15.75" x14ac:dyDescent="0.25">
      <c r="A19" s="631" t="s">
        <v>731</v>
      </c>
      <c r="B19" s="712"/>
      <c r="C19" s="712"/>
      <c r="D19" s="712"/>
      <c r="E19" s="712"/>
      <c r="F19" s="712"/>
      <c r="G19" s="712">
        <f t="shared" si="0"/>
        <v>0</v>
      </c>
      <c r="H19" s="18"/>
      <c r="I19" s="18"/>
      <c r="J19" s="632"/>
      <c r="K19" s="632"/>
      <c r="L19" s="632"/>
    </row>
    <row r="20" spans="1:12" ht="15.75" x14ac:dyDescent="0.25">
      <c r="A20" s="723" t="s">
        <v>774</v>
      </c>
      <c r="B20" s="724">
        <v>6318.76</v>
      </c>
      <c r="C20" s="724">
        <v>6014.39</v>
      </c>
      <c r="D20" s="724">
        <v>5945.39</v>
      </c>
      <c r="E20" s="724">
        <v>1640.72</v>
      </c>
      <c r="F20" s="724">
        <v>80.739999999999995</v>
      </c>
      <c r="G20" s="724">
        <f t="shared" si="0"/>
        <v>20000.000000000004</v>
      </c>
      <c r="H20" s="18"/>
      <c r="I20" s="18"/>
      <c r="J20" s="632"/>
      <c r="K20" s="632"/>
      <c r="L20" s="632"/>
    </row>
    <row r="21" spans="1:12" ht="15.75" x14ac:dyDescent="0.25">
      <c r="A21" s="631" t="s">
        <v>340</v>
      </c>
      <c r="B21" s="712"/>
      <c r="C21" s="712"/>
      <c r="D21" s="712"/>
      <c r="E21" s="712"/>
      <c r="F21" s="712"/>
      <c r="G21" s="712">
        <f t="shared" si="0"/>
        <v>0</v>
      </c>
      <c r="H21" s="18"/>
      <c r="I21" s="18"/>
      <c r="J21" s="632"/>
      <c r="K21" s="632"/>
      <c r="L21" s="632"/>
    </row>
    <row r="22" spans="1:12" ht="15.75" x14ac:dyDescent="0.25">
      <c r="A22" s="723" t="s">
        <v>342</v>
      </c>
      <c r="B22" s="724"/>
      <c r="C22" s="724"/>
      <c r="D22" s="724"/>
      <c r="E22" s="724">
        <v>230</v>
      </c>
      <c r="F22" s="724">
        <v>3770</v>
      </c>
      <c r="G22" s="724">
        <f t="shared" si="0"/>
        <v>4000</v>
      </c>
      <c r="H22" s="18"/>
      <c r="I22" s="18"/>
      <c r="J22" s="632"/>
      <c r="K22" s="632"/>
      <c r="L22" s="632"/>
    </row>
    <row r="23" spans="1:12" ht="15.75" x14ac:dyDescent="0.25">
      <c r="A23" s="631" t="s">
        <v>343</v>
      </c>
      <c r="B23" s="712"/>
      <c r="C23" s="712"/>
      <c r="D23" s="712"/>
      <c r="E23" s="712"/>
      <c r="F23" s="712"/>
      <c r="G23" s="712">
        <f t="shared" si="0"/>
        <v>0</v>
      </c>
      <c r="H23" s="18"/>
      <c r="I23" s="18"/>
      <c r="J23" s="632"/>
      <c r="K23" s="632"/>
      <c r="L23" s="632"/>
    </row>
    <row r="24" spans="1:12" ht="15.75" x14ac:dyDescent="0.25">
      <c r="A24" s="723" t="s">
        <v>346</v>
      </c>
      <c r="B24" s="724"/>
      <c r="C24" s="724">
        <v>4642.58</v>
      </c>
      <c r="D24" s="724"/>
      <c r="E24" s="724">
        <v>4148.38</v>
      </c>
      <c r="F24" s="724">
        <v>1209.04</v>
      </c>
      <c r="G24" s="724">
        <f t="shared" si="0"/>
        <v>10000</v>
      </c>
      <c r="H24" s="18"/>
      <c r="I24" s="18"/>
      <c r="J24" s="632"/>
      <c r="K24" s="632"/>
      <c r="L24" s="632"/>
    </row>
    <row r="25" spans="1:12" ht="15.75" x14ac:dyDescent="0.25">
      <c r="A25" s="631" t="s">
        <v>347</v>
      </c>
      <c r="B25" s="712"/>
      <c r="C25" s="712"/>
      <c r="D25" s="712"/>
      <c r="E25" s="712"/>
      <c r="F25" s="712"/>
      <c r="G25" s="712">
        <f t="shared" si="0"/>
        <v>0</v>
      </c>
      <c r="H25" s="18"/>
      <c r="I25" s="18"/>
      <c r="J25" s="632"/>
      <c r="K25" s="632"/>
      <c r="L25" s="632"/>
    </row>
    <row r="26" spans="1:12" ht="15.75" x14ac:dyDescent="0.25">
      <c r="A26" s="723" t="s">
        <v>349</v>
      </c>
      <c r="B26" s="724"/>
      <c r="C26" s="724"/>
      <c r="D26" s="724"/>
      <c r="E26" s="724">
        <v>4002.14</v>
      </c>
      <c r="F26" s="724">
        <v>1853.9349999999999</v>
      </c>
      <c r="G26" s="724">
        <f t="shared" si="0"/>
        <v>5856.0749999999998</v>
      </c>
      <c r="H26" s="18"/>
      <c r="I26" s="18"/>
      <c r="J26" s="632"/>
      <c r="K26" s="632"/>
      <c r="L26" s="632"/>
    </row>
    <row r="27" spans="1:12" ht="15.75" x14ac:dyDescent="0.25">
      <c r="A27" s="631" t="s">
        <v>14</v>
      </c>
      <c r="B27" s="712">
        <f t="shared" ref="B27:F27" si="1">SUM(B16:B26)</f>
        <v>10748.09</v>
      </c>
      <c r="C27" s="712">
        <f t="shared" si="1"/>
        <v>12219.365</v>
      </c>
      <c r="D27" s="712">
        <f t="shared" si="1"/>
        <v>11720.035</v>
      </c>
      <c r="E27" s="712">
        <f t="shared" si="1"/>
        <v>12398.794999999998</v>
      </c>
      <c r="F27" s="712">
        <f t="shared" si="1"/>
        <v>11913.714999999998</v>
      </c>
      <c r="G27" s="712">
        <f>SUM(G15:G26)</f>
        <v>59000</v>
      </c>
      <c r="H27" s="18"/>
      <c r="I27" s="18"/>
      <c r="J27" s="632"/>
      <c r="K27" s="632"/>
      <c r="L27" s="632"/>
    </row>
    <row r="28" spans="1:12" ht="15.75" x14ac:dyDescent="0.25">
      <c r="A28" s="631" t="s">
        <v>350</v>
      </c>
      <c r="B28" s="713">
        <v>521357</v>
      </c>
      <c r="C28" s="713">
        <v>591477</v>
      </c>
      <c r="D28" s="713">
        <v>590919</v>
      </c>
      <c r="E28" s="713">
        <v>591843</v>
      </c>
      <c r="F28" s="713">
        <v>572109</v>
      </c>
      <c r="G28" s="711"/>
      <c r="H28" s="18"/>
      <c r="I28" s="18"/>
      <c r="J28" s="632"/>
      <c r="K28" s="632"/>
      <c r="L28" s="632"/>
    </row>
    <row r="29" spans="1:12" ht="15.75" x14ac:dyDescent="0.25">
      <c r="A29" s="631" t="s">
        <v>351</v>
      </c>
      <c r="B29" s="714">
        <f>(B28/B27)</f>
        <v>48.506944024473185</v>
      </c>
      <c r="C29" s="714">
        <f t="shared" ref="C29:F29" si="2">(C28/C27)</f>
        <v>48.40488847006371</v>
      </c>
      <c r="D29" s="714">
        <f t="shared" si="2"/>
        <v>50.419559327254568</v>
      </c>
      <c r="E29" s="714">
        <f t="shared" si="2"/>
        <v>47.73391285201506</v>
      </c>
      <c r="F29" s="714">
        <f t="shared" si="2"/>
        <v>48.021041295683176</v>
      </c>
      <c r="G29" s="711"/>
      <c r="H29" s="18"/>
      <c r="I29" s="18"/>
      <c r="J29" s="632"/>
      <c r="K29" s="632"/>
      <c r="L29" s="632"/>
    </row>
    <row r="30" spans="1:12" ht="15.75" x14ac:dyDescent="0.25">
      <c r="A30" s="715" t="s">
        <v>352</v>
      </c>
      <c r="B30" s="713" t="s">
        <v>771</v>
      </c>
      <c r="C30" s="713" t="s">
        <v>771</v>
      </c>
      <c r="D30" s="713" t="s">
        <v>772</v>
      </c>
      <c r="E30" s="713" t="s">
        <v>771</v>
      </c>
      <c r="F30" s="713" t="s">
        <v>771</v>
      </c>
      <c r="G30" s="713"/>
      <c r="H30" s="18"/>
      <c r="I30" s="18"/>
      <c r="J30" s="632"/>
      <c r="K30" s="632"/>
      <c r="L30" s="632"/>
    </row>
    <row r="31" spans="1:12" ht="15.75" x14ac:dyDescent="0.25">
      <c r="A31" s="18"/>
      <c r="B31" s="18"/>
      <c r="C31" s="18"/>
      <c r="D31" s="18"/>
      <c r="E31" s="18"/>
      <c r="F31" s="18"/>
      <c r="G31" s="18"/>
      <c r="H31" s="18"/>
      <c r="I31" s="18"/>
      <c r="J31" s="632"/>
      <c r="K31" s="632"/>
      <c r="L31" s="632"/>
    </row>
    <row r="32" spans="1:12" ht="15.75" x14ac:dyDescent="0.25">
      <c r="A32" s="716" t="s">
        <v>353</v>
      </c>
      <c r="B32" s="717"/>
      <c r="C32" s="717"/>
      <c r="D32" s="717"/>
      <c r="E32" s="717"/>
      <c r="F32" s="717"/>
      <c r="G32" s="718"/>
      <c r="H32" s="18"/>
      <c r="I32" s="18"/>
      <c r="J32" s="632"/>
      <c r="K32" s="632"/>
      <c r="L32" s="632"/>
    </row>
    <row r="33" spans="1:12" ht="15.75" x14ac:dyDescent="0.25">
      <c r="A33" s="719"/>
      <c r="B33" s="720"/>
      <c r="C33" s="720"/>
      <c r="D33" s="720"/>
      <c r="E33" s="720"/>
      <c r="F33" s="720"/>
      <c r="G33" s="721"/>
      <c r="H33" s="18"/>
      <c r="I33" s="18"/>
      <c r="J33" s="632"/>
      <c r="K33" s="632"/>
      <c r="L33" s="632"/>
    </row>
    <row r="34" spans="1:12" ht="15.75" x14ac:dyDescent="0.25">
      <c r="A34" s="632"/>
      <c r="B34" s="632"/>
      <c r="C34" s="632"/>
      <c r="D34" s="632"/>
      <c r="E34" s="632"/>
      <c r="F34" s="632"/>
      <c r="G34" s="632"/>
      <c r="H34" s="632"/>
      <c r="I34" s="632"/>
      <c r="J34" s="632"/>
      <c r="K34" s="632"/>
      <c r="L34" s="632"/>
    </row>
    <row r="35" spans="1:12" ht="15.75" x14ac:dyDescent="0.25">
      <c r="A35" s="632"/>
      <c r="B35" s="632"/>
      <c r="C35" s="632"/>
      <c r="D35" s="632"/>
      <c r="E35" s="632"/>
      <c r="F35" s="632"/>
      <c r="G35" s="632"/>
      <c r="H35" s="632"/>
      <c r="I35" s="632"/>
      <c r="J35" s="632"/>
      <c r="K35" s="632"/>
      <c r="L35" s="632"/>
    </row>
    <row r="36" spans="1:12" ht="15.75" x14ac:dyDescent="0.25">
      <c r="A36" s="632"/>
      <c r="B36" s="632"/>
      <c r="C36" s="632"/>
      <c r="D36" s="632"/>
      <c r="E36" s="632"/>
      <c r="F36" s="632"/>
      <c r="G36" s="632"/>
      <c r="H36" s="632"/>
      <c r="I36" s="632"/>
      <c r="J36" s="632"/>
      <c r="K36" s="632"/>
      <c r="L36" s="632"/>
    </row>
    <row r="37" spans="1:12" ht="15.75" x14ac:dyDescent="0.25">
      <c r="A37" s="632"/>
      <c r="B37" s="632"/>
      <c r="C37" s="632"/>
      <c r="D37" s="632"/>
      <c r="E37" s="632"/>
      <c r="F37" s="632"/>
      <c r="G37" s="632"/>
      <c r="H37" s="632"/>
      <c r="I37" s="632"/>
      <c r="J37" s="632"/>
      <c r="K37" s="632"/>
      <c r="L37" s="632"/>
    </row>
  </sheetData>
  <mergeCells count="11">
    <mergeCell ref="B4:D4"/>
    <mergeCell ref="B5:D5"/>
    <mergeCell ref="B6:D6"/>
    <mergeCell ref="B7:D7"/>
    <mergeCell ref="B8:D8"/>
    <mergeCell ref="K7:L8"/>
    <mergeCell ref="K9:L10"/>
    <mergeCell ref="B10:D10"/>
    <mergeCell ref="B11:D11"/>
    <mergeCell ref="B12:D12"/>
    <mergeCell ref="B9:D9"/>
  </mergeCells>
  <conditionalFormatting sqref="B15:F15 B28:F28 B30:F30">
    <cfRule type="cellIs" dxfId="32" priority="1" operator="equal">
      <formula>0</formula>
    </cfRule>
  </conditionalFormatting>
  <dataValidations count="1">
    <dataValidation type="list" allowBlank="1" showInputMessage="1" showErrorMessage="1" sqref="K9:L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354</v>
      </c>
      <c r="E1" s="96"/>
      <c r="F1" s="96"/>
      <c r="G1" s="97"/>
      <c r="H1" s="96"/>
      <c r="K1" s="96" t="s">
        <v>109</v>
      </c>
      <c r="L1" s="96"/>
      <c r="M1" s="96"/>
      <c r="N1" s="96" t="s">
        <v>354</v>
      </c>
      <c r="O1" s="96"/>
      <c r="P1" s="96"/>
      <c r="Q1" s="97"/>
      <c r="R1" s="96"/>
    </row>
    <row r="2" spans="1:18" s="106" customFormat="1" ht="12.75" customHeight="1" thickBot="1" x14ac:dyDescent="0.3">
      <c r="A2" s="99" t="s">
        <v>355</v>
      </c>
      <c r="B2" s="100" t="s">
        <v>356</v>
      </c>
      <c r="C2" s="101" t="s">
        <v>357</v>
      </c>
      <c r="D2" s="102" t="s">
        <v>358</v>
      </c>
      <c r="E2" s="102"/>
      <c r="F2" s="103" t="s">
        <v>359</v>
      </c>
      <c r="G2" s="104" t="s">
        <v>360</v>
      </c>
      <c r="H2" s="105" t="s">
        <v>361</v>
      </c>
      <c r="K2" s="99" t="s">
        <v>355</v>
      </c>
      <c r="L2" s="100" t="s">
        <v>356</v>
      </c>
      <c r="M2" s="101" t="s">
        <v>357</v>
      </c>
      <c r="N2" s="102" t="s">
        <v>358</v>
      </c>
      <c r="O2" s="102"/>
      <c r="P2" s="103" t="s">
        <v>359</v>
      </c>
      <c r="Q2" s="104" t="s">
        <v>360</v>
      </c>
      <c r="R2" s="105" t="s">
        <v>361</v>
      </c>
    </row>
    <row r="3" spans="1:18" s="106" customFormat="1" ht="12.75" customHeight="1" thickTop="1" thickBot="1" x14ac:dyDescent="0.3">
      <c r="A3" s="107"/>
      <c r="B3" s="108" t="s">
        <v>362</v>
      </c>
      <c r="C3" s="109" t="s">
        <v>363</v>
      </c>
      <c r="D3" s="110">
        <v>1</v>
      </c>
      <c r="E3" s="110">
        <v>2</v>
      </c>
      <c r="F3" s="111">
        <f>Draft!$P$29</f>
        <v>1.8903000000000008</v>
      </c>
      <c r="G3" s="112"/>
      <c r="H3" s="113" t="s">
        <v>364</v>
      </c>
      <c r="I3" s="114"/>
      <c r="K3" s="107"/>
      <c r="L3" s="108" t="s">
        <v>362</v>
      </c>
      <c r="M3" s="109" t="s">
        <v>363</v>
      </c>
      <c r="N3" s="110">
        <v>1</v>
      </c>
      <c r="O3" s="110">
        <v>2</v>
      </c>
      <c r="P3" s="111">
        <f>Draft!$AH$29</f>
        <v>0.16990000000000016</v>
      </c>
      <c r="Q3" s="112"/>
      <c r="R3" s="113" t="s">
        <v>364</v>
      </c>
    </row>
    <row r="4" spans="1:18" ht="12.75" customHeight="1" thickTop="1" thickBot="1" x14ac:dyDescent="0.3">
      <c r="A4" s="115" t="str">
        <f>Relato!$A$247</f>
        <v>F.PK</v>
      </c>
      <c r="B4" s="1147">
        <f>Relato!$G$247</f>
        <v>19.52542</v>
      </c>
      <c r="C4" s="116">
        <f>ROUNDDOWN(B4,1)</f>
        <v>19.5</v>
      </c>
      <c r="D4" s="117"/>
      <c r="E4" s="117"/>
      <c r="F4" s="118">
        <f>IF(E4="",D4,ROUND((((E6-D6)/($E$3-$D$3))*($F$3-$D$3))+D6,1))</f>
        <v>0</v>
      </c>
      <c r="G4" s="119">
        <v>1.0249999999999999</v>
      </c>
      <c r="H4" s="120">
        <f>ROUND(F4*G4,1)</f>
        <v>0</v>
      </c>
      <c r="K4" s="115" t="str">
        <f>Relato!$A$247</f>
        <v>F.PK</v>
      </c>
      <c r="L4" s="1147">
        <f>Relato!$D$268</f>
        <v>0</v>
      </c>
      <c r="M4" s="116">
        <f>ROUNDDOWN(L4,1)</f>
        <v>0</v>
      </c>
      <c r="N4" s="117"/>
      <c r="O4" s="117"/>
      <c r="P4" s="118">
        <f>IF(O4="",N4,ROUND((((O6-N6)/($E$3-$D$3))*($F$3-$D$3))+N6,1))</f>
        <v>0</v>
      </c>
      <c r="Q4" s="119">
        <v>1.0249999999999999</v>
      </c>
      <c r="R4" s="120">
        <f>ROUND(P4*Q4,1)</f>
        <v>0</v>
      </c>
    </row>
    <row r="5" spans="1:18" ht="12.75" customHeight="1" thickTop="1" x14ac:dyDescent="0.25">
      <c r="A5" s="115"/>
      <c r="B5" s="1147"/>
      <c r="C5" s="116">
        <f>IF(ROUNDUP(B4,1)=C4,"",ROUNDUP(B4,1))</f>
        <v>19.600000000000001</v>
      </c>
      <c r="D5" s="117"/>
      <c r="E5" s="117"/>
      <c r="F5" s="122" t="str">
        <f>IF(E4="","full","slack")</f>
        <v>full</v>
      </c>
      <c r="G5" s="118"/>
      <c r="H5" s="120"/>
      <c r="I5" s="121"/>
      <c r="K5" s="115"/>
      <c r="L5" s="1147"/>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Relato!$A$248</f>
        <v>1 WBT (P)</v>
      </c>
      <c r="B7" s="1147">
        <f>Relato!$G$248</f>
        <v>16.143280000000001</v>
      </c>
      <c r="C7" s="116">
        <f>ROUNDDOWN(B7,1)</f>
        <v>16.100000000000001</v>
      </c>
      <c r="D7" s="130"/>
      <c r="E7" s="130"/>
      <c r="F7" s="131">
        <f>ROUND((((E9-D9)/($E$3-$D$3))*($F$3-$D$3))+D9,1)</f>
        <v>0</v>
      </c>
      <c r="G7" s="132">
        <f>G4</f>
        <v>1.0249999999999999</v>
      </c>
      <c r="H7" s="133">
        <f>ROUND(F7*G7,1)</f>
        <v>0</v>
      </c>
      <c r="I7" s="121"/>
      <c r="K7" s="129" t="str">
        <f>Relato!$A$248</f>
        <v>1 WBT (P)</v>
      </c>
      <c r="L7" s="1147">
        <f>Relato!$D$269</f>
        <v>0.01</v>
      </c>
      <c r="M7" s="116">
        <f>ROUNDDOWN(L7,1)</f>
        <v>0</v>
      </c>
      <c r="N7" s="130"/>
      <c r="O7" s="130"/>
      <c r="P7" s="131">
        <f>ROUND((((O9-N9)/($E$3-$D$3))*($F$3-$D$3))+N9,1)</f>
        <v>0</v>
      </c>
      <c r="Q7" s="132">
        <f>Q4</f>
        <v>1.0249999999999999</v>
      </c>
      <c r="R7" s="133">
        <f>ROUND(P7*Q7,1)</f>
        <v>0</v>
      </c>
    </row>
    <row r="8" spans="1:18" ht="12.75" customHeight="1" x14ac:dyDescent="0.25">
      <c r="A8" s="115"/>
      <c r="B8" s="1147"/>
      <c r="C8" s="116">
        <f>IF(ROUNDUP(B7,1)=C7,"",ROUNDUP(B7,1))</f>
        <v>16.200000000000003</v>
      </c>
      <c r="D8" s="134"/>
      <c r="E8" s="134"/>
      <c r="F8" s="118"/>
      <c r="G8" s="118"/>
      <c r="H8" s="120"/>
      <c r="K8" s="115"/>
      <c r="L8" s="1147"/>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Relato!$A$249</f>
        <v>1 WBT (S)</v>
      </c>
      <c r="B10" s="1147">
        <f>Relato!$G$249</f>
        <v>15.822040000000001</v>
      </c>
      <c r="C10" s="135">
        <f>ROUNDDOWN(B10,1)</f>
        <v>15.8</v>
      </c>
      <c r="D10" s="130"/>
      <c r="E10" s="130"/>
      <c r="F10" s="131">
        <f>ROUND((((E12-D12)/($E$3-$D$3))*($F$3-$D$3))+D12,1)</f>
        <v>0</v>
      </c>
      <c r="G10" s="132">
        <f>G7</f>
        <v>1.0249999999999999</v>
      </c>
      <c r="H10" s="133">
        <f>ROUND(F10*G10,1)</f>
        <v>0</v>
      </c>
      <c r="I10" s="121"/>
      <c r="K10" s="129" t="str">
        <f>Relato!$A$249</f>
        <v>1 WBT (S)</v>
      </c>
      <c r="L10" s="1147">
        <f>Relato!$D$270</f>
        <v>0.01</v>
      </c>
      <c r="M10" s="135">
        <f>ROUNDDOWN(L10,1)</f>
        <v>0</v>
      </c>
      <c r="N10" s="130"/>
      <c r="O10" s="130"/>
      <c r="P10" s="131">
        <f>ROUND((((O12-N12)/($E$3-$D$3))*($F$3-$D$3))+N12,1)</f>
        <v>0</v>
      </c>
      <c r="Q10" s="132">
        <f>Q7</f>
        <v>1.0249999999999999</v>
      </c>
      <c r="R10" s="133">
        <f>ROUND(P10*Q10,1)</f>
        <v>0</v>
      </c>
    </row>
    <row r="11" spans="1:18" ht="12.75" customHeight="1" x14ac:dyDescent="0.25">
      <c r="A11" s="115"/>
      <c r="B11" s="1147"/>
      <c r="C11" s="116">
        <f>IF(ROUNDUP(B10,1)=C10,"",ROUNDUP(B10,1))</f>
        <v>15.9</v>
      </c>
      <c r="D11" s="134"/>
      <c r="E11" s="134"/>
      <c r="F11" s="118"/>
      <c r="G11" s="118"/>
      <c r="H11" s="120"/>
      <c r="K11" s="115"/>
      <c r="L11" s="1147"/>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Relato!$A$250</f>
        <v>2 WBT (P)</v>
      </c>
      <c r="B13" s="1147">
        <f>Relato!$G$250</f>
        <v>19.20815</v>
      </c>
      <c r="C13" s="135">
        <f>ROUNDDOWN(B13,1)</f>
        <v>19.2</v>
      </c>
      <c r="D13" s="130"/>
      <c r="E13" s="130"/>
      <c r="F13" s="131">
        <f>ROUND((((E15-D15)/($E$3-$D$3))*($F$3-$D$3))+D15,1)</f>
        <v>0</v>
      </c>
      <c r="G13" s="132">
        <f>G10</f>
        <v>1.0249999999999999</v>
      </c>
      <c r="H13" s="133">
        <f>ROUND(F13*G13,1)</f>
        <v>0</v>
      </c>
      <c r="I13" s="121"/>
      <c r="K13" s="129" t="str">
        <f>Relato!$A$250</f>
        <v>2 WBT (P)</v>
      </c>
      <c r="L13" s="1147">
        <f>Relato!$D$271</f>
        <v>0</v>
      </c>
      <c r="M13" s="135">
        <f>ROUNDDOWN(L13,1)</f>
        <v>0</v>
      </c>
      <c r="N13" s="130"/>
      <c r="O13" s="130"/>
      <c r="P13" s="131" t="e">
        <f>ROUND((((O15-N15)/($E$3-$D$3))*($F$3-$D$3))+N15,1)</f>
        <v>#VALUE!</v>
      </c>
      <c r="Q13" s="132">
        <f>Q10</f>
        <v>1.0249999999999999</v>
      </c>
      <c r="R13" s="133" t="e">
        <f>ROUND(P13*Q13,1)</f>
        <v>#VALUE!</v>
      </c>
    </row>
    <row r="14" spans="1:18" ht="12.75" customHeight="1" x14ac:dyDescent="0.25">
      <c r="A14" s="115"/>
      <c r="B14" s="1147"/>
      <c r="C14" s="116">
        <f>IF(ROUNDUP(B13,1)=C13,"",ROUNDUP(B13,1))</f>
        <v>19.3</v>
      </c>
      <c r="D14" s="134"/>
      <c r="E14" s="134"/>
      <c r="F14" s="118"/>
      <c r="G14" s="118"/>
      <c r="H14" s="120"/>
      <c r="K14" s="115"/>
      <c r="L14" s="1147"/>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Relato!$A$251</f>
        <v>2 WBT (S)</v>
      </c>
      <c r="B16" s="1147">
        <f>Relato!$G$251</f>
        <v>19.080729999999999</v>
      </c>
      <c r="C16" s="135">
        <f>ROUNDDOWN(B16,1)</f>
        <v>19</v>
      </c>
      <c r="D16" s="130"/>
      <c r="E16" s="130"/>
      <c r="F16" s="131">
        <f>ROUND((((E18-D18)/($E$3-$D$3))*($F$3-$D$3))+D18,1)</f>
        <v>0</v>
      </c>
      <c r="G16" s="132">
        <f>G13</f>
        <v>1.0249999999999999</v>
      </c>
      <c r="H16" s="133">
        <f>ROUND(F16*G16,1)</f>
        <v>0</v>
      </c>
      <c r="I16" s="121"/>
      <c r="K16" s="129" t="str">
        <f>Relato!$A$251</f>
        <v>2 WBT (S)</v>
      </c>
      <c r="L16" s="1147">
        <f>Relato!$D$272</f>
        <v>0</v>
      </c>
      <c r="M16" s="135">
        <f>ROUNDDOWN(L16,1)</f>
        <v>0</v>
      </c>
      <c r="N16" s="130"/>
      <c r="O16" s="130"/>
      <c r="P16" s="131" t="e">
        <f>ROUND((((O18-N18)/($E$3-$D$3))*($F$3-$D$3))+N18,1)</f>
        <v>#VALUE!</v>
      </c>
      <c r="Q16" s="132">
        <f>Q13</f>
        <v>1.0249999999999999</v>
      </c>
      <c r="R16" s="133" t="e">
        <f>ROUND(P16*Q16,1)</f>
        <v>#VALUE!</v>
      </c>
    </row>
    <row r="17" spans="1:18" ht="12.75" customHeight="1" x14ac:dyDescent="0.25">
      <c r="A17" s="115"/>
      <c r="B17" s="1147"/>
      <c r="C17" s="116">
        <f>IF(ROUNDUP(B16,1)=C16,"",ROUNDUP(B16,1))</f>
        <v>19.100000000000001</v>
      </c>
      <c r="D17" s="134"/>
      <c r="E17" s="134"/>
      <c r="F17" s="118"/>
      <c r="G17" s="118"/>
      <c r="H17" s="120"/>
      <c r="K17" s="115"/>
      <c r="L17" s="1147"/>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Relato!$A$252</f>
        <v>3 WBT (P)</v>
      </c>
      <c r="B19" s="1147">
        <f>Relato!$G$252</f>
        <v>19.250579999999999</v>
      </c>
      <c r="C19" s="135">
        <f>ROUNDDOWN(B19,1)</f>
        <v>19.2</v>
      </c>
      <c r="D19" s="130"/>
      <c r="E19" s="130"/>
      <c r="F19" s="131">
        <f>ROUND((((E21-D21)/($E$3-$D$3))*($F$3-$D$3))+D21,1)</f>
        <v>0</v>
      </c>
      <c r="G19" s="132">
        <f>G16</f>
        <v>1.0249999999999999</v>
      </c>
      <c r="H19" s="133">
        <f>ROUND(F19*G19,1)</f>
        <v>0</v>
      </c>
      <c r="I19" s="121"/>
      <c r="K19" s="129" t="str">
        <f>Relato!$A$252</f>
        <v>3 WBT (P)</v>
      </c>
      <c r="L19" s="1147">
        <f>Relato!$D$273</f>
        <v>0.02</v>
      </c>
      <c r="M19" s="135">
        <f>ROUNDDOWN(L19,1)</f>
        <v>0</v>
      </c>
      <c r="N19" s="130"/>
      <c r="O19" s="130"/>
      <c r="P19" s="131">
        <f>ROUND((((O21-N21)/($E$3-$D$3))*($F$3-$D$3))+N21,1)</f>
        <v>0</v>
      </c>
      <c r="Q19" s="132">
        <f>Q16</f>
        <v>1.0249999999999999</v>
      </c>
      <c r="R19" s="133">
        <f>ROUND(P19*Q19,1)</f>
        <v>0</v>
      </c>
    </row>
    <row r="20" spans="1:18" ht="12.75" customHeight="1" x14ac:dyDescent="0.25">
      <c r="A20" s="115"/>
      <c r="B20" s="1147"/>
      <c r="C20" s="116">
        <f>IF(ROUNDUP(B19,1)=C19,"",ROUNDUP(B19,1))</f>
        <v>19.3</v>
      </c>
      <c r="D20" s="134"/>
      <c r="E20" s="134"/>
      <c r="F20" s="118"/>
      <c r="G20" s="118"/>
      <c r="H20" s="120"/>
      <c r="K20" s="115"/>
      <c r="L20" s="1147"/>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Relato!$A$253</f>
        <v>3 WBT (S)</v>
      </c>
      <c r="B22" s="1147">
        <f>Relato!$G$253</f>
        <v>19.11927</v>
      </c>
      <c r="C22" s="135">
        <f>ROUNDDOWN(B22,1)</f>
        <v>19.100000000000001</v>
      </c>
      <c r="D22" s="130"/>
      <c r="E22" s="130"/>
      <c r="F22" s="131">
        <f>ROUND((((E24-D24)/($E$3-$D$3))*($F$3-$D$3))+D24,1)</f>
        <v>0</v>
      </c>
      <c r="G22" s="132">
        <f>G19</f>
        <v>1.0249999999999999</v>
      </c>
      <c r="H22" s="133">
        <f>ROUND(F22*G22,1)</f>
        <v>0</v>
      </c>
      <c r="I22" s="121"/>
      <c r="K22" s="129" t="str">
        <f>Relato!$A$253</f>
        <v>3 WBT (S)</v>
      </c>
      <c r="L22" s="1147">
        <f>Relato!$D$274</f>
        <v>0</v>
      </c>
      <c r="M22" s="135">
        <f>ROUNDDOWN(L22,1)</f>
        <v>0</v>
      </c>
      <c r="N22" s="130"/>
      <c r="O22" s="130"/>
      <c r="P22" s="131" t="e">
        <f>ROUND((((O24-N24)/($E$3-$D$3))*($F$3-$D$3))+N24,1)</f>
        <v>#VALUE!</v>
      </c>
      <c r="Q22" s="132">
        <f>Q19</f>
        <v>1.0249999999999999</v>
      </c>
      <c r="R22" s="133" t="e">
        <f>ROUND(P22*Q22,1)</f>
        <v>#VALUE!</v>
      </c>
    </row>
    <row r="23" spans="1:18" ht="12.75" customHeight="1" x14ac:dyDescent="0.25">
      <c r="A23" s="115"/>
      <c r="B23" s="1147"/>
      <c r="C23" s="116">
        <f>IF(ROUNDUP(B22,1)=C22,"",ROUNDUP(B22,1))</f>
        <v>19.200000000000003</v>
      </c>
      <c r="D23" s="134"/>
      <c r="E23" s="134"/>
      <c r="F23" s="118"/>
      <c r="G23" s="118"/>
      <c r="H23" s="120"/>
      <c r="K23" s="115"/>
      <c r="L23" s="1147"/>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Relato!$A$254</f>
        <v>4 WBT (P)</v>
      </c>
      <c r="B25" s="1147">
        <f>Relato!$G$254</f>
        <v>19.361560000000001</v>
      </c>
      <c r="C25" s="135">
        <f>ROUNDDOWN(B25,1)</f>
        <v>19.3</v>
      </c>
      <c r="D25" s="130"/>
      <c r="E25" s="130"/>
      <c r="F25" s="131">
        <f>ROUND((((E27-D27)/($E$3-$D$3))*($F$3-$D$3))+D27,1)</f>
        <v>0</v>
      </c>
      <c r="G25" s="132">
        <f>G22</f>
        <v>1.0249999999999999</v>
      </c>
      <c r="H25" s="133">
        <f>ROUND(F25*G25,1)</f>
        <v>0</v>
      </c>
      <c r="I25" s="121"/>
      <c r="K25" s="129" t="str">
        <f>Relato!$A$254</f>
        <v>4 WBT (P)</v>
      </c>
      <c r="L25" s="1147">
        <f>Relato!$D$275</f>
        <v>0</v>
      </c>
      <c r="M25" s="135">
        <f>ROUNDDOWN(L25,1)</f>
        <v>0</v>
      </c>
      <c r="N25" s="130"/>
      <c r="O25" s="130"/>
      <c r="P25" s="131" t="e">
        <f>ROUND((((O27-N27)/($E$3-$D$3))*($F$3-$D$3))+N27,1)</f>
        <v>#VALUE!</v>
      </c>
      <c r="Q25" s="132">
        <f>Q22</f>
        <v>1.0249999999999999</v>
      </c>
      <c r="R25" s="133" t="e">
        <f>ROUND(P25*Q25,1)</f>
        <v>#VALUE!</v>
      </c>
    </row>
    <row r="26" spans="1:18" ht="12.75" customHeight="1" x14ac:dyDescent="0.25">
      <c r="A26" s="115"/>
      <c r="B26" s="1147"/>
      <c r="C26" s="116">
        <f>IF(ROUNDUP(B25,1)=C25,"",ROUNDUP(B25,1))</f>
        <v>19.400000000000002</v>
      </c>
      <c r="D26" s="134"/>
      <c r="E26" s="134"/>
      <c r="F26" s="118"/>
      <c r="G26" s="118"/>
      <c r="H26" s="120"/>
      <c r="K26" s="115"/>
      <c r="L26" s="1147"/>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Relato!$A$255</f>
        <v>4 WBT (S)</v>
      </c>
      <c r="B28" s="1147">
        <f>Relato!$G$255</f>
        <v>19.070839999999997</v>
      </c>
      <c r="C28" s="135">
        <f>ROUNDDOWN(B28,1)</f>
        <v>19</v>
      </c>
      <c r="D28" s="130"/>
      <c r="E28" s="130"/>
      <c r="F28" s="131">
        <f>ROUND((((E30-D30)/($E$3-$D$3))*($F$3-$D$3))+D30,1)</f>
        <v>0</v>
      </c>
      <c r="G28" s="132">
        <f>G25</f>
        <v>1.0249999999999999</v>
      </c>
      <c r="H28" s="133">
        <f>ROUND(F28*G28,1)</f>
        <v>0</v>
      </c>
      <c r="I28" s="121"/>
      <c r="K28" s="129" t="str">
        <f>Relato!$A$255</f>
        <v>4 WBT (S)</v>
      </c>
      <c r="L28" s="1147">
        <f>Relato!$D$276</f>
        <v>0</v>
      </c>
      <c r="M28" s="135">
        <f>ROUNDDOWN(L28,1)</f>
        <v>0</v>
      </c>
      <c r="N28" s="130"/>
      <c r="O28" s="130"/>
      <c r="P28" s="131" t="e">
        <f>ROUND((((O30-N30)/($E$3-$D$3))*($F$3-$D$3))+N30,1)</f>
        <v>#VALUE!</v>
      </c>
      <c r="Q28" s="132">
        <f>Q25</f>
        <v>1.0249999999999999</v>
      </c>
      <c r="R28" s="133" t="e">
        <f>ROUND(P28*Q28,1)</f>
        <v>#VALUE!</v>
      </c>
    </row>
    <row r="29" spans="1:18" ht="12.75" customHeight="1" x14ac:dyDescent="0.25">
      <c r="A29" s="115"/>
      <c r="B29" s="1147"/>
      <c r="C29" s="116">
        <f>IF(ROUNDUP(B28,1)=C28,"",ROUNDUP(B28,1))</f>
        <v>19.100000000000001</v>
      </c>
      <c r="D29" s="134"/>
      <c r="E29" s="134"/>
      <c r="F29" s="118"/>
      <c r="G29" s="118"/>
      <c r="H29" s="120"/>
      <c r="K29" s="115"/>
      <c r="L29" s="1147"/>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Relato!$A$256</f>
        <v>5 WBT (P)</v>
      </c>
      <c r="B31" s="1147">
        <f>Relato!$G$256</f>
        <v>8.89602</v>
      </c>
      <c r="C31" s="135">
        <f>ROUNDDOWN(B31,1)</f>
        <v>8.8000000000000007</v>
      </c>
      <c r="D31" s="130"/>
      <c r="E31" s="130"/>
      <c r="F31" s="131">
        <f>ROUND((((E33-D33)/($E$3-$D$3))*($F$3-$D$3))+D33,1)</f>
        <v>0</v>
      </c>
      <c r="G31" s="132">
        <f>G28</f>
        <v>1.0249999999999999</v>
      </c>
      <c r="H31" s="133">
        <f>ROUND(F31*G31,1)</f>
        <v>0</v>
      </c>
      <c r="I31" s="121"/>
      <c r="K31" s="129" t="str">
        <f>Relato!$A$256</f>
        <v>5 WBT (P)</v>
      </c>
      <c r="L31" s="1147">
        <f>Relato!$D$277</f>
        <v>0</v>
      </c>
      <c r="M31" s="135">
        <f>ROUNDDOWN(L31,1)</f>
        <v>0</v>
      </c>
      <c r="N31" s="130"/>
      <c r="O31" s="130"/>
      <c r="P31" s="131" t="e">
        <f>ROUND((((O33-N33)/($E$3-$D$3))*($F$3-$D$3))+N33,1)</f>
        <v>#VALUE!</v>
      </c>
      <c r="Q31" s="132">
        <f>Q28</f>
        <v>1.0249999999999999</v>
      </c>
      <c r="R31" s="133" t="e">
        <f>ROUND(P31*Q31,1)</f>
        <v>#VALUE!</v>
      </c>
    </row>
    <row r="32" spans="1:18" ht="12.75" customHeight="1" x14ac:dyDescent="0.25">
      <c r="A32" s="115"/>
      <c r="B32" s="1147"/>
      <c r="C32" s="116">
        <f>IF(ROUNDUP(B31,1)=C31,"",ROUNDUP(B31,1))</f>
        <v>8.9</v>
      </c>
      <c r="D32" s="134"/>
      <c r="E32" s="134"/>
      <c r="F32" s="118"/>
      <c r="G32" s="118"/>
      <c r="H32" s="120"/>
      <c r="K32" s="115"/>
      <c r="L32" s="1147"/>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Relato!$A$257</f>
        <v>5 WBT (S)</v>
      </c>
      <c r="B34" s="1147">
        <f>Relato!$G$257</f>
        <v>13.8</v>
      </c>
      <c r="C34" s="135">
        <f>ROUNDDOWN(B34,1)</f>
        <v>13.8</v>
      </c>
      <c r="D34" s="130"/>
      <c r="E34" s="130"/>
      <c r="F34" s="131" t="e">
        <f>ROUND((((E36-D36)/($E$3-$D$3))*($F$3-$D$3))+D36,1)</f>
        <v>#DIV/0!</v>
      </c>
      <c r="G34" s="132">
        <f>G31</f>
        <v>1.0249999999999999</v>
      </c>
      <c r="H34" s="133" t="e">
        <f>ROUND(F34*G34,1)</f>
        <v>#DIV/0!</v>
      </c>
      <c r="I34" s="121"/>
      <c r="K34" s="129" t="str">
        <f>Relato!$A$257</f>
        <v>5 WBT (S)</v>
      </c>
      <c r="L34" s="1147">
        <f>Relato!$D$278</f>
        <v>0.45</v>
      </c>
      <c r="M34" s="135">
        <f>ROUNDDOWN(L34,1)</f>
        <v>0.4</v>
      </c>
      <c r="N34" s="130"/>
      <c r="O34" s="130"/>
      <c r="P34" s="131">
        <f>ROUND((((O36-N36)/($E$3-$D$3))*($F$3-$D$3))+N36,1)</f>
        <v>0</v>
      </c>
      <c r="Q34" s="132">
        <f>Q31</f>
        <v>1.0249999999999999</v>
      </c>
      <c r="R34" s="133">
        <f>ROUND(P34*Q34,1)</f>
        <v>0</v>
      </c>
    </row>
    <row r="35" spans="1:18" ht="12.75" customHeight="1" x14ac:dyDescent="0.25">
      <c r="A35" s="115"/>
      <c r="B35" s="1147"/>
      <c r="C35" s="136">
        <f>ROUNDUP(B34,1)</f>
        <v>13.8</v>
      </c>
      <c r="D35" s="134"/>
      <c r="E35" s="134"/>
      <c r="F35" s="118"/>
      <c r="G35" s="118"/>
      <c r="H35" s="120"/>
      <c r="K35" s="115"/>
      <c r="L35" s="1147"/>
      <c r="M35" s="136">
        <f>ROUNDUP(L34,1)</f>
        <v>0.5</v>
      </c>
      <c r="N35" s="134"/>
      <c r="O35" s="134"/>
      <c r="P35" s="118"/>
      <c r="Q35" s="118"/>
      <c r="R35" s="120"/>
    </row>
    <row r="36" spans="1:18" ht="12.75" customHeight="1" x14ac:dyDescent="0.25">
      <c r="A36" s="123"/>
      <c r="B36" s="124"/>
      <c r="C36" s="125"/>
      <c r="D36" s="126" t="e">
        <f>(((D35-D34)/(C35-C34))*(B34-C34))+D34</f>
        <v>#DIV/0!</v>
      </c>
      <c r="E36" s="126" t="e">
        <f>(((E35-E34)/(C35-C34))*(B34-C34))+E34</f>
        <v>#DIV/0!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Relato!$A$258</f>
        <v>GWT (P)</v>
      </c>
      <c r="B37" s="1147">
        <f>Relato!$G$258</f>
        <v>0.27057999999999999</v>
      </c>
      <c r="C37" s="135">
        <f>ROUNDDOWN(B37,1)</f>
        <v>0.2</v>
      </c>
      <c r="D37" s="130"/>
      <c r="E37" s="130"/>
      <c r="F37" s="131">
        <f>ROUND((((E39-D39)/($E$3-$D$3))*($F$3-$D$3))+D39,1)</f>
        <v>0</v>
      </c>
      <c r="G37" s="132">
        <f>G34</f>
        <v>1.0249999999999999</v>
      </c>
      <c r="H37" s="133">
        <f>ROUND(F37*G37,1)</f>
        <v>0</v>
      </c>
      <c r="I37" s="121"/>
      <c r="K37" s="129" t="str">
        <f>Relato!$A$258</f>
        <v>GWT (P)</v>
      </c>
      <c r="L37" s="1147">
        <f>Relato!$D$279</f>
        <v>1.52</v>
      </c>
      <c r="M37" s="135">
        <f>ROUNDDOWN(L37,1)</f>
        <v>1.5</v>
      </c>
      <c r="N37" s="130"/>
      <c r="O37" s="130"/>
      <c r="P37" s="131">
        <f>ROUND((((O39-N39)/($E$3-$D$3))*($F$3-$D$3))+N39,1)</f>
        <v>0</v>
      </c>
      <c r="Q37" s="132">
        <f>Q34</f>
        <v>1.0249999999999999</v>
      </c>
      <c r="R37" s="133">
        <f>ROUND(P37*Q37,1)</f>
        <v>0</v>
      </c>
    </row>
    <row r="38" spans="1:18" ht="12.75" customHeight="1" x14ac:dyDescent="0.25">
      <c r="A38" s="115"/>
      <c r="B38" s="1147"/>
      <c r="C38" s="116">
        <f>IF(ROUNDUP(B37,1)=C37,"",ROUNDUP(B37,1))</f>
        <v>0.30000000000000004</v>
      </c>
      <c r="D38" s="134"/>
      <c r="E38" s="134"/>
      <c r="F38" s="118"/>
      <c r="G38" s="118"/>
      <c r="H38" s="120"/>
      <c r="I38" s="137"/>
      <c r="K38" s="115"/>
      <c r="L38" s="1147"/>
      <c r="M38" s="116">
        <f>IF(ROUNDUP(L37,1)=M37,"",ROUNDUP(L37,1))</f>
        <v>1.6</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f>(((O38-O37)/(M38-M37))*(L37-M37))+O37</f>
        <v>0</v>
      </c>
      <c r="P39" s="127"/>
      <c r="Q39" s="127"/>
      <c r="R39" s="128"/>
    </row>
    <row r="40" spans="1:18" ht="12.75" customHeight="1" x14ac:dyDescent="0.25">
      <c r="A40" s="129" t="str">
        <f>Relato!$A$259</f>
        <v>GWT (S)</v>
      </c>
      <c r="B40" s="1147">
        <f>Relato!$G$259</f>
        <v>1.5184</v>
      </c>
      <c r="C40" s="135">
        <f>ROUNDDOWN(B40,1)</f>
        <v>1.5</v>
      </c>
      <c r="D40" s="130"/>
      <c r="E40" s="130"/>
      <c r="F40" s="131">
        <f>ROUND((((E42-D42)/($E$3-$D$3))*($F$3-$D$3))+D42,1)</f>
        <v>0</v>
      </c>
      <c r="G40" s="132">
        <f>G37</f>
        <v>1.0249999999999999</v>
      </c>
      <c r="H40" s="133">
        <f>ROUND(F40*G40,1)</f>
        <v>0</v>
      </c>
      <c r="I40" s="121"/>
      <c r="K40" s="129" t="str">
        <f>Relato!$A$259</f>
        <v>GWT (S)</v>
      </c>
      <c r="L40" s="1147"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7"/>
      <c r="C41" s="116">
        <f>ROUNDUP(B40,1)</f>
        <v>1.6</v>
      </c>
      <c r="D41" s="134"/>
      <c r="E41" s="134"/>
      <c r="F41" s="118"/>
      <c r="G41" s="118"/>
      <c r="H41" s="120"/>
      <c r="K41" s="115"/>
      <c r="L41" s="1147"/>
      <c r="M41" s="116" t="e">
        <f>ROUNDUP(L40,1)</f>
        <v>#REF!</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7" t="e">
        <f>Relato!#REF!</f>
        <v>#REF!</v>
      </c>
      <c r="C43" s="135" t="e">
        <f>ROUNDDOWN(B43,1)</f>
        <v>#REF!</v>
      </c>
      <c r="D43" s="130"/>
      <c r="E43" s="130"/>
      <c r="F43" s="131" t="e">
        <f>ROUND((((E45-D45)/($E$3-$D$3))*($F$3-$D$3))+D45,1)</f>
        <v>#REF!</v>
      </c>
      <c r="G43" s="132">
        <f>G40</f>
        <v>1.0249999999999999</v>
      </c>
      <c r="H43" s="133" t="e">
        <f>ROUND(F43*G43,1)</f>
        <v>#REF!</v>
      </c>
      <c r="I43" s="121"/>
      <c r="K43" s="129" t="e">
        <f>Relato!#REF!</f>
        <v>#REF!</v>
      </c>
      <c r="L43" s="1147"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7"/>
      <c r="C44" s="116" t="e">
        <f>ROUNDUP(B43,1)</f>
        <v>#REF!</v>
      </c>
      <c r="D44" s="138"/>
      <c r="E44" s="138"/>
      <c r="F44" s="118"/>
      <c r="G44" s="118"/>
      <c r="H44" s="120"/>
      <c r="K44" s="115"/>
      <c r="L44" s="1147"/>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7" t="e">
        <f>Relato!#REF!</f>
        <v>#REF!</v>
      </c>
      <c r="C46" s="135" t="e">
        <f>ROUNDDOWN(B46,1)</f>
        <v>#REF!</v>
      </c>
      <c r="D46" s="130"/>
      <c r="E46" s="130"/>
      <c r="F46" s="131" t="e">
        <f>ROUND((((E48-D48)/($E$3-$D$3))*($F$3-$D$3))+D48,1)</f>
        <v>#REF!</v>
      </c>
      <c r="G46" s="132">
        <f>G43</f>
        <v>1.0249999999999999</v>
      </c>
      <c r="H46" s="133" t="e">
        <f>ROUND(F46*G46,1)</f>
        <v>#REF!</v>
      </c>
      <c r="I46" s="121"/>
      <c r="K46" s="129" t="e">
        <f>Relato!#REF!</f>
        <v>#REF!</v>
      </c>
      <c r="L46" s="1147"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7"/>
      <c r="C47" s="116" t="e">
        <f>ROUNDUP(B46,1)</f>
        <v>#REF!</v>
      </c>
      <c r="D47" s="134"/>
      <c r="E47" s="134"/>
      <c r="F47" s="118"/>
      <c r="G47" s="118"/>
      <c r="H47" s="120"/>
      <c r="K47" s="115"/>
      <c r="L47" s="1147"/>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7" t="e">
        <f>Relato!#REF!</f>
        <v>#REF!</v>
      </c>
      <c r="C49" s="135" t="e">
        <f>ROUNDDOWN(B49,1)</f>
        <v>#REF!</v>
      </c>
      <c r="D49" s="130"/>
      <c r="E49" s="130"/>
      <c r="F49" s="131" t="e">
        <f>ROUND((((E51-D51)/($E$3-$D$3))*($F$3-$D$3))+D51,1)</f>
        <v>#REF!</v>
      </c>
      <c r="G49" s="132">
        <f>G46</f>
        <v>1.0249999999999999</v>
      </c>
      <c r="H49" s="133" t="e">
        <f>ROUND(F49*G49,1)</f>
        <v>#REF!</v>
      </c>
      <c r="I49" s="121"/>
      <c r="K49" s="129" t="e">
        <f>Relato!#REF!</f>
        <v>#REF!</v>
      </c>
      <c r="L49" s="1147"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7"/>
      <c r="C50" s="116" t="e">
        <f>ROUNDUP(B49,1)</f>
        <v>#REF!</v>
      </c>
      <c r="D50" s="134"/>
      <c r="E50" s="134"/>
      <c r="F50" s="118"/>
      <c r="G50" s="118"/>
      <c r="H50" s="120"/>
      <c r="K50" s="115"/>
      <c r="L50" s="1147"/>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7" t="e">
        <f>Relato!#REF!</f>
        <v>#REF!</v>
      </c>
      <c r="C52" s="135" t="e">
        <f>ROUNDDOWN(B52,1)</f>
        <v>#REF!</v>
      </c>
      <c r="D52" s="130"/>
      <c r="E52" s="130"/>
      <c r="F52" s="131" t="e">
        <f>ROUND((((E54-D54)/($E$3-$D$3))*($F$3-$D$3))+D54,1)</f>
        <v>#REF!</v>
      </c>
      <c r="G52" s="132">
        <f>G49</f>
        <v>1.0249999999999999</v>
      </c>
      <c r="H52" s="133" t="e">
        <f>ROUND(F52*G52,1)</f>
        <v>#REF!</v>
      </c>
      <c r="I52" s="121"/>
      <c r="K52" s="129" t="e">
        <f>Relato!#REF!</f>
        <v>#REF!</v>
      </c>
      <c r="L52" s="1147"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7"/>
      <c r="C53" s="116" t="e">
        <f>ROUNDUP(B52,1)</f>
        <v>#REF!</v>
      </c>
      <c r="D53" s="134"/>
      <c r="E53" s="134"/>
      <c r="F53" s="118"/>
      <c r="G53" s="118"/>
      <c r="H53" s="120"/>
      <c r="K53" s="115"/>
      <c r="L53" s="1147"/>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7" t="e">
        <f>Relato!#REF!</f>
        <v>#REF!</v>
      </c>
      <c r="C55" s="135" t="e">
        <f>ROUNDDOWN(B55,1)</f>
        <v>#REF!</v>
      </c>
      <c r="D55" s="130"/>
      <c r="E55" s="130"/>
      <c r="F55" s="131" t="e">
        <f>ROUND((((E57-D57)/($E$3-$D$3))*($F$3-$D$3))+D57,1)</f>
        <v>#REF!</v>
      </c>
      <c r="G55" s="132">
        <f>G52</f>
        <v>1.0249999999999999</v>
      </c>
      <c r="H55" s="133" t="e">
        <f>ROUND(F55*G55,1)</f>
        <v>#REF!</v>
      </c>
      <c r="I55" s="121"/>
      <c r="K55" s="129" t="e">
        <f>Relato!#REF!</f>
        <v>#REF!</v>
      </c>
      <c r="L55" s="1147"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7"/>
      <c r="C56" s="116" t="e">
        <f>ROUNDUP(B55,1)</f>
        <v>#REF!</v>
      </c>
      <c r="D56" s="134"/>
      <c r="E56" s="134"/>
      <c r="F56" s="118"/>
      <c r="G56" s="139"/>
      <c r="H56" s="120"/>
      <c r="K56" s="115"/>
      <c r="L56" s="1147"/>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7" t="e">
        <f>Relato!#REF!</f>
        <v>#REF!</v>
      </c>
      <c r="C58" s="135" t="e">
        <f>ROUNDDOWN(B58,1)</f>
        <v>#REF!</v>
      </c>
      <c r="D58" s="130"/>
      <c r="E58" s="130"/>
      <c r="F58" s="131" t="e">
        <f>ROUND((((E60-D60)/($E$3-$D$3))*($F$3-$D$3))+D60,1)</f>
        <v>#REF!</v>
      </c>
      <c r="G58" s="132">
        <f>G55</f>
        <v>1.0249999999999999</v>
      </c>
      <c r="H58" s="133" t="e">
        <f>ROUND(F58*G58,1)</f>
        <v>#REF!</v>
      </c>
      <c r="I58" s="121"/>
      <c r="K58" s="129" t="e">
        <f>Relato!#REF!</f>
        <v>#REF!</v>
      </c>
      <c r="L58" s="1147"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7"/>
      <c r="C59" s="116" t="e">
        <f>ROUNDUP(B58,1)</f>
        <v>#REF!</v>
      </c>
      <c r="D59" s="134"/>
      <c r="E59" s="134"/>
      <c r="F59" s="118"/>
      <c r="G59" s="118"/>
      <c r="H59" s="120"/>
      <c r="K59" s="115"/>
      <c r="L59" s="1147"/>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7" t="e">
        <f>Relato!#REF!</f>
        <v>#REF!</v>
      </c>
      <c r="C61" s="135" t="e">
        <f>ROUNDDOWN(B61,1)</f>
        <v>#REF!</v>
      </c>
      <c r="D61" s="130"/>
      <c r="E61" s="130"/>
      <c r="F61" s="131" t="e">
        <f>ROUND((((E63-D63)/($E$3-$D$3))*($F$3-$D$3))+D63,1)</f>
        <v>#REF!</v>
      </c>
      <c r="G61" s="132">
        <f>G58</f>
        <v>1.0249999999999999</v>
      </c>
      <c r="H61" s="133" t="e">
        <f>ROUND(F61*G61,1)</f>
        <v>#REF!</v>
      </c>
      <c r="I61" s="121"/>
      <c r="K61" s="129" t="e">
        <f>Relato!#REF!</f>
        <v>#REF!</v>
      </c>
      <c r="L61" s="1147"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7"/>
      <c r="C62" s="116" t="e">
        <f>ROUNDUP(B61,1)</f>
        <v>#REF!</v>
      </c>
      <c r="D62" s="134"/>
      <c r="E62" s="134"/>
      <c r="F62" s="118"/>
      <c r="G62" s="118"/>
      <c r="H62" s="120"/>
      <c r="K62" s="115"/>
      <c r="L62" s="1147"/>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7" t="e">
        <f>Relato!#REF!</f>
        <v>#REF!</v>
      </c>
      <c r="C64" s="135" t="e">
        <f>ROUNDDOWN(B64,1)</f>
        <v>#REF!</v>
      </c>
      <c r="D64" s="130"/>
      <c r="E64" s="130"/>
      <c r="F64" s="131" t="e">
        <f>ROUND((((E66-D66)/($E$3-$D$3))*($F$3-$D$3))+D66,1)</f>
        <v>#REF!</v>
      </c>
      <c r="G64" s="132">
        <f>G61</f>
        <v>1.0249999999999999</v>
      </c>
      <c r="H64" s="133" t="e">
        <f>ROUND(F64*G64,1)</f>
        <v>#REF!</v>
      </c>
      <c r="I64" s="121"/>
      <c r="K64" s="129" t="e">
        <f>Relato!#REF!</f>
        <v>#REF!</v>
      </c>
      <c r="L64" s="1147"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7"/>
      <c r="C65" s="116" t="e">
        <f>ROUNDUP(B64,1)</f>
        <v>#REF!</v>
      </c>
      <c r="D65" s="134"/>
      <c r="E65" s="134"/>
      <c r="F65" s="118"/>
      <c r="G65" s="118"/>
      <c r="H65" s="120"/>
      <c r="K65" s="115"/>
      <c r="L65" s="1147"/>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7" t="e">
        <f>Relato!#REF!</f>
        <v>#REF!</v>
      </c>
      <c r="C67" s="135" t="e">
        <f>ROUNDDOWN(B67,1)</f>
        <v>#REF!</v>
      </c>
      <c r="D67" s="130"/>
      <c r="E67" s="130"/>
      <c r="F67" s="131" t="e">
        <f>ROUND((((E69-D69)/($E$3-$D$3))*($F$3-$D$3))+D69,1)</f>
        <v>#REF!</v>
      </c>
      <c r="G67" s="132">
        <f>G64</f>
        <v>1.0249999999999999</v>
      </c>
      <c r="H67" s="133" t="e">
        <f>ROUND(F67*G67,1)</f>
        <v>#REF!</v>
      </c>
      <c r="I67" s="121"/>
      <c r="K67" s="129" t="e">
        <f>Relato!#REF!</f>
        <v>#REF!</v>
      </c>
      <c r="L67" s="1147"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7"/>
      <c r="C68" s="116" t="e">
        <f>ROUNDUP(B67,1)</f>
        <v>#REF!</v>
      </c>
      <c r="D68" s="134"/>
      <c r="E68" s="134"/>
      <c r="F68" s="118"/>
      <c r="G68" s="118"/>
      <c r="H68" s="120"/>
      <c r="K68" s="115"/>
      <c r="L68" s="1147"/>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7" t="e">
        <f>Relato!#REF!</f>
        <v>#REF!</v>
      </c>
      <c r="C70" s="135" t="e">
        <f>ROUNDDOWN(B70,1)</f>
        <v>#REF!</v>
      </c>
      <c r="D70" s="130"/>
      <c r="E70" s="130"/>
      <c r="F70" s="131" t="e">
        <f>ROUND((((E72-D72)/($E$3-$D$3))*($F$3-$D$3))+D72,1)</f>
        <v>#REF!</v>
      </c>
      <c r="G70" s="132">
        <f>G67</f>
        <v>1.0249999999999999</v>
      </c>
      <c r="H70" s="133" t="e">
        <f>ROUND(F70*G70,1)</f>
        <v>#REF!</v>
      </c>
      <c r="I70" s="121"/>
      <c r="K70" s="129" t="e">
        <f>Relato!#REF!</f>
        <v>#REF!</v>
      </c>
      <c r="L70" s="1147"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7"/>
      <c r="C71" s="116" t="e">
        <f>ROUNDUP(B70,1)</f>
        <v>#REF!</v>
      </c>
      <c r="D71" s="134"/>
      <c r="E71" s="134"/>
      <c r="F71" s="118"/>
      <c r="G71" s="118"/>
      <c r="H71" s="120"/>
      <c r="K71" s="115"/>
      <c r="L71" s="1147"/>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7" t="e">
        <f>Relato!#REF!</f>
        <v>#REF!</v>
      </c>
      <c r="C73" s="135" t="e">
        <f>ROUNDDOWN(B73,1)</f>
        <v>#REF!</v>
      </c>
      <c r="D73" s="130"/>
      <c r="E73" s="130"/>
      <c r="F73" s="131" t="e">
        <f>ROUND((((E75-D75)/($E$3-$D$3))*($F$3-$D$3))+D75,1)</f>
        <v>#REF!</v>
      </c>
      <c r="G73" s="132">
        <f>G70</f>
        <v>1.0249999999999999</v>
      </c>
      <c r="H73" s="133" t="e">
        <f>ROUND(F73*G73,1)</f>
        <v>#REF!</v>
      </c>
      <c r="I73" s="121"/>
      <c r="K73" s="129" t="e">
        <f>Relato!#REF!</f>
        <v>#REF!</v>
      </c>
      <c r="L73" s="1147"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7"/>
      <c r="C74" s="116" t="e">
        <f>ROUNDUP(B73,1)</f>
        <v>#REF!</v>
      </c>
      <c r="D74" s="134"/>
      <c r="E74" s="134"/>
      <c r="F74" s="118"/>
      <c r="G74" s="139"/>
      <c r="H74" s="120"/>
      <c r="K74" s="115"/>
      <c r="L74" s="1147"/>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7" t="e">
        <f>Relato!#REF!</f>
        <v>#REF!</v>
      </c>
      <c r="C76" s="135" t="e">
        <f>ROUNDDOWN(B76,1)</f>
        <v>#REF!</v>
      </c>
      <c r="D76" s="130"/>
      <c r="E76" s="130"/>
      <c r="F76" s="131" t="e">
        <f>ROUND((((E78-D78)/($E$3-$D$3))*($F$3-$D$3))+D78,1)</f>
        <v>#REF!</v>
      </c>
      <c r="G76" s="132">
        <f>G73</f>
        <v>1.0249999999999999</v>
      </c>
      <c r="H76" s="133" t="e">
        <f>ROUND(F76*G76,1)</f>
        <v>#REF!</v>
      </c>
      <c r="I76" s="121"/>
      <c r="K76" s="129" t="e">
        <f>Relato!#REF!</f>
        <v>#REF!</v>
      </c>
      <c r="L76" s="1147"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7"/>
      <c r="C77" s="116" t="e">
        <f>ROUNDUP(B76,1)</f>
        <v>#REF!</v>
      </c>
      <c r="D77" s="134"/>
      <c r="E77" s="134"/>
      <c r="F77" s="118"/>
      <c r="G77" s="118"/>
      <c r="H77" s="120"/>
      <c r="K77" s="115"/>
      <c r="L77" s="1147"/>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7" t="e">
        <f>Relato!#REF!</f>
        <v>#REF!</v>
      </c>
      <c r="C79" s="135" t="e">
        <f>ROUNDDOWN(B79,1)</f>
        <v>#REF!</v>
      </c>
      <c r="D79" s="130"/>
      <c r="E79" s="130"/>
      <c r="F79" s="131" t="e">
        <f>ROUND((((E81-D81)/($E$3-$D$3))*($F$3-$D$3))+D81,1)</f>
        <v>#REF!</v>
      </c>
      <c r="G79" s="132">
        <f>G76</f>
        <v>1.0249999999999999</v>
      </c>
      <c r="H79" s="133" t="e">
        <f>ROUND(F79*G79,1)</f>
        <v>#REF!</v>
      </c>
      <c r="I79" s="121"/>
      <c r="K79" s="129" t="e">
        <f>Relato!#REF!</f>
        <v>#REF!</v>
      </c>
      <c r="L79" s="1147"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7"/>
      <c r="C80" s="116" t="e">
        <f>ROUNDUP(B79,1)</f>
        <v>#REF!</v>
      </c>
      <c r="D80" s="134"/>
      <c r="E80" s="134"/>
      <c r="F80" s="118"/>
      <c r="G80" s="118"/>
      <c r="H80" s="120"/>
      <c r="K80" s="115"/>
      <c r="L80" s="1147"/>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7" t="e">
        <f>Relato!#REF!</f>
        <v>#REF!</v>
      </c>
      <c r="C82" s="135" t="e">
        <f>ROUNDDOWN(B82,1)</f>
        <v>#REF!</v>
      </c>
      <c r="D82" s="130"/>
      <c r="E82" s="130"/>
      <c r="F82" s="131" t="e">
        <f>ROUND((((E84-D84)/($E$3-$D$3))*($F$3-$D$3))+D84,1)</f>
        <v>#REF!</v>
      </c>
      <c r="G82" s="132">
        <f>G79</f>
        <v>1.0249999999999999</v>
      </c>
      <c r="H82" s="133" t="e">
        <f>ROUND(F82*G82,1)</f>
        <v>#REF!</v>
      </c>
      <c r="I82" s="121"/>
      <c r="K82" s="129" t="e">
        <f>Relato!#REF!</f>
        <v>#REF!</v>
      </c>
      <c r="L82" s="1147"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7"/>
      <c r="C83" s="116" t="e">
        <f>ROUNDUP(B82,1)</f>
        <v>#REF!</v>
      </c>
      <c r="D83" s="134"/>
      <c r="E83" s="134"/>
      <c r="F83" s="118"/>
      <c r="G83" s="118"/>
      <c r="H83" s="120"/>
      <c r="K83" s="115"/>
      <c r="L83" s="1147"/>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7" t="e">
        <f>Relato!#REF!</f>
        <v>#REF!</v>
      </c>
      <c r="C85" s="135" t="e">
        <f>ROUNDDOWN(B85,1)</f>
        <v>#REF!</v>
      </c>
      <c r="D85" s="130"/>
      <c r="E85" s="130"/>
      <c r="F85" s="131" t="e">
        <f>ROUND((((E87-D87)/($E$3-$D$3))*($F$3-$D$3))+D87,1)</f>
        <v>#REF!</v>
      </c>
      <c r="G85" s="132">
        <f>G82</f>
        <v>1.0249999999999999</v>
      </c>
      <c r="H85" s="133" t="e">
        <f>ROUND(F85*G85,1)</f>
        <v>#REF!</v>
      </c>
      <c r="I85" s="121"/>
      <c r="K85" s="129" t="e">
        <f>Relato!#REF!</f>
        <v>#REF!</v>
      </c>
      <c r="L85" s="1147"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7"/>
      <c r="C86" s="116" t="e">
        <f>ROUNDUP(B85,1)</f>
        <v>#REF!</v>
      </c>
      <c r="D86" s="134"/>
      <c r="E86" s="134"/>
      <c r="F86" s="118"/>
      <c r="G86" s="118"/>
      <c r="H86" s="120"/>
      <c r="K86" s="115"/>
      <c r="L86" s="1147"/>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7" t="e">
        <f>Relato!#REF!</f>
        <v>#REF!</v>
      </c>
      <c r="C88" s="135" t="e">
        <f>ROUNDDOWN(B88,1)</f>
        <v>#REF!</v>
      </c>
      <c r="D88" s="130"/>
      <c r="E88" s="130"/>
      <c r="F88" s="131" t="e">
        <f>ROUND((((E90-D90)/($E$3-$D$3))*($F$3-$D$3))+D90,1)</f>
        <v>#REF!</v>
      </c>
      <c r="G88" s="132">
        <f>G85</f>
        <v>1.0249999999999999</v>
      </c>
      <c r="H88" s="133" t="e">
        <f>ROUND(F88*G88,1)</f>
        <v>#REF!</v>
      </c>
      <c r="I88" s="121"/>
      <c r="K88" s="129" t="e">
        <f>Relato!#REF!</f>
        <v>#REF!</v>
      </c>
      <c r="L88" s="1147">
        <f>Relato!$D$280</f>
        <v>3.42</v>
      </c>
      <c r="M88" s="135">
        <f>ROUNDDOWN(L88,1)</f>
        <v>3.4</v>
      </c>
      <c r="N88" s="130"/>
      <c r="O88" s="130"/>
      <c r="P88" s="131">
        <f>ROUND((((O90-N90)/($E$3-$D$3))*($F$3-$D$3))+N90,1)</f>
        <v>0</v>
      </c>
      <c r="Q88" s="132">
        <f>Q85</f>
        <v>1.0249999999999999</v>
      </c>
      <c r="R88" s="133">
        <f>ROUND(P88*Q88,1)</f>
        <v>0</v>
      </c>
    </row>
    <row r="89" spans="1:18" ht="12.75" customHeight="1" x14ac:dyDescent="0.25">
      <c r="A89" s="115"/>
      <c r="B89" s="1147"/>
      <c r="C89" s="116" t="e">
        <f>ROUNDUP(B88,1)</f>
        <v>#REF!</v>
      </c>
      <c r="D89" s="134"/>
      <c r="E89" s="134"/>
      <c r="F89" s="118"/>
      <c r="G89" s="118"/>
      <c r="H89" s="120"/>
      <c r="K89" s="115"/>
      <c r="L89" s="1147"/>
      <c r="M89" s="116">
        <f>ROUNDUP(L88,1)</f>
        <v>3.5</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Relato!$A$260</f>
        <v>A.PK</v>
      </c>
      <c r="B91" s="1147">
        <f>Relato!$G$260</f>
        <v>7.0578999999999992</v>
      </c>
      <c r="C91" s="135">
        <f>ROUNDDOWN(B91,1)</f>
        <v>7</v>
      </c>
      <c r="D91" s="130"/>
      <c r="E91" s="130"/>
      <c r="F91" s="131">
        <f>ROUND((((E93-D93)/($E$3-$D$3))*($F$3-$D$3))+D93,1)</f>
        <v>0</v>
      </c>
      <c r="G91" s="132">
        <f>G88</f>
        <v>1.0249999999999999</v>
      </c>
      <c r="H91" s="133">
        <f>ROUND(F91*G91,1)</f>
        <v>0</v>
      </c>
      <c r="I91" s="121"/>
      <c r="K91" s="129" t="str">
        <f>Relato!$A$260</f>
        <v>A.PK</v>
      </c>
      <c r="L91" s="1147">
        <f>Relato!$D$281</f>
        <v>0</v>
      </c>
      <c r="M91" s="135">
        <f>ROUNDDOWN(L91,1)</f>
        <v>0</v>
      </c>
      <c r="N91" s="130"/>
      <c r="O91" s="130"/>
      <c r="P91" s="131" t="e">
        <f>ROUND((((O93-N93)/($E$3-$D$3))*($F$3-$D$3))+N93,1)</f>
        <v>#DIV/0!</v>
      </c>
      <c r="Q91" s="132">
        <f>Q88</f>
        <v>1.0249999999999999</v>
      </c>
      <c r="R91" s="133" t="e">
        <f>ROUND(P91*Q91,1)</f>
        <v>#DIV/0!</v>
      </c>
    </row>
    <row r="92" spans="1:18" ht="12.75" customHeight="1" x14ac:dyDescent="0.25">
      <c r="A92" s="115"/>
      <c r="B92" s="1147"/>
      <c r="C92" s="116">
        <f>ROUNDUP(B91,1)</f>
        <v>7.1</v>
      </c>
      <c r="D92" s="134"/>
      <c r="E92" s="134"/>
      <c r="F92" s="118"/>
      <c r="G92" s="118"/>
      <c r="H92" s="120"/>
      <c r="K92" s="115"/>
      <c r="L92" s="1147"/>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365</v>
      </c>
      <c r="E95" s="150"/>
      <c r="F95" s="151"/>
      <c r="G95" s="151"/>
      <c r="H95" s="151"/>
      <c r="K95" s="149"/>
      <c r="L95" s="150"/>
      <c r="M95" s="150"/>
      <c r="N95" s="150" t="s">
        <v>365</v>
      </c>
      <c r="O95" s="150"/>
      <c r="P95" s="151"/>
      <c r="Q95" s="151"/>
      <c r="R95" s="151"/>
    </row>
    <row r="96" spans="1:18" ht="12.75" customHeight="1" x14ac:dyDescent="0.25">
      <c r="A96" s="152" t="s">
        <v>355</v>
      </c>
      <c r="B96" s="153" t="s">
        <v>356</v>
      </c>
      <c r="C96" s="152" t="s">
        <v>357</v>
      </c>
      <c r="D96" s="154" t="s">
        <v>358</v>
      </c>
      <c r="E96" s="152"/>
      <c r="F96" s="152" t="s">
        <v>359</v>
      </c>
      <c r="G96" s="155" t="s">
        <v>360</v>
      </c>
      <c r="H96" s="152" t="s">
        <v>361</v>
      </c>
      <c r="K96" s="152" t="s">
        <v>355</v>
      </c>
      <c r="L96" s="153" t="s">
        <v>356</v>
      </c>
      <c r="M96" s="152" t="s">
        <v>357</v>
      </c>
      <c r="N96" s="154" t="s">
        <v>358</v>
      </c>
      <c r="O96" s="152"/>
      <c r="P96" s="152" t="s">
        <v>359</v>
      </c>
      <c r="Q96" s="155" t="s">
        <v>360</v>
      </c>
      <c r="R96" s="152" t="s">
        <v>361</v>
      </c>
    </row>
    <row r="97" spans="1:18" ht="12.75" customHeight="1" x14ac:dyDescent="0.25">
      <c r="A97" s="152"/>
      <c r="B97" s="153" t="s">
        <v>362</v>
      </c>
      <c r="C97" s="152" t="s">
        <v>363</v>
      </c>
      <c r="D97" s="156">
        <f>D3</f>
        <v>1</v>
      </c>
      <c r="E97" s="156">
        <f>E3</f>
        <v>2</v>
      </c>
      <c r="F97" s="157">
        <f>F3</f>
        <v>1.8903000000000008</v>
      </c>
      <c r="G97" s="158"/>
      <c r="H97" s="152" t="s">
        <v>364</v>
      </c>
      <c r="K97" s="152"/>
      <c r="L97" s="153" t="s">
        <v>362</v>
      </c>
      <c r="M97" s="152" t="s">
        <v>363</v>
      </c>
      <c r="N97" s="156">
        <f>N3</f>
        <v>1</v>
      </c>
      <c r="O97" s="156">
        <f>O3</f>
        <v>2</v>
      </c>
      <c r="P97" s="157">
        <f>P3</f>
        <v>0.16990000000000016</v>
      </c>
      <c r="Q97" s="158"/>
      <c r="R97" s="152" t="s">
        <v>364</v>
      </c>
    </row>
    <row r="98" spans="1:18" ht="12.75" customHeight="1" x14ac:dyDescent="0.25">
      <c r="A98" s="159" t="str">
        <f>Relato!$A$288</f>
        <v>FWT (P)</v>
      </c>
      <c r="B98" s="1148">
        <f>Relato!$G$288</f>
        <v>0</v>
      </c>
      <c r="C98" s="135">
        <f>ROUNDDOWN(B98,1)</f>
        <v>0</v>
      </c>
      <c r="D98" s="160"/>
      <c r="E98" s="160"/>
      <c r="F98" s="161" t="e">
        <f>ROUND((((E100-D100)/($E$3-$D$3))*($F$3-$D$3))+D100,1)</f>
        <v>#DIV/0!</v>
      </c>
      <c r="G98" s="162">
        <v>1</v>
      </c>
      <c r="H98" s="163" t="e">
        <f>F98*G98</f>
        <v>#DIV/0!</v>
      </c>
      <c r="K98" s="159" t="str">
        <f>Relato!$A$288</f>
        <v>FWT (P)</v>
      </c>
      <c r="L98" s="1148">
        <f>Relato!D296</f>
        <v>0</v>
      </c>
      <c r="M98" s="135">
        <f>ROUNDDOWN(L98,1)</f>
        <v>0</v>
      </c>
      <c r="N98" s="160"/>
      <c r="O98" s="160"/>
      <c r="P98" s="161" t="e">
        <f>ROUND((((O100-N100)/($E$3-$D$3))*($F$3-$D$3))+N100,1)</f>
        <v>#DIV/0!</v>
      </c>
      <c r="Q98" s="162">
        <v>1</v>
      </c>
      <c r="R98" s="163" t="e">
        <f>P98*Q98</f>
        <v>#DIV/0!</v>
      </c>
    </row>
    <row r="99" spans="1:18" ht="12.75" customHeight="1" x14ac:dyDescent="0.25">
      <c r="A99" s="164"/>
      <c r="B99" s="1149"/>
      <c r="C99" s="116">
        <f>ROUNDUP(B98,1)</f>
        <v>0</v>
      </c>
      <c r="D99" s="165"/>
      <c r="E99" s="165"/>
      <c r="F99" s="166"/>
      <c r="G99" s="166"/>
      <c r="H99" s="167"/>
      <c r="K99" s="164"/>
      <c r="L99" s="1149"/>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e">
        <f>Relato!#REF!</f>
        <v>#REF!</v>
      </c>
      <c r="B101" s="1148" t="e">
        <f>Relato!#REF!</f>
        <v>#REF!</v>
      </c>
      <c r="C101" s="135" t="e">
        <f>ROUNDDOWN(B101,1)</f>
        <v>#REF!</v>
      </c>
      <c r="D101" s="160"/>
      <c r="E101" s="160"/>
      <c r="F101" s="161" t="e">
        <f>ROUND((((E103-D103)/($E$3-$D$3))*($F$3-$D$3))+D103,1)</f>
        <v>#REF!</v>
      </c>
      <c r="G101" s="162">
        <v>1</v>
      </c>
      <c r="H101" s="163" t="e">
        <f>F101*G101</f>
        <v>#REF!</v>
      </c>
      <c r="K101" s="159" t="e">
        <f>Relato!#REF!</f>
        <v>#REF!</v>
      </c>
      <c r="L101" s="1148" t="e">
        <f>Relato!#REF!</f>
        <v>#REF!</v>
      </c>
      <c r="M101" s="135" t="e">
        <f>ROUNDDOWN(L101,1)</f>
        <v>#REF!</v>
      </c>
      <c r="N101" s="160"/>
      <c r="O101" s="160"/>
      <c r="P101" s="161" t="e">
        <f>ROUND((((O103-N103)/($E$3-$D$3))*($F$3-$D$3))+N103,1)</f>
        <v>#REF!</v>
      </c>
      <c r="Q101" s="162">
        <v>1</v>
      </c>
      <c r="R101" s="163" t="e">
        <f>P101*Q101</f>
        <v>#REF!</v>
      </c>
    </row>
    <row r="102" spans="1:18" ht="12.75" customHeight="1" x14ac:dyDescent="0.25">
      <c r="A102" s="164"/>
      <c r="B102" s="1149"/>
      <c r="C102" s="116" t="e">
        <f>ROUNDUP(B101,1)</f>
        <v>#REF!</v>
      </c>
      <c r="D102" s="165"/>
      <c r="E102" s="165"/>
      <c r="F102" s="166"/>
      <c r="G102" s="166"/>
      <c r="H102" s="167"/>
      <c r="K102" s="164"/>
      <c r="L102" s="1149"/>
      <c r="M102" s="116" t="e">
        <f>ROUNDUP(L101,1)</f>
        <v>#REF!</v>
      </c>
      <c r="N102" s="165"/>
      <c r="O102" s="165"/>
      <c r="P102" s="166"/>
      <c r="Q102" s="166"/>
      <c r="R102" s="167"/>
    </row>
    <row r="103" spans="1:18" ht="12.75" customHeight="1" x14ac:dyDescent="0.25">
      <c r="A103" s="168"/>
      <c r="B103" s="169"/>
      <c r="C103" s="170"/>
      <c r="D103" s="171" t="e">
        <f>(((D102-D101)/(C102-C101))*(B101-C101))+D101</f>
        <v>#REF!</v>
      </c>
      <c r="E103" s="171" t="e">
        <f>(((E102-E101)/(C102-C101))*(B101-C101))+E101</f>
        <v>#REF!</v>
      </c>
      <c r="F103" s="172"/>
      <c r="G103" s="172"/>
      <c r="H103" s="173"/>
      <c r="K103" s="168"/>
      <c r="L103" s="169"/>
      <c r="M103" s="170"/>
      <c r="N103" s="171" t="e">
        <f>(((N102-N101)/(M102-M101))*(L101-M101))+N101</f>
        <v>#REF!</v>
      </c>
      <c r="O103" s="171" t="e">
        <f>(((O102-O101)/(M102-M101))*(L101-M101))+O101</f>
        <v>#REF!</v>
      </c>
      <c r="P103" s="172"/>
      <c r="Q103" s="172"/>
      <c r="R103" s="173"/>
    </row>
    <row r="104" spans="1:18" ht="12.75" customHeight="1" x14ac:dyDescent="0.25">
      <c r="A104" s="159" t="e">
        <f>Relato!#REF!</f>
        <v>#REF!</v>
      </c>
      <c r="B104" s="1148" t="e">
        <f>Relato!#REF!</f>
        <v>#REF!</v>
      </c>
      <c r="C104" s="135" t="e">
        <f>ROUNDDOWN(B104,1)</f>
        <v>#REF!</v>
      </c>
      <c r="D104" s="160"/>
      <c r="E104" s="160"/>
      <c r="F104" s="161" t="e">
        <f>ROUND((((E106-D106)/($E$3-$D$3))*($F$3-$D$3))+D106,1)</f>
        <v>#REF!</v>
      </c>
      <c r="G104" s="162">
        <v>1</v>
      </c>
      <c r="H104" s="163" t="e">
        <f>F104*G104</f>
        <v>#REF!</v>
      </c>
      <c r="K104" s="159" t="e">
        <f>Relato!#REF!</f>
        <v>#REF!</v>
      </c>
      <c r="L104" s="1148"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49"/>
      <c r="C105" s="116" t="e">
        <f>ROUNDUP(B104,1)</f>
        <v>#REF!</v>
      </c>
      <c r="D105" s="165"/>
      <c r="E105" s="165"/>
      <c r="F105" s="166"/>
      <c r="G105" s="166"/>
      <c r="H105" s="167"/>
      <c r="K105" s="164"/>
      <c r="L105" s="1149"/>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Relato!$A$289</f>
        <v>DWT (S)</v>
      </c>
      <c r="B107" s="1148">
        <f>Relato!$G$289</f>
        <v>0</v>
      </c>
      <c r="C107" s="135">
        <f>ROUNDDOWN(B107,1)</f>
        <v>0</v>
      </c>
      <c r="D107" s="160"/>
      <c r="E107" s="160"/>
      <c r="F107" s="161" t="e">
        <f>ROUND((((E109-D109)/($E$3-$D$3))*($F$3-$D$3))+D109,1)</f>
        <v>#DIV/0!</v>
      </c>
      <c r="G107" s="162">
        <v>1</v>
      </c>
      <c r="H107" s="163" t="e">
        <f>F107*G107</f>
        <v>#DIV/0!</v>
      </c>
      <c r="K107" s="159" t="str">
        <f>Relato!$A$289</f>
        <v>DWT (S)</v>
      </c>
      <c r="L107" s="1148">
        <f>Relato!D297</f>
        <v>0</v>
      </c>
      <c r="M107" s="135">
        <f>ROUNDDOWN(L107,1)</f>
        <v>0</v>
      </c>
      <c r="N107" s="160"/>
      <c r="O107" s="160"/>
      <c r="P107" s="161" t="e">
        <f>ROUND((((O109-N109)/($E$3-$D$3))*($F$3-$D$3))+N109,1)</f>
        <v>#DIV/0!</v>
      </c>
      <c r="Q107" s="162">
        <v>1</v>
      </c>
      <c r="R107" s="163" t="e">
        <f>P107*Q107</f>
        <v>#DIV/0!</v>
      </c>
    </row>
    <row r="108" spans="1:18" ht="12.75" customHeight="1" x14ac:dyDescent="0.25">
      <c r="A108" s="174"/>
      <c r="B108" s="1149"/>
      <c r="C108" s="116">
        <f>ROUNDUP(B107,1)</f>
        <v>0</v>
      </c>
      <c r="D108" s="165"/>
      <c r="E108" s="165"/>
      <c r="F108" s="166"/>
      <c r="G108" s="166"/>
      <c r="H108" s="167"/>
      <c r="K108" s="174"/>
      <c r="L108" s="1149"/>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79</v>
      </c>
      <c r="F110" s="178" t="e">
        <f>SUM(F98:F109)</f>
        <v>#DIV/0!</v>
      </c>
      <c r="G110" s="179" t="s">
        <v>366</v>
      </c>
      <c r="H110" s="176"/>
      <c r="K110" s="176"/>
      <c r="L110" s="176"/>
      <c r="M110" s="176"/>
      <c r="N110" s="176"/>
      <c r="O110" s="177" t="s">
        <v>79</v>
      </c>
      <c r="P110" s="178" t="e">
        <f>SUM(P98:P109)</f>
        <v>#DIV/0!</v>
      </c>
      <c r="Q110" s="179" t="s">
        <v>366</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451</v>
      </c>
    </row>
    <row r="2" spans="1:59" x14ac:dyDescent="0.2">
      <c r="A2" s="69" t="s">
        <v>452</v>
      </c>
    </row>
    <row r="3" spans="1:59" x14ac:dyDescent="0.2">
      <c r="A3" s="69" t="s">
        <v>453</v>
      </c>
    </row>
    <row r="4" spans="1:59" x14ac:dyDescent="0.2">
      <c r="A4" s="69" t="s">
        <v>454</v>
      </c>
    </row>
    <row r="5" spans="1:59" x14ac:dyDescent="0.2">
      <c r="A5" s="69" t="s">
        <v>455</v>
      </c>
    </row>
    <row r="6" spans="1:59" x14ac:dyDescent="0.2">
      <c r="A6" s="203" t="s">
        <v>456</v>
      </c>
    </row>
    <row r="9" spans="1:59" x14ac:dyDescent="0.2">
      <c r="A9" s="188" t="s">
        <v>457</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458</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459</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1" t="s">
        <v>460</v>
      </c>
      <c r="B13" s="1151"/>
      <c r="C13" s="1151"/>
      <c r="D13" s="1151"/>
      <c r="E13" s="1151"/>
      <c r="F13" s="1151"/>
      <c r="G13" s="1151"/>
      <c r="H13" s="1151"/>
      <c r="I13" s="1151"/>
      <c r="J13" s="1151"/>
      <c r="K13" s="1151"/>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2" t="s">
        <v>461</v>
      </c>
      <c r="B15" s="1151"/>
      <c r="C15" s="1151"/>
      <c r="D15" s="1151"/>
      <c r="E15" s="1151"/>
      <c r="F15" s="1151"/>
      <c r="G15" s="1151"/>
      <c r="H15" s="1151"/>
      <c r="I15" s="1151"/>
      <c r="J15" s="1151"/>
      <c r="K15" s="1151"/>
    </row>
    <row r="16" spans="1:59" x14ac:dyDescent="0.2">
      <c r="A16" s="188"/>
    </row>
    <row r="17" spans="1:54" x14ac:dyDescent="0.2">
      <c r="A17" s="188"/>
    </row>
    <row r="20" spans="1:54" x14ac:dyDescent="0.2">
      <c r="A20" s="205" t="s">
        <v>462</v>
      </c>
    </row>
    <row r="22" spans="1:54" x14ac:dyDescent="0.2">
      <c r="A22" s="205" t="s">
        <v>463</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3" t="s">
        <v>464</v>
      </c>
      <c r="B23" s="1154"/>
      <c r="C23" s="1154"/>
      <c r="D23" s="1154"/>
      <c r="E23" s="1154"/>
      <c r="F23" s="1154"/>
      <c r="G23" s="1154"/>
      <c r="H23" s="1154"/>
      <c r="I23" s="1154"/>
      <c r="J23" s="1154"/>
      <c r="K23" s="1154"/>
      <c r="L23" s="1154"/>
      <c r="M23" s="1154"/>
      <c r="N23" s="1154"/>
      <c r="O23" s="1154"/>
      <c r="P23" s="1154"/>
      <c r="Q23" s="1154"/>
      <c r="R23" s="1154"/>
      <c r="S23" s="1154"/>
      <c r="T23" s="1154"/>
      <c r="U23" s="1154"/>
      <c r="V23" s="1154"/>
      <c r="W23" s="1154"/>
      <c r="X23" s="1154"/>
      <c r="Y23" s="1154"/>
      <c r="Z23" s="1154"/>
      <c r="AA23" s="1154"/>
      <c r="AB23" s="1154"/>
      <c r="AC23" s="1154"/>
      <c r="AD23" s="1154"/>
      <c r="AE23" s="1154"/>
      <c r="AF23" s="1154"/>
      <c r="AG23" s="1154"/>
      <c r="AH23" s="1154"/>
      <c r="AI23" s="1154"/>
      <c r="AJ23" s="1154"/>
      <c r="AK23" s="1154"/>
      <c r="AL23" s="1154"/>
      <c r="AM23" s="1154"/>
      <c r="AN23" s="1154"/>
      <c r="AO23" s="1154"/>
      <c r="AP23" s="1154"/>
      <c r="AQ23" s="1154"/>
      <c r="AR23" s="1154"/>
      <c r="AS23" s="1154"/>
      <c r="AT23" s="1154"/>
      <c r="AU23" s="1154"/>
      <c r="AV23" s="1154"/>
      <c r="AW23" s="1154"/>
      <c r="AX23" s="1154"/>
      <c r="AY23" s="1154"/>
      <c r="AZ23" s="1154"/>
      <c r="BA23" s="1154"/>
      <c r="BB23" s="1154"/>
    </row>
    <row r="24" spans="1:54" x14ac:dyDescent="0.2">
      <c r="A24" s="69"/>
    </row>
    <row r="25" spans="1:54" ht="13.5" thickBot="1" x14ac:dyDescent="0.25"/>
    <row r="26" spans="1:54" ht="54" customHeight="1" thickTop="1" x14ac:dyDescent="0.2">
      <c r="A26" s="1152" t="s">
        <v>465</v>
      </c>
      <c r="B26" s="1151"/>
      <c r="C26" s="1151"/>
      <c r="D26" s="1151"/>
      <c r="E26" s="1151"/>
      <c r="F26" s="1151"/>
      <c r="G26" s="1151"/>
      <c r="H26" s="1151"/>
      <c r="I26" s="1151"/>
      <c r="J26" s="1151"/>
      <c r="K26" s="1151"/>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5" t="s">
        <v>466</v>
      </c>
      <c r="B28" s="1155"/>
      <c r="C28" s="1155"/>
      <c r="D28" s="1155"/>
      <c r="E28" s="1155"/>
      <c r="F28" s="1155"/>
      <c r="G28" s="1155"/>
      <c r="H28" s="1155"/>
      <c r="I28" s="1155"/>
      <c r="J28" s="1155"/>
      <c r="K28" s="1155"/>
      <c r="L28" s="1155"/>
      <c r="M28" s="1155"/>
      <c r="N28" s="1155"/>
      <c r="O28" s="1155"/>
      <c r="P28" s="1155"/>
      <c r="Q28" s="1155"/>
      <c r="R28" s="1155"/>
      <c r="S28" s="1155"/>
      <c r="T28" s="1155"/>
      <c r="U28" s="1155"/>
      <c r="V28" s="1155"/>
      <c r="W28" s="1155"/>
      <c r="X28" s="1155"/>
      <c r="Y28" s="1155"/>
      <c r="Z28" s="1155"/>
      <c r="AA28" s="1155"/>
      <c r="AB28" s="1155"/>
      <c r="AC28" s="1155"/>
      <c r="AD28" s="1155"/>
      <c r="AE28" s="1155"/>
      <c r="AF28" s="1155"/>
      <c r="AG28" s="1155"/>
      <c r="AH28" s="1155"/>
      <c r="AI28" s="1155"/>
      <c r="AJ28" s="1155"/>
      <c r="AK28" s="1155"/>
      <c r="AL28" s="1155"/>
      <c r="AM28" s="1155"/>
      <c r="AN28" s="1155"/>
      <c r="AO28" s="1155"/>
      <c r="AP28" s="1155"/>
      <c r="AQ28" s="1155"/>
      <c r="AR28" s="1155"/>
      <c r="AS28" s="1155"/>
      <c r="AT28" s="1155"/>
      <c r="AU28" s="1155"/>
      <c r="AV28" s="1155"/>
      <c r="AW28" s="1155"/>
      <c r="AX28" s="1155"/>
      <c r="AY28" s="1155"/>
      <c r="AZ28" s="1155"/>
      <c r="BA28" s="1155"/>
      <c r="BB28" s="1155"/>
    </row>
    <row r="30" spans="1:54" x14ac:dyDescent="0.2">
      <c r="A30" s="69" t="s">
        <v>467</v>
      </c>
    </row>
    <row r="31" spans="1:54" x14ac:dyDescent="0.2">
      <c r="A31" s="69" t="s">
        <v>468</v>
      </c>
    </row>
    <row r="32" spans="1:54" x14ac:dyDescent="0.2">
      <c r="A32" s="69" t="s">
        <v>469</v>
      </c>
    </row>
    <row r="33" spans="1:7" x14ac:dyDescent="0.2">
      <c r="A33" s="69"/>
    </row>
    <row r="34" spans="1:7" x14ac:dyDescent="0.2">
      <c r="A34" s="69" t="s">
        <v>470</v>
      </c>
    </row>
    <row r="36" spans="1:7" x14ac:dyDescent="0.2">
      <c r="A36" s="20" t="s">
        <v>471</v>
      </c>
    </row>
    <row r="37" spans="1:7" x14ac:dyDescent="0.2">
      <c r="A37" s="20" t="s">
        <v>472</v>
      </c>
    </row>
    <row r="39" spans="1:7" x14ac:dyDescent="0.2">
      <c r="A39" s="69" t="s">
        <v>473</v>
      </c>
    </row>
    <row r="40" spans="1:7" x14ac:dyDescent="0.2">
      <c r="A40" s="69" t="s">
        <v>474</v>
      </c>
    </row>
    <row r="41" spans="1:7" x14ac:dyDescent="0.2">
      <c r="A41" s="69" t="s">
        <v>475</v>
      </c>
    </row>
    <row r="44" spans="1:7" x14ac:dyDescent="0.2">
      <c r="A44" s="69" t="s">
        <v>476</v>
      </c>
      <c r="B44" s="210"/>
      <c r="C44" s="210"/>
      <c r="D44" s="210"/>
      <c r="E44" s="210"/>
      <c r="F44" s="210"/>
      <c r="G44" s="210"/>
    </row>
    <row r="45" spans="1:7" x14ac:dyDescent="0.2">
      <c r="A45" s="210"/>
      <c r="B45" s="69" t="s">
        <v>477</v>
      </c>
      <c r="C45" s="210"/>
      <c r="D45" s="210"/>
      <c r="E45" s="210"/>
      <c r="G45" s="210"/>
    </row>
    <row r="48" spans="1:7" ht="15" x14ac:dyDescent="0.2">
      <c r="A48" s="55" t="s">
        <v>478</v>
      </c>
    </row>
    <row r="51" spans="1:1" x14ac:dyDescent="0.2">
      <c r="A51" s="20" t="s">
        <v>479</v>
      </c>
    </row>
    <row r="53" spans="1:1" x14ac:dyDescent="0.2">
      <c r="A53" s="188" t="s">
        <v>480</v>
      </c>
    </row>
    <row r="55" spans="1:1" x14ac:dyDescent="0.2">
      <c r="A55" s="69" t="s">
        <v>481</v>
      </c>
    </row>
    <row r="58" spans="1:1" x14ac:dyDescent="0.2">
      <c r="A58" s="20" t="s">
        <v>481</v>
      </c>
    </row>
    <row r="61" spans="1:1" ht="15.75" x14ac:dyDescent="0.25">
      <c r="A61" s="211" t="s">
        <v>482</v>
      </c>
    </row>
    <row r="62" spans="1:1" ht="15.75" x14ac:dyDescent="0.25">
      <c r="A62" s="212" t="s">
        <v>483</v>
      </c>
    </row>
    <row r="63" spans="1:1" ht="15.75" x14ac:dyDescent="0.25">
      <c r="A63" s="212" t="s">
        <v>484</v>
      </c>
    </row>
    <row r="66" spans="1:10" x14ac:dyDescent="0.2">
      <c r="A66" s="20" t="s">
        <v>485</v>
      </c>
    </row>
    <row r="70" spans="1:10" x14ac:dyDescent="0.2">
      <c r="A70" s="69" t="s">
        <v>486</v>
      </c>
    </row>
    <row r="73" spans="1:10" x14ac:dyDescent="0.2">
      <c r="A73" s="69" t="s">
        <v>487</v>
      </c>
    </row>
    <row r="74" spans="1:10" x14ac:dyDescent="0.2">
      <c r="A74" s="69" t="s">
        <v>488</v>
      </c>
    </row>
    <row r="78" spans="1:10" ht="16.5" x14ac:dyDescent="0.3">
      <c r="A78" s="1150" t="s">
        <v>489</v>
      </c>
      <c r="B78" s="1150"/>
      <c r="C78" s="1150"/>
      <c r="D78" s="1150"/>
      <c r="E78" s="1150"/>
      <c r="F78" s="1150"/>
      <c r="G78" s="1150"/>
      <c r="H78" s="1150"/>
      <c r="I78" s="1150"/>
      <c r="J78" s="1150"/>
    </row>
    <row r="82" spans="1:1" x14ac:dyDescent="0.2">
      <c r="A82" s="20" t="s">
        <v>490</v>
      </c>
    </row>
    <row r="86" spans="1:1" x14ac:dyDescent="0.2">
      <c r="A86" s="20" t="s">
        <v>491</v>
      </c>
    </row>
    <row r="89" spans="1:1" x14ac:dyDescent="0.2">
      <c r="A89" s="20" t="s">
        <v>492</v>
      </c>
    </row>
    <row r="90" spans="1:1" x14ac:dyDescent="0.2">
      <c r="A90" s="20" t="s">
        <v>493</v>
      </c>
    </row>
    <row r="91" spans="1:1" x14ac:dyDescent="0.2">
      <c r="A91" s="20" t="s">
        <v>494</v>
      </c>
    </row>
    <row r="94" spans="1:1" ht="14.25" x14ac:dyDescent="0.2">
      <c r="A94" s="69" t="s">
        <v>495</v>
      </c>
    </row>
    <row r="97" spans="1:11" ht="55.5" customHeight="1" x14ac:dyDescent="0.2">
      <c r="A97" s="1152" t="s">
        <v>496</v>
      </c>
      <c r="B97" s="1152"/>
      <c r="C97" s="1152"/>
      <c r="D97" s="1152"/>
      <c r="E97" s="1152"/>
      <c r="F97" s="1152"/>
      <c r="G97" s="1152"/>
      <c r="H97" s="1152"/>
      <c r="I97" s="1152"/>
      <c r="J97" s="1152"/>
      <c r="K97" s="1152"/>
    </row>
    <row r="98" spans="1:11" x14ac:dyDescent="0.2">
      <c r="A98" s="205"/>
      <c r="B98" s="205"/>
    </row>
    <row r="99" spans="1:11" x14ac:dyDescent="0.2">
      <c r="A99" s="205"/>
      <c r="B99" s="205"/>
    </row>
    <row r="102" spans="1:11" ht="28.5" customHeight="1" x14ac:dyDescent="0.2">
      <c r="A102" s="1151" t="s">
        <v>497</v>
      </c>
      <c r="B102" s="1151"/>
      <c r="C102" s="1151"/>
      <c r="D102" s="1151"/>
      <c r="E102" s="1151"/>
      <c r="F102" s="1151"/>
      <c r="G102" s="1151"/>
      <c r="H102" s="1151"/>
      <c r="I102" s="1151"/>
      <c r="J102" s="1151"/>
      <c r="K102" s="1151"/>
    </row>
    <row r="106" spans="1:11" x14ac:dyDescent="0.2">
      <c r="A106" s="202" t="s">
        <v>451</v>
      </c>
    </row>
    <row r="107" spans="1:11" x14ac:dyDescent="0.2">
      <c r="A107" s="69" t="s">
        <v>452</v>
      </c>
    </row>
    <row r="108" spans="1:11" x14ac:dyDescent="0.2">
      <c r="A108" s="69" t="s">
        <v>453</v>
      </c>
    </row>
    <row r="109" spans="1:11" x14ac:dyDescent="0.2">
      <c r="A109" s="69" t="s">
        <v>454</v>
      </c>
    </row>
    <row r="110" spans="1:11" x14ac:dyDescent="0.2">
      <c r="A110" s="69" t="s">
        <v>455</v>
      </c>
    </row>
    <row r="111" spans="1:11" x14ac:dyDescent="0.2">
      <c r="A111" s="203" t="s">
        <v>456</v>
      </c>
    </row>
    <row r="113" spans="1:11" x14ac:dyDescent="0.2">
      <c r="A113" s="20" t="s">
        <v>498</v>
      </c>
    </row>
    <row r="114" spans="1:11" x14ac:dyDescent="0.2">
      <c r="A114" s="20" t="s">
        <v>499</v>
      </c>
    </row>
    <row r="116" spans="1:11" x14ac:dyDescent="0.2">
      <c r="A116" s="1156" t="s">
        <v>500</v>
      </c>
      <c r="B116" s="1156"/>
      <c r="C116" s="1156"/>
      <c r="D116" s="1156"/>
      <c r="E116" s="1156"/>
      <c r="F116" s="1156"/>
      <c r="G116" s="1156"/>
      <c r="H116" s="1156"/>
      <c r="I116" s="1156"/>
      <c r="J116" s="1156"/>
      <c r="K116" s="1156"/>
    </row>
    <row r="117" spans="1:11" x14ac:dyDescent="0.2">
      <c r="A117" s="1156"/>
      <c r="B117" s="1156"/>
      <c r="C117" s="1156"/>
      <c r="D117" s="1156"/>
      <c r="E117" s="1156"/>
      <c r="F117" s="1156"/>
      <c r="G117" s="1156"/>
      <c r="H117" s="1156"/>
      <c r="I117" s="1156"/>
      <c r="J117" s="1156"/>
      <c r="K117" s="1156"/>
    </row>
    <row r="120" spans="1:11" x14ac:dyDescent="0.2">
      <c r="A120" s="1151" t="s">
        <v>460</v>
      </c>
      <c r="B120" s="1151"/>
      <c r="C120" s="1151"/>
      <c r="D120" s="1151"/>
      <c r="E120" s="1151"/>
      <c r="F120" s="1151"/>
      <c r="G120" s="1151"/>
      <c r="H120" s="1151"/>
      <c r="I120" s="1151"/>
      <c r="J120" s="1151"/>
      <c r="K120" s="1151"/>
    </row>
    <row r="121" spans="1:11" ht="19.5" customHeight="1" x14ac:dyDescent="0.2">
      <c r="A121" s="1151"/>
      <c r="B121" s="1151"/>
      <c r="C121" s="1151"/>
      <c r="D121" s="1151"/>
      <c r="E121" s="1151"/>
      <c r="F121" s="1151"/>
      <c r="G121" s="1151"/>
      <c r="H121" s="1151"/>
      <c r="I121" s="1151"/>
      <c r="J121" s="1151"/>
      <c r="K121" s="1151"/>
    </row>
    <row r="122" spans="1:11" ht="18.75" customHeight="1" x14ac:dyDescent="0.2">
      <c r="A122" s="1151"/>
      <c r="B122" s="1151"/>
      <c r="C122" s="1151"/>
      <c r="D122" s="1151"/>
      <c r="E122" s="1151"/>
      <c r="F122" s="1151"/>
      <c r="G122" s="1151"/>
      <c r="H122" s="1151"/>
      <c r="I122" s="1151"/>
      <c r="J122" s="1151"/>
      <c r="K122" s="1151"/>
    </row>
    <row r="124" spans="1:11" ht="51" customHeight="1" x14ac:dyDescent="0.2">
      <c r="A124" s="1157" t="s">
        <v>501</v>
      </c>
      <c r="B124" s="1157"/>
      <c r="C124" s="1157"/>
      <c r="D124" s="1157"/>
      <c r="E124" s="1157"/>
      <c r="F124" s="1157"/>
      <c r="G124" s="1157"/>
      <c r="H124" s="1157"/>
      <c r="I124" s="1157"/>
      <c r="J124" s="1157"/>
      <c r="K124" s="1157"/>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502</v>
      </c>
      <c r="B1" s="214"/>
      <c r="C1" s="214"/>
      <c r="D1" s="214"/>
      <c r="E1" s="214"/>
      <c r="F1" s="214"/>
      <c r="G1" s="214"/>
      <c r="H1" s="214"/>
      <c r="I1" s="214"/>
      <c r="J1" s="215"/>
    </row>
    <row r="2" spans="1:16" x14ac:dyDescent="0.2">
      <c r="A2" s="216"/>
      <c r="J2" s="217"/>
    </row>
    <row r="3" spans="1:16" ht="15" x14ac:dyDescent="0.25">
      <c r="A3" s="218" t="s">
        <v>503</v>
      </c>
      <c r="B3" s="20" t="s">
        <v>282</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504</v>
      </c>
      <c r="E8" s="224"/>
      <c r="F8" s="224"/>
      <c r="G8" s="224"/>
      <c r="H8" s="224"/>
      <c r="J8" s="217"/>
      <c r="L8" s="223" t="s">
        <v>504</v>
      </c>
      <c r="M8" s="224"/>
      <c r="N8" s="224"/>
      <c r="O8" s="224"/>
      <c r="P8" s="224"/>
    </row>
    <row r="9" spans="1:16" ht="15" x14ac:dyDescent="0.25">
      <c r="A9" s="222">
        <f t="shared" si="0"/>
        <v>0.755</v>
      </c>
      <c r="B9" s="221">
        <v>0.65</v>
      </c>
      <c r="J9" s="217"/>
    </row>
    <row r="10" spans="1:16" ht="15" x14ac:dyDescent="0.25">
      <c r="A10" s="222">
        <f t="shared" si="0"/>
        <v>0.75</v>
      </c>
      <c r="B10" s="221">
        <v>0.66</v>
      </c>
      <c r="D10" s="20" t="s">
        <v>505</v>
      </c>
      <c r="E10" s="225">
        <f>Draft!J$47</f>
        <v>55.103999999999999</v>
      </c>
      <c r="J10" s="217"/>
      <c r="L10" s="20" t="s">
        <v>505</v>
      </c>
      <c r="M10" s="225">
        <f>Draft!AB$47</f>
        <v>61.4</v>
      </c>
    </row>
    <row r="11" spans="1:16" ht="15" x14ac:dyDescent="0.25">
      <c r="A11" s="222">
        <f t="shared" si="0"/>
        <v>0.745</v>
      </c>
      <c r="B11" s="221">
        <v>0.67</v>
      </c>
      <c r="D11" s="20" t="s">
        <v>506</v>
      </c>
      <c r="E11" s="225">
        <f>Draft!D$11</f>
        <v>195.4</v>
      </c>
      <c r="G11" s="224" t="s">
        <v>507</v>
      </c>
      <c r="H11" s="224">
        <f>E10*97.545/(E11*E12)</f>
        <v>0.85323477196359931</v>
      </c>
      <c r="J11" s="217"/>
      <c r="L11" s="20" t="s">
        <v>506</v>
      </c>
      <c r="M11" s="225">
        <f>Draft!V$11</f>
        <v>195.4</v>
      </c>
      <c r="O11" s="224" t="s">
        <v>507</v>
      </c>
      <c r="P11" s="224">
        <f>M10*97.545/(M11*M12)</f>
        <v>0.95072254280206525</v>
      </c>
    </row>
    <row r="12" spans="1:16" ht="15" x14ac:dyDescent="0.25">
      <c r="A12" s="222">
        <f t="shared" si="0"/>
        <v>0.74</v>
      </c>
      <c r="B12" s="221">
        <v>0.68</v>
      </c>
      <c r="D12" s="20" t="s">
        <v>508</v>
      </c>
      <c r="E12" s="225">
        <f>Draft!L$11</f>
        <v>32.24</v>
      </c>
      <c r="J12" s="217"/>
      <c r="L12" s="20" t="s">
        <v>508</v>
      </c>
      <c r="M12" s="225">
        <f>E$12</f>
        <v>32.24</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509</v>
      </c>
      <c r="E15" s="224"/>
      <c r="F15" s="224"/>
      <c r="G15" s="224"/>
      <c r="H15" s="224"/>
      <c r="J15" s="217"/>
      <c r="L15" s="223" t="s">
        <v>509</v>
      </c>
      <c r="M15" s="224"/>
      <c r="N15" s="224"/>
      <c r="O15" s="224"/>
      <c r="P15" s="224"/>
    </row>
    <row r="16" spans="1:16" ht="15" x14ac:dyDescent="0.25">
      <c r="A16" s="222">
        <f t="shared" si="0"/>
        <v>0.72</v>
      </c>
      <c r="B16" s="226">
        <v>0.72</v>
      </c>
      <c r="D16" s="20" t="s">
        <v>510</v>
      </c>
      <c r="J16" s="217"/>
      <c r="L16" s="20" t="s">
        <v>510</v>
      </c>
    </row>
    <row r="17" spans="1:16" ht="15" x14ac:dyDescent="0.25">
      <c r="A17" s="222">
        <f t="shared" si="0"/>
        <v>0.71499999999999997</v>
      </c>
      <c r="B17" s="226">
        <v>0.73</v>
      </c>
      <c r="J17" s="217"/>
    </row>
    <row r="18" spans="1:16" ht="15.75" thickBot="1" x14ac:dyDescent="0.3">
      <c r="A18" s="222">
        <f t="shared" si="0"/>
        <v>0.71</v>
      </c>
      <c r="B18" s="226">
        <v>0.74</v>
      </c>
      <c r="D18" s="20" t="s">
        <v>511</v>
      </c>
      <c r="E18" s="20">
        <f>(Draft!$P$25+Draft!$P$27)/2</f>
        <v>5.9826499999999996</v>
      </c>
      <c r="J18" s="217"/>
      <c r="L18" s="20" t="s">
        <v>511</v>
      </c>
      <c r="M18" s="20">
        <f>(Draft!$AH$25+Draft!$AH$27)/2</f>
        <v>13.142949999999999</v>
      </c>
    </row>
    <row r="19" spans="1:16" ht="19.5" thickBot="1" x14ac:dyDescent="0.35">
      <c r="A19" s="222">
        <f t="shared" si="0"/>
        <v>0.70499999999999996</v>
      </c>
      <c r="B19" s="226">
        <v>0.75</v>
      </c>
      <c r="D19" s="227" t="s">
        <v>512</v>
      </c>
      <c r="E19" s="221">
        <f>(($H$11-$B$4)*(0.15)/(0.3))-0.78</f>
        <v>-0.65338261401820041</v>
      </c>
      <c r="G19" s="228" t="s">
        <v>513</v>
      </c>
      <c r="H19" s="229">
        <f>$E$18+($E$19*$E$20)</f>
        <v>5.9123133616009405</v>
      </c>
      <c r="J19" s="217"/>
      <c r="L19" s="227" t="s">
        <v>512</v>
      </c>
      <c r="M19" s="221">
        <f>(($P$11-$B$4)*(0.15)/(0.3))-0.78</f>
        <v>-0.60463872859896739</v>
      </c>
      <c r="O19" s="228" t="s">
        <v>513</v>
      </c>
      <c r="P19" s="229">
        <f>$M$18+($M$19*$M$20)</f>
        <v>13.19528148196024</v>
      </c>
    </row>
    <row r="20" spans="1:16" ht="15" x14ac:dyDescent="0.25">
      <c r="A20" s="222">
        <f t="shared" si="0"/>
        <v>0.7</v>
      </c>
      <c r="B20" s="226">
        <v>0.76</v>
      </c>
      <c r="D20" s="20" t="s">
        <v>514</v>
      </c>
      <c r="E20" s="20">
        <f>((Draft!$P$25+Draft!$P$27))/2-Draft!$P$26</f>
        <v>0.10764999999999958</v>
      </c>
      <c r="J20" s="217"/>
      <c r="L20" s="20" t="s">
        <v>514</v>
      </c>
      <c r="M20" s="20">
        <f>(Draft!$AH$25+Draft!$AH$27)/2-(Draft!$AH$26)</f>
        <v>-8.6550000000000793E-2</v>
      </c>
    </row>
    <row r="21" spans="1:16" ht="15" x14ac:dyDescent="0.25">
      <c r="A21" s="222">
        <f t="shared" si="0"/>
        <v>0.69499999999999995</v>
      </c>
      <c r="B21" s="226">
        <v>0.77</v>
      </c>
      <c r="J21" s="217"/>
    </row>
    <row r="22" spans="1:16" ht="15" x14ac:dyDescent="0.25">
      <c r="A22" s="222">
        <f t="shared" si="0"/>
        <v>0.69</v>
      </c>
      <c r="B22" s="226">
        <v>0.78</v>
      </c>
      <c r="D22" s="1158" t="s">
        <v>578</v>
      </c>
      <c r="E22" s="1159"/>
      <c r="F22" s="1159"/>
      <c r="G22" s="1159"/>
      <c r="H22" s="1159"/>
      <c r="I22" s="1159"/>
      <c r="J22" s="1159"/>
      <c r="K22" s="1159"/>
      <c r="L22" s="1159"/>
      <c r="M22" s="1159"/>
      <c r="N22" s="1159"/>
      <c r="O22" s="1159"/>
      <c r="P22" s="1160"/>
    </row>
    <row r="23" spans="1:16" ht="15" x14ac:dyDescent="0.25">
      <c r="A23" s="222">
        <f t="shared" si="0"/>
        <v>0.68499999999999994</v>
      </c>
      <c r="B23" s="226">
        <v>0.79</v>
      </c>
      <c r="D23" s="1161"/>
      <c r="E23" s="1162"/>
      <c r="F23" s="1162"/>
      <c r="G23" s="1162"/>
      <c r="H23" s="1162"/>
      <c r="I23" s="1162"/>
      <c r="J23" s="1162"/>
      <c r="K23" s="1162"/>
      <c r="L23" s="1162"/>
      <c r="M23" s="1162"/>
      <c r="N23" s="1162"/>
      <c r="O23" s="1162"/>
      <c r="P23" s="1163"/>
    </row>
    <row r="24" spans="1:16" ht="15" x14ac:dyDescent="0.25">
      <c r="A24" s="219">
        <f t="shared" si="0"/>
        <v>0.67999999999999994</v>
      </c>
      <c r="B24" s="220">
        <v>0.8</v>
      </c>
      <c r="D24" s="1161"/>
      <c r="E24" s="1162"/>
      <c r="F24" s="1162"/>
      <c r="G24" s="1162"/>
      <c r="H24" s="1162"/>
      <c r="I24" s="1162"/>
      <c r="J24" s="1162"/>
      <c r="K24" s="1162"/>
      <c r="L24" s="1162"/>
      <c r="M24" s="1162"/>
      <c r="N24" s="1162"/>
      <c r="O24" s="1162"/>
      <c r="P24" s="1163"/>
    </row>
    <row r="25" spans="1:16" ht="15" x14ac:dyDescent="0.25">
      <c r="A25" s="222">
        <f t="shared" si="0"/>
        <v>0.67499999999999993</v>
      </c>
      <c r="B25" s="226">
        <v>0.81</v>
      </c>
      <c r="D25" s="1164"/>
      <c r="E25" s="1165"/>
      <c r="F25" s="1165"/>
      <c r="G25" s="1165"/>
      <c r="H25" s="1165"/>
      <c r="I25" s="1165"/>
      <c r="J25" s="1165"/>
      <c r="K25" s="1165"/>
      <c r="L25" s="1165"/>
      <c r="M25" s="1165"/>
      <c r="N25" s="1165"/>
      <c r="O25" s="1165"/>
      <c r="P25" s="1166"/>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4" zoomScale="96" zoomScaleNormal="96" workbookViewId="0">
      <selection activeCell="AP173" sqref="AP173"/>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367</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368</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369</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370</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371</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372</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373</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374</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375</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376</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5" t="s">
        <v>378</v>
      </c>
      <c r="AI17" s="675"/>
      <c r="AJ17" s="675"/>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9" t="s">
        <v>379</v>
      </c>
      <c r="AI18" s="629"/>
      <c r="AJ18" s="629"/>
      <c r="AK18" s="629"/>
      <c r="AL18" s="629"/>
      <c r="AM18" s="629"/>
      <c r="AN18" s="629"/>
      <c r="AO18" s="629"/>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7"/>
      <c r="AI19" s="1167"/>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380</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376</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614</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381</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615</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616</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382</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383</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385</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384</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617</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386</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387</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388</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389</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390</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618</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391</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392</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619</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597</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598</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599</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600</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620</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621</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Edilson Gonçalves</v>
      </c>
      <c r="E50" s="37"/>
      <c r="F50" s="182" t="s">
        <v>393</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Renan Calixto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394</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712</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395</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715</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732</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396</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733</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622</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623</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733</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340</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398</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713</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624</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625</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626</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627</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628</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734</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397</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714</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726</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400</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629</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402</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403</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404</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706</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707</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405</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9" customFormat="1" ht="15" x14ac:dyDescent="0.25">
      <c r="A112" s="677"/>
      <c r="B112" s="677"/>
      <c r="C112" s="677"/>
      <c r="D112" s="677"/>
      <c r="E112" s="677"/>
      <c r="F112" s="678" t="s">
        <v>168</v>
      </c>
      <c r="G112" s="678"/>
      <c r="H112" s="678"/>
      <c r="I112" s="678"/>
      <c r="J112" s="678"/>
      <c r="K112" s="678"/>
      <c r="L112" s="678"/>
      <c r="M112" s="678"/>
      <c r="N112" s="678"/>
      <c r="O112" s="678"/>
      <c r="P112" s="678"/>
      <c r="Q112" s="678"/>
      <c r="R112" s="678"/>
      <c r="S112" s="678"/>
      <c r="T112" s="678"/>
      <c r="U112" s="678"/>
      <c r="V112" s="678"/>
      <c r="W112" s="678"/>
      <c r="X112" s="678"/>
      <c r="Y112" s="678"/>
      <c r="Z112" s="678"/>
      <c r="AA112" s="678"/>
      <c r="AB112" s="678"/>
      <c r="AC112" s="678"/>
      <c r="AD112" s="678"/>
      <c r="AE112" s="678"/>
      <c r="AF112" s="678"/>
      <c r="AG112" s="678"/>
      <c r="AH112" s="678" t="s">
        <v>630</v>
      </c>
      <c r="AI112" s="678"/>
      <c r="AJ112" s="678"/>
      <c r="AK112" s="678"/>
      <c r="AL112" s="678"/>
      <c r="AM112" s="678"/>
      <c r="AN112" s="677"/>
      <c r="AO112" s="677"/>
      <c r="AP112" s="677"/>
      <c r="AQ112" s="677"/>
      <c r="AR112" s="677"/>
      <c r="AS112" s="677"/>
      <c r="AT112" s="677"/>
      <c r="AU112" s="677"/>
      <c r="AV112" s="677"/>
      <c r="AW112" s="677"/>
      <c r="AX112" s="677"/>
      <c r="AY112" s="677"/>
      <c r="AZ112" s="677"/>
      <c r="BA112" s="677"/>
      <c r="BB112" s="677"/>
      <c r="BC112" s="677"/>
      <c r="BD112" s="677"/>
      <c r="BE112" s="677"/>
      <c r="BF112" s="677"/>
      <c r="BG112" s="677"/>
      <c r="BH112" s="677"/>
      <c r="BI112" s="677"/>
      <c r="BJ112" s="677"/>
      <c r="BK112" s="677"/>
      <c r="BL112" s="677"/>
      <c r="BM112" s="677"/>
      <c r="BN112" s="677"/>
      <c r="BO112" s="677"/>
      <c r="BP112" s="677"/>
      <c r="BQ112" s="677"/>
      <c r="BR112" s="677"/>
      <c r="BS112" s="677"/>
    </row>
    <row r="113" spans="1:71" s="679" customFormat="1" ht="15" x14ac:dyDescent="0.25">
      <c r="A113" s="677"/>
      <c r="B113" s="677"/>
      <c r="C113" s="677"/>
      <c r="D113" s="677"/>
      <c r="E113" s="677"/>
      <c r="F113" s="678" t="s">
        <v>42</v>
      </c>
      <c r="G113" s="678"/>
      <c r="H113" s="678"/>
      <c r="I113" s="678"/>
      <c r="J113" s="678"/>
      <c r="K113" s="678"/>
      <c r="L113" s="678"/>
      <c r="M113" s="678"/>
      <c r="N113" s="678"/>
      <c r="O113" s="678"/>
      <c r="P113" s="678"/>
      <c r="Q113" s="678"/>
      <c r="R113" s="678"/>
      <c r="S113" s="678"/>
      <c r="T113" s="678"/>
      <c r="U113" s="678"/>
      <c r="V113" s="678"/>
      <c r="W113" s="678"/>
      <c r="X113" s="678"/>
      <c r="Y113" s="678"/>
      <c r="Z113" s="678"/>
      <c r="AA113" s="678"/>
      <c r="AB113" s="678"/>
      <c r="AC113" s="678"/>
      <c r="AD113" s="678"/>
      <c r="AE113" s="678"/>
      <c r="AF113" s="678"/>
      <c r="AG113" s="678"/>
      <c r="AH113" s="678" t="s">
        <v>631</v>
      </c>
      <c r="AI113" s="678"/>
      <c r="AJ113" s="678"/>
      <c r="AK113" s="678"/>
      <c r="AL113" s="678"/>
      <c r="AM113" s="678"/>
      <c r="AN113" s="677"/>
      <c r="AO113" s="677"/>
      <c r="AP113" s="677"/>
      <c r="AQ113" s="677"/>
      <c r="AR113" s="677"/>
      <c r="AS113" s="677"/>
      <c r="AT113" s="677"/>
      <c r="AU113" s="677"/>
      <c r="AV113" s="677"/>
      <c r="AW113" s="677"/>
      <c r="AX113" s="677"/>
      <c r="AY113" s="677"/>
      <c r="AZ113" s="677"/>
      <c r="BA113" s="677"/>
      <c r="BB113" s="677"/>
      <c r="BC113" s="677"/>
      <c r="BD113" s="677"/>
      <c r="BE113" s="677"/>
      <c r="BF113" s="677"/>
      <c r="BG113" s="677"/>
      <c r="BH113" s="677"/>
      <c r="BI113" s="677"/>
      <c r="BJ113" s="677"/>
      <c r="BK113" s="677"/>
      <c r="BL113" s="677"/>
      <c r="BM113" s="677"/>
      <c r="BN113" s="677"/>
      <c r="BO113" s="677"/>
      <c r="BP113" s="677"/>
      <c r="BQ113" s="677"/>
      <c r="BR113" s="677"/>
      <c r="BS113" s="677"/>
    </row>
    <row r="114" spans="1:71" s="679" customFormat="1" ht="15" x14ac:dyDescent="0.25">
      <c r="A114" s="677"/>
      <c r="B114" s="677"/>
      <c r="C114" s="677"/>
      <c r="D114" s="677"/>
      <c r="E114" s="677"/>
      <c r="F114" s="678"/>
      <c r="G114" s="678"/>
      <c r="H114" s="678"/>
      <c r="I114" s="678"/>
      <c r="J114" s="678"/>
      <c r="K114" s="678"/>
      <c r="L114" s="678"/>
      <c r="M114" s="678"/>
      <c r="N114" s="678"/>
      <c r="O114" s="678"/>
      <c r="P114" s="678"/>
      <c r="Q114" s="678"/>
      <c r="R114" s="678"/>
      <c r="S114" s="678"/>
      <c r="T114" s="678"/>
      <c r="U114" s="678"/>
      <c r="V114" s="678"/>
      <c r="W114" s="678"/>
      <c r="X114" s="678"/>
      <c r="Y114" s="678"/>
      <c r="Z114" s="678"/>
      <c r="AA114" s="678"/>
      <c r="AB114" s="678"/>
      <c r="AC114" s="678"/>
      <c r="AD114" s="678"/>
      <c r="AE114" s="678"/>
      <c r="AF114" s="678"/>
      <c r="AG114" s="678"/>
      <c r="AH114" s="678" t="s">
        <v>632</v>
      </c>
      <c r="AI114" s="678"/>
      <c r="AJ114" s="678"/>
      <c r="AK114" s="678"/>
      <c r="AL114" s="678"/>
      <c r="AM114" s="678"/>
      <c r="AN114" s="677"/>
      <c r="AO114" s="677"/>
      <c r="AP114" s="677"/>
      <c r="AQ114" s="677"/>
      <c r="AR114" s="677"/>
      <c r="AS114" s="677"/>
      <c r="AT114" s="677"/>
      <c r="AU114" s="677"/>
      <c r="AV114" s="677"/>
      <c r="AW114" s="677"/>
      <c r="AX114" s="677"/>
      <c r="AY114" s="677"/>
      <c r="AZ114" s="677"/>
      <c r="BA114" s="677"/>
      <c r="BB114" s="677"/>
      <c r="BC114" s="677"/>
      <c r="BD114" s="677"/>
      <c r="BE114" s="677"/>
      <c r="BF114" s="677"/>
      <c r="BG114" s="677"/>
      <c r="BH114" s="677"/>
      <c r="BI114" s="677"/>
      <c r="BJ114" s="677"/>
      <c r="BK114" s="677"/>
      <c r="BL114" s="677"/>
      <c r="BM114" s="677"/>
      <c r="BN114" s="677"/>
      <c r="BO114" s="677"/>
      <c r="BP114" s="677"/>
      <c r="BQ114" s="677"/>
      <c r="BR114" s="677"/>
      <c r="BS114" s="677"/>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406</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407</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408</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409</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410</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411</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412</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708</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413</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709</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716</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717</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718</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414</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415</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719</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416</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417</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418</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419</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420</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710</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421</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422</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423</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424</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720</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425</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426</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427</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428</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394</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728</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395</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727</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340</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398</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713</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399</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676</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677</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429</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430</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400</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401</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402</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403</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406</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407</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408</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409</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410</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349</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431</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416</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418</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721</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0" t="s">
        <v>633</v>
      </c>
      <c r="G239" s="681"/>
      <c r="H239" s="681"/>
      <c r="I239" s="681"/>
      <c r="J239" s="681"/>
      <c r="K239" s="681"/>
      <c r="L239" s="681"/>
      <c r="M239" s="681"/>
      <c r="N239" s="681"/>
      <c r="O239" s="681"/>
      <c r="P239" s="681"/>
      <c r="Q239" s="681"/>
      <c r="R239" s="681"/>
      <c r="S239" s="681"/>
      <c r="T239" s="681"/>
      <c r="U239" s="681"/>
      <c r="V239" s="681"/>
      <c r="W239" s="681"/>
      <c r="X239" s="681"/>
      <c r="Y239" s="681"/>
      <c r="Z239" s="681"/>
      <c r="AA239" s="681"/>
      <c r="AB239" s="681"/>
      <c r="AC239" s="681"/>
      <c r="AD239" s="681"/>
      <c r="AE239" s="681"/>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2"/>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634</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635</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636</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432</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209</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210</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212</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213</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214</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216</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217</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219</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220</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221</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223</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224</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225</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226</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637</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UNISURVEY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Joni Nunes Carvalho</v>
      </c>
      <c r="E267" s="18"/>
      <c r="F267" s="182" t="s">
        <v>433</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Diego Florentino</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227</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434</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221</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228</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435</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229</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638</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230</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387</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436</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231</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437</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724</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232</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438</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439</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440</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233</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441</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234</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442</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235</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444</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236</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711</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237</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442</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241</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377</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238</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445</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722</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239</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446</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447</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240</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435</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448</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242</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449</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441</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450</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577</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576</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639</v>
      </c>
      <c r="AH324" s="20" t="s">
        <v>640</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723</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641</v>
      </c>
      <c r="AH327" s="20" t="s">
        <v>642</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8"/>
      <c r="BN350" s="1169"/>
      <c r="BO350" s="1169"/>
      <c r="BP350" s="1169"/>
      <c r="BQ350" s="1169"/>
      <c r="BR350" s="1169"/>
      <c r="BS350" s="1169"/>
      <c r="BT350" s="1169"/>
      <c r="BU350" s="1169"/>
      <c r="BV350" s="1169"/>
      <c r="BW350" s="1169"/>
      <c r="BX350" s="1169"/>
      <c r="BY350" s="1169"/>
      <c r="BZ350" s="1169"/>
      <c r="CA350" s="1169"/>
      <c r="CB350" s="1169"/>
      <c r="CC350" s="1169"/>
      <c r="CD350" s="1169"/>
      <c r="CE350" s="1169"/>
      <c r="CF350" s="1169"/>
      <c r="CG350" s="1169"/>
      <c r="CH350" s="1169"/>
      <c r="CI350" s="1169"/>
      <c r="CJ350" s="1169"/>
      <c r="CK350" s="1169"/>
      <c r="CL350" s="1169"/>
      <c r="CM350" s="1169"/>
      <c r="CN350" s="1169"/>
      <c r="CO350" s="1169"/>
      <c r="CP350" s="1169"/>
      <c r="CQ350" s="1169"/>
      <c r="CR350" s="1169"/>
      <c r="CS350" s="1169"/>
      <c r="CT350" s="1169"/>
      <c r="CU350" s="1169"/>
      <c r="CV350" s="1169"/>
      <c r="CW350" s="1169"/>
      <c r="CX350" s="1169"/>
      <c r="CY350" s="1169"/>
      <c r="CZ350" s="1169"/>
      <c r="DA350" s="1169"/>
      <c r="DB350" s="1169"/>
      <c r="DC350" s="1169"/>
      <c r="DD350" s="1169"/>
      <c r="DE350" s="1169"/>
      <c r="DF350" s="1169"/>
      <c r="DG350" s="1169"/>
      <c r="DH350" s="1169"/>
      <c r="DI350" s="1169"/>
      <c r="DJ350" s="1169"/>
      <c r="DK350" s="1169"/>
      <c r="DL350" s="1169"/>
      <c r="DM350" s="1169"/>
      <c r="DN350" s="1169"/>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0"/>
  <sheetViews>
    <sheetView view="pageBreakPreview" topLeftCell="A273" zoomScaleNormal="93" zoomScaleSheetLayoutView="100" workbookViewId="0">
      <selection activeCell="L295" sqref="L295"/>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57" t="str">
        <f>_xlfn.CONCAT("M/V"," """,CAPA!B8,""" ")</f>
        <v xml:space="preserve">M/V "Karlovasi" </v>
      </c>
      <c r="B1" s="857"/>
      <c r="C1" s="857"/>
      <c r="D1" s="857"/>
      <c r="E1" s="857"/>
      <c r="F1" s="857"/>
      <c r="G1" s="857"/>
      <c r="H1" s="857"/>
      <c r="I1" s="857"/>
      <c r="J1" s="857"/>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58" t="str">
        <f>_xlfn.CONCAT(CAPA!A5,CAPA!B5)</f>
        <v>PGUA/DS/081/26</v>
      </c>
      <c r="H3" s="858"/>
      <c r="I3" s="858"/>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688</v>
      </c>
      <c r="B9" s="259"/>
      <c r="C9" s="259"/>
      <c r="D9" s="259"/>
      <c r="E9" s="259"/>
      <c r="F9" s="259"/>
      <c r="G9" s="259"/>
      <c r="H9" s="261"/>
      <c r="I9" s="580" t="s">
        <v>17</v>
      </c>
    </row>
    <row r="10" spans="1:10" ht="19.5" x14ac:dyDescent="0.4">
      <c r="A10" s="260" t="s">
        <v>18</v>
      </c>
      <c r="B10" s="259"/>
      <c r="C10" s="259"/>
      <c r="D10" s="259"/>
      <c r="E10" s="259"/>
      <c r="F10" s="259"/>
      <c r="G10" s="259"/>
      <c r="H10" s="261"/>
      <c r="I10" s="580" t="s">
        <v>19</v>
      </c>
    </row>
    <row r="11" spans="1:10" ht="19.5" x14ac:dyDescent="0.4">
      <c r="A11" s="260" t="s">
        <v>20</v>
      </c>
      <c r="B11" s="259"/>
      <c r="C11" s="259"/>
      <c r="D11" s="259"/>
      <c r="E11" s="259"/>
      <c r="F11" s="259"/>
      <c r="G11" s="259"/>
      <c r="H11" s="261"/>
      <c r="I11" s="580" t="s">
        <v>19</v>
      </c>
    </row>
    <row r="12" spans="1:10" ht="19.5" x14ac:dyDescent="0.4">
      <c r="A12" s="262" t="s">
        <v>690</v>
      </c>
      <c r="B12" s="259"/>
      <c r="C12" s="259"/>
      <c r="D12" s="259"/>
      <c r="E12" s="259"/>
      <c r="F12" s="259"/>
      <c r="G12" s="259"/>
      <c r="H12" s="261"/>
      <c r="I12" s="580" t="s">
        <v>19</v>
      </c>
    </row>
    <row r="13" spans="1:10" ht="19.5" x14ac:dyDescent="0.4">
      <c r="A13" s="260" t="s">
        <v>21</v>
      </c>
      <c r="B13" s="259"/>
      <c r="C13" s="259"/>
      <c r="D13" s="259"/>
      <c r="E13" s="259"/>
      <c r="F13" s="259"/>
      <c r="G13" s="259"/>
      <c r="H13" s="261"/>
      <c r="I13" s="580" t="s">
        <v>22</v>
      </c>
    </row>
    <row r="14" spans="1:10" ht="19.5" x14ac:dyDescent="0.4">
      <c r="A14" s="260" t="s">
        <v>694</v>
      </c>
      <c r="B14" s="259"/>
      <c r="C14" s="259"/>
      <c r="D14" s="259"/>
      <c r="E14" s="259"/>
      <c r="F14" s="259"/>
      <c r="G14" s="259"/>
      <c r="H14" s="261"/>
      <c r="I14" s="580" t="s">
        <v>22</v>
      </c>
    </row>
    <row r="15" spans="1:10" ht="19.5" x14ac:dyDescent="0.4">
      <c r="A15" s="260" t="s">
        <v>695</v>
      </c>
      <c r="B15" s="259"/>
      <c r="C15" s="259"/>
      <c r="D15" s="259"/>
      <c r="E15" s="259"/>
      <c r="F15" s="259"/>
      <c r="G15" s="259"/>
      <c r="H15" s="261"/>
      <c r="I15" s="580" t="s">
        <v>22</v>
      </c>
    </row>
    <row r="16" spans="1:10" ht="19.5" x14ac:dyDescent="0.4">
      <c r="A16" s="260" t="s">
        <v>23</v>
      </c>
      <c r="B16" s="259"/>
      <c r="C16" s="259"/>
      <c r="D16" s="259"/>
      <c r="E16" s="259"/>
      <c r="F16" s="259"/>
      <c r="G16" s="259"/>
      <c r="H16" s="261"/>
      <c r="I16" s="580" t="s">
        <v>22</v>
      </c>
    </row>
    <row r="17" spans="1:16" ht="19.5" x14ac:dyDescent="0.4">
      <c r="A17" s="260" t="s">
        <v>686</v>
      </c>
      <c r="B17" s="259"/>
      <c r="C17" s="259"/>
      <c r="D17" s="259"/>
      <c r="E17" s="259"/>
      <c r="F17" s="259"/>
      <c r="G17" s="259"/>
      <c r="H17" s="261"/>
      <c r="I17" s="580" t="s">
        <v>24</v>
      </c>
    </row>
    <row r="18" spans="1:16" ht="19.5" x14ac:dyDescent="0.4">
      <c r="A18" s="260" t="s">
        <v>25</v>
      </c>
      <c r="B18" s="259"/>
      <c r="C18" s="259"/>
      <c r="D18" s="259"/>
      <c r="E18" s="259"/>
      <c r="F18" s="259"/>
      <c r="G18" s="259"/>
      <c r="H18" s="261"/>
      <c r="I18" s="580" t="s">
        <v>26</v>
      </c>
    </row>
    <row r="19" spans="1:16" ht="20.25" x14ac:dyDescent="0.4">
      <c r="A19" s="260" t="s">
        <v>27</v>
      </c>
      <c r="B19" s="259"/>
      <c r="C19" s="259"/>
      <c r="D19" s="259"/>
      <c r="E19" s="259"/>
      <c r="F19" s="259"/>
      <c r="G19" s="259"/>
      <c r="H19" s="261"/>
      <c r="I19" s="580">
        <v>6</v>
      </c>
      <c r="L19" s="431" t="s">
        <v>574</v>
      </c>
    </row>
    <row r="20" spans="1:16" ht="19.5" x14ac:dyDescent="0.4">
      <c r="A20" s="260" t="s">
        <v>28</v>
      </c>
      <c r="B20" s="259"/>
      <c r="C20" s="259"/>
      <c r="D20" s="259"/>
      <c r="E20" s="259"/>
      <c r="F20" s="259"/>
      <c r="G20" s="259"/>
      <c r="H20" s="261"/>
      <c r="I20" s="580">
        <f>I19+1</f>
        <v>7</v>
      </c>
    </row>
    <row r="21" spans="1:16" ht="19.5" x14ac:dyDescent="0.4">
      <c r="A21" s="260" t="s">
        <v>29</v>
      </c>
      <c r="B21" s="259"/>
      <c r="C21" s="259"/>
      <c r="D21" s="259"/>
      <c r="E21" s="259"/>
      <c r="F21" s="259"/>
      <c r="G21" s="259"/>
      <c r="H21" s="261"/>
      <c r="I21" s="580">
        <f>$I$20</f>
        <v>7</v>
      </c>
    </row>
    <row r="22" spans="1:16" ht="19.5" x14ac:dyDescent="0.4">
      <c r="A22" s="260" t="s">
        <v>687</v>
      </c>
      <c r="B22" s="259"/>
      <c r="C22" s="259"/>
      <c r="D22" s="259"/>
      <c r="E22" s="259"/>
      <c r="F22" s="259"/>
      <c r="G22" s="259"/>
      <c r="H22" s="261"/>
      <c r="I22" s="580">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
        <v>613</v>
      </c>
      <c r="B33" s="260"/>
      <c r="C33" s="260"/>
      <c r="D33" s="260"/>
      <c r="E33" s="260"/>
      <c r="F33" s="260"/>
      <c r="G33" s="260"/>
      <c r="H33" s="260"/>
      <c r="I33" s="260"/>
      <c r="L33" s="460"/>
      <c r="M33" s="460"/>
      <c r="N33" s="460"/>
      <c r="O33" s="460"/>
      <c r="P33" s="460"/>
    </row>
    <row r="34" spans="1:16" ht="23.25" x14ac:dyDescent="0.35">
      <c r="A34" s="859" t="str">
        <f>$A$1</f>
        <v xml:space="preserve">M/V "Karlovasi" </v>
      </c>
      <c r="B34" s="859"/>
      <c r="C34" s="859"/>
      <c r="D34" s="859"/>
      <c r="E34" s="859"/>
      <c r="F34" s="859"/>
      <c r="G34" s="859"/>
      <c r="H34" s="859"/>
      <c r="I34" s="859"/>
      <c r="J34" s="859"/>
      <c r="L34" s="460"/>
      <c r="M34" s="460"/>
      <c r="N34" s="460"/>
      <c r="O34" s="460"/>
      <c r="P34" s="460"/>
    </row>
    <row r="35" spans="1:16" ht="15.75" x14ac:dyDescent="0.25">
      <c r="A35" s="849" t="str">
        <f>$G$3</f>
        <v>PGUA/DS/081/26</v>
      </c>
      <c r="B35" s="849"/>
      <c r="C35" s="849"/>
      <c r="D35" s="849"/>
      <c r="E35" s="849"/>
      <c r="F35" s="849"/>
      <c r="G35" s="849"/>
      <c r="H35" s="849"/>
      <c r="I35" s="849"/>
      <c r="J35" s="849"/>
      <c r="L35" s="460"/>
      <c r="M35" s="460"/>
      <c r="N35" s="460"/>
      <c r="O35" s="460"/>
      <c r="P35" s="460"/>
    </row>
    <row r="36" spans="1:16" ht="15.75" x14ac:dyDescent="0.25">
      <c r="A36" s="849" t="str">
        <f>A3</f>
        <v>DRAUGHT SURVEY REPORT</v>
      </c>
      <c r="B36" s="849"/>
      <c r="C36" s="849"/>
      <c r="D36" s="849"/>
      <c r="E36" s="849"/>
      <c r="F36" s="849"/>
      <c r="G36" s="849"/>
      <c r="H36" s="849"/>
      <c r="I36" s="849"/>
      <c r="J36" s="849"/>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54" t="s">
        <v>39</v>
      </c>
      <c r="B38" s="854"/>
      <c r="C38" s="854"/>
      <c r="D38" s="854"/>
      <c r="E38" s="854"/>
      <c r="F38" s="854"/>
      <c r="G38" s="854"/>
      <c r="H38" s="854"/>
      <c r="I38" s="854"/>
      <c r="J38" s="854"/>
      <c r="L38" s="460"/>
      <c r="M38" s="460"/>
      <c r="N38" s="460"/>
      <c r="O38" s="460"/>
      <c r="P38" s="460"/>
    </row>
    <row r="39" spans="1:16" ht="15" customHeight="1" x14ac:dyDescent="0.25">
      <c r="A39" s="854"/>
      <c r="B39" s="854"/>
      <c r="C39" s="854"/>
      <c r="D39" s="854"/>
      <c r="E39" s="854"/>
      <c r="F39" s="854"/>
      <c r="G39" s="854"/>
      <c r="H39" s="854"/>
      <c r="I39" s="854"/>
      <c r="J39" s="854"/>
      <c r="L39" s="460"/>
      <c r="M39" s="460"/>
      <c r="N39" s="460"/>
      <c r="O39" s="460"/>
      <c r="P39" s="460"/>
    </row>
    <row r="40" spans="1:16" ht="72" x14ac:dyDescent="0.25">
      <c r="A40" s="1170" t="str">
        <f>_xlfn.CONCAT(CAPA!$E$46:$E$55,".")</f>
        <v xml:space="preserve"> Messrs. AGTL - Armazéns Gerais Terminal Ltda.,  Messrs. Cimbessul Terminal Portuario S/A, Messrs. Cotriguaçu Cooperativa Central Regional Iguaçu Ltda.,  Messrs. Amaggi &amp; LDC Terminais Portuários Paranaguá S.A,  Messrs. Rocha Terminais Portuários e Logística .</v>
      </c>
      <c r="B40" s="1170"/>
      <c r="C40" s="1170"/>
      <c r="D40" s="1170"/>
      <c r="E40" s="1170"/>
      <c r="F40" s="1170"/>
      <c r="G40" s="1170"/>
      <c r="H40" s="1170"/>
      <c r="I40" s="1170"/>
      <c r="J40" s="1170"/>
      <c r="L40" s="633" t="str">
        <f>_xlfn.CONCAT(CAPA!$E$46:$E$55,".")</f>
        <v xml:space="preserve"> Messrs. AGTL - Armazéns Gerais Terminal Ltda.,  Messrs. Cimbessul Terminal Portuario S/A, Messrs. Cotriguaçu Cooperativa Central Regional Iguaçu Ltda.,  Messrs. Amaggi &amp; LDC Terminais Portuários Paranaguá S.A,  Messrs. Rocha Terminais Portuários e Logística .</v>
      </c>
      <c r="M40" s="460"/>
      <c r="N40" s="460"/>
      <c r="O40" s="460"/>
      <c r="P40" s="460"/>
    </row>
    <row r="41" spans="1:16" ht="60" x14ac:dyDescent="0.25">
      <c r="A41" s="855" t="str">
        <f>$L$41</f>
        <v>Attend on board the referenced vessel on  March 15th, 2026 from 18:00 until 20:30 hours, whilst she was anchored at inner roads area 6,1, and on  March 18th, 2026 from 7:30 until 9:30 hours, whilst she was berthed alongside wharf 212 at port of Paranaguá, Br - Brazil, with views to perform the initial and final draft surveys, ascertaining the following figures:</v>
      </c>
      <c r="B41" s="855"/>
      <c r="C41" s="855"/>
      <c r="D41" s="855"/>
      <c r="E41" s="855"/>
      <c r="F41" s="855"/>
      <c r="G41" s="855"/>
      <c r="H41" s="855"/>
      <c r="I41" s="855"/>
      <c r="J41" s="855"/>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15th, 2026 from 18:00 until 20:30 hours, whilst she was anchored at inner roads area 6,1, and on  March 18th, 2026 from 7:30 until 9:30 hours, whilst she was berthed alongside wharf 212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688</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"Karlovasi" </v>
      </c>
      <c r="B48" s="13"/>
      <c r="C48" s="13"/>
      <c r="D48" s="13"/>
      <c r="E48" s="13"/>
      <c r="F48" s="14" t="str">
        <f>_xlfn.CONCAT("Mr. ",CAPA!$B$30,", ",$L$48)</f>
        <v>Mr. Pavlo Mariynsky, the Master</v>
      </c>
      <c r="H48" s="14"/>
      <c r="I48" s="14"/>
      <c r="J48" s="13"/>
      <c r="K48" s="13"/>
      <c r="L48" s="461" t="s">
        <v>551</v>
      </c>
      <c r="M48" s="461"/>
      <c r="N48" s="460"/>
      <c r="O48" s="460"/>
      <c r="P48" s="460"/>
    </row>
    <row r="49" spans="1:16" ht="15.75" x14ac:dyDescent="0.25">
      <c r="A49" s="13"/>
      <c r="B49" s="13"/>
      <c r="C49" s="13"/>
      <c r="D49" s="13"/>
      <c r="E49" s="13"/>
      <c r="F49" s="14" t="str">
        <f>_xlfn.CONCAT("Mr. ",CAPA!$B$31,", ",$L$49)</f>
        <v>Mr. Sergei Ukolov, the Chief Officer</v>
      </c>
      <c r="H49" s="13"/>
      <c r="I49" s="13"/>
      <c r="J49" s="13"/>
      <c r="K49" s="13"/>
      <c r="L49" s="461" t="s">
        <v>552</v>
      </c>
      <c r="M49" s="461"/>
      <c r="N49" s="460"/>
      <c r="O49" s="460"/>
      <c r="P49" s="460"/>
    </row>
    <row r="50" spans="1:16" ht="15.75" x14ac:dyDescent="0.25">
      <c r="A50" s="13"/>
      <c r="B50" s="13"/>
      <c r="C50" s="13"/>
      <c r="D50" s="13"/>
      <c r="E50" s="13"/>
      <c r="F50" s="14" t="str">
        <f>_xlfn.CONCAT("Mr. ",CAPA!$B$32,", ",$L$50)</f>
        <v>Mr. Andrii Liskevych, the Chief Engineer</v>
      </c>
      <c r="H50" s="13"/>
      <c r="I50" s="13"/>
      <c r="J50" s="13"/>
      <c r="K50" s="13"/>
      <c r="L50" s="462" t="s">
        <v>553</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AGÊNCIA MARITIMA CARGONAVE LTDA</v>
      </c>
      <c r="B53" s="6"/>
      <c r="C53" s="6"/>
      <c r="D53" s="6"/>
      <c r="E53" s="6"/>
      <c r="F53" s="441" t="str">
        <f>Clients!$D$50</f>
        <v>Mr. Edilson Gonçalves</v>
      </c>
      <c r="H53" s="13"/>
      <c r="I53" s="13"/>
      <c r="J53" s="13"/>
      <c r="L53" s="460"/>
      <c r="M53" s="460"/>
      <c r="N53" s="460"/>
      <c r="O53" s="460"/>
      <c r="P53" s="460"/>
    </row>
    <row r="54" spans="1:16" ht="15.75" x14ac:dyDescent="0.25">
      <c r="A54" s="6" t="s">
        <v>42</v>
      </c>
      <c r="B54" s="6"/>
      <c r="C54" s="6"/>
      <c r="D54" s="6"/>
      <c r="E54" s="6"/>
      <c r="F54" s="441" t="str">
        <f>Clients!$D$51</f>
        <v>Mr. Renan Calixto</v>
      </c>
      <c r="H54" s="13"/>
      <c r="I54" s="13"/>
      <c r="J54" s="13"/>
      <c r="L54" s="460"/>
      <c r="M54" s="460"/>
      <c r="N54" s="460"/>
      <c r="O54" s="460"/>
      <c r="P54" s="460"/>
    </row>
    <row r="55" spans="1:16" ht="15.75" x14ac:dyDescent="0.25">
      <c r="A55" s="6"/>
      <c r="B55" s="6"/>
      <c r="C55" s="6"/>
      <c r="D55" s="6"/>
      <c r="E55" s="6"/>
      <c r="F55" s="441" t="str">
        <f>Clients!$D$52</f>
        <v>Mr. Lorram Gabriel Florentino</v>
      </c>
      <c r="H55" s="13"/>
      <c r="I55" s="13"/>
      <c r="J55" s="13"/>
      <c r="L55" s="460"/>
      <c r="M55" s="460"/>
      <c r="N55" s="460"/>
      <c r="O55" s="460"/>
      <c r="P55" s="460"/>
    </row>
    <row r="56" spans="1:16" ht="15.75" x14ac:dyDescent="0.25">
      <c r="A56" s="6"/>
      <c r="B56" s="6"/>
      <c r="C56" s="6"/>
      <c r="D56" s="6"/>
      <c r="E56" s="6"/>
      <c r="F56" s="441">
        <f>Clients!$D$53</f>
        <v>0</v>
      </c>
      <c r="H56" s="13"/>
      <c r="I56" s="13"/>
      <c r="J56" s="13"/>
      <c r="L56" s="460"/>
      <c r="M56" s="460"/>
      <c r="N56" s="460"/>
      <c r="O56" s="460"/>
      <c r="P56" s="460"/>
    </row>
    <row r="57" spans="1:16" ht="15.75" x14ac:dyDescent="0.25">
      <c r="A57" s="6"/>
      <c r="B57" s="6"/>
      <c r="C57" s="6"/>
      <c r="D57" s="6"/>
      <c r="E57" s="6"/>
      <c r="F57" s="441" t="str">
        <f>Clients!$D$54</f>
        <v xml:space="preserve"> </v>
      </c>
      <c r="H57" s="13"/>
      <c r="I57" s="13"/>
      <c r="J57" s="13"/>
      <c r="L57" s="460"/>
      <c r="M57" s="460"/>
      <c r="N57" s="460"/>
      <c r="O57" s="460"/>
      <c r="P57" s="460"/>
    </row>
    <row r="58" spans="1:16" ht="15.75" x14ac:dyDescent="0.25">
      <c r="A58" s="6"/>
      <c r="B58" s="6"/>
      <c r="C58" s="6"/>
      <c r="D58" s="6"/>
      <c r="E58" s="6"/>
      <c r="F58" s="441" t="str">
        <f>Clients!$D$55</f>
        <v xml:space="preserve"> </v>
      </c>
      <c r="H58" s="13"/>
      <c r="I58" s="13"/>
      <c r="J58" s="13"/>
      <c r="L58" s="460"/>
      <c r="M58" s="460"/>
      <c r="N58" s="460"/>
      <c r="O58" s="460"/>
      <c r="P58" s="460"/>
    </row>
    <row r="59" spans="1:16" ht="15.75" x14ac:dyDescent="0.25">
      <c r="A59" s="13"/>
      <c r="B59" s="13"/>
      <c r="C59" s="13"/>
      <c r="D59" s="13"/>
      <c r="E59" s="13"/>
      <c r="F59" s="12"/>
      <c r="H59" s="13"/>
      <c r="I59" s="13"/>
      <c r="J59" s="13"/>
      <c r="L59" s="460"/>
      <c r="M59" s="460"/>
      <c r="N59" s="460"/>
      <c r="O59" s="460"/>
      <c r="P59" s="460"/>
    </row>
    <row r="60" spans="1:16" ht="15.75" x14ac:dyDescent="0.25">
      <c r="A60" s="13"/>
      <c r="B60" s="13"/>
      <c r="C60" s="13"/>
      <c r="D60" s="13"/>
      <c r="E60" s="13"/>
      <c r="F60" s="12"/>
      <c r="H60" s="13"/>
      <c r="I60" s="13"/>
      <c r="J60" s="13"/>
      <c r="L60" s="460"/>
      <c r="M60" s="460"/>
      <c r="N60" s="460"/>
      <c r="O60" s="460"/>
      <c r="P60" s="460"/>
    </row>
    <row r="61" spans="1:16" ht="15.75" x14ac:dyDescent="0.25">
      <c r="A61" s="440" t="str">
        <f>CAPA!$A$43</f>
        <v>AGÊNCIA MARITIMA CARGONAVE LTDA</v>
      </c>
      <c r="B61" s="5"/>
      <c r="C61" s="5"/>
      <c r="D61" s="5"/>
      <c r="E61" s="5"/>
      <c r="F61" s="285" t="str">
        <f>Clients!$D$181</f>
        <v>Mr. Azemir do Rosario</v>
      </c>
      <c r="H61" s="6"/>
      <c r="I61" s="6"/>
      <c r="J61" s="442"/>
      <c r="L61" s="460"/>
      <c r="M61" s="460"/>
      <c r="N61" s="460"/>
      <c r="O61" s="460"/>
      <c r="P61" s="460"/>
    </row>
    <row r="62" spans="1:16" ht="15.75" x14ac:dyDescent="0.25">
      <c r="A62" s="440" t="s">
        <v>41</v>
      </c>
      <c r="B62" s="5"/>
      <c r="C62" s="5"/>
      <c r="D62" s="5"/>
      <c r="E62" s="5"/>
      <c r="F62" s="285" t="str">
        <f>Clients!$D$182</f>
        <v>Mr. Willian Cordeiro</v>
      </c>
      <c r="H62" s="6"/>
      <c r="I62" s="6"/>
      <c r="J62" s="442"/>
      <c r="L62" s="460"/>
      <c r="M62" s="460"/>
      <c r="N62" s="460"/>
      <c r="O62" s="460"/>
      <c r="P62" s="460"/>
    </row>
    <row r="63" spans="1:16" ht="15.75" x14ac:dyDescent="0.25">
      <c r="A63" s="440"/>
      <c r="B63" s="5"/>
      <c r="C63" s="5"/>
      <c r="D63" s="5"/>
      <c r="E63" s="5"/>
      <c r="F63" s="285">
        <f>Clients!$D$183</f>
        <v>0</v>
      </c>
      <c r="H63" s="6"/>
      <c r="I63" s="6"/>
      <c r="J63" s="442"/>
      <c r="L63" s="460"/>
      <c r="M63" s="460"/>
      <c r="N63" s="460"/>
      <c r="O63" s="460"/>
      <c r="P63" s="460"/>
    </row>
    <row r="64" spans="1:16" ht="15.75" x14ac:dyDescent="0.25">
      <c r="A64" s="440"/>
      <c r="B64" s="5"/>
      <c r="C64" s="5"/>
      <c r="D64" s="5"/>
      <c r="E64" s="5"/>
      <c r="F64" s="285">
        <f>Clients!$D$184</f>
        <v>0</v>
      </c>
      <c r="H64" s="6"/>
      <c r="I64" s="6"/>
      <c r="J64" s="442"/>
      <c r="L64" s="460"/>
      <c r="M64" s="460"/>
      <c r="N64" s="460"/>
      <c r="O64" s="460"/>
      <c r="P64" s="460"/>
    </row>
    <row r="65" spans="1:16" ht="15.75" x14ac:dyDescent="0.25">
      <c r="A65" s="440"/>
      <c r="B65" s="5"/>
      <c r="C65" s="5"/>
      <c r="D65" s="5"/>
      <c r="E65" s="5"/>
      <c r="F65" s="285">
        <f>Clients!$D$185</f>
        <v>0</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UNISURVEY LTDA.</v>
      </c>
      <c r="B69" s="5"/>
      <c r="C69" s="5"/>
      <c r="D69" s="5"/>
      <c r="E69" s="5"/>
      <c r="F69" s="440" t="str">
        <f>Clients!$D$267</f>
        <v>Mr. Joni Nunes Carvalho</v>
      </c>
      <c r="H69" s="6"/>
      <c r="I69" s="6"/>
      <c r="J69" s="442"/>
      <c r="L69" s="460"/>
      <c r="M69" s="460"/>
      <c r="N69" s="460"/>
      <c r="O69" s="460"/>
      <c r="P69" s="460"/>
    </row>
    <row r="70" spans="1:16" ht="15.75" x14ac:dyDescent="0.25">
      <c r="A70" s="5" t="str">
        <f>IF(CAPA!$A$89=0,"",CAPA!$A$89)</f>
        <v/>
      </c>
      <c r="B70" s="5"/>
      <c r="C70" s="5"/>
      <c r="D70" s="5"/>
      <c r="E70" s="5"/>
      <c r="F70" s="440" t="str">
        <f>Clients!$D$268</f>
        <v>Mr. Diego Florentino</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5"/>
      <c r="B82" s="5"/>
      <c r="C82" s="5"/>
      <c r="D82" s="5"/>
      <c r="E82" s="5"/>
      <c r="F82" s="440"/>
      <c r="H82" s="13"/>
      <c r="I82" s="13"/>
      <c r="J82" s="442"/>
      <c r="L82" s="460"/>
      <c r="M82" s="460"/>
      <c r="N82" s="460"/>
      <c r="O82" s="460"/>
      <c r="P82" s="460"/>
    </row>
    <row r="83" spans="1:16" ht="15.75" x14ac:dyDescent="0.25">
      <c r="A83" s="5" t="s">
        <v>43</v>
      </c>
      <c r="B83" s="5"/>
      <c r="C83" s="5"/>
      <c r="D83" s="5"/>
      <c r="E83" s="5"/>
      <c r="F83" s="441" t="str">
        <f>CAPA!$A$85</f>
        <v>Mr. Marcos Antonio Fangueiro</v>
      </c>
      <c r="H83" s="13"/>
      <c r="I83" s="13"/>
      <c r="J83" s="442"/>
      <c r="L83" s="460"/>
      <c r="M83" s="460"/>
      <c r="N83" s="460"/>
      <c r="O83" s="460"/>
      <c r="P83" s="460"/>
    </row>
    <row r="84" spans="1:16" ht="15.75" x14ac:dyDescent="0.25">
      <c r="A84" s="5"/>
      <c r="B84" s="5"/>
      <c r="C84" s="5"/>
      <c r="D84" s="5"/>
      <c r="E84" s="5"/>
      <c r="F84" s="293"/>
      <c r="G84" s="293"/>
      <c r="H84" s="13"/>
      <c r="I84" s="13"/>
      <c r="J84" s="442"/>
      <c r="L84" s="460"/>
      <c r="M84" s="460"/>
      <c r="N84" s="460"/>
      <c r="O84" s="460"/>
      <c r="P84" s="460"/>
    </row>
    <row r="85" spans="1:16" ht="15.75" x14ac:dyDescent="0.25">
      <c r="A85" s="5"/>
      <c r="B85" s="5"/>
      <c r="C85" s="5"/>
      <c r="D85" s="5"/>
      <c r="E85" s="5"/>
      <c r="F85" s="293"/>
      <c r="G85" s="13"/>
      <c r="H85" s="13"/>
      <c r="I85" s="13"/>
      <c r="J85" s="442"/>
      <c r="L85" s="460"/>
      <c r="M85" s="460"/>
      <c r="N85" s="460"/>
      <c r="O85" s="460"/>
      <c r="P85" s="460"/>
    </row>
    <row r="86" spans="1:16" ht="15.75" x14ac:dyDescent="0.25">
      <c r="A86" s="266" t="s">
        <v>44</v>
      </c>
      <c r="B86" s="13"/>
      <c r="C86" s="13"/>
      <c r="D86" s="13"/>
      <c r="E86" s="13"/>
      <c r="F86" s="266" t="s">
        <v>564</v>
      </c>
      <c r="H86" s="266"/>
      <c r="I86" s="13"/>
      <c r="J86" s="442"/>
      <c r="L86" s="460"/>
      <c r="M86" s="460"/>
      <c r="N86" s="460"/>
      <c r="O86" s="460"/>
      <c r="P86" s="460"/>
    </row>
    <row r="87" spans="1:16" ht="15.75" x14ac:dyDescent="0.25">
      <c r="A87" s="266" t="s">
        <v>45</v>
      </c>
      <c r="B87" s="13"/>
      <c r="C87" s="13"/>
      <c r="D87" s="13"/>
      <c r="E87" s="13"/>
      <c r="F87" s="13" t="s">
        <v>46</v>
      </c>
      <c r="H87" s="13"/>
      <c r="I87" s="13"/>
      <c r="J87" s="13"/>
      <c r="L87" s="460"/>
      <c r="M87" s="460"/>
      <c r="N87" s="460"/>
      <c r="O87" s="460"/>
      <c r="P87" s="460"/>
    </row>
    <row r="88" spans="1:16" ht="15.75" x14ac:dyDescent="0.25">
      <c r="A88" s="13"/>
      <c r="B88" s="13"/>
      <c r="C88" s="13"/>
      <c r="D88" s="13"/>
      <c r="E88" s="13"/>
      <c r="F88" s="851" t="str">
        <f>_xlfn.CONCAT("Mr. ",CAPA!$A$97)</f>
        <v>Mr. Haroldo Fernandes Alves Junior</v>
      </c>
      <c r="G88" s="851"/>
      <c r="H88" s="851"/>
      <c r="I88" s="851"/>
      <c r="J88" s="851"/>
      <c r="L88" s="460"/>
      <c r="M88" s="460"/>
      <c r="N88" s="460"/>
      <c r="O88" s="460"/>
      <c r="P88" s="460"/>
    </row>
    <row r="89" spans="1:16" ht="15.75" x14ac:dyDescent="0.25">
      <c r="A89" s="267" t="s">
        <v>47</v>
      </c>
      <c r="B89" s="13"/>
      <c r="C89" s="13"/>
      <c r="D89" s="13"/>
      <c r="E89" s="13"/>
      <c r="F89" s="13"/>
      <c r="G89" s="13"/>
      <c r="H89" s="13"/>
      <c r="I89" s="13"/>
      <c r="L89" s="460"/>
      <c r="M89" s="460"/>
      <c r="N89" s="460"/>
      <c r="O89" s="460"/>
      <c r="P89" s="460"/>
    </row>
    <row r="90" spans="1:16" ht="15.75" x14ac:dyDescent="0.25">
      <c r="A90" s="267"/>
      <c r="B90" s="13"/>
      <c r="C90" s="13"/>
      <c r="D90" s="13"/>
      <c r="E90" s="13"/>
      <c r="F90" s="13"/>
      <c r="G90" s="13"/>
      <c r="H90" s="13"/>
      <c r="I90" s="13"/>
      <c r="L90" s="460"/>
      <c r="M90" s="460"/>
      <c r="N90" s="460"/>
      <c r="O90" s="460"/>
      <c r="P90" s="460"/>
    </row>
    <row r="91" spans="1:16" ht="15.75" x14ac:dyDescent="0.25">
      <c r="A91" s="266" t="s">
        <v>48</v>
      </c>
      <c r="B91" s="13"/>
      <c r="C91" s="13"/>
      <c r="D91" s="13"/>
      <c r="E91" s="856" t="str">
        <f>CAPA!$B$8</f>
        <v>Karlovasi</v>
      </c>
      <c r="F91" s="856"/>
      <c r="G91" s="856"/>
      <c r="H91" s="856"/>
      <c r="I91" s="856"/>
      <c r="J91" s="856"/>
      <c r="L91" s="460"/>
      <c r="M91" s="460"/>
      <c r="N91" s="460"/>
      <c r="O91" s="460"/>
      <c r="P91" s="460"/>
    </row>
    <row r="92" spans="1:16" ht="15.75" x14ac:dyDescent="0.25">
      <c r="A92" s="266" t="s">
        <v>49</v>
      </c>
      <c r="B92" s="13"/>
      <c r="C92" s="13"/>
      <c r="D92" s="13"/>
      <c r="E92" s="856" t="str">
        <f>CAPA!$B$12</f>
        <v>CQ2400</v>
      </c>
      <c r="F92" s="856"/>
      <c r="G92" s="5"/>
      <c r="H92" s="5"/>
      <c r="I92" s="13"/>
      <c r="L92" s="460"/>
      <c r="M92" s="460"/>
      <c r="N92" s="460"/>
      <c r="O92" s="460"/>
      <c r="P92" s="460"/>
    </row>
    <row r="93" spans="1:16" ht="15.75" x14ac:dyDescent="0.25">
      <c r="A93" s="266" t="s">
        <v>50</v>
      </c>
      <c r="B93" s="13"/>
      <c r="C93" s="13"/>
      <c r="D93" s="13"/>
      <c r="E93" s="856" t="str">
        <f>CAPA!$B$13</f>
        <v>Madeira</v>
      </c>
      <c r="F93" s="856"/>
      <c r="G93" s="856"/>
      <c r="H93" s="5"/>
      <c r="I93" s="13"/>
      <c r="L93" s="460"/>
      <c r="M93" s="460"/>
      <c r="N93" s="460"/>
      <c r="O93" s="460"/>
      <c r="P93" s="460"/>
    </row>
    <row r="94" spans="1:16" ht="15.75" x14ac:dyDescent="0.25">
      <c r="A94" s="266" t="s">
        <v>51</v>
      </c>
      <c r="B94" s="13"/>
      <c r="C94" s="13"/>
      <c r="D94" s="13"/>
      <c r="E94" s="856" t="str">
        <f>CAPA!$B$14</f>
        <v>Portuguese</v>
      </c>
      <c r="F94" s="856"/>
      <c r="G94" s="856"/>
      <c r="H94" s="856"/>
      <c r="I94" s="856"/>
      <c r="J94" s="856"/>
      <c r="L94" s="460"/>
      <c r="M94" s="460"/>
      <c r="N94" s="460"/>
      <c r="O94" s="460"/>
      <c r="P94" s="460"/>
    </row>
    <row r="95" spans="1:16" ht="15.75" x14ac:dyDescent="0.25">
      <c r="A95" s="266" t="s">
        <v>52</v>
      </c>
      <c r="B95" s="13"/>
      <c r="C95" s="13"/>
      <c r="D95" s="13"/>
      <c r="E95" s="856">
        <f>CAPA!$B$10</f>
        <v>9951783</v>
      </c>
      <c r="F95" s="856"/>
      <c r="G95" s="5"/>
      <c r="H95" s="5"/>
      <c r="I95" s="13"/>
      <c r="L95" s="460"/>
      <c r="M95" s="460"/>
      <c r="N95" s="460"/>
      <c r="O95" s="460"/>
      <c r="P95" s="460"/>
    </row>
    <row r="96" spans="1:16" ht="15.75" x14ac:dyDescent="0.25">
      <c r="A96" s="266" t="s">
        <v>53</v>
      </c>
      <c r="B96" s="13"/>
      <c r="C96" s="13"/>
      <c r="D96" s="13"/>
      <c r="E96" s="268">
        <f>CAPA!$B$15</f>
        <v>199.98</v>
      </c>
      <c r="F96" s="268"/>
      <c r="G96" s="5"/>
      <c r="H96" s="5"/>
      <c r="I96" s="13"/>
      <c r="L96" s="460"/>
      <c r="M96" s="460"/>
      <c r="N96" s="460"/>
      <c r="O96" s="460"/>
      <c r="P96" s="460"/>
    </row>
    <row r="97" spans="1:16" ht="15.75" x14ac:dyDescent="0.25">
      <c r="A97" s="266" t="s">
        <v>54</v>
      </c>
      <c r="B97" s="13"/>
      <c r="C97" s="13"/>
      <c r="D97" s="13"/>
      <c r="E97" s="268">
        <f>CAPA!$B$16</f>
        <v>195.4</v>
      </c>
      <c r="F97" s="268"/>
      <c r="G97" s="5"/>
      <c r="H97" s="5"/>
      <c r="I97" s="13"/>
      <c r="L97" s="460"/>
      <c r="M97" s="460"/>
      <c r="N97" s="460"/>
      <c r="O97" s="460"/>
      <c r="P97" s="460"/>
    </row>
    <row r="98" spans="1:16" ht="15.75" x14ac:dyDescent="0.25">
      <c r="A98" s="266" t="s">
        <v>55</v>
      </c>
      <c r="B98" s="13"/>
      <c r="C98" s="13"/>
      <c r="D98" s="13"/>
      <c r="E98" s="268">
        <f>CAPA!$B$17</f>
        <v>19.3</v>
      </c>
      <c r="F98" s="268"/>
      <c r="G98" s="5"/>
      <c r="H98" s="5"/>
      <c r="I98" s="13"/>
      <c r="L98" s="460"/>
      <c r="M98" s="460"/>
      <c r="N98" s="460"/>
      <c r="O98" s="460"/>
      <c r="P98" s="460"/>
    </row>
    <row r="99" spans="1:16" ht="15.75" x14ac:dyDescent="0.25">
      <c r="A99" s="266" t="s">
        <v>56</v>
      </c>
      <c r="B99" s="13"/>
      <c r="C99" s="13"/>
      <c r="D99" s="13"/>
      <c r="E99" s="268">
        <f>CAPA!$B$18</f>
        <v>32.24</v>
      </c>
      <c r="F99" s="268"/>
      <c r="G99" s="5"/>
      <c r="H99" s="5"/>
      <c r="I99" s="13"/>
      <c r="L99" s="460"/>
      <c r="M99" s="460"/>
      <c r="N99" s="460"/>
      <c r="O99" s="460"/>
      <c r="P99" s="460"/>
    </row>
    <row r="100" spans="1:16" ht="15.75" x14ac:dyDescent="0.25">
      <c r="A100" s="266" t="s">
        <v>57</v>
      </c>
      <c r="B100" s="13"/>
      <c r="C100" s="13"/>
      <c r="D100" s="13"/>
      <c r="E100" s="850">
        <f>CAPA!$B$20</f>
        <v>36138</v>
      </c>
      <c r="F100" s="850"/>
      <c r="G100" s="850"/>
      <c r="H100" s="850"/>
      <c r="I100" s="850"/>
      <c r="J100" s="850"/>
      <c r="L100" s="460"/>
      <c r="M100" s="460"/>
      <c r="N100" s="460"/>
      <c r="O100" s="460"/>
      <c r="P100" s="460"/>
    </row>
    <row r="101" spans="1:16" ht="15.75" x14ac:dyDescent="0.25">
      <c r="A101" s="266" t="s">
        <v>58</v>
      </c>
      <c r="B101" s="13"/>
      <c r="C101" s="13"/>
      <c r="D101" s="13"/>
      <c r="E101" s="850">
        <f>CAPA!$B$21</f>
        <v>21173</v>
      </c>
      <c r="F101" s="850"/>
      <c r="G101" s="850"/>
      <c r="H101" s="850"/>
      <c r="I101" s="850"/>
      <c r="J101" s="850"/>
      <c r="L101" s="460"/>
      <c r="M101" s="460"/>
      <c r="N101" s="460"/>
      <c r="O101" s="460"/>
      <c r="P101" s="460"/>
    </row>
    <row r="102" spans="1:16" ht="60" x14ac:dyDescent="0.25">
      <c r="A102" s="439" t="s">
        <v>59</v>
      </c>
      <c r="B102" s="13"/>
      <c r="C102" s="13"/>
      <c r="D102" s="13"/>
      <c r="E102" s="853" t="str">
        <f>CAPA!$B$23</f>
        <v xml:space="preserve">NKK: NS*(CSR, BC-A, BC-XII, GRAB 20, EQ C DG, PSPC-WBT, NC, 1C) (ESP) (HCM-GBS) (IWS) (PSCM) (EEDI-p3) (NOx-III(SCR)) 
MNS* </v>
      </c>
      <c r="F102" s="853"/>
      <c r="G102" s="853"/>
      <c r="H102" s="853"/>
      <c r="I102" s="853"/>
      <c r="J102" s="853"/>
      <c r="L102" s="460"/>
      <c r="M102" s="463" t="str">
        <f>CAPA!$B$23</f>
        <v xml:space="preserve">NKK: NS*(CSR, BC-A, BC-XII, GRAB 20, EQ C DG, PSPC-WBT, NC, 1C) (ESP) (HCM-GBS) (IWS) (PSCM) (EEDI-p3) (NOx-III(SCR)) 
MNS* </v>
      </c>
      <c r="N102" s="460"/>
      <c r="O102" s="460"/>
      <c r="P102" s="460"/>
    </row>
    <row r="103" spans="1:16" ht="15.75" x14ac:dyDescent="0.25">
      <c r="A103" s="266" t="s">
        <v>60</v>
      </c>
      <c r="B103" s="13"/>
      <c r="C103" s="13"/>
      <c r="D103" s="13"/>
      <c r="E103" s="850">
        <f>CAPA!$B$19</f>
        <v>11774</v>
      </c>
      <c r="F103" s="850"/>
      <c r="G103" s="5"/>
      <c r="H103" s="5"/>
      <c r="I103" s="13"/>
      <c r="L103" s="460"/>
      <c r="M103" s="464"/>
      <c r="N103" s="460"/>
      <c r="O103" s="460"/>
      <c r="P103" s="460"/>
    </row>
    <row r="104" spans="1:16" ht="15.75" x14ac:dyDescent="0.25">
      <c r="A104" s="266" t="s">
        <v>61</v>
      </c>
      <c r="B104" s="13"/>
      <c r="C104" s="13"/>
      <c r="D104" s="13"/>
      <c r="E104" s="850" t="str">
        <f>_xlfn.CONCAT(TEXT($I$139,"#,##0.0")," on ",TEXT(F139,"#,##0.00")," m")</f>
        <v>62,713.0 on 13.53 m</v>
      </c>
      <c r="F104" s="850"/>
      <c r="G104" s="850"/>
      <c r="H104" s="850"/>
      <c r="I104" s="850"/>
      <c r="J104" s="850"/>
      <c r="L104" s="460"/>
      <c r="M104" s="460"/>
      <c r="N104" s="460"/>
      <c r="O104" s="460"/>
      <c r="P104" s="460"/>
    </row>
    <row r="105" spans="1:16" ht="15.75" x14ac:dyDescent="0.25">
      <c r="A105" s="266"/>
      <c r="B105" s="13"/>
      <c r="C105" s="13"/>
      <c r="D105" s="13"/>
      <c r="E105" s="269"/>
      <c r="F105" s="269"/>
      <c r="G105" s="13"/>
      <c r="H105" s="13"/>
      <c r="I105" s="13"/>
      <c r="L105" s="460"/>
      <c r="M105" s="460"/>
      <c r="N105" s="460"/>
      <c r="O105" s="460"/>
      <c r="P105" s="460"/>
    </row>
    <row r="106" spans="1:16" ht="15.75" x14ac:dyDescent="0.25">
      <c r="A106" s="266" t="s">
        <v>62</v>
      </c>
      <c r="B106" s="13"/>
      <c r="C106" s="13"/>
      <c r="D106" s="13"/>
      <c r="E106" s="14" t="str">
        <f>CAPA!$B$11</f>
        <v>Iwagi Zosen Co., Ltd. / Imabari Shipbuilding Co., Ltd.</v>
      </c>
      <c r="F106" s="13"/>
      <c r="G106" s="13"/>
      <c r="H106" s="13"/>
      <c r="I106" s="13"/>
      <c r="L106" s="460"/>
      <c r="M106" s="460"/>
      <c r="N106" s="460"/>
      <c r="O106" s="460"/>
      <c r="P106" s="460"/>
    </row>
    <row r="107" spans="1:16" ht="15.75" x14ac:dyDescent="0.25">
      <c r="A107" s="266"/>
      <c r="B107" s="13"/>
      <c r="C107" s="13"/>
      <c r="D107" s="13"/>
      <c r="E107" s="269"/>
      <c r="F107" s="269"/>
      <c r="G107" s="13"/>
      <c r="H107" s="13"/>
      <c r="I107" s="13"/>
      <c r="L107" s="460"/>
      <c r="M107" s="460"/>
      <c r="N107" s="460"/>
      <c r="O107" s="460"/>
      <c r="P107" s="460"/>
    </row>
    <row r="108" spans="1:16" ht="15.75" x14ac:dyDescent="0.25">
      <c r="A108" s="266" t="s">
        <v>63</v>
      </c>
      <c r="B108" s="13"/>
      <c r="C108" s="13"/>
      <c r="D108" s="13"/>
      <c r="E108" s="851" t="str">
        <f>CAPA!$B$24</f>
        <v>Tsamadou Limited</v>
      </c>
      <c r="F108" s="851"/>
      <c r="G108" s="851"/>
      <c r="H108" s="851"/>
      <c r="I108" s="851"/>
      <c r="J108" s="851"/>
      <c r="L108" s="460"/>
      <c r="M108" s="460"/>
      <c r="N108" s="460"/>
      <c r="O108" s="460"/>
      <c r="P108" s="460"/>
    </row>
    <row r="109" spans="1:16" ht="15.75" x14ac:dyDescent="0.25">
      <c r="A109" s="266" t="s">
        <v>64</v>
      </c>
      <c r="B109" s="13"/>
      <c r="C109" s="13"/>
      <c r="D109" s="13"/>
      <c r="E109" s="851" t="str">
        <f>CAPA!$B$25</f>
        <v>JHI Steamship Co.</v>
      </c>
      <c r="F109" s="851"/>
      <c r="G109" s="851"/>
      <c r="H109" s="851"/>
      <c r="I109" s="851"/>
      <c r="J109" s="851"/>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3" t="s">
        <v>20</v>
      </c>
      <c r="B111" s="13"/>
      <c r="C111" s="13"/>
      <c r="D111" s="13"/>
      <c r="E111" s="13"/>
      <c r="F111" s="13"/>
      <c r="G111" s="13"/>
      <c r="H111" s="13"/>
      <c r="I111" s="13"/>
      <c r="L111" s="460"/>
      <c r="M111" s="460"/>
      <c r="N111" s="460"/>
      <c r="O111" s="460"/>
      <c r="P111" s="460"/>
    </row>
    <row r="112" spans="1:16" ht="15.75" x14ac:dyDescent="0.25">
      <c r="A112" s="266"/>
      <c r="B112" s="13"/>
      <c r="C112" s="13"/>
      <c r="D112" s="13"/>
      <c r="E112" s="13"/>
      <c r="F112" s="13"/>
      <c r="G112" s="13"/>
      <c r="H112" s="13"/>
      <c r="I112" s="13"/>
      <c r="L112" s="460"/>
      <c r="M112" s="460"/>
      <c r="N112" s="460"/>
      <c r="O112" s="460"/>
      <c r="P112" s="460"/>
    </row>
    <row r="113" spans="1:16" ht="15.75" x14ac:dyDescent="0.25">
      <c r="A113" s="3" t="s">
        <v>65</v>
      </c>
      <c r="B113" s="848" t="s">
        <v>66</v>
      </c>
      <c r="C113" s="848"/>
      <c r="D113" s="852" t="s">
        <v>67</v>
      </c>
      <c r="E113" s="852"/>
      <c r="F113" s="849" t="s">
        <v>68</v>
      </c>
      <c r="G113" s="849"/>
      <c r="H113" s="849"/>
      <c r="I113" s="849"/>
      <c r="J113" s="270" t="s">
        <v>69</v>
      </c>
      <c r="L113" s="460"/>
      <c r="M113" s="460"/>
      <c r="N113" s="460"/>
      <c r="O113" s="460"/>
      <c r="P113" s="460"/>
    </row>
    <row r="114" spans="1:16" ht="15.75" x14ac:dyDescent="0.25">
      <c r="A114" s="3"/>
      <c r="B114" s="848" t="s">
        <v>70</v>
      </c>
      <c r="C114" s="848"/>
      <c r="D114" s="271"/>
      <c r="F114" s="849" t="s">
        <v>71</v>
      </c>
      <c r="G114" s="849"/>
      <c r="H114" s="849"/>
      <c r="I114" s="849"/>
      <c r="J114" s="13"/>
      <c r="L114" s="460"/>
      <c r="M114" s="460"/>
      <c r="N114" s="460"/>
      <c r="O114" s="460"/>
      <c r="P114" s="460"/>
    </row>
    <row r="115" spans="1:16" ht="15.75" x14ac:dyDescent="0.25">
      <c r="A115" s="265" t="s">
        <v>72</v>
      </c>
      <c r="B115" s="845">
        <f>DCP!$B$28</f>
        <v>521357</v>
      </c>
      <c r="C115" s="845"/>
      <c r="D115" s="846" t="str">
        <f>DCP!$B$15</f>
        <v>Soybeans</v>
      </c>
      <c r="E115" s="846"/>
      <c r="F115" s="847">
        <f>DCP!$B$27</f>
        <v>10748.09</v>
      </c>
      <c r="G115" s="847"/>
      <c r="H115" s="847"/>
      <c r="I115" s="847"/>
      <c r="J115" s="272">
        <f>IF(DCP!$B$30="FULL",DCP!$B$29,"SLACK")</f>
        <v>48.506944024473185</v>
      </c>
      <c r="L115" s="460"/>
      <c r="M115" s="460"/>
      <c r="N115" s="460"/>
      <c r="O115" s="460"/>
      <c r="P115" s="460"/>
    </row>
    <row r="116" spans="1:16" ht="15.75" x14ac:dyDescent="0.25">
      <c r="A116" s="265" t="s">
        <v>73</v>
      </c>
      <c r="B116" s="845">
        <f>DCP!$C$28</f>
        <v>591477</v>
      </c>
      <c r="C116" s="845"/>
      <c r="D116" s="846" t="str">
        <f>DCP!$C$15</f>
        <v>Soybeans</v>
      </c>
      <c r="E116" s="846"/>
      <c r="F116" s="847">
        <f>DCP!$C$27</f>
        <v>12219.365</v>
      </c>
      <c r="G116" s="847"/>
      <c r="H116" s="847"/>
      <c r="I116" s="847" t="e">
        <f>C116/H116</f>
        <v>#DIV/0!</v>
      </c>
      <c r="J116" s="272">
        <f>IF(DCP!$C$30="FULL",DCP!$C$29,"SLACK")</f>
        <v>48.40488847006371</v>
      </c>
      <c r="L116" s="460"/>
      <c r="M116" s="460"/>
      <c r="N116" s="460"/>
      <c r="O116" s="460"/>
      <c r="P116" s="460"/>
    </row>
    <row r="117" spans="1:16" ht="15.75" x14ac:dyDescent="0.25">
      <c r="A117" s="265" t="s">
        <v>74</v>
      </c>
      <c r="B117" s="845">
        <f>DCP!$D$28</f>
        <v>590919</v>
      </c>
      <c r="C117" s="845"/>
      <c r="D117" s="846" t="str">
        <f>DCP!$D$15</f>
        <v>Soybeans</v>
      </c>
      <c r="E117" s="846"/>
      <c r="F117" s="847">
        <f>DCP!$D$27</f>
        <v>11720.035</v>
      </c>
      <c r="G117" s="847"/>
      <c r="H117" s="847"/>
      <c r="I117" s="847" t="e">
        <f>D117/H117</f>
        <v>#VALUE!</v>
      </c>
      <c r="J117" s="272" t="str">
        <f>IF(DCP!$D$30="FULL",DCP!$D$29,"SLACK")</f>
        <v>SLACK</v>
      </c>
      <c r="L117" s="460"/>
      <c r="M117" s="460"/>
      <c r="N117" s="460"/>
      <c r="O117" s="460"/>
      <c r="P117" s="460"/>
    </row>
    <row r="118" spans="1:16" ht="15.75" x14ac:dyDescent="0.25">
      <c r="A118" s="265" t="s">
        <v>75</v>
      </c>
      <c r="B118" s="845">
        <f>DCP!$E$28</f>
        <v>591843</v>
      </c>
      <c r="C118" s="845"/>
      <c r="D118" s="846" t="str">
        <f>DCP!$E$15</f>
        <v>Soybeans</v>
      </c>
      <c r="E118" s="846"/>
      <c r="F118" s="847">
        <f>DCP!$E$27</f>
        <v>12398.794999999998</v>
      </c>
      <c r="G118" s="847"/>
      <c r="H118" s="847"/>
      <c r="I118" s="847" t="e">
        <f>D118/H118</f>
        <v>#VALUE!</v>
      </c>
      <c r="J118" s="272">
        <f>IF(DCP!$E$30="FULL",DCP!$E$29,"SLACK")</f>
        <v>47.73391285201506</v>
      </c>
      <c r="L118" s="460"/>
      <c r="M118" s="460"/>
      <c r="N118" s="460"/>
      <c r="O118" s="460"/>
      <c r="P118" s="460"/>
    </row>
    <row r="119" spans="1:16" ht="15.75" x14ac:dyDescent="0.25">
      <c r="A119" s="265" t="s">
        <v>76</v>
      </c>
      <c r="B119" s="845">
        <f>DCP!$F$28</f>
        <v>572109</v>
      </c>
      <c r="C119" s="845"/>
      <c r="D119" s="846" t="str">
        <f>DCP!$F$15</f>
        <v>Soybeans</v>
      </c>
      <c r="E119" s="846"/>
      <c r="F119" s="847">
        <f>DCP!$F$27</f>
        <v>11913.714999999998</v>
      </c>
      <c r="G119" s="847"/>
      <c r="H119" s="847"/>
      <c r="I119" s="847" t="e">
        <f>D119/H119</f>
        <v>#VALUE!</v>
      </c>
      <c r="J119" s="272">
        <f>IF(DCP!$F$30="FULL",DCP!$F$29,"SLACK")</f>
        <v>48.021041295683176</v>
      </c>
      <c r="L119" s="460"/>
      <c r="M119" s="460"/>
      <c r="N119" s="460"/>
      <c r="O119" s="460"/>
      <c r="P119" s="460"/>
    </row>
    <row r="120" spans="1:16" ht="15.75" x14ac:dyDescent="0.25">
      <c r="A120" s="265" t="s">
        <v>77</v>
      </c>
      <c r="B120" s="845" t="e">
        <f>DCP!#REF!</f>
        <v>#REF!</v>
      </c>
      <c r="C120" s="845"/>
      <c r="D120" s="846" t="e">
        <f>DCP!#REF!</f>
        <v>#REF!</v>
      </c>
      <c r="E120" s="846"/>
      <c r="F120" s="847" t="e">
        <f>DCP!#REF!</f>
        <v>#REF!</v>
      </c>
      <c r="G120" s="847"/>
      <c r="H120" s="847"/>
      <c r="I120" s="847" t="e">
        <f>D120/H120</f>
        <v>#REF!</v>
      </c>
      <c r="J120" s="272" t="e">
        <f>IF(DCP!#REF!="FULL",DCP!#REF!,"SLACK")</f>
        <v>#REF!</v>
      </c>
      <c r="L120" s="460"/>
      <c r="M120" s="460"/>
      <c r="N120" s="460"/>
      <c r="O120" s="460"/>
      <c r="P120" s="460"/>
    </row>
    <row r="121" spans="1:16" ht="15.75" x14ac:dyDescent="0.25">
      <c r="A121" s="265" t="s">
        <v>78</v>
      </c>
      <c r="B121" s="845" t="e">
        <f>DCP!#REF!</f>
        <v>#REF!</v>
      </c>
      <c r="C121" s="845"/>
      <c r="D121" s="846" t="e">
        <f>DCP!#REF!</f>
        <v>#REF!</v>
      </c>
      <c r="E121" s="846"/>
      <c r="F121" s="847" t="e">
        <f>DCP!#REF!</f>
        <v>#REF!</v>
      </c>
      <c r="G121" s="847"/>
      <c r="H121" s="847"/>
      <c r="I121" s="847" t="e">
        <f>D121/H121</f>
        <v>#REF!</v>
      </c>
      <c r="J121" s="272" t="e">
        <f>IF(DCP!#REF!="FULL",DCP!#REF!,"SLACK")</f>
        <v>#REF!</v>
      </c>
      <c r="L121" s="460"/>
      <c r="M121" s="460"/>
      <c r="N121" s="460"/>
      <c r="O121" s="460"/>
      <c r="P121" s="460"/>
    </row>
    <row r="122" spans="1:16" ht="15.75" x14ac:dyDescent="0.25">
      <c r="A122" s="3" t="s">
        <v>79</v>
      </c>
      <c r="B122" s="842" t="e">
        <f>SUM(B115:B121)</f>
        <v>#REF!</v>
      </c>
      <c r="C122" s="842"/>
      <c r="D122" s="13"/>
      <c r="F122" s="843" t="e">
        <f>SUM(F115:F121)</f>
        <v>#REF!</v>
      </c>
      <c r="G122" s="843"/>
      <c r="H122" s="843"/>
      <c r="I122" s="843"/>
      <c r="L122" s="460"/>
      <c r="M122" s="460"/>
      <c r="N122" s="460"/>
      <c r="O122" s="460"/>
      <c r="P122" s="460"/>
    </row>
    <row r="123" spans="1:16" ht="15.75" x14ac:dyDescent="0.25">
      <c r="A123" s="3"/>
      <c r="B123" s="273"/>
      <c r="C123" s="13"/>
      <c r="D123" s="13"/>
      <c r="E123" s="274"/>
      <c r="F123" s="275"/>
      <c r="G123" s="13"/>
      <c r="H123" s="13"/>
      <c r="I123" s="13"/>
      <c r="L123" s="460"/>
      <c r="M123" s="460"/>
      <c r="N123" s="460"/>
      <c r="O123" s="460"/>
      <c r="P123" s="460"/>
    </row>
    <row r="124" spans="1:16" ht="15.75" x14ac:dyDescent="0.25">
      <c r="A124" s="266"/>
      <c r="B124" s="13"/>
      <c r="C124" s="13"/>
      <c r="D124" s="13"/>
      <c r="E124" s="13"/>
      <c r="F124" s="13"/>
      <c r="G124" s="13"/>
      <c r="H124" s="13"/>
      <c r="I124" s="13"/>
      <c r="L124" s="460"/>
      <c r="M124" s="460"/>
      <c r="N124" s="460"/>
      <c r="O124" s="460"/>
      <c r="P124" s="460"/>
    </row>
    <row r="125" spans="1:16" ht="15.75" x14ac:dyDescent="0.25">
      <c r="A125" s="267" t="s">
        <v>689</v>
      </c>
      <c r="B125" s="13"/>
      <c r="C125" s="13"/>
      <c r="D125" s="13"/>
      <c r="E125" s="13"/>
      <c r="F125" s="13"/>
      <c r="G125" s="13"/>
      <c r="H125" s="13"/>
      <c r="I125" s="13"/>
      <c r="L125" s="460"/>
      <c r="M125" s="460"/>
      <c r="N125" s="460"/>
      <c r="O125" s="460"/>
      <c r="P125" s="460"/>
    </row>
    <row r="126" spans="1:16" ht="15.75" x14ac:dyDescent="0.25">
      <c r="A126" s="267"/>
      <c r="B126" s="13"/>
      <c r="C126" s="13"/>
      <c r="D126" s="13"/>
      <c r="E126" s="13"/>
      <c r="F126" s="13"/>
      <c r="G126" s="13"/>
      <c r="H126" s="13"/>
      <c r="I126" s="13"/>
      <c r="L126" s="460"/>
      <c r="M126" s="460"/>
      <c r="N126" s="460"/>
      <c r="O126" s="460"/>
      <c r="P126" s="460"/>
    </row>
    <row r="127" spans="1:16" ht="15.75" x14ac:dyDescent="0.25">
      <c r="A127" s="266" t="s">
        <v>80</v>
      </c>
      <c r="B127" s="13"/>
      <c r="C127" s="13"/>
      <c r="D127" s="13"/>
      <c r="E127" s="13" t="str">
        <f>_xlfn.CONCAT("Issued by ",CAPA!$B$67)</f>
        <v>Issued by Iwagi Zosen Co., Ltd. / Imabari Shipbuilding Co., Ltd.</v>
      </c>
      <c r="G127" s="13"/>
      <c r="H127" s="13"/>
      <c r="I127" s="13"/>
      <c r="L127" s="460"/>
      <c r="M127" s="460"/>
      <c r="N127" s="460"/>
      <c r="O127" s="460"/>
      <c r="P127" s="460"/>
    </row>
    <row r="128" spans="1:16" ht="15.75" x14ac:dyDescent="0.25">
      <c r="A128" s="266"/>
      <c r="B128" s="13"/>
      <c r="C128" s="13"/>
      <c r="D128" s="13"/>
      <c r="E128" s="13" t="str">
        <f>_xlfn.CONCAT("on ",CAPA!$B$68,", Dwg. No. ",CAPA!$B$69)</f>
        <v>on 17.01.2023, Dwg. No. C-2300</v>
      </c>
      <c r="G128" s="13"/>
      <c r="H128" s="13"/>
      <c r="I128" s="13"/>
      <c r="L128" s="460"/>
      <c r="M128" s="460"/>
      <c r="N128" s="460"/>
      <c r="O128" s="460"/>
      <c r="P128" s="460"/>
    </row>
    <row r="129" spans="1:16" ht="15.75" x14ac:dyDescent="0.25">
      <c r="A129" s="266"/>
      <c r="B129" s="13"/>
      <c r="C129" s="13"/>
      <c r="D129" s="13"/>
      <c r="E129" s="13" t="str">
        <f>_xlfn.CONCAT("Approved by  ",CAPA!$B$70," on  ",CAPA!$B$71)</f>
        <v xml:space="preserve">Approved by   on  </v>
      </c>
      <c r="G129" s="13"/>
      <c r="H129" s="13"/>
      <c r="I129" s="13"/>
      <c r="L129" s="460"/>
      <c r="M129" s="460"/>
      <c r="N129" s="460"/>
      <c r="O129" s="460"/>
      <c r="P129" s="460"/>
    </row>
    <row r="130" spans="1:16" ht="15.75" x14ac:dyDescent="0.25">
      <c r="A130" s="266"/>
      <c r="B130" s="13"/>
      <c r="C130" s="13"/>
      <c r="D130" s="13"/>
      <c r="E130" s="14"/>
      <c r="G130" s="14"/>
      <c r="H130" s="14"/>
      <c r="I130" s="13"/>
      <c r="L130" s="460"/>
      <c r="M130" s="460"/>
      <c r="N130" s="460"/>
      <c r="O130" s="460"/>
      <c r="P130" s="460"/>
    </row>
    <row r="131" spans="1:16" ht="15.75" x14ac:dyDescent="0.25">
      <c r="A131" s="266" t="s">
        <v>81</v>
      </c>
      <c r="B131" s="13"/>
      <c r="C131" s="13"/>
      <c r="D131" s="13"/>
      <c r="E131" s="13" t="str">
        <f>$E$127</f>
        <v>Issued by Iwagi Zosen Co., Ltd. / Imabari Shipbuilding Co., Ltd.</v>
      </c>
      <c r="G131" s="13"/>
      <c r="H131" s="13"/>
      <c r="I131" s="13"/>
      <c r="L131" s="460"/>
      <c r="M131" s="460"/>
      <c r="N131" s="460"/>
      <c r="O131" s="460"/>
      <c r="P131" s="460"/>
    </row>
    <row r="132" spans="1:16" ht="15.75" x14ac:dyDescent="0.25">
      <c r="A132" s="13"/>
      <c r="B132" s="13"/>
      <c r="C132" s="13"/>
      <c r="D132" s="13"/>
      <c r="E132" s="13" t="str">
        <f>_xlfn.CONCAT("on ",CAPA!$B$73," Dwg. no. ",CAPA!$B$74)</f>
        <v>on 17.01.2023 Dwg. no. C-080/D</v>
      </c>
      <c r="G132" s="13"/>
      <c r="H132" s="13"/>
      <c r="I132" s="13"/>
      <c r="L132" s="460"/>
      <c r="M132" s="460"/>
      <c r="N132" s="460"/>
      <c r="O132" s="460"/>
      <c r="P132" s="460"/>
    </row>
    <row r="133" spans="1:16" ht="15.75" x14ac:dyDescent="0.25">
      <c r="A133" s="13"/>
      <c r="B133" s="13"/>
      <c r="C133" s="13"/>
      <c r="D133" s="13"/>
      <c r="E133" s="13"/>
      <c r="F133" s="13"/>
      <c r="G133" s="13"/>
      <c r="H133" s="13"/>
      <c r="I133" s="13"/>
      <c r="L133" s="460"/>
      <c r="M133" s="460"/>
      <c r="N133" s="460"/>
      <c r="O133" s="460"/>
      <c r="P133" s="460"/>
    </row>
    <row r="134" spans="1:16" ht="15.75" x14ac:dyDescent="0.25">
      <c r="A134" s="267" t="s">
        <v>21</v>
      </c>
      <c r="B134" s="13"/>
      <c r="C134" s="13"/>
      <c r="D134" s="13"/>
      <c r="E134" s="13"/>
      <c r="F134" s="13"/>
      <c r="G134" s="13"/>
      <c r="H134" s="13"/>
      <c r="I134" s="13"/>
      <c r="L134" s="460"/>
      <c r="M134" s="460"/>
      <c r="N134" s="460"/>
      <c r="O134" s="460"/>
      <c r="P134" s="460"/>
    </row>
    <row r="135" spans="1:16" ht="15.75" x14ac:dyDescent="0.25">
      <c r="A135" s="266"/>
      <c r="B135" s="13"/>
      <c r="E135" s="709" t="s">
        <v>82</v>
      </c>
      <c r="F135" s="710" t="s">
        <v>691</v>
      </c>
      <c r="G135" s="844" t="s">
        <v>84</v>
      </c>
      <c r="H135" s="844"/>
      <c r="I135" s="844" t="s">
        <v>85</v>
      </c>
      <c r="J135" s="844"/>
      <c r="K135" s="276"/>
      <c r="L135" s="465"/>
      <c r="M135" s="466"/>
      <c r="N135" s="460"/>
      <c r="O135" s="460"/>
      <c r="P135" s="460"/>
    </row>
    <row r="136" spans="1:16" ht="15.75" x14ac:dyDescent="0.25">
      <c r="A136" s="266" t="s">
        <v>86</v>
      </c>
      <c r="B136" s="10"/>
      <c r="E136" s="277">
        <f>CAPA!$L$78</f>
        <v>5.2350000000000003</v>
      </c>
      <c r="F136" s="277">
        <f>CAPA!$M$78</f>
        <v>14.114000000000001</v>
      </c>
      <c r="G136" s="841">
        <f>CAPA!$N$78</f>
        <v>76146</v>
      </c>
      <c r="H136" s="841"/>
      <c r="I136" s="841">
        <f>CAPA!$O$78</f>
        <v>64372</v>
      </c>
      <c r="J136" s="841"/>
      <c r="K136" s="278"/>
      <c r="L136" s="467"/>
      <c r="M136" s="468"/>
      <c r="N136" s="460"/>
      <c r="O136" s="460"/>
      <c r="P136" s="460"/>
    </row>
    <row r="137" spans="1:16" ht="15.75" x14ac:dyDescent="0.25">
      <c r="A137" s="266" t="s">
        <v>87</v>
      </c>
      <c r="B137" s="10"/>
      <c r="E137" s="277">
        <f>CAPA!$L$79</f>
        <v>5.516</v>
      </c>
      <c r="F137" s="277">
        <f>CAPA!$M$79</f>
        <v>13.833</v>
      </c>
      <c r="G137" s="841">
        <f>CAPA!$N$79</f>
        <v>74487</v>
      </c>
      <c r="H137" s="841"/>
      <c r="I137" s="841">
        <f>CAPA!$O$79</f>
        <v>62713</v>
      </c>
      <c r="J137" s="841"/>
      <c r="K137" s="278"/>
      <c r="L137" s="467"/>
      <c r="M137" s="468"/>
      <c r="N137" s="460"/>
      <c r="O137" s="460"/>
      <c r="P137" s="460"/>
    </row>
    <row r="138" spans="1:16" ht="15.75" x14ac:dyDescent="0.25">
      <c r="A138" s="266" t="s">
        <v>88</v>
      </c>
      <c r="B138" s="10"/>
      <c r="E138" s="277">
        <f>CAPA!$L$80</f>
        <v>5.5419999999999998</v>
      </c>
      <c r="F138" s="277">
        <f>CAPA!$M$80</f>
        <v>13.807</v>
      </c>
      <c r="G138" s="841">
        <f>CAPA!$N$80</f>
        <v>76188</v>
      </c>
      <c r="H138" s="841"/>
      <c r="I138" s="841">
        <f>CAPA!$O$80</f>
        <v>64414</v>
      </c>
      <c r="J138" s="841"/>
      <c r="K138" s="278"/>
      <c r="L138" s="467"/>
      <c r="M138" s="468"/>
      <c r="N138" s="460"/>
      <c r="O138" s="460"/>
      <c r="P138" s="460"/>
    </row>
    <row r="139" spans="1:16" ht="15.75" x14ac:dyDescent="0.25">
      <c r="A139" s="266" t="s">
        <v>89</v>
      </c>
      <c r="B139" s="10"/>
      <c r="E139" s="277">
        <f>CAPA!$L$81</f>
        <v>5.8230000000000004</v>
      </c>
      <c r="F139" s="277">
        <f>CAPA!$M$81</f>
        <v>13.526</v>
      </c>
      <c r="G139" s="841">
        <f>CAPA!$N$81</f>
        <v>74487</v>
      </c>
      <c r="H139" s="841"/>
      <c r="I139" s="841">
        <f>CAPA!$O$81</f>
        <v>62713</v>
      </c>
      <c r="J139" s="841"/>
      <c r="K139" s="278"/>
      <c r="L139" s="467"/>
      <c r="M139" s="468"/>
      <c r="N139" s="460"/>
      <c r="O139" s="460"/>
      <c r="P139" s="460"/>
    </row>
    <row r="140" spans="1:16" ht="15.75" x14ac:dyDescent="0.25">
      <c r="A140" s="266" t="s">
        <v>90</v>
      </c>
      <c r="B140" s="10"/>
      <c r="E140" s="277">
        <f>CAPA!$L$82</f>
        <v>6.1040000000000001</v>
      </c>
      <c r="F140" s="277">
        <f>CAPA!$M$82</f>
        <v>13.244999999999999</v>
      </c>
      <c r="G140" s="841">
        <f>CAPA!$N$82</f>
        <v>72788</v>
      </c>
      <c r="H140" s="841"/>
      <c r="I140" s="841">
        <f>CAPA!$O$82</f>
        <v>61014</v>
      </c>
      <c r="J140" s="841"/>
      <c r="K140" s="278"/>
      <c r="L140" s="467"/>
      <c r="M140" s="468"/>
      <c r="N140" s="460"/>
      <c r="O140" s="460"/>
      <c r="P140" s="460"/>
    </row>
    <row r="141" spans="1:16" ht="15.75" x14ac:dyDescent="0.25">
      <c r="A141" s="266"/>
      <c r="B141" s="10"/>
      <c r="C141" s="10"/>
      <c r="D141" s="10"/>
      <c r="E141" s="10"/>
      <c r="F141" s="10"/>
      <c r="G141" s="10"/>
      <c r="H141" s="10"/>
      <c r="I141" s="10"/>
      <c r="L141" s="460"/>
      <c r="M141" s="460"/>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7" t="s">
        <v>692</v>
      </c>
      <c r="B143" s="10"/>
      <c r="C143" s="10"/>
      <c r="D143" s="10"/>
      <c r="E143" s="10"/>
      <c r="F143" s="10"/>
      <c r="G143" s="10"/>
      <c r="H143" s="10"/>
      <c r="I143" s="10"/>
      <c r="L143" s="460"/>
      <c r="M143" s="460"/>
      <c r="N143" s="460"/>
      <c r="O143" s="460"/>
      <c r="P143" s="460"/>
    </row>
    <row r="144" spans="1:16" x14ac:dyDescent="0.25">
      <c r="A144" s="279"/>
      <c r="B144" s="10"/>
      <c r="C144" s="10"/>
      <c r="D144" s="10"/>
      <c r="E144" s="10"/>
      <c r="F144" s="10"/>
      <c r="G144" s="10"/>
      <c r="H144" s="10"/>
      <c r="I144" s="10"/>
      <c r="L144" s="460"/>
      <c r="M144" s="460"/>
      <c r="N144" s="460"/>
      <c r="O144" s="460"/>
      <c r="P144" s="460"/>
    </row>
    <row r="145" spans="1:16" ht="15.75" x14ac:dyDescent="0.25">
      <c r="A145" s="266" t="s">
        <v>91</v>
      </c>
      <c r="B145" s="10"/>
      <c r="C145" s="10"/>
      <c r="D145" s="10"/>
      <c r="E145" s="394" t="str">
        <f>_xlfn.CONCAT(OrdinalDate(Draft!$E$4),", ",YEAR(Draft!$E$4)," from ",TEXT(Draft!$O$4,"h:mm;@")," until ",TEXT(Draft!$O$6,"h:mm;@")," hrs")</f>
        <v xml:space="preserve"> March 15th, 2026 from 18:00 until 20:30 hrs</v>
      </c>
      <c r="G145" s="280"/>
      <c r="H145" s="280"/>
      <c r="I145" s="10"/>
      <c r="L145" s="460" t="str">
        <f>_xlfn.CONCAT(TEXT(Draft!$E$4,"[$-en-US]mmmm d, aaaa;@")," from ",TEXT(Draft!$O$4,"h:mm;@")," until ",TEXT(Draft!$O$6,"h:mm;@")," hrs")</f>
        <v>March 15, 2026 from 18:00 until 20:30 hrs</v>
      </c>
      <c r="M145" s="460"/>
      <c r="N145" s="460"/>
      <c r="O145" s="460"/>
      <c r="P145" s="460"/>
    </row>
    <row r="146" spans="1:16" ht="15.75" x14ac:dyDescent="0.25">
      <c r="A146" s="266" t="s">
        <v>92</v>
      </c>
      <c r="B146" s="10"/>
      <c r="C146" s="10"/>
      <c r="D146" s="10"/>
      <c r="E146" s="14" t="str">
        <f>CONCATENATE(Draft!$E$5," (",Draft!$AN$4," ",Draft!H6,")")</f>
        <v>Paranaguá, Br - Brazil (inner roads 6.1)</v>
      </c>
      <c r="G146" s="13"/>
      <c r="H146" s="13"/>
      <c r="I146" s="10"/>
      <c r="L146" s="460"/>
      <c r="M146" s="460"/>
      <c r="N146" s="460"/>
      <c r="O146" s="460"/>
      <c r="P146" s="460"/>
    </row>
    <row r="147" spans="1:16" ht="15.75" x14ac:dyDescent="0.25">
      <c r="A147" s="266" t="s">
        <v>93</v>
      </c>
      <c r="B147" s="10"/>
      <c r="C147" s="10"/>
      <c r="D147" s="10"/>
      <c r="E147" s="395">
        <f>Draft!$O$7</f>
        <v>0.25</v>
      </c>
      <c r="G147" s="13"/>
      <c r="H147" s="13"/>
      <c r="I147" s="10"/>
      <c r="L147" s="460"/>
      <c r="M147" s="460"/>
      <c r="N147" s="460"/>
      <c r="O147" s="460"/>
      <c r="P147" s="460"/>
    </row>
    <row r="148" spans="1:16" ht="15.75" x14ac:dyDescent="0.25">
      <c r="A148" s="266" t="s">
        <v>594</v>
      </c>
      <c r="B148" s="10"/>
      <c r="C148" s="10"/>
      <c r="D148" s="10"/>
      <c r="E148" s="628">
        <f>Draft!$O$8</f>
        <v>2</v>
      </c>
      <c r="F148" s="393"/>
      <c r="G148" s="281"/>
      <c r="H148" s="281"/>
      <c r="I148" s="281"/>
      <c r="L148" s="460"/>
      <c r="M148" s="460"/>
      <c r="N148" s="460"/>
      <c r="O148" s="460"/>
      <c r="P148" s="460"/>
    </row>
    <row r="149" spans="1:16" ht="15.75" x14ac:dyDescent="0.25">
      <c r="A149" s="266" t="s">
        <v>94</v>
      </c>
      <c r="B149" s="10"/>
      <c r="C149" s="10"/>
      <c r="D149" s="10"/>
      <c r="E149" s="14" t="str">
        <f>Draft!$E$8</f>
        <v>No tide flow</v>
      </c>
      <c r="G149" s="13"/>
      <c r="H149" s="13"/>
      <c r="I149" s="10"/>
      <c r="L149" s="460"/>
      <c r="M149" s="460"/>
      <c r="N149" s="460"/>
      <c r="O149" s="460"/>
      <c r="P149" s="460"/>
    </row>
    <row r="150" spans="1:16" ht="15.75" x14ac:dyDescent="0.25">
      <c r="A150" s="266" t="s">
        <v>95</v>
      </c>
      <c r="B150" s="10"/>
      <c r="C150" s="10"/>
      <c r="D150" s="10"/>
      <c r="E150" s="14" t="str">
        <f>Draft!$E$7</f>
        <v>Fine</v>
      </c>
      <c r="G150" s="13"/>
      <c r="H150" s="13"/>
      <c r="I150" s="10"/>
      <c r="L150" s="460"/>
      <c r="M150" s="460"/>
      <c r="N150" s="460"/>
      <c r="O150" s="460"/>
      <c r="P150" s="460"/>
    </row>
    <row r="151" spans="1:16" ht="15.75" x14ac:dyDescent="0.25">
      <c r="A151" s="266"/>
      <c r="B151" s="10"/>
      <c r="C151" s="10"/>
      <c r="D151" s="10"/>
      <c r="E151" s="10"/>
      <c r="F151" s="13"/>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7" t="s">
        <v>693</v>
      </c>
      <c r="B153" s="10"/>
      <c r="C153" s="10"/>
      <c r="D153" s="10"/>
      <c r="E153" s="10"/>
      <c r="F153" s="13"/>
      <c r="G153" s="13"/>
      <c r="H153" s="13"/>
      <c r="I153" s="10"/>
      <c r="L153" s="460"/>
      <c r="M153" s="460"/>
      <c r="N153" s="460"/>
      <c r="O153" s="460"/>
      <c r="P153" s="460"/>
    </row>
    <row r="154" spans="1:16" ht="15.75" x14ac:dyDescent="0.25">
      <c r="A154" s="266"/>
      <c r="B154" s="10"/>
      <c r="C154" s="10"/>
      <c r="D154" s="10"/>
      <c r="E154" s="10"/>
      <c r="F154" s="13"/>
      <c r="G154" s="13"/>
      <c r="H154" s="13"/>
      <c r="I154" s="10"/>
      <c r="L154" s="460"/>
      <c r="M154" s="460"/>
      <c r="N154" s="460"/>
      <c r="O154" s="460"/>
      <c r="P154" s="460"/>
    </row>
    <row r="155" spans="1:16" ht="15.75" x14ac:dyDescent="0.25">
      <c r="A155" s="266" t="s">
        <v>91</v>
      </c>
      <c r="B155" s="10"/>
      <c r="C155" s="10"/>
      <c r="D155" s="10"/>
      <c r="E155" s="1171" t="str">
        <f>_xlfn.CONCAT(OrdinalDate(Draft!$X$4),", ",YEAR(Draft!$X$4)," from ",TEXT(Draft!$AH$4,"h:mm;@")," until ",TEXT(Draft!$AH$6,"h:mm;@")," hrs")</f>
        <v xml:space="preserve"> March 18th, 2026 from 7:30 until 9:30 hrs</v>
      </c>
      <c r="F155" s="1171"/>
      <c r="G155" s="1171"/>
      <c r="H155" s="1171"/>
      <c r="I155" s="1171"/>
      <c r="J155" s="1171"/>
      <c r="L155" s="460"/>
      <c r="M155" s="460"/>
      <c r="N155" s="460"/>
      <c r="O155" s="460"/>
      <c r="P155" s="460"/>
    </row>
    <row r="156" spans="1:16" ht="15.75" x14ac:dyDescent="0.25">
      <c r="A156" s="266" t="s">
        <v>92</v>
      </c>
      <c r="B156" s="10"/>
      <c r="C156" s="10"/>
      <c r="D156" s="10"/>
      <c r="E156" s="14" t="str">
        <f>CONCATENATE(Draft!$X$5," (",Draft!$AO$4," ",Draft!$AA$6,")")</f>
        <v>Paranaguá, Br - Brazil (wharf 212)</v>
      </c>
      <c r="G156" s="13"/>
      <c r="H156" s="13"/>
      <c r="I156" s="10"/>
      <c r="L156" s="460"/>
      <c r="M156" s="460"/>
      <c r="N156" s="460"/>
      <c r="O156" s="460"/>
      <c r="P156" s="460"/>
    </row>
    <row r="157" spans="1:16" ht="15.75" x14ac:dyDescent="0.25">
      <c r="A157" s="266" t="s">
        <v>93</v>
      </c>
      <c r="B157" s="10"/>
      <c r="C157" s="10"/>
      <c r="D157" s="10"/>
      <c r="E157" s="395">
        <f>Draft!$AH$7</f>
        <v>0.15</v>
      </c>
      <c r="G157" s="13"/>
      <c r="H157" s="13"/>
      <c r="I157" s="10"/>
      <c r="L157" s="460"/>
      <c r="M157" s="460"/>
      <c r="N157" s="460"/>
      <c r="O157" s="460"/>
      <c r="P157" s="460"/>
    </row>
    <row r="158" spans="1:16" ht="15.75" x14ac:dyDescent="0.25">
      <c r="A158" s="266" t="s">
        <v>594</v>
      </c>
      <c r="B158" s="10"/>
      <c r="C158" s="10"/>
      <c r="D158" s="10"/>
      <c r="E158" s="628">
        <f>Draft!$AH$8</f>
        <v>1</v>
      </c>
      <c r="G158" s="282"/>
      <c r="H158" s="282"/>
      <c r="I158" s="10"/>
      <c r="L158" s="456"/>
      <c r="M158" s="456"/>
      <c r="N158" s="456"/>
      <c r="O158" s="456"/>
      <c r="P158" s="456"/>
    </row>
    <row r="159" spans="1:16" ht="15.75" x14ac:dyDescent="0.25">
      <c r="A159" s="266" t="s">
        <v>94</v>
      </c>
      <c r="B159" s="10"/>
      <c r="C159" s="10"/>
      <c r="D159" s="10"/>
      <c r="E159" s="14" t="str">
        <f>Draft!$X$8</f>
        <v>Flood tide, &lt;1 knot</v>
      </c>
      <c r="G159" s="13"/>
      <c r="H159" s="13"/>
      <c r="I159" s="10"/>
      <c r="L159" s="456"/>
      <c r="M159" s="456"/>
      <c r="N159" s="456"/>
      <c r="O159" s="456"/>
      <c r="P159" s="456"/>
    </row>
    <row r="160" spans="1:16" ht="15.75" x14ac:dyDescent="0.25">
      <c r="A160" s="266" t="s">
        <v>95</v>
      </c>
      <c r="B160" s="10"/>
      <c r="C160" s="10"/>
      <c r="D160" s="10"/>
      <c r="E160" s="14" t="str">
        <f>Draft!$X$7</f>
        <v>Overcast</v>
      </c>
      <c r="G160" s="13"/>
      <c r="H160" s="13"/>
      <c r="I160" s="10"/>
      <c r="L160" s="456"/>
      <c r="M160" s="456"/>
      <c r="N160" s="456"/>
      <c r="O160" s="456"/>
      <c r="P160" s="456"/>
    </row>
    <row r="161" spans="1:21" ht="15.75" x14ac:dyDescent="0.25">
      <c r="A161" s="266"/>
      <c r="B161" s="10"/>
      <c r="C161" s="10"/>
      <c r="D161" s="10"/>
      <c r="E161" s="10"/>
      <c r="F161" s="13"/>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7" t="s">
        <v>96</v>
      </c>
      <c r="B163" s="10"/>
      <c r="C163" s="10"/>
      <c r="D163" s="10"/>
      <c r="E163" s="10"/>
      <c r="F163" s="13"/>
      <c r="G163" s="13"/>
      <c r="H163" s="13"/>
      <c r="I163" s="10"/>
      <c r="L163" s="456"/>
      <c r="M163" s="456"/>
      <c r="N163" s="456"/>
      <c r="O163" s="456"/>
      <c r="P163" s="456"/>
    </row>
    <row r="164" spans="1:21" ht="15.75" x14ac:dyDescent="0.25">
      <c r="A164" s="266"/>
      <c r="B164" s="10"/>
      <c r="C164" s="10"/>
      <c r="D164" s="10"/>
      <c r="E164" s="10"/>
      <c r="F164" s="13"/>
      <c r="G164" s="13"/>
      <c r="H164" s="13"/>
      <c r="I164" s="10"/>
      <c r="L164" s="456"/>
      <c r="M164" s="456"/>
      <c r="N164" s="456"/>
      <c r="O164" s="456"/>
      <c r="P164" s="456"/>
    </row>
    <row r="165" spans="1:21" ht="15.75" x14ac:dyDescent="0.25">
      <c r="A165" s="266" t="s">
        <v>97</v>
      </c>
      <c r="B165" s="10"/>
      <c r="C165" s="10"/>
      <c r="D165" s="10"/>
      <c r="E165" s="14" t="str">
        <f>CAPA!$B$6</f>
        <v>Soybeans in bulk</v>
      </c>
      <c r="G165" s="13"/>
      <c r="H165" s="13"/>
      <c r="I165" s="10"/>
      <c r="L165" s="456"/>
      <c r="M165" s="456"/>
      <c r="N165" s="456"/>
      <c r="O165" s="456"/>
      <c r="P165" s="456"/>
    </row>
    <row r="166" spans="1:21" ht="15.75" x14ac:dyDescent="0.25">
      <c r="A166" s="266" t="s">
        <v>98</v>
      </c>
      <c r="B166" s="10"/>
      <c r="C166" s="10"/>
      <c r="D166" s="10"/>
      <c r="E166" s="14" t="str">
        <f>_xlfn.CONCAT("Port of ",Draft!$E$5)</f>
        <v>Port of Paranaguá, Br - Brazil</v>
      </c>
      <c r="G166" s="13"/>
      <c r="H166" s="13"/>
      <c r="I166" s="10"/>
      <c r="L166" s="456"/>
      <c r="M166" s="456"/>
      <c r="N166" s="456"/>
      <c r="O166" s="456"/>
      <c r="P166" s="456"/>
    </row>
    <row r="167" spans="1:21" ht="15.75" x14ac:dyDescent="0.25">
      <c r="A167" s="266" t="s">
        <v>99</v>
      </c>
      <c r="B167" s="10"/>
      <c r="C167" s="10"/>
      <c r="D167" s="10"/>
      <c r="E167" s="14" t="str">
        <f>CAPA!$B$38</f>
        <v>One China Port</v>
      </c>
      <c r="G167" s="13"/>
      <c r="H167" s="13"/>
      <c r="I167" s="10"/>
      <c r="L167" s="456"/>
      <c r="M167" s="456"/>
      <c r="N167" s="456"/>
      <c r="O167" s="456"/>
      <c r="P167" s="456"/>
    </row>
    <row r="168" spans="1:21" ht="15.75" x14ac:dyDescent="0.25">
      <c r="A168" s="266" t="s">
        <v>100</v>
      </c>
      <c r="B168" s="10"/>
      <c r="C168" s="10"/>
      <c r="D168" s="10"/>
      <c r="E168" s="14" t="str">
        <f>CAPA!$B$36</f>
        <v>Wheat in bulk</v>
      </c>
      <c r="G168" s="13"/>
      <c r="H168" s="13"/>
      <c r="I168" s="10"/>
      <c r="L168" s="456"/>
      <c r="M168" s="457" t="s">
        <v>554</v>
      </c>
      <c r="N168" s="458" t="s">
        <v>314</v>
      </c>
      <c r="O168" s="459"/>
      <c r="P168" s="459"/>
      <c r="Q168" s="10"/>
      <c r="R168" s="10"/>
      <c r="S168" s="10"/>
      <c r="T168" s="10"/>
      <c r="U168" s="10"/>
    </row>
    <row r="169" spans="1:21" ht="15.75" x14ac:dyDescent="0.25">
      <c r="A169" s="266" t="s">
        <v>101</v>
      </c>
      <c r="B169" s="10"/>
      <c r="C169" s="10"/>
      <c r="D169" s="10"/>
      <c r="E169" s="14" t="str">
        <f>CAPA!$B$37</f>
        <v>Cai Mep, Vietnam</v>
      </c>
      <c r="G169" s="13"/>
      <c r="H169" s="13"/>
      <c r="I169" s="10"/>
      <c r="L169" s="456"/>
      <c r="M169" s="457" t="s">
        <v>555</v>
      </c>
      <c r="N169" s="458" t="s">
        <v>316</v>
      </c>
      <c r="O169" s="459"/>
      <c r="P169" s="459"/>
      <c r="Q169" s="10"/>
      <c r="R169" s="10"/>
      <c r="S169" s="10"/>
      <c r="T169" s="10"/>
      <c r="U169" s="10"/>
    </row>
    <row r="170" spans="1:21" ht="15.75" x14ac:dyDescent="0.25">
      <c r="A170" s="266"/>
      <c r="B170" s="10"/>
      <c r="C170" s="10"/>
      <c r="D170" s="10"/>
      <c r="E170" s="10"/>
      <c r="F170" s="13"/>
      <c r="G170" s="13"/>
      <c r="H170" s="13"/>
      <c r="I170" s="10"/>
      <c r="L170" s="456"/>
      <c r="M170" s="457" t="s">
        <v>556</v>
      </c>
      <c r="N170" s="458" t="s">
        <v>317</v>
      </c>
      <c r="O170" s="459"/>
      <c r="P170" s="459"/>
      <c r="Q170" s="10"/>
      <c r="R170" s="10"/>
      <c r="S170" s="10"/>
      <c r="T170" s="10"/>
      <c r="U170" s="10"/>
    </row>
    <row r="171" spans="1:21" ht="15.75" x14ac:dyDescent="0.25">
      <c r="A171" s="266"/>
      <c r="B171" s="10"/>
      <c r="C171" s="10"/>
      <c r="D171" s="10"/>
      <c r="E171" s="10"/>
      <c r="F171" s="10"/>
      <c r="G171" s="10"/>
      <c r="H171" s="10"/>
      <c r="I171" s="10"/>
      <c r="L171" s="456"/>
      <c r="M171" s="457" t="s">
        <v>557</v>
      </c>
      <c r="N171" s="458" t="s">
        <v>319</v>
      </c>
      <c r="O171" s="459"/>
      <c r="P171" s="459"/>
      <c r="Q171" s="10"/>
      <c r="R171" s="10"/>
      <c r="S171" s="10"/>
      <c r="T171" s="10"/>
      <c r="U171" s="10"/>
    </row>
    <row r="172" spans="1:21" ht="15.75" x14ac:dyDescent="0.25">
      <c r="A172" s="283" t="s">
        <v>102</v>
      </c>
      <c r="B172" s="283"/>
      <c r="C172" s="10"/>
      <c r="D172" s="10"/>
      <c r="E172" s="10"/>
      <c r="F172" s="10"/>
      <c r="G172" s="17"/>
      <c r="H172" s="840">
        <f>$I$232</f>
        <v>59000</v>
      </c>
      <c r="I172" s="840"/>
      <c r="J172" s="10" t="s">
        <v>103</v>
      </c>
      <c r="L172" s="456"/>
      <c r="M172" s="457" t="s">
        <v>558</v>
      </c>
      <c r="N172" s="458" t="s">
        <v>320</v>
      </c>
      <c r="O172" s="459"/>
      <c r="P172" s="459"/>
      <c r="Q172" s="10"/>
      <c r="R172" s="10"/>
      <c r="S172" s="10"/>
      <c r="T172" s="10"/>
      <c r="U172" s="10"/>
    </row>
    <row r="173" spans="1:21" ht="15.75" x14ac:dyDescent="0.25">
      <c r="A173" s="266"/>
      <c r="B173" s="10"/>
      <c r="C173" s="10"/>
      <c r="D173" s="10"/>
      <c r="E173" s="10"/>
      <c r="F173" s="10"/>
      <c r="G173" s="12"/>
      <c r="H173" s="10"/>
      <c r="I173" s="10"/>
      <c r="J173" s="10"/>
      <c r="L173" s="456"/>
      <c r="M173" s="457" t="s">
        <v>556</v>
      </c>
      <c r="N173" s="458" t="s">
        <v>321</v>
      </c>
      <c r="O173" s="459"/>
      <c r="P173" s="459"/>
      <c r="Q173" s="10"/>
      <c r="R173" s="10"/>
      <c r="S173" s="10"/>
      <c r="T173" s="10"/>
      <c r="U173" s="10"/>
    </row>
    <row r="174" spans="1:21" ht="15.75" x14ac:dyDescent="0.25">
      <c r="A174" s="283" t="s">
        <v>696</v>
      </c>
      <c r="B174" s="283"/>
      <c r="C174" s="13"/>
      <c r="D174" s="13" t="s">
        <v>104</v>
      </c>
      <c r="E174" s="10"/>
      <c r="G174" s="17"/>
      <c r="H174" s="840">
        <f>$I$233</f>
        <v>59130.201503480726</v>
      </c>
      <c r="I174" s="840"/>
      <c r="J174" s="10" t="s">
        <v>103</v>
      </c>
      <c r="L174" s="456"/>
      <c r="M174" s="457" t="s">
        <v>559</v>
      </c>
      <c r="N174" s="458" t="s">
        <v>322</v>
      </c>
      <c r="O174" s="459"/>
      <c r="P174" s="459"/>
      <c r="Q174" s="10"/>
      <c r="R174" s="10"/>
      <c r="S174" s="10"/>
      <c r="T174" s="10"/>
      <c r="U174" s="10"/>
    </row>
    <row r="175" spans="1:21" ht="15.75" x14ac:dyDescent="0.25">
      <c r="A175" s="284"/>
      <c r="B175" s="284"/>
      <c r="C175" s="14"/>
      <c r="D175" s="14" t="s">
        <v>105</v>
      </c>
      <c r="E175" s="10"/>
      <c r="G175" s="17"/>
      <c r="H175" s="840">
        <f>$H$237</f>
        <v>59018.563999999998</v>
      </c>
      <c r="I175" s="840"/>
      <c r="J175" s="10" t="s">
        <v>103</v>
      </c>
      <c r="L175" s="456"/>
      <c r="M175" s="456" t="s">
        <v>605</v>
      </c>
      <c r="N175" s="75" t="s">
        <v>63</v>
      </c>
      <c r="O175" s="456"/>
      <c r="P175" s="456"/>
    </row>
    <row r="176" spans="1:21" ht="15.75" x14ac:dyDescent="0.25">
      <c r="A176" s="284"/>
      <c r="B176" s="284"/>
      <c r="C176" s="13"/>
      <c r="D176" s="13" t="s">
        <v>106</v>
      </c>
      <c r="E176" s="13"/>
      <c r="G176" s="17"/>
      <c r="H176" s="840">
        <f>$H$238</f>
        <v>59023.142</v>
      </c>
      <c r="I176" s="840"/>
      <c r="J176" s="10" t="s">
        <v>103</v>
      </c>
      <c r="L176" s="456"/>
      <c r="M176" s="456" t="s">
        <v>606</v>
      </c>
      <c r="N176" s="75" t="s">
        <v>604</v>
      </c>
      <c r="O176" s="456"/>
      <c r="P176" s="456"/>
    </row>
    <row r="177" spans="1:16" ht="15.75" x14ac:dyDescent="0.25">
      <c r="A177" s="284"/>
      <c r="B177" s="284"/>
      <c r="C177" s="15"/>
      <c r="D177" s="15" t="str">
        <f>IFERROR(_xlfn.IFS(Draft!U84=N168,M168,Draft!U84=N169,M169,Draft!U84=N170,M170,Draft!U84=N171,M171,Draft!U84=N172,M172,Draft!U84=N173,M173,Draft!U84=N174,M174,Draft!U84=N175,M175,Draft!U84=N176,M176),"")</f>
        <v>CONSIGNEES SURVEYOR:</v>
      </c>
      <c r="E177" s="15"/>
      <c r="G177" s="17"/>
      <c r="H177" s="840">
        <f>Draft!$X$84</f>
        <v>59021.83</v>
      </c>
      <c r="I177" s="840"/>
      <c r="J177" s="10" t="s">
        <v>103</v>
      </c>
      <c r="L177" s="456"/>
      <c r="M177" s="456"/>
      <c r="N177" s="456"/>
      <c r="O177" s="456"/>
      <c r="P177" s="456"/>
    </row>
    <row r="178" spans="1:16" ht="15.75" x14ac:dyDescent="0.25">
      <c r="A178" s="284"/>
      <c r="B178" s="284"/>
      <c r="C178" s="15"/>
      <c r="D178" s="15" t="str">
        <f>IFERROR(_xlfn.IFS(Draft!U85=N168,M168,Draft!U85=N169,M169,Draft!U85=N170,M170,Draft!U85=N171,M171,Draft!U85=N172,M172,Draft!U85=N173,M173,Draft!U85=N174,M174,Draft!U85=N175,M175,Draft!U85=N176,M176),"")</f>
        <v/>
      </c>
      <c r="E178" s="15"/>
      <c r="G178" s="17"/>
      <c r="H178" s="840">
        <f>Draft!$X$85</f>
        <v>0</v>
      </c>
      <c r="I178" s="840"/>
      <c r="J178" s="10" t="s">
        <v>103</v>
      </c>
      <c r="L178" s="456"/>
      <c r="M178" s="456"/>
      <c r="N178" s="456"/>
      <c r="O178" s="456"/>
      <c r="P178" s="456"/>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840">
        <f>Draft!$X$86</f>
        <v>0</v>
      </c>
      <c r="I179" s="840"/>
      <c r="J179" s="10" t="s">
        <v>103</v>
      </c>
      <c r="L179" s="456"/>
      <c r="M179" s="456"/>
      <c r="N179" s="456"/>
      <c r="O179" s="456"/>
      <c r="P179" s="456"/>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840">
        <f>Draft!$X$87</f>
        <v>0</v>
      </c>
      <c r="I180" s="840"/>
      <c r="J180" s="10" t="s">
        <v>103</v>
      </c>
      <c r="L180" s="456"/>
      <c r="M180" s="456"/>
      <c r="N180" s="456"/>
      <c r="O180" s="456"/>
      <c r="P180" s="456"/>
    </row>
    <row r="181" spans="1:16" ht="15.75" x14ac:dyDescent="0.25">
      <c r="A181" s="284"/>
      <c r="B181" s="284"/>
      <c r="C181" s="285"/>
      <c r="D181" s="285"/>
      <c r="E181" s="285"/>
      <c r="F181" s="285"/>
      <c r="G181" s="11"/>
      <c r="H181" s="10"/>
      <c r="I181" s="10"/>
      <c r="L181" s="456"/>
      <c r="M181" s="456"/>
      <c r="N181" s="456"/>
      <c r="O181" s="456"/>
      <c r="P181" s="456"/>
    </row>
    <row r="182" spans="1:16" ht="7.5" customHeight="1" thickBot="1" x14ac:dyDescent="0.3">
      <c r="A182" s="294"/>
      <c r="B182" s="294"/>
      <c r="C182" s="295"/>
      <c r="D182" s="295"/>
      <c r="E182" s="295"/>
      <c r="F182" s="295"/>
      <c r="G182" s="296"/>
      <c r="H182" s="297"/>
      <c r="I182" s="298"/>
      <c r="J182" s="299"/>
      <c r="L182" s="456"/>
      <c r="M182" s="456"/>
      <c r="N182" s="456"/>
      <c r="O182" s="456"/>
      <c r="P182" s="456"/>
    </row>
    <row r="183" spans="1:16" ht="21" customHeight="1" thickBot="1" x14ac:dyDescent="0.45">
      <c r="A183" s="300"/>
      <c r="B183" s="297"/>
      <c r="C183" s="297"/>
      <c r="D183" s="297"/>
      <c r="E183" s="297"/>
      <c r="F183" s="301"/>
      <c r="G183" s="818" t="s">
        <v>107</v>
      </c>
      <c r="H183" s="819"/>
      <c r="I183" s="820" t="s">
        <v>108</v>
      </c>
      <c r="J183" s="821"/>
      <c r="L183" s="456"/>
      <c r="M183" s="456"/>
      <c r="N183" s="456"/>
      <c r="O183" s="456"/>
      <c r="P183" s="456"/>
    </row>
    <row r="184" spans="1:16" ht="14.1" customHeight="1" x14ac:dyDescent="0.25">
      <c r="A184" s="822" t="str">
        <f>$A$1</f>
        <v xml:space="preserve">M/V "Karlovasi" </v>
      </c>
      <c r="B184" s="823"/>
      <c r="C184" s="823"/>
      <c r="D184" s="823"/>
      <c r="E184" s="823"/>
      <c r="F184" s="824"/>
      <c r="G184" s="831" t="str">
        <f>_xlfn.CONCAT(Draft!$E$6," ",Draft!$H$6)</f>
        <v>Inner roads 6.1</v>
      </c>
      <c r="H184" s="831"/>
      <c r="I184" s="832" t="str">
        <f>_xlfn.CONCAT(Draft!$X$6," ",Draft!$AA$6)</f>
        <v>Wharf 212</v>
      </c>
      <c r="J184" s="833"/>
      <c r="L184" s="456"/>
      <c r="M184" s="456"/>
      <c r="N184" s="456"/>
      <c r="O184" s="456"/>
      <c r="P184" s="456"/>
    </row>
    <row r="185" spans="1:16" ht="14.1" customHeight="1" x14ac:dyDescent="0.25">
      <c r="A185" s="825"/>
      <c r="B185" s="826"/>
      <c r="C185" s="826"/>
      <c r="D185" s="826"/>
      <c r="E185" s="826"/>
      <c r="F185" s="827"/>
      <c r="G185" s="837" t="str">
        <f>_xlfn.CONCAT(TEXT(Draft!$E$4,"dd.mm.aaaa")," - ",TEXT(Draft!$O$5,"hh:mm")," h")</f>
        <v>15.03.2026 - 18:05 h</v>
      </c>
      <c r="H185" s="839"/>
      <c r="I185" s="837" t="str">
        <f>_xlfn.CONCAT(TEXT(Draft!$X$4,"dd.mm.aaaa")," - ",TEXT(Draft!$AH$5,"hh:mm")," h")</f>
        <v>18.03.2026 - 07:45 h</v>
      </c>
      <c r="J185" s="838"/>
      <c r="L185" s="456" t="str">
        <f>_xlfn.CONCAT(OrdinalDate(Draft!$X$4),", ",YEAR(Draft!$X$4))</f>
        <v xml:space="preserve"> March 18th, 2026</v>
      </c>
      <c r="M185" s="456"/>
      <c r="N185" s="456"/>
      <c r="O185" s="456"/>
      <c r="P185" s="456"/>
    </row>
    <row r="186" spans="1:16" ht="14.1" customHeight="1" x14ac:dyDescent="0.25">
      <c r="A186" s="828"/>
      <c r="B186" s="829"/>
      <c r="C186" s="829"/>
      <c r="D186" s="829"/>
      <c r="E186" s="829"/>
      <c r="F186" s="830"/>
      <c r="G186" s="834">
        <f>Draft!$O$7</f>
        <v>0.25</v>
      </c>
      <c r="H186" s="835"/>
      <c r="I186" s="834">
        <f>Draft!$AH$7</f>
        <v>0.15</v>
      </c>
      <c r="J186" s="836"/>
      <c r="L186" s="456"/>
      <c r="M186" s="456"/>
      <c r="N186" s="456"/>
      <c r="O186" s="456"/>
      <c r="P186" s="456"/>
    </row>
    <row r="187" spans="1:16" ht="14.1" customHeight="1" x14ac:dyDescent="0.25">
      <c r="A187" s="806" t="str">
        <f>_xlfn.CONCAT("IMO NO.  ",CAPA!$B$10)</f>
        <v>IMO NO.  9951783</v>
      </c>
      <c r="B187" s="807"/>
      <c r="C187" s="807" t="str">
        <f>_xlfn.CONCAT("FLAG:  ",CAPA!$B$14)</f>
        <v>FLAG:  Portuguese</v>
      </c>
      <c r="D187" s="807"/>
      <c r="E187" s="807" t="str">
        <f>_xlfn.CONCAT("BUILD:  ",CAPA!$B$9)</f>
        <v>BUILD:  2023</v>
      </c>
      <c r="F187" s="808"/>
      <c r="G187" s="809" t="str">
        <f>CONCATENATE("Wind force ",TEXT(Draft!$O$8,"00"))</f>
        <v>Wind force 02</v>
      </c>
      <c r="H187" s="810"/>
      <c r="I187" s="809" t="str">
        <f>CONCATENATE("Wind force ",TEXT(Draft!$AH$8,"00"))</f>
        <v>Wind force 01</v>
      </c>
      <c r="J187" s="810"/>
      <c r="L187" s="456"/>
      <c r="M187" s="456"/>
      <c r="N187" s="456"/>
      <c r="O187" s="456"/>
      <c r="P187" s="456"/>
    </row>
    <row r="188" spans="1:16" ht="14.1" customHeight="1" x14ac:dyDescent="0.25">
      <c r="A188" s="443" t="str">
        <f>IF(Draft!H84="NÃO","DRAUGHT SURVEY CERTIFICATE","FULL DISPLACEMENT SURVEY CERTIFICATE")</f>
        <v>DRAUGHT SURVEY CERTIFICATE</v>
      </c>
      <c r="B188" s="302"/>
      <c r="C188" s="302"/>
      <c r="D188" s="302"/>
      <c r="E188" s="302"/>
      <c r="F188" s="303"/>
      <c r="G188" s="809" t="str">
        <f>Draft!$E$8</f>
        <v>No tide flow</v>
      </c>
      <c r="H188" s="810"/>
      <c r="I188" s="809" t="str">
        <f>Draft!$X$8</f>
        <v>Flood tide, &lt;1 knot</v>
      </c>
      <c r="J188" s="811"/>
      <c r="L188" s="456"/>
      <c r="M188" s="456"/>
      <c r="N188" s="456"/>
      <c r="O188" s="456"/>
      <c r="P188" s="456"/>
    </row>
    <row r="189" spans="1:16" ht="14.1" customHeight="1" thickBot="1" x14ac:dyDescent="0.3">
      <c r="A189" s="444" t="str">
        <f>$G$3</f>
        <v>PGUA/DS/081/26</v>
      </c>
      <c r="B189" s="304"/>
      <c r="C189" s="304"/>
      <c r="D189" s="304"/>
      <c r="E189" s="304"/>
      <c r="F189" s="305"/>
      <c r="G189" s="814" t="str">
        <f>_xlfn.CONCAT("Weather:   ",Draft!$E$7)</f>
        <v>Weather:   Fine</v>
      </c>
      <c r="H189" s="815"/>
      <c r="I189" s="814" t="str">
        <f>_xlfn.CONCAT("Weather:   ",Draft!$X$7)</f>
        <v>Weather:   Overcast</v>
      </c>
      <c r="J189" s="1172"/>
      <c r="L189" s="456"/>
      <c r="M189" s="456"/>
      <c r="N189" s="456"/>
      <c r="O189" s="456"/>
      <c r="P189" s="456"/>
    </row>
    <row r="190" spans="1:16" ht="3.75" customHeight="1" thickBot="1" x14ac:dyDescent="0.3">
      <c r="A190" s="306"/>
      <c r="B190" s="306"/>
      <c r="C190" s="306"/>
      <c r="D190" s="306"/>
      <c r="E190" s="306"/>
      <c r="F190" s="307"/>
      <c r="G190" s="306"/>
      <c r="H190" s="306"/>
      <c r="I190" s="308"/>
      <c r="J190" s="309"/>
      <c r="L190" s="456"/>
      <c r="M190" s="456"/>
      <c r="N190" s="456"/>
      <c r="O190" s="456"/>
      <c r="P190" s="456"/>
    </row>
    <row r="191" spans="1:16" ht="12.95" customHeight="1" x14ac:dyDescent="0.25">
      <c r="A191" s="326" t="s">
        <v>697</v>
      </c>
      <c r="B191" s="336"/>
      <c r="C191" s="336"/>
      <c r="D191" s="336"/>
      <c r="E191" s="336"/>
      <c r="F191" s="337"/>
      <c r="G191" s="786" t="s">
        <v>109</v>
      </c>
      <c r="H191" s="787"/>
      <c r="I191" s="812" t="s">
        <v>110</v>
      </c>
      <c r="J191" s="813"/>
      <c r="L191" s="456"/>
      <c r="M191" s="456"/>
      <c r="N191" s="456"/>
      <c r="O191" s="456"/>
      <c r="P191" s="456"/>
    </row>
    <row r="192" spans="1:16" ht="12.95" customHeight="1" x14ac:dyDescent="0.25">
      <c r="A192" s="338" t="s">
        <v>111</v>
      </c>
      <c r="B192" s="312"/>
      <c r="C192" s="312"/>
      <c r="D192" s="312"/>
      <c r="E192" s="312"/>
      <c r="F192" s="313"/>
      <c r="G192" s="801">
        <f>Draft!$C$25</f>
        <v>5.05</v>
      </c>
      <c r="H192" s="802"/>
      <c r="I192" s="803">
        <f>Draft!$U$25</f>
        <v>13.06</v>
      </c>
      <c r="J192" s="804"/>
      <c r="L192" s="456"/>
      <c r="M192" s="456"/>
      <c r="N192" s="456"/>
      <c r="O192" s="456"/>
      <c r="P192" s="456"/>
    </row>
    <row r="193" spans="1:16" ht="12.95" customHeight="1" x14ac:dyDescent="0.25">
      <c r="A193" s="448" t="s">
        <v>112</v>
      </c>
      <c r="B193" s="315"/>
      <c r="C193" s="315"/>
      <c r="D193" s="315"/>
      <c r="E193" s="315"/>
      <c r="F193" s="316"/>
      <c r="G193" s="790">
        <f>Draft!$G$25</f>
        <v>5.07</v>
      </c>
      <c r="H193" s="791"/>
      <c r="I193" s="805">
        <f>Draft!$Y$25</f>
        <v>13.06</v>
      </c>
      <c r="J193" s="792"/>
      <c r="L193" s="456"/>
      <c r="M193" s="456"/>
      <c r="N193" s="456"/>
      <c r="O193" s="456"/>
      <c r="P193" s="456"/>
    </row>
    <row r="194" spans="1:16" ht="12.95" customHeight="1" x14ac:dyDescent="0.25">
      <c r="A194" s="339" t="s">
        <v>113</v>
      </c>
      <c r="B194" s="315"/>
      <c r="C194" s="315"/>
      <c r="D194" s="315"/>
      <c r="E194" s="315"/>
      <c r="F194" s="316"/>
      <c r="G194" s="790">
        <f>($G$192+$G$193)/2</f>
        <v>5.0600000000000005</v>
      </c>
      <c r="H194" s="791"/>
      <c r="I194" s="790">
        <f>($I$192+$I$193)/2</f>
        <v>13.06</v>
      </c>
      <c r="J194" s="792"/>
      <c r="L194" s="456"/>
      <c r="M194" s="456"/>
      <c r="N194" s="456"/>
      <c r="O194" s="456"/>
      <c r="P194" s="456"/>
    </row>
    <row r="195" spans="1:16" ht="12.95" customHeight="1" x14ac:dyDescent="0.25">
      <c r="A195" s="448" t="s">
        <v>114</v>
      </c>
      <c r="B195" s="314"/>
      <c r="C195" s="314"/>
      <c r="D195" s="314"/>
      <c r="E195" s="314"/>
      <c r="F195" s="317"/>
      <c r="G195" s="793">
        <f>Draft!$M$25</f>
        <v>-2.2500000000000853E-2</v>
      </c>
      <c r="H195" s="794"/>
      <c r="I195" s="795">
        <f>Draft!$AE$25</f>
        <v>-2.0000000000006679E-3</v>
      </c>
      <c r="J195" s="796"/>
      <c r="L195" s="456"/>
      <c r="M195" s="456"/>
      <c r="N195" s="456"/>
      <c r="O195" s="456"/>
      <c r="P195" s="456"/>
    </row>
    <row r="196" spans="1:16" ht="12.95" customHeight="1" x14ac:dyDescent="0.25">
      <c r="A196" s="330" t="s">
        <v>698</v>
      </c>
      <c r="B196" s="310"/>
      <c r="C196" s="310"/>
      <c r="D196" s="310"/>
      <c r="E196" s="310"/>
      <c r="F196" s="311"/>
      <c r="G196" s="797">
        <f>Draft!$P$25</f>
        <v>5.0374999999999996</v>
      </c>
      <c r="H196" s="798"/>
      <c r="I196" s="799">
        <f>Draft!$AH$25</f>
        <v>13.058</v>
      </c>
      <c r="J196" s="800"/>
      <c r="L196" s="456"/>
      <c r="M196" s="456"/>
      <c r="N196" s="456"/>
      <c r="O196" s="456"/>
      <c r="P196" s="456"/>
    </row>
    <row r="197" spans="1:16" ht="12.95" customHeight="1" x14ac:dyDescent="0.25">
      <c r="A197" s="338" t="s">
        <v>115</v>
      </c>
      <c r="B197" s="312"/>
      <c r="C197" s="312"/>
      <c r="D197" s="312"/>
      <c r="E197" s="312"/>
      <c r="F197" s="313"/>
      <c r="G197" s="801">
        <f>Draft!$C$26</f>
        <v>5.84</v>
      </c>
      <c r="H197" s="802"/>
      <c r="I197" s="803">
        <f>Draft!$U$26</f>
        <v>13.24</v>
      </c>
      <c r="J197" s="804"/>
      <c r="L197" s="456"/>
      <c r="M197" s="456"/>
      <c r="N197" s="456"/>
      <c r="O197" s="456"/>
      <c r="P197" s="456"/>
    </row>
    <row r="198" spans="1:16" ht="12.95" customHeight="1" x14ac:dyDescent="0.25">
      <c r="A198" s="448" t="s">
        <v>116</v>
      </c>
      <c r="B198" s="315"/>
      <c r="C198" s="315"/>
      <c r="D198" s="315"/>
      <c r="E198" s="315"/>
      <c r="F198" s="316"/>
      <c r="G198" s="790">
        <f>Draft!$G$26</f>
        <v>5.91</v>
      </c>
      <c r="H198" s="791"/>
      <c r="I198" s="805">
        <f>Draft!$Y$26</f>
        <v>13.22</v>
      </c>
      <c r="J198" s="792"/>
      <c r="L198" s="456"/>
      <c r="M198" s="456"/>
      <c r="N198" s="456"/>
      <c r="O198" s="456"/>
      <c r="P198" s="456"/>
    </row>
    <row r="199" spans="1:16" ht="12.95" customHeight="1" x14ac:dyDescent="0.25">
      <c r="A199" s="339" t="s">
        <v>117</v>
      </c>
      <c r="B199" s="315"/>
      <c r="C199" s="315"/>
      <c r="D199" s="315"/>
      <c r="E199" s="315"/>
      <c r="F199" s="316"/>
      <c r="G199" s="790">
        <f>($G$197+$G$198)/2</f>
        <v>5.875</v>
      </c>
      <c r="H199" s="791"/>
      <c r="I199" s="790">
        <f>($I$197+$I$198)/2</f>
        <v>13.23</v>
      </c>
      <c r="J199" s="792"/>
      <c r="L199" s="456"/>
      <c r="M199" s="456"/>
      <c r="N199" s="456"/>
      <c r="O199" s="456"/>
      <c r="P199" s="456"/>
    </row>
    <row r="200" spans="1:16" ht="12.95" customHeight="1" x14ac:dyDescent="0.25">
      <c r="A200" s="448" t="s">
        <v>118</v>
      </c>
      <c r="B200" s="314"/>
      <c r="C200" s="314"/>
      <c r="D200" s="314"/>
      <c r="E200" s="314"/>
      <c r="F200" s="317"/>
      <c r="G200" s="793">
        <f>Draft!$M$26</f>
        <v>0</v>
      </c>
      <c r="H200" s="794"/>
      <c r="I200" s="795">
        <f>Draft!$AE$26</f>
        <v>-5.0000000000061107E-4</v>
      </c>
      <c r="J200" s="796"/>
      <c r="L200" s="456"/>
      <c r="M200" s="456"/>
      <c r="N200" s="456"/>
      <c r="O200" s="456"/>
      <c r="P200" s="456"/>
    </row>
    <row r="201" spans="1:16" ht="12.95" customHeight="1" x14ac:dyDescent="0.25">
      <c r="A201" s="330" t="s">
        <v>699</v>
      </c>
      <c r="B201" s="310"/>
      <c r="C201" s="310"/>
      <c r="D201" s="310"/>
      <c r="E201" s="310"/>
      <c r="F201" s="311"/>
      <c r="G201" s="797">
        <f>Draft!$P$26</f>
        <v>5.875</v>
      </c>
      <c r="H201" s="798"/>
      <c r="I201" s="799">
        <f>Draft!$AH$26</f>
        <v>13.2295</v>
      </c>
      <c r="J201" s="800"/>
      <c r="L201" s="456"/>
      <c r="M201" s="456"/>
      <c r="N201" s="456"/>
      <c r="O201" s="456"/>
      <c r="P201" s="456"/>
    </row>
    <row r="202" spans="1:16" ht="12.95" customHeight="1" x14ac:dyDescent="0.25">
      <c r="A202" s="338" t="s">
        <v>119</v>
      </c>
      <c r="B202" s="312"/>
      <c r="C202" s="312"/>
      <c r="D202" s="312"/>
      <c r="E202" s="312"/>
      <c r="F202" s="313"/>
      <c r="G202" s="801">
        <f>Draft!$C$27</f>
        <v>6.84</v>
      </c>
      <c r="H202" s="802"/>
      <c r="I202" s="803">
        <f>Draft!$U$27</f>
        <v>13.23</v>
      </c>
      <c r="J202" s="804"/>
      <c r="L202" s="456"/>
      <c r="M202" s="456"/>
      <c r="N202" s="456"/>
      <c r="O202" s="456"/>
      <c r="P202" s="456"/>
    </row>
    <row r="203" spans="1:16" ht="12.95" customHeight="1" x14ac:dyDescent="0.25">
      <c r="A203" s="339" t="s">
        <v>120</v>
      </c>
      <c r="B203" s="315"/>
      <c r="C203" s="315"/>
      <c r="D203" s="315"/>
      <c r="E203" s="315"/>
      <c r="F203" s="316"/>
      <c r="G203" s="790">
        <f>Draft!$G$27</f>
        <v>6.84</v>
      </c>
      <c r="H203" s="791"/>
      <c r="I203" s="805">
        <f>Draft!$Y$27</f>
        <v>13.21</v>
      </c>
      <c r="J203" s="792"/>
      <c r="L203" s="456"/>
      <c r="M203" s="456"/>
      <c r="N203" s="456"/>
      <c r="O203" s="456"/>
      <c r="P203" s="456"/>
    </row>
    <row r="204" spans="1:16" ht="12.95" customHeight="1" x14ac:dyDescent="0.25">
      <c r="A204" s="339" t="s">
        <v>121</v>
      </c>
      <c r="B204" s="315"/>
      <c r="C204" s="315"/>
      <c r="D204" s="315"/>
      <c r="E204" s="315"/>
      <c r="F204" s="316"/>
      <c r="G204" s="790">
        <f>($G$202+$G$203)/2</f>
        <v>6.84</v>
      </c>
      <c r="H204" s="791"/>
      <c r="I204" s="790">
        <f>($I$202+$I$203)/2</f>
        <v>13.22</v>
      </c>
      <c r="J204" s="792"/>
      <c r="L204" s="456"/>
      <c r="M204" s="456"/>
      <c r="N204" s="456"/>
      <c r="O204" s="456"/>
      <c r="P204" s="456"/>
    </row>
    <row r="205" spans="1:16" ht="12.95" customHeight="1" x14ac:dyDescent="0.25">
      <c r="A205" s="448" t="s">
        <v>122</v>
      </c>
      <c r="B205" s="314"/>
      <c r="C205" s="314"/>
      <c r="D205" s="314"/>
      <c r="E205" s="314"/>
      <c r="F205" s="317"/>
      <c r="G205" s="793">
        <f>Draft!$M$27</f>
        <v>8.7800000000000544E-2</v>
      </c>
      <c r="H205" s="794"/>
      <c r="I205" s="795">
        <f>Draft!$AE$27</f>
        <v>7.899999999999352E-3</v>
      </c>
      <c r="J205" s="796"/>
      <c r="L205" s="456"/>
      <c r="M205" s="456"/>
      <c r="N205" s="456"/>
      <c r="O205" s="456"/>
      <c r="P205" s="456"/>
    </row>
    <row r="206" spans="1:16" ht="12.95" customHeight="1" x14ac:dyDescent="0.25">
      <c r="A206" s="330" t="s">
        <v>700</v>
      </c>
      <c r="B206" s="310"/>
      <c r="C206" s="310"/>
      <c r="D206" s="310"/>
      <c r="E206" s="310"/>
      <c r="F206" s="311"/>
      <c r="G206" s="797">
        <f>Draft!$P$27</f>
        <v>6.9278000000000004</v>
      </c>
      <c r="H206" s="798"/>
      <c r="I206" s="799">
        <f>Draft!$AH$27</f>
        <v>13.2279</v>
      </c>
      <c r="J206" s="800"/>
      <c r="L206" s="456"/>
      <c r="M206" s="456"/>
      <c r="N206" s="456"/>
      <c r="O206" s="456"/>
      <c r="P206" s="456"/>
    </row>
    <row r="207" spans="1:16" ht="12.95" customHeight="1" thickBot="1" x14ac:dyDescent="0.3">
      <c r="A207" s="449" t="s">
        <v>123</v>
      </c>
      <c r="B207" s="318"/>
      <c r="C207" s="318"/>
      <c r="D207" s="318"/>
      <c r="E207" s="318"/>
      <c r="F207" s="319"/>
      <c r="G207" s="779">
        <f>Draft!$O$20+Draft!$H$18</f>
        <v>0</v>
      </c>
      <c r="H207" s="780"/>
      <c r="I207" s="781">
        <f>$G$207</f>
        <v>0</v>
      </c>
      <c r="J207" s="782"/>
      <c r="L207" s="456"/>
      <c r="M207" s="456"/>
      <c r="N207" s="456"/>
      <c r="O207" s="456"/>
      <c r="P207" s="456"/>
    </row>
    <row r="208" spans="1:16" ht="12.95" customHeight="1" thickBot="1" x14ac:dyDescent="0.3">
      <c r="A208" s="450" t="s">
        <v>124</v>
      </c>
      <c r="B208" s="320"/>
      <c r="C208" s="320"/>
      <c r="D208" s="320"/>
      <c r="E208" s="320"/>
      <c r="F208" s="321"/>
      <c r="G208" s="783">
        <f>Draft!$K$31</f>
        <v>5.9019124999999999</v>
      </c>
      <c r="H208" s="784"/>
      <c r="I208" s="783">
        <f>Draft!$AC$31</f>
        <v>13.207862500000001</v>
      </c>
      <c r="J208" s="785"/>
      <c r="L208" s="456"/>
      <c r="M208" s="456"/>
      <c r="N208" s="456"/>
      <c r="O208" s="456"/>
      <c r="P208" s="456"/>
    </row>
    <row r="209" spans="1:16" ht="3.75" customHeight="1" thickBot="1" x14ac:dyDescent="0.3">
      <c r="A209" s="455"/>
      <c r="B209" s="322"/>
      <c r="C209" s="322"/>
      <c r="D209" s="322"/>
      <c r="E209" s="322"/>
      <c r="F209" s="322"/>
      <c r="G209" s="323"/>
      <c r="H209" s="324"/>
      <c r="I209" s="325"/>
      <c r="J209" s="351"/>
      <c r="L209" s="456"/>
      <c r="M209" s="456"/>
      <c r="N209" s="456"/>
      <c r="O209" s="456"/>
      <c r="P209" s="456"/>
    </row>
    <row r="210" spans="1:16" ht="12.95" customHeight="1" x14ac:dyDescent="0.25">
      <c r="A210" s="326" t="s">
        <v>125</v>
      </c>
      <c r="B210" s="327"/>
      <c r="C210" s="327"/>
      <c r="D210" s="327"/>
      <c r="E210" s="327"/>
      <c r="F210" s="328"/>
      <c r="G210" s="329" t="str">
        <f>IF(G206=0,"",IF(G206&gt;G196,"BY STERN","BY HEAD"))</f>
        <v>BY STERN</v>
      </c>
      <c r="H210" s="396">
        <f>Draft!$P$29</f>
        <v>1.8903000000000008</v>
      </c>
      <c r="I210" s="329" t="str">
        <f>IF(I206=0,"",IF(I206&gt;I196,"BY STERN","BY HEAD"))</f>
        <v>BY STERN</v>
      </c>
      <c r="J210" s="445">
        <f>Draft!$AH$29</f>
        <v>0.16990000000000016</v>
      </c>
      <c r="L210" s="456"/>
      <c r="M210" s="456"/>
      <c r="N210" s="456"/>
      <c r="O210" s="456"/>
      <c r="P210" s="456"/>
    </row>
    <row r="211" spans="1:16" ht="12.95" customHeight="1" x14ac:dyDescent="0.25">
      <c r="A211" s="330" t="s">
        <v>126</v>
      </c>
      <c r="B211" s="331"/>
      <c r="C211" s="331"/>
      <c r="D211" s="331"/>
      <c r="E211" s="331"/>
      <c r="F211" s="332"/>
      <c r="G211" s="333" t="str">
        <f>_xlfn.CONCAT(Draft!$P$35," ",TEXT(Draft!$M$35,"0.00")," º")</f>
        <v>S 0.12 º</v>
      </c>
      <c r="H211" s="397">
        <f>Draft!$G$35</f>
        <v>7</v>
      </c>
      <c r="I211" s="333" t="str">
        <f>_xlfn.CONCAT(Draft!$AH$35," ",TEXT(Draft!$AE$35,"0.00")," º")</f>
        <v>P 0.04 º</v>
      </c>
      <c r="J211" s="446">
        <f>Draft!$Y$35</f>
        <v>2</v>
      </c>
      <c r="L211" s="456"/>
      <c r="M211" s="456"/>
      <c r="N211" s="456"/>
      <c r="O211" s="456"/>
      <c r="P211" s="456"/>
    </row>
    <row r="212" spans="1:16" ht="12.95" customHeight="1" thickBot="1" x14ac:dyDescent="0.3">
      <c r="A212" s="334" t="s">
        <v>128</v>
      </c>
      <c r="B212" s="299"/>
      <c r="C212" s="299"/>
      <c r="D212" s="299"/>
      <c r="E212" s="299"/>
      <c r="F212" s="335"/>
      <c r="G212" s="399" t="str">
        <f>Draft!$M$33</f>
        <v>HOGGING</v>
      </c>
      <c r="H212" s="398">
        <f>Draft!$G$33</f>
        <v>10.764999999999958</v>
      </c>
      <c r="I212" s="399" t="str">
        <f>Draft!$AE$33</f>
        <v>SAGGING</v>
      </c>
      <c r="J212" s="447">
        <f>Draft!$Y$33</f>
        <v>8.6550000000000793</v>
      </c>
      <c r="L212" s="456"/>
      <c r="M212" s="456"/>
      <c r="N212" s="456"/>
      <c r="O212" s="456"/>
      <c r="P212" s="456"/>
    </row>
    <row r="213" spans="1:16" ht="3.75" customHeight="1" thickBot="1" x14ac:dyDescent="0.3">
      <c r="A213" s="314"/>
      <c r="B213" s="314"/>
      <c r="C213" s="314"/>
      <c r="D213" s="314"/>
      <c r="E213" s="314"/>
      <c r="F213" s="314"/>
      <c r="G213" s="314"/>
      <c r="H213" s="314"/>
      <c r="I213" s="325"/>
      <c r="J213" s="309"/>
      <c r="L213" s="456"/>
      <c r="M213" s="456"/>
      <c r="N213" s="456"/>
      <c r="O213" s="456"/>
      <c r="P213" s="456"/>
    </row>
    <row r="214" spans="1:16" ht="12.95" customHeight="1" x14ac:dyDescent="0.25">
      <c r="A214" s="326" t="s">
        <v>129</v>
      </c>
      <c r="B214" s="336"/>
      <c r="C214" s="336"/>
      <c r="D214" s="336"/>
      <c r="E214" s="336"/>
      <c r="F214" s="337"/>
      <c r="G214" s="786" t="s">
        <v>109</v>
      </c>
      <c r="H214" s="787"/>
      <c r="I214" s="788" t="s">
        <v>110</v>
      </c>
      <c r="J214" s="789"/>
      <c r="L214" s="456"/>
      <c r="M214" s="456"/>
      <c r="N214" s="456"/>
      <c r="O214" s="456"/>
      <c r="P214" s="456"/>
    </row>
    <row r="215" spans="1:16" ht="12.95" customHeight="1" x14ac:dyDescent="0.25">
      <c r="A215" s="338" t="s">
        <v>130</v>
      </c>
      <c r="B215" s="312"/>
      <c r="C215" s="312"/>
      <c r="D215" s="312"/>
      <c r="E215" s="312"/>
      <c r="F215" s="313"/>
      <c r="G215" s="773">
        <f>Draft!$J$43</f>
        <v>30570.52</v>
      </c>
      <c r="H215" s="774"/>
      <c r="I215" s="773">
        <f>Draft!$AB$43</f>
        <v>73539.28</v>
      </c>
      <c r="J215" s="775"/>
      <c r="L215" s="456"/>
      <c r="M215" s="456"/>
      <c r="N215" s="456"/>
      <c r="O215" s="456"/>
      <c r="P215" s="456"/>
    </row>
    <row r="216" spans="1:16" ht="12.95" customHeight="1" x14ac:dyDescent="0.25">
      <c r="A216" s="339" t="s">
        <v>131</v>
      </c>
      <c r="B216" s="315"/>
      <c r="C216" s="315"/>
      <c r="D216" s="315"/>
      <c r="E216" s="315"/>
      <c r="F216" s="316"/>
      <c r="G216" s="776">
        <f>Draft!$H$57</f>
        <v>-329.31848951189363</v>
      </c>
      <c r="H216" s="777"/>
      <c r="I216" s="776">
        <f>Draft!$Z$57</f>
        <v>18.800838370522019</v>
      </c>
      <c r="J216" s="778"/>
      <c r="L216" s="456"/>
      <c r="M216" s="456"/>
      <c r="N216" s="456"/>
      <c r="O216" s="456"/>
      <c r="P216" s="456"/>
    </row>
    <row r="217" spans="1:16" ht="12.95" customHeight="1" x14ac:dyDescent="0.25">
      <c r="A217" s="339" t="s">
        <v>132</v>
      </c>
      <c r="B217" s="315"/>
      <c r="C217" s="315"/>
      <c r="D217" s="315"/>
      <c r="E217" s="315"/>
      <c r="F217" s="316"/>
      <c r="G217" s="776">
        <f>Draft!$H$58</f>
        <v>27.978752086489294</v>
      </c>
      <c r="H217" s="777"/>
      <c r="I217" s="776">
        <f>Draft!$Z$58</f>
        <v>4.3579697799385787E-2</v>
      </c>
      <c r="J217" s="778"/>
      <c r="L217" s="456"/>
      <c r="M217" s="456"/>
      <c r="N217" s="456"/>
      <c r="O217" s="456"/>
      <c r="P217" s="456"/>
    </row>
    <row r="218" spans="1:16" ht="12.95" customHeight="1" x14ac:dyDescent="0.25">
      <c r="A218" s="339" t="s">
        <v>133</v>
      </c>
      <c r="B218" s="315"/>
      <c r="C218" s="315"/>
      <c r="D218" s="315"/>
      <c r="E218" s="315"/>
      <c r="F218" s="316"/>
      <c r="G218" s="767">
        <f>Draft!$H$61</f>
        <v>30269.180262574595</v>
      </c>
      <c r="H218" s="768"/>
      <c r="I218" s="767">
        <f>Draft!$Z$61</f>
        <v>73558.124418068313</v>
      </c>
      <c r="J218" s="769"/>
      <c r="L218" s="456"/>
      <c r="M218" s="456"/>
      <c r="N218" s="456"/>
      <c r="O218" s="456"/>
      <c r="P218" s="456"/>
    </row>
    <row r="219" spans="1:16" ht="12.95" customHeight="1" x14ac:dyDescent="0.25">
      <c r="A219" s="339" t="s">
        <v>134</v>
      </c>
      <c r="B219" s="315"/>
      <c r="C219" s="315"/>
      <c r="D219" s="315"/>
      <c r="E219" s="315"/>
      <c r="F219" s="316"/>
      <c r="G219" s="770">
        <f>Draft!$H$62</f>
        <v>1.0155000000000001</v>
      </c>
      <c r="H219" s="771"/>
      <c r="I219" s="770">
        <f>Draft!$Z$62</f>
        <v>1.0135000000000001</v>
      </c>
      <c r="J219" s="772"/>
      <c r="L219" s="456"/>
      <c r="M219" s="456"/>
      <c r="N219" s="456"/>
      <c r="O219" s="456"/>
      <c r="P219" s="456"/>
    </row>
    <row r="220" spans="1:16" ht="12.95" customHeight="1" x14ac:dyDescent="0.25">
      <c r="A220" s="339" t="s">
        <v>701</v>
      </c>
      <c r="B220" s="315"/>
      <c r="C220" s="315"/>
      <c r="D220" s="315"/>
      <c r="E220" s="315"/>
      <c r="F220" s="316"/>
      <c r="G220" s="767">
        <f>Draft!$H$63</f>
        <v>29988.636640628785</v>
      </c>
      <c r="H220" s="768"/>
      <c r="I220" s="767">
        <f>Draft!$Z$63</f>
        <v>72732.838144109512</v>
      </c>
      <c r="J220" s="769"/>
      <c r="L220" s="456"/>
      <c r="M220" s="456"/>
      <c r="N220" s="456"/>
      <c r="O220" s="456"/>
      <c r="P220" s="456"/>
    </row>
    <row r="221" spans="1:16" ht="12.95" customHeight="1" thickBot="1" x14ac:dyDescent="0.3">
      <c r="A221" s="340" t="s">
        <v>702</v>
      </c>
      <c r="B221" s="341"/>
      <c r="C221" s="341"/>
      <c r="D221" s="341"/>
      <c r="E221" s="341"/>
      <c r="F221" s="342"/>
      <c r="G221" s="757">
        <f>Draft!$H$72</f>
        <v>18002.900000000001</v>
      </c>
      <c r="H221" s="758"/>
      <c r="I221" s="757">
        <f>Draft!$AF$72</f>
        <v>1594.9999999999998</v>
      </c>
      <c r="J221" s="759"/>
      <c r="L221" s="456"/>
      <c r="M221" s="456"/>
      <c r="N221" s="456"/>
      <c r="O221" s="456"/>
      <c r="P221" s="456"/>
    </row>
    <row r="222" spans="1:16" ht="12.95" customHeight="1" thickBot="1" x14ac:dyDescent="0.3">
      <c r="A222" s="619" t="s">
        <v>703</v>
      </c>
      <c r="B222" s="620"/>
      <c r="C222" s="620"/>
      <c r="D222" s="620"/>
      <c r="E222" s="620"/>
      <c r="F222" s="620"/>
      <c r="G222" s="760">
        <f>Draft!$H$74</f>
        <v>11985.736640628784</v>
      </c>
      <c r="H222" s="761"/>
      <c r="I222" s="760">
        <f>Draft!$Z$74</f>
        <v>71137.838144109512</v>
      </c>
      <c r="J222" s="762"/>
      <c r="K222" s="451"/>
      <c r="L222" s="456"/>
      <c r="M222" s="456"/>
      <c r="N222" s="456"/>
      <c r="O222" s="456"/>
      <c r="P222" s="456"/>
    </row>
    <row r="223" spans="1:16" ht="12.95" customHeight="1" x14ac:dyDescent="0.25">
      <c r="A223" s="343" t="s">
        <v>608</v>
      </c>
      <c r="B223" s="344"/>
      <c r="C223" s="344"/>
      <c r="D223" s="344"/>
      <c r="E223" s="344"/>
      <c r="F223" s="345"/>
      <c r="G223" s="763">
        <f>Draft!$H$75</f>
        <v>11774</v>
      </c>
      <c r="H223" s="764"/>
      <c r="I223" s="346"/>
      <c r="J223" s="347"/>
      <c r="L223" s="456"/>
      <c r="M223" s="456"/>
      <c r="N223" s="456"/>
      <c r="O223" s="456"/>
      <c r="P223" s="456"/>
    </row>
    <row r="224" spans="1:16" ht="12.95" customHeight="1" x14ac:dyDescent="0.25">
      <c r="A224" s="348" t="str">
        <f>IF(Draft!H84="NÃO","Calculated constant","Declared constant")</f>
        <v>Calculated constant</v>
      </c>
      <c r="B224" s="349"/>
      <c r="C224" s="349"/>
      <c r="D224" s="349"/>
      <c r="E224" s="349"/>
      <c r="F224" s="350"/>
      <c r="G224" s="765">
        <f>Draft!$H$77</f>
        <v>233.63664062878343</v>
      </c>
      <c r="H224" s="766"/>
      <c r="I224" s="325"/>
      <c r="J224" s="351"/>
      <c r="L224" s="456"/>
      <c r="M224" s="456"/>
      <c r="N224" s="456"/>
      <c r="O224" s="456"/>
      <c r="P224" s="456"/>
    </row>
    <row r="225" spans="1:16" ht="12.95" customHeight="1" x14ac:dyDescent="0.25">
      <c r="A225" s="352" t="s">
        <v>704</v>
      </c>
      <c r="B225" s="353"/>
      <c r="C225" s="353"/>
      <c r="D225" s="353"/>
      <c r="E225" s="353"/>
      <c r="F225" s="354"/>
      <c r="G225" s="746">
        <f>Draft!$H$76</f>
        <v>21.9</v>
      </c>
      <c r="H225" s="747"/>
      <c r="I225" s="746">
        <f>Draft!$Z$76</f>
        <v>0</v>
      </c>
      <c r="J225" s="748"/>
      <c r="L225" s="456"/>
      <c r="M225" s="456"/>
      <c r="N225" s="456"/>
      <c r="O225" s="456"/>
      <c r="P225" s="456"/>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749">
        <f>Draft!$Z$77</f>
        <v>59130.201503480726</v>
      </c>
      <c r="J226" s="750"/>
      <c r="L226" s="456"/>
      <c r="M226" s="456"/>
      <c r="N226" s="456"/>
      <c r="O226" s="456"/>
      <c r="P226" s="456"/>
    </row>
    <row r="227" spans="1:16" ht="3.75" customHeight="1" thickBot="1" x14ac:dyDescent="0.3">
      <c r="A227" s="306"/>
      <c r="B227" s="306"/>
      <c r="C227" s="306"/>
      <c r="D227" s="306"/>
      <c r="E227" s="306"/>
      <c r="F227" s="306"/>
      <c r="G227" s="306"/>
      <c r="H227" s="306"/>
      <c r="I227" s="308"/>
      <c r="J227" s="309"/>
      <c r="L227" s="456"/>
      <c r="M227" s="456"/>
      <c r="N227" s="456"/>
      <c r="O227" s="456"/>
      <c r="P227" s="456"/>
    </row>
    <row r="228" spans="1:16" ht="12.95" customHeight="1" x14ac:dyDescent="0.25">
      <c r="A228" s="359" t="str">
        <f>_xlfn.CONCAT("Loading terminals: ",CAPA!E58,CAPA!E59,CAPA!E60,CAPA!E61,CAPA!E62,CAPA!E63,CAPA!E64,CAPA!E65,CAPA!E66,CAPA!E67,CAPA!E68,CAPA!E69,CAPA!E70,CAPA!E71,".")</f>
        <v>Loading terminals: AG, CB, CT, AL, RO, BTG 2 V, .</v>
      </c>
      <c r="B228" s="360"/>
      <c r="C228" s="360"/>
      <c r="D228" s="360"/>
      <c r="E228" s="360"/>
      <c r="F228" s="634"/>
      <c r="G228" s="9" t="s">
        <v>135</v>
      </c>
      <c r="H228" s="403">
        <f>Draft!$J$47</f>
        <v>55.103999999999999</v>
      </c>
      <c r="I228" s="9" t="s">
        <v>135</v>
      </c>
      <c r="J228" s="452">
        <f>Draft!$AB$47</f>
        <v>61.4</v>
      </c>
      <c r="L228" s="456"/>
      <c r="M228" s="456"/>
      <c r="N228" s="456"/>
      <c r="O228" s="456"/>
      <c r="P228" s="456"/>
    </row>
    <row r="229" spans="1:16" ht="12.95" customHeight="1" x14ac:dyDescent="0.25">
      <c r="A229" s="400" t="str">
        <f>_xlfn.CONCAT("Cargo: ",CAPA!B6)</f>
        <v>Cargo: Soybeans in bulk</v>
      </c>
      <c r="B229" s="402"/>
      <c r="C229" s="402"/>
      <c r="D229" s="402"/>
      <c r="E229" s="402"/>
      <c r="F229" s="401"/>
      <c r="G229" s="361" t="s">
        <v>141</v>
      </c>
      <c r="H229" s="404">
        <f>Draft!$J$53</f>
        <v>688.4</v>
      </c>
      <c r="I229" s="361" t="s">
        <v>141</v>
      </c>
      <c r="J229" s="453">
        <f>Draft!$AB$53</f>
        <v>923.3</v>
      </c>
      <c r="L229" s="456"/>
      <c r="M229" s="456"/>
      <c r="N229" s="456"/>
      <c r="O229" s="456"/>
      <c r="P229" s="456"/>
    </row>
    <row r="230" spans="1:16" ht="12.95" customHeight="1" thickBot="1" x14ac:dyDescent="0.3">
      <c r="A230" s="1173" t="str">
        <f>CONCATENATE(Draft!$E$5,". ",$L$185)</f>
        <v>Paranaguá, Br - Brazil.  March 18th, 2026</v>
      </c>
      <c r="B230" s="1174"/>
      <c r="C230" s="1174"/>
      <c r="D230" s="1174"/>
      <c r="E230" s="1174"/>
      <c r="F230" s="1175"/>
      <c r="G230" s="362" t="s">
        <v>142</v>
      </c>
      <c r="H230" s="405">
        <f>Draft!$J$54</f>
        <v>657.8</v>
      </c>
      <c r="I230" s="362" t="s">
        <v>142</v>
      </c>
      <c r="J230" s="454">
        <f>Draft!$AB$54</f>
        <v>917.4</v>
      </c>
      <c r="L230" s="456"/>
      <c r="M230" s="456"/>
      <c r="N230" s="456"/>
      <c r="O230" s="456"/>
      <c r="P230" s="456"/>
    </row>
    <row r="231" spans="1:16" ht="3.75" customHeight="1" thickBot="1" x14ac:dyDescent="0.3">
      <c r="A231" s="363"/>
      <c r="B231" s="364"/>
      <c r="C231" s="364"/>
      <c r="D231" s="364"/>
      <c r="E231" s="364"/>
      <c r="F231" s="365"/>
      <c r="G231" s="365"/>
      <c r="H231" s="365"/>
      <c r="I231" s="365"/>
      <c r="J231" s="309"/>
      <c r="L231" s="456"/>
      <c r="M231" s="456"/>
      <c r="N231" s="456"/>
      <c r="O231" s="456"/>
      <c r="P231" s="456"/>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754">
        <f>Draft!$Z$78</f>
        <v>59000</v>
      </c>
      <c r="J232" s="755"/>
      <c r="L232" s="456"/>
      <c r="M232" s="456"/>
      <c r="N232" s="456"/>
      <c r="O232" s="456"/>
      <c r="P232" s="456"/>
    </row>
    <row r="233" spans="1:16" ht="12.95" customHeight="1" x14ac:dyDescent="0.25">
      <c r="A233" s="370" t="str">
        <f>A226</f>
        <v>Total cargo loaded on board as per draught survey</v>
      </c>
      <c r="B233" s="621"/>
      <c r="C233" s="621"/>
      <c r="D233" s="621"/>
      <c r="E233" s="621"/>
      <c r="F233" s="621"/>
      <c r="G233" s="622"/>
      <c r="H233" s="623"/>
      <c r="I233" s="741">
        <f>Draft!$Z$77</f>
        <v>59130.201503480726</v>
      </c>
      <c r="J233" s="742"/>
      <c r="L233" s="456"/>
      <c r="M233" s="456"/>
      <c r="N233" s="456"/>
      <c r="O233" s="456"/>
      <c r="P233" s="456"/>
    </row>
    <row r="234" spans="1:16" ht="12.95" customHeight="1" thickBot="1" x14ac:dyDescent="0.3">
      <c r="A234" s="624" t="str">
        <f>IF($G$234&gt;0,"Surplus","Shortage")</f>
        <v>Surplus</v>
      </c>
      <c r="B234" s="371"/>
      <c r="C234" s="371"/>
      <c r="D234" s="371"/>
      <c r="E234" s="371"/>
      <c r="F234" s="371"/>
      <c r="G234" s="743">
        <f>$I$233-$I$232</f>
        <v>130.20150348072639</v>
      </c>
      <c r="H234" s="743"/>
      <c r="I234" s="744">
        <f>($G$234/$I$232)*100</f>
        <v>0.22068051437411254</v>
      </c>
      <c r="J234" s="745"/>
      <c r="L234" s="456"/>
      <c r="M234" s="456"/>
      <c r="N234" s="456"/>
      <c r="O234" s="456"/>
      <c r="P234" s="456"/>
    </row>
    <row r="235" spans="1:16" ht="30" customHeight="1" thickTop="1" x14ac:dyDescent="0.25">
      <c r="A235" s="372"/>
      <c r="B235" s="372"/>
      <c r="C235" s="372"/>
      <c r="D235" s="372"/>
      <c r="E235" s="372"/>
      <c r="F235" s="372"/>
      <c r="G235" s="372"/>
      <c r="H235" s="372"/>
      <c r="I235" s="308"/>
      <c r="J235" s="309"/>
      <c r="L235" s="456"/>
      <c r="M235" s="456"/>
      <c r="N235" s="456"/>
      <c r="O235" s="456"/>
      <c r="P235" s="456"/>
    </row>
    <row r="236" spans="1:16" ht="12.95" customHeight="1" x14ac:dyDescent="0.25">
      <c r="A236" s="10"/>
      <c r="B236" s="10"/>
      <c r="C236" s="10"/>
      <c r="D236" s="10"/>
      <c r="E236" s="10"/>
      <c r="F236" s="10"/>
      <c r="G236" s="10"/>
      <c r="H236" s="10"/>
      <c r="I236" s="10"/>
      <c r="L236" s="456"/>
      <c r="M236" s="456"/>
      <c r="N236" s="456"/>
      <c r="O236" s="456"/>
      <c r="P236" s="456"/>
    </row>
    <row r="237" spans="1:16" ht="12.95" customHeight="1" x14ac:dyDescent="0.25">
      <c r="A237" s="413" t="s">
        <v>137</v>
      </c>
      <c r="B237" s="413"/>
      <c r="C237" s="413"/>
      <c r="D237" s="413"/>
      <c r="E237" s="413"/>
      <c r="F237" s="414"/>
      <c r="G237" s="415" t="s">
        <v>138</v>
      </c>
      <c r="H237" s="582">
        <f>Draft!$X$82</f>
        <v>59018.563999999998</v>
      </c>
      <c r="I237" s="583">
        <f>H237-I232</f>
        <v>18.563999999998487</v>
      </c>
      <c r="J237" s="627">
        <f>IFERROR((I237/I232)*100,"")</f>
        <v>3.1464406779658449E-2</v>
      </c>
      <c r="L237" s="456"/>
      <c r="M237" s="456"/>
      <c r="N237" s="456"/>
      <c r="O237" s="456"/>
      <c r="P237" s="456"/>
    </row>
    <row r="238" spans="1:16" ht="12.95" customHeight="1" x14ac:dyDescent="0.25">
      <c r="A238" s="416" t="str">
        <f>_xlfn.CONCAT("José Antonio Machado Gomes Pereira"," / ",CAPA!A97)</f>
        <v>José Antonio Machado Gomes Pereira / Haroldo Fernandes Alves Junior</v>
      </c>
      <c r="B238" s="416"/>
      <c r="C238" s="416"/>
      <c r="D238" s="416"/>
      <c r="E238" s="416"/>
      <c r="F238" s="414"/>
      <c r="G238" s="415" t="s">
        <v>139</v>
      </c>
      <c r="H238" s="582">
        <f>Draft!$X$83</f>
        <v>59023.142</v>
      </c>
      <c r="I238" s="583">
        <f>H238-I232</f>
        <v>23.141999999999825</v>
      </c>
      <c r="J238" s="627">
        <f>IFERROR((I238/I232)*100,"")</f>
        <v>3.9223728813559025E-2</v>
      </c>
      <c r="L238" s="456"/>
      <c r="M238" s="456"/>
      <c r="N238" s="456"/>
      <c r="O238" s="456"/>
      <c r="P238" s="456"/>
    </row>
    <row r="239" spans="1:16" ht="12.95" customHeight="1" x14ac:dyDescent="0.25">
      <c r="A239" s="416" t="s">
        <v>140</v>
      </c>
      <c r="B239" s="416"/>
      <c r="C239" s="416"/>
      <c r="D239" s="416"/>
      <c r="E239" s="416"/>
      <c r="F239" s="417"/>
      <c r="G239" s="418" t="str">
        <f>Draft!$U$84</f>
        <v>Consignees:</v>
      </c>
      <c r="H239" s="582">
        <f>Draft!$X$84</f>
        <v>59021.83</v>
      </c>
      <c r="I239" s="583">
        <f>H239-I232</f>
        <v>21.830000000001746</v>
      </c>
      <c r="J239" s="627">
        <f>IFERROR((I239/I232)*100,"")</f>
        <v>3.7000000000002961E-2</v>
      </c>
      <c r="L239" s="456"/>
      <c r="M239" s="456"/>
      <c r="N239" s="456"/>
      <c r="O239" s="456"/>
      <c r="P239" s="456"/>
    </row>
    <row r="240" spans="1:16" ht="12.95" customHeight="1" x14ac:dyDescent="0.25">
      <c r="A240" s="10"/>
      <c r="B240" s="416"/>
      <c r="C240" s="416"/>
      <c r="D240" s="416"/>
      <c r="E240" s="416"/>
      <c r="F240" s="417"/>
      <c r="G240" s="418"/>
      <c r="H240" s="582"/>
      <c r="I240" s="583"/>
      <c r="J240" s="627"/>
      <c r="L240" s="456"/>
      <c r="M240" s="456"/>
      <c r="N240" s="456"/>
      <c r="O240" s="456"/>
      <c r="P240" s="456"/>
    </row>
    <row r="241" spans="1:16" ht="12.95" customHeight="1" x14ac:dyDescent="0.25">
      <c r="A241" s="10"/>
      <c r="B241" s="10"/>
      <c r="C241" s="10"/>
      <c r="D241" s="10"/>
      <c r="E241" s="10"/>
      <c r="F241" s="10"/>
      <c r="L241" s="456"/>
      <c r="M241" s="456"/>
      <c r="N241" s="456"/>
      <c r="O241" s="456"/>
      <c r="P241" s="456"/>
    </row>
    <row r="242" spans="1:16" ht="12.95" customHeight="1" x14ac:dyDescent="0.25">
      <c r="A242" s="308"/>
      <c r="B242" s="373"/>
      <c r="C242" s="373"/>
      <c r="D242" s="373"/>
      <c r="E242" s="373"/>
      <c r="F242" s="373"/>
      <c r="G242" s="308"/>
      <c r="H242" s="308"/>
      <c r="I242" s="308"/>
      <c r="J242" s="309"/>
      <c r="L242" s="456"/>
      <c r="M242" s="456"/>
      <c r="N242" s="456"/>
      <c r="O242" s="456"/>
      <c r="P242" s="456"/>
    </row>
    <row r="243" spans="1:16" ht="12.95" customHeight="1" x14ac:dyDescent="0.25">
      <c r="A243" s="308"/>
      <c r="B243" s="373"/>
      <c r="C243" s="373"/>
      <c r="D243" s="373"/>
      <c r="E243" s="373"/>
      <c r="F243" s="373"/>
      <c r="G243" s="308"/>
      <c r="H243" s="308"/>
      <c r="I243" s="308"/>
      <c r="J243" s="309"/>
      <c r="L243" s="456"/>
      <c r="M243" s="456"/>
      <c r="N243" s="456"/>
      <c r="O243" s="456"/>
      <c r="P243" s="456"/>
    </row>
    <row r="244" spans="1:16" ht="15.75" x14ac:dyDescent="0.25">
      <c r="A244" s="3" t="s">
        <v>535</v>
      </c>
      <c r="B244" s="16"/>
      <c r="C244" s="16"/>
      <c r="D244" s="16"/>
      <c r="E244" s="16"/>
      <c r="F244" s="292" t="s">
        <v>536</v>
      </c>
      <c r="G244" s="410">
        <f>Draft!$E$4</f>
        <v>46096</v>
      </c>
      <c r="H244" s="377"/>
      <c r="I244" s="378" t="s">
        <v>537</v>
      </c>
      <c r="J244" s="379">
        <f>IFERROR(ROUND(Draft!$P$29,2),"")</f>
        <v>1.89</v>
      </c>
      <c r="L244" s="456"/>
      <c r="M244" s="456"/>
      <c r="N244" s="456"/>
      <c r="O244" s="456"/>
      <c r="P244" s="456"/>
    </row>
    <row r="245" spans="1:16" x14ac:dyDescent="0.25">
      <c r="A245" s="286" t="s">
        <v>0</v>
      </c>
      <c r="B245" s="286" t="s">
        <v>1</v>
      </c>
      <c r="C245" s="286" t="s">
        <v>2</v>
      </c>
      <c r="D245" s="286" t="s">
        <v>1</v>
      </c>
      <c r="E245" s="735" t="s">
        <v>563</v>
      </c>
      <c r="F245" s="735"/>
      <c r="G245" s="286" t="s">
        <v>3</v>
      </c>
      <c r="H245" s="286" t="s">
        <v>1</v>
      </c>
      <c r="I245" s="286" t="s">
        <v>1</v>
      </c>
      <c r="J245" s="286" t="s">
        <v>4</v>
      </c>
      <c r="L245" s="456"/>
      <c r="M245" s="456"/>
      <c r="N245" s="456"/>
      <c r="O245" s="456"/>
      <c r="P245" s="456"/>
    </row>
    <row r="246" spans="1:16" x14ac:dyDescent="0.25">
      <c r="A246" s="287" t="s">
        <v>705</v>
      </c>
      <c r="B246" s="287" t="s">
        <v>5</v>
      </c>
      <c r="C246" s="287" t="s">
        <v>6</v>
      </c>
      <c r="D246" s="287" t="s">
        <v>7</v>
      </c>
      <c r="E246" s="288" t="s">
        <v>8</v>
      </c>
      <c r="F246" s="288" t="s">
        <v>9</v>
      </c>
      <c r="G246" s="287" t="s">
        <v>7</v>
      </c>
      <c r="H246" s="287" t="s">
        <v>534</v>
      </c>
      <c r="I246" s="287" t="s">
        <v>10</v>
      </c>
      <c r="J246" s="287" t="s">
        <v>11</v>
      </c>
      <c r="L246" s="456"/>
      <c r="M246" s="456"/>
      <c r="N246" s="456"/>
      <c r="O246" s="456"/>
      <c r="P246" s="456"/>
    </row>
    <row r="247" spans="1:16" x14ac:dyDescent="0.25">
      <c r="A247" s="376" t="s">
        <v>12</v>
      </c>
      <c r="B247" s="525">
        <v>22.92</v>
      </c>
      <c r="C247" s="525">
        <v>0.35</v>
      </c>
      <c r="D247" s="525">
        <v>19.57</v>
      </c>
      <c r="E247" s="525">
        <v>-4.4580000000000002E-2</v>
      </c>
      <c r="F247" s="525">
        <v>0</v>
      </c>
      <c r="G247" s="525">
        <f>IFERROR(D247+(E247+F247),D247)</f>
        <v>19.52542</v>
      </c>
      <c r="H247" s="525">
        <v>2576.7800000000002</v>
      </c>
      <c r="I247" s="526">
        <v>1.0209999999999999</v>
      </c>
      <c r="J247" s="527">
        <f>ROUND(H247*I247,1)</f>
        <v>2630.9</v>
      </c>
      <c r="L247" s="456"/>
      <c r="M247" s="456"/>
      <c r="N247" s="456"/>
      <c r="O247" s="456"/>
      <c r="P247" s="456"/>
    </row>
    <row r="248" spans="1:16" x14ac:dyDescent="0.25">
      <c r="A248" s="374" t="s">
        <v>757</v>
      </c>
      <c r="B248" s="1">
        <v>19.84</v>
      </c>
      <c r="C248" s="1">
        <v>0.36</v>
      </c>
      <c r="D248" s="1">
        <v>16.25</v>
      </c>
      <c r="E248" s="1">
        <v>-9.4719999999999999E-2</v>
      </c>
      <c r="F248" s="1">
        <v>-1.2E-2</v>
      </c>
      <c r="G248" s="1">
        <f>IFERROR(D248+(E248+F248),D248)</f>
        <v>16.143280000000001</v>
      </c>
      <c r="H248" s="1">
        <v>1021.16</v>
      </c>
      <c r="I248" s="529">
        <v>1.0229999999999999</v>
      </c>
      <c r="J248" s="528">
        <f>IFERROR(ROUND(H248*I248,1),"")</f>
        <v>1044.5999999999999</v>
      </c>
      <c r="L248" s="456"/>
      <c r="M248" s="456"/>
      <c r="N248" s="456"/>
      <c r="O248" s="456"/>
      <c r="P248" s="456"/>
    </row>
    <row r="249" spans="1:16" x14ac:dyDescent="0.25">
      <c r="A249" s="374" t="s">
        <v>758</v>
      </c>
      <c r="B249" s="1">
        <v>19.82</v>
      </c>
      <c r="C249" s="1">
        <v>0.35</v>
      </c>
      <c r="D249" s="1">
        <v>15.89</v>
      </c>
      <c r="E249" s="1">
        <v>-8.516E-2</v>
      </c>
      <c r="F249" s="1">
        <v>1.72E-2</v>
      </c>
      <c r="G249" s="1">
        <f t="shared" ref="G249:G259" si="0">IFERROR(D249+(E249+F249),D249)</f>
        <v>15.822040000000001</v>
      </c>
      <c r="H249" s="1">
        <v>1007.49</v>
      </c>
      <c r="I249" s="529">
        <v>1.0229999999999999</v>
      </c>
      <c r="J249" s="528">
        <f t="shared" ref="J249:J260" si="1">IFERROR(ROUND(H249*I249,1),"")</f>
        <v>1030.7</v>
      </c>
      <c r="L249" s="456"/>
      <c r="M249" s="456"/>
      <c r="N249" s="456"/>
      <c r="O249" s="456"/>
      <c r="P249" s="456"/>
    </row>
    <row r="250" spans="1:16" x14ac:dyDescent="0.25">
      <c r="A250" s="374" t="s">
        <v>759</v>
      </c>
      <c r="B250" s="1">
        <v>19.79</v>
      </c>
      <c r="C250" s="1">
        <v>0.36</v>
      </c>
      <c r="D250" s="1">
        <v>19.38</v>
      </c>
      <c r="E250" s="1">
        <v>-0.15984999999999999</v>
      </c>
      <c r="F250" s="1">
        <v>-1.2E-2</v>
      </c>
      <c r="G250" s="1">
        <f t="shared" si="0"/>
        <v>19.20815</v>
      </c>
      <c r="H250" s="1">
        <v>1700.56</v>
      </c>
      <c r="I250" s="529">
        <v>1.0245</v>
      </c>
      <c r="J250" s="528">
        <f t="shared" si="1"/>
        <v>1742.2</v>
      </c>
      <c r="L250" s="456"/>
      <c r="M250" s="456"/>
      <c r="N250" s="456"/>
      <c r="O250" s="456"/>
      <c r="P250" s="456"/>
    </row>
    <row r="251" spans="1:16" x14ac:dyDescent="0.25">
      <c r="A251" s="374" t="s">
        <v>760</v>
      </c>
      <c r="B251" s="1">
        <v>19.78</v>
      </c>
      <c r="C251" s="1">
        <v>0.35</v>
      </c>
      <c r="D251" s="1">
        <v>19.239999999999998</v>
      </c>
      <c r="E251" s="1">
        <v>-0.15759000000000001</v>
      </c>
      <c r="F251" s="1">
        <v>-1.6800000000000001E-3</v>
      </c>
      <c r="G251" s="1">
        <f t="shared" si="0"/>
        <v>19.080729999999999</v>
      </c>
      <c r="H251" s="1">
        <v>1668.73</v>
      </c>
      <c r="I251" s="529">
        <v>1.0245</v>
      </c>
      <c r="J251" s="528">
        <f t="shared" si="1"/>
        <v>1709.6</v>
      </c>
      <c r="L251" s="456"/>
      <c r="M251" s="456"/>
      <c r="N251" s="456"/>
      <c r="O251" s="456"/>
      <c r="P251" s="456"/>
    </row>
    <row r="252" spans="1:16" x14ac:dyDescent="0.25">
      <c r="A252" s="374" t="s">
        <v>761</v>
      </c>
      <c r="B252" s="1">
        <v>19.809999999999999</v>
      </c>
      <c r="C252" s="1">
        <v>0.34</v>
      </c>
      <c r="D252" s="1">
        <v>19.41</v>
      </c>
      <c r="E252" s="1">
        <v>-0.14641999999999999</v>
      </c>
      <c r="F252" s="1">
        <v>-1.2999999999999999E-2</v>
      </c>
      <c r="G252" s="1">
        <f t="shared" si="0"/>
        <v>19.250579999999999</v>
      </c>
      <c r="H252" s="1">
        <v>1361.5</v>
      </c>
      <c r="I252" s="529">
        <v>1.0245</v>
      </c>
      <c r="J252" s="528">
        <f t="shared" si="1"/>
        <v>1394.9</v>
      </c>
      <c r="L252" s="456"/>
      <c r="M252" s="456"/>
      <c r="N252" s="456"/>
      <c r="O252" s="456"/>
      <c r="P252" s="456"/>
    </row>
    <row r="253" spans="1:16" x14ac:dyDescent="0.25">
      <c r="A253" s="374" t="s">
        <v>762</v>
      </c>
      <c r="B253" s="1">
        <v>19.809999999999999</v>
      </c>
      <c r="C253" s="1">
        <v>0.33</v>
      </c>
      <c r="D253" s="1">
        <v>19.28</v>
      </c>
      <c r="E253" s="1">
        <v>-0.17729</v>
      </c>
      <c r="F253" s="1">
        <v>1.6559999999999998E-2</v>
      </c>
      <c r="G253" s="1">
        <f t="shared" si="0"/>
        <v>19.11927</v>
      </c>
      <c r="H253" s="1">
        <v>1350.47</v>
      </c>
      <c r="I253" s="529">
        <v>1.0245</v>
      </c>
      <c r="J253" s="528">
        <f t="shared" si="1"/>
        <v>1383.6</v>
      </c>
      <c r="L253" s="456"/>
      <c r="M253" s="456"/>
      <c r="N253" s="456"/>
      <c r="O253" s="456"/>
      <c r="P253" s="456"/>
    </row>
    <row r="254" spans="1:16" x14ac:dyDescent="0.25">
      <c r="A254" s="374" t="s">
        <v>763</v>
      </c>
      <c r="B254" s="1">
        <v>19.809999999999999</v>
      </c>
      <c r="C254" s="1">
        <v>0.34</v>
      </c>
      <c r="D254" s="1">
        <v>19.54</v>
      </c>
      <c r="E254" s="1">
        <v>-0.13883999999999999</v>
      </c>
      <c r="F254" s="1">
        <v>-3.9600000000000003E-2</v>
      </c>
      <c r="G254" s="1">
        <f t="shared" si="0"/>
        <v>19.361560000000001</v>
      </c>
      <c r="H254" s="1">
        <v>1358.71</v>
      </c>
      <c r="I254" s="529">
        <v>1.0245</v>
      </c>
      <c r="J254" s="528">
        <f t="shared" si="1"/>
        <v>1392</v>
      </c>
      <c r="L254" s="456"/>
      <c r="M254" s="456"/>
      <c r="N254" s="456"/>
      <c r="O254" s="456"/>
      <c r="P254" s="456"/>
    </row>
    <row r="255" spans="1:16" x14ac:dyDescent="0.25">
      <c r="A255" s="374" t="s">
        <v>764</v>
      </c>
      <c r="B255" s="1">
        <v>19.8</v>
      </c>
      <c r="C255" s="1">
        <v>0.35</v>
      </c>
      <c r="D255" s="1">
        <v>19.239999999999998</v>
      </c>
      <c r="E255" s="1">
        <v>-0.17599999999999999</v>
      </c>
      <c r="F255" s="1">
        <v>6.8399999999999997E-3</v>
      </c>
      <c r="G255" s="1">
        <f t="shared" si="0"/>
        <v>19.070839999999997</v>
      </c>
      <c r="H255" s="1">
        <v>1345.69</v>
      </c>
      <c r="I255" s="529">
        <v>1.0245</v>
      </c>
      <c r="J255" s="528">
        <f t="shared" si="1"/>
        <v>1378.7</v>
      </c>
      <c r="L255" s="456"/>
      <c r="M255" s="456"/>
      <c r="N255" s="456"/>
      <c r="O255" s="456"/>
      <c r="P255" s="456"/>
    </row>
    <row r="256" spans="1:16" x14ac:dyDescent="0.25">
      <c r="A256" s="374" t="s">
        <v>765</v>
      </c>
      <c r="B256" s="1">
        <v>20.73</v>
      </c>
      <c r="C256" s="1">
        <v>1.01</v>
      </c>
      <c r="D256" s="1">
        <v>8.9499999999999993</v>
      </c>
      <c r="E256" s="1">
        <v>-2.4459999999999999E-2</v>
      </c>
      <c r="F256" s="1">
        <v>-2.9520000000000001E-2</v>
      </c>
      <c r="G256" s="1">
        <f t="shared" si="0"/>
        <v>8.89602</v>
      </c>
      <c r="H256" s="1">
        <v>1005.43</v>
      </c>
      <c r="I256" s="529">
        <v>1.0229999999999999</v>
      </c>
      <c r="J256" s="528">
        <f t="shared" si="1"/>
        <v>1028.5999999999999</v>
      </c>
      <c r="L256" s="456"/>
      <c r="M256" s="456"/>
      <c r="N256" s="456"/>
      <c r="O256" s="456"/>
      <c r="P256" s="456"/>
    </row>
    <row r="257" spans="1:16" x14ac:dyDescent="0.25">
      <c r="A257" s="374" t="s">
        <v>766</v>
      </c>
      <c r="B257" s="1">
        <v>20.79</v>
      </c>
      <c r="C257" s="1">
        <v>1.04</v>
      </c>
      <c r="D257" s="1">
        <v>13.8</v>
      </c>
      <c r="E257" s="1">
        <v>0</v>
      </c>
      <c r="F257" s="1">
        <v>0</v>
      </c>
      <c r="G257" s="1">
        <f t="shared" si="0"/>
        <v>13.8</v>
      </c>
      <c r="H257" s="1">
        <v>1010.28</v>
      </c>
      <c r="I257" s="529">
        <v>1.022</v>
      </c>
      <c r="J257" s="528">
        <f t="shared" si="1"/>
        <v>1032.5</v>
      </c>
      <c r="L257" s="456"/>
      <c r="M257" s="456"/>
      <c r="N257" s="456"/>
      <c r="O257" s="456"/>
      <c r="P257" s="456"/>
    </row>
    <row r="258" spans="1:16" x14ac:dyDescent="0.25">
      <c r="A258" s="374" t="s">
        <v>755</v>
      </c>
      <c r="B258" s="1">
        <v>4.93</v>
      </c>
      <c r="C258" s="1">
        <v>0.35</v>
      </c>
      <c r="D258" s="1">
        <v>0.42</v>
      </c>
      <c r="E258" s="1">
        <v>-0.14942</v>
      </c>
      <c r="F258" s="1">
        <v>0</v>
      </c>
      <c r="G258" s="1">
        <f t="shared" si="0"/>
        <v>0.27057999999999999</v>
      </c>
      <c r="H258" s="1">
        <v>4.78</v>
      </c>
      <c r="I258" s="529">
        <v>1</v>
      </c>
      <c r="J258" s="528">
        <f t="shared" si="1"/>
        <v>4.8</v>
      </c>
      <c r="L258" s="456"/>
      <c r="M258" s="456"/>
      <c r="N258" s="456"/>
      <c r="O258" s="456"/>
      <c r="P258" s="456"/>
    </row>
    <row r="259" spans="1:16" x14ac:dyDescent="0.25">
      <c r="A259" s="374" t="s">
        <v>756</v>
      </c>
      <c r="B259" s="1">
        <v>4.95</v>
      </c>
      <c r="C259" s="1">
        <v>0.35</v>
      </c>
      <c r="D259" s="1">
        <v>1.66</v>
      </c>
      <c r="E259" s="1">
        <v>-0.1416</v>
      </c>
      <c r="F259" s="1">
        <v>0</v>
      </c>
      <c r="G259" s="1">
        <f t="shared" si="0"/>
        <v>1.5184</v>
      </c>
      <c r="H259" s="1">
        <v>62.72</v>
      </c>
      <c r="I259" s="529">
        <v>1</v>
      </c>
      <c r="J259" s="528">
        <f t="shared" si="1"/>
        <v>62.7</v>
      </c>
      <c r="L259" s="456"/>
      <c r="M259" s="456"/>
      <c r="N259" s="456"/>
      <c r="O259" s="456"/>
      <c r="P259" s="456"/>
    </row>
    <row r="260" spans="1:16" x14ac:dyDescent="0.25">
      <c r="A260" s="375" t="s">
        <v>13</v>
      </c>
      <c r="B260" s="2">
        <v>12.85</v>
      </c>
      <c r="C260" s="2">
        <v>0.35</v>
      </c>
      <c r="D260" s="2">
        <v>7.02</v>
      </c>
      <c r="E260" s="2">
        <v>3.7900000000000003E-2</v>
      </c>
      <c r="F260" s="2">
        <v>0</v>
      </c>
      <c r="G260" s="2">
        <f>IFERROR(D260+(E260+F260),D260)</f>
        <v>7.0578999999999992</v>
      </c>
      <c r="H260" s="2">
        <v>813.42</v>
      </c>
      <c r="I260" s="530">
        <v>1.0189999999999999</v>
      </c>
      <c r="J260" s="531">
        <f t="shared" si="1"/>
        <v>828.9</v>
      </c>
      <c r="L260" s="456"/>
      <c r="M260" s="456"/>
      <c r="N260" s="456"/>
      <c r="O260" s="456"/>
      <c r="P260" s="456"/>
    </row>
    <row r="261" spans="1:16" x14ac:dyDescent="0.25">
      <c r="A261" s="289" t="s">
        <v>14</v>
      </c>
      <c r="B261" s="290"/>
      <c r="C261" s="290"/>
      <c r="D261" s="290"/>
      <c r="E261" s="290"/>
      <c r="F261" s="290"/>
      <c r="G261" s="291"/>
      <c r="H261" s="532">
        <f>SUM($H$247:$H$260)</f>
        <v>16287.72</v>
      </c>
      <c r="I261" s="533"/>
      <c r="J261" s="532">
        <f>SUM($J$247:$J$260)</f>
        <v>16664.7</v>
      </c>
      <c r="L261" s="456"/>
      <c r="M261" s="456"/>
      <c r="N261" s="456"/>
      <c r="O261" s="456"/>
      <c r="P261" s="456"/>
    </row>
    <row r="262" spans="1:16" x14ac:dyDescent="0.25">
      <c r="L262" s="456"/>
      <c r="M262" s="456"/>
      <c r="N262" s="456"/>
      <c r="O262" s="456"/>
      <c r="P262" s="456"/>
    </row>
    <row r="263" spans="1:16" x14ac:dyDescent="0.25">
      <c r="L263" s="456"/>
      <c r="M263" s="456"/>
      <c r="N263" s="456"/>
      <c r="O263" s="456"/>
      <c r="P263" s="456"/>
    </row>
    <row r="264" spans="1:16" ht="15.75" x14ac:dyDescent="0.25">
      <c r="A264" s="3" t="s">
        <v>538</v>
      </c>
      <c r="F264" s="292" t="s">
        <v>536</v>
      </c>
      <c r="G264" s="410">
        <f>Draft!$X$4</f>
        <v>46099</v>
      </c>
      <c r="H264" s="377">
        <v>0.34375</v>
      </c>
      <c r="I264" s="378" t="s">
        <v>537</v>
      </c>
      <c r="J264" s="379">
        <f>IFERROR(ROUND(Draft!$AH$29,2),"")</f>
        <v>0.17</v>
      </c>
      <c r="L264" s="456"/>
      <c r="M264" s="456"/>
      <c r="N264" s="456"/>
      <c r="O264" s="456"/>
      <c r="P264" s="456"/>
    </row>
    <row r="265" spans="1:16" x14ac:dyDescent="0.25">
      <c r="A265" s="286" t="s">
        <v>0</v>
      </c>
      <c r="B265" s="286" t="s">
        <v>1</v>
      </c>
      <c r="C265" s="286" t="s">
        <v>2</v>
      </c>
      <c r="D265" s="286" t="s">
        <v>1</v>
      </c>
      <c r="E265" s="735" t="s">
        <v>563</v>
      </c>
      <c r="F265" s="735"/>
      <c r="G265" s="286" t="s">
        <v>3</v>
      </c>
      <c r="H265" s="286" t="s">
        <v>1</v>
      </c>
      <c r="I265" s="286" t="s">
        <v>1</v>
      </c>
      <c r="J265" s="286" t="s">
        <v>4</v>
      </c>
      <c r="L265" s="456"/>
      <c r="M265" s="456"/>
      <c r="N265" s="456"/>
      <c r="O265" s="456"/>
      <c r="P265" s="456"/>
    </row>
    <row r="266" spans="1:16" x14ac:dyDescent="0.25">
      <c r="A266" s="287" t="s">
        <v>705</v>
      </c>
      <c r="B266" s="287" t="s">
        <v>5</v>
      </c>
      <c r="C266" s="287" t="s">
        <v>6</v>
      </c>
      <c r="D266" s="287" t="s">
        <v>7</v>
      </c>
      <c r="E266" s="288" t="s">
        <v>8</v>
      </c>
      <c r="F266" s="288" t="s">
        <v>9</v>
      </c>
      <c r="G266" s="287" t="s">
        <v>7</v>
      </c>
      <c r="H266" s="287" t="s">
        <v>534</v>
      </c>
      <c r="I266" s="287" t="s">
        <v>10</v>
      </c>
      <c r="J266" s="287" t="s">
        <v>11</v>
      </c>
      <c r="L266" s="456"/>
      <c r="M266" s="456"/>
      <c r="N266" s="456"/>
      <c r="O266" s="456"/>
      <c r="P266" s="456"/>
    </row>
    <row r="267" spans="1:16" x14ac:dyDescent="0.25">
      <c r="A267" s="376" t="str">
        <f t="shared" ref="A267:C280" si="2">A247</f>
        <v>F.PK</v>
      </c>
      <c r="B267" s="525">
        <f t="shared" si="2"/>
        <v>22.92</v>
      </c>
      <c r="C267" s="525">
        <f t="shared" si="2"/>
        <v>0.35</v>
      </c>
      <c r="D267" s="575">
        <v>0.04</v>
      </c>
      <c r="E267" s="575"/>
      <c r="F267" s="575"/>
      <c r="G267" s="578">
        <f>IFERROR(D267+(E267+F267),D267)</f>
        <v>0.04</v>
      </c>
      <c r="H267" s="575">
        <v>1.756</v>
      </c>
      <c r="I267" s="526">
        <f t="shared" ref="I267:I280" si="3">I247</f>
        <v>1.0209999999999999</v>
      </c>
      <c r="J267" s="527">
        <f>ROUND(H267*I267,1)</f>
        <v>1.8</v>
      </c>
      <c r="L267" s="456"/>
      <c r="M267" s="456"/>
      <c r="N267" s="456"/>
      <c r="O267" s="456"/>
      <c r="P267" s="456"/>
    </row>
    <row r="268" spans="1:16" x14ac:dyDescent="0.25">
      <c r="A268" s="374" t="str">
        <f t="shared" si="2"/>
        <v>1 WBT (P)</v>
      </c>
      <c r="B268" s="1">
        <f t="shared" si="2"/>
        <v>19.84</v>
      </c>
      <c r="C268" s="1">
        <f t="shared" si="2"/>
        <v>0.36</v>
      </c>
      <c r="D268" s="576">
        <v>0</v>
      </c>
      <c r="E268" s="576"/>
      <c r="F268" s="576"/>
      <c r="G268" s="676">
        <f>IFERROR(D268+(E268+F268),D268)</f>
        <v>0</v>
      </c>
      <c r="H268" s="576">
        <v>4.9497999999999998</v>
      </c>
      <c r="I268" s="529">
        <f t="shared" si="3"/>
        <v>1.0229999999999999</v>
      </c>
      <c r="J268" s="528">
        <f>IFERROR(ROUND(H268*I268,1),"")</f>
        <v>5.0999999999999996</v>
      </c>
      <c r="L268" s="456"/>
      <c r="M268" s="456"/>
      <c r="N268" s="456"/>
      <c r="O268" s="456"/>
      <c r="P268" s="456"/>
    </row>
    <row r="269" spans="1:16" x14ac:dyDescent="0.25">
      <c r="A269" s="374" t="str">
        <f t="shared" si="2"/>
        <v>1 WBT (S)</v>
      </c>
      <c r="B269" s="1">
        <f t="shared" si="2"/>
        <v>19.82</v>
      </c>
      <c r="C269" s="1">
        <f t="shared" si="2"/>
        <v>0.35</v>
      </c>
      <c r="D269" s="576">
        <v>0.01</v>
      </c>
      <c r="E269" s="576"/>
      <c r="F269" s="576"/>
      <c r="G269" s="676">
        <f t="shared" ref="G269:G279" si="4">IFERROR(D269+(E269+F269),D269)</f>
        <v>0.01</v>
      </c>
      <c r="H269" s="576">
        <v>7.7965</v>
      </c>
      <c r="I269" s="529">
        <f t="shared" si="3"/>
        <v>1.0229999999999999</v>
      </c>
      <c r="J269" s="528">
        <f t="shared" ref="J269:J280" si="5">IFERROR(ROUND(H269*I269,1),"")</f>
        <v>8</v>
      </c>
      <c r="L269" s="456"/>
      <c r="M269" s="456"/>
      <c r="N269" s="456"/>
      <c r="O269" s="456"/>
      <c r="P269" s="456"/>
    </row>
    <row r="270" spans="1:16" x14ac:dyDescent="0.25">
      <c r="A270" s="374" t="str">
        <f t="shared" si="2"/>
        <v>2 WBT (P)</v>
      </c>
      <c r="B270" s="1">
        <f t="shared" si="2"/>
        <v>19.79</v>
      </c>
      <c r="C270" s="1">
        <f t="shared" si="2"/>
        <v>0.36</v>
      </c>
      <c r="D270" s="576">
        <v>0.01</v>
      </c>
      <c r="E270" s="576"/>
      <c r="F270" s="576"/>
      <c r="G270" s="676">
        <f t="shared" si="4"/>
        <v>0.01</v>
      </c>
      <c r="H270" s="576">
        <v>10.083</v>
      </c>
      <c r="I270" s="529">
        <f t="shared" si="3"/>
        <v>1.0245</v>
      </c>
      <c r="J270" s="528">
        <f t="shared" si="5"/>
        <v>10.3</v>
      </c>
      <c r="L270" s="456"/>
      <c r="M270" s="456"/>
      <c r="N270" s="456"/>
      <c r="O270" s="456"/>
      <c r="P270" s="456"/>
    </row>
    <row r="271" spans="1:16" x14ac:dyDescent="0.25">
      <c r="A271" s="374" t="str">
        <f t="shared" si="2"/>
        <v>2 WBT (S)</v>
      </c>
      <c r="B271" s="1">
        <f t="shared" si="2"/>
        <v>19.78</v>
      </c>
      <c r="C271" s="1">
        <f t="shared" si="2"/>
        <v>0.35</v>
      </c>
      <c r="D271" s="576">
        <v>0</v>
      </c>
      <c r="E271" s="576"/>
      <c r="F271" s="576"/>
      <c r="G271" s="676">
        <f t="shared" si="4"/>
        <v>0</v>
      </c>
      <c r="H271" s="576">
        <v>6.1262999999999996</v>
      </c>
      <c r="I271" s="529">
        <f t="shared" si="3"/>
        <v>1.0245</v>
      </c>
      <c r="J271" s="528">
        <f t="shared" si="5"/>
        <v>6.3</v>
      </c>
      <c r="L271" s="456"/>
      <c r="M271" s="456"/>
      <c r="N271" s="456"/>
      <c r="O271" s="456"/>
      <c r="P271" s="456"/>
    </row>
    <row r="272" spans="1:16" x14ac:dyDescent="0.25">
      <c r="A272" s="374" t="str">
        <f t="shared" si="2"/>
        <v>3 WBT (P)</v>
      </c>
      <c r="B272" s="1">
        <f t="shared" si="2"/>
        <v>19.809999999999999</v>
      </c>
      <c r="C272" s="1">
        <f t="shared" si="2"/>
        <v>0.34</v>
      </c>
      <c r="D272" s="576">
        <v>0</v>
      </c>
      <c r="E272" s="576"/>
      <c r="F272" s="576"/>
      <c r="G272" s="676">
        <f t="shared" si="4"/>
        <v>0</v>
      </c>
      <c r="H272" s="576">
        <v>8.5027000000000008</v>
      </c>
      <c r="I272" s="529">
        <f t="shared" si="3"/>
        <v>1.0245</v>
      </c>
      <c r="J272" s="528">
        <f t="shared" si="5"/>
        <v>8.6999999999999993</v>
      </c>
      <c r="L272" s="456"/>
      <c r="M272" s="456"/>
      <c r="N272" s="456"/>
      <c r="O272" s="456"/>
      <c r="P272" s="456"/>
    </row>
    <row r="273" spans="1:16" x14ac:dyDescent="0.25">
      <c r="A273" s="374" t="str">
        <f t="shared" si="2"/>
        <v>3 WBT (S)</v>
      </c>
      <c r="B273" s="1">
        <f t="shared" si="2"/>
        <v>19.809999999999999</v>
      </c>
      <c r="C273" s="1">
        <f t="shared" si="2"/>
        <v>0.33</v>
      </c>
      <c r="D273" s="576">
        <v>0.02</v>
      </c>
      <c r="E273" s="576"/>
      <c r="F273" s="576"/>
      <c r="G273" s="676">
        <f t="shared" si="4"/>
        <v>0.02</v>
      </c>
      <c r="H273" s="576">
        <v>15.6602</v>
      </c>
      <c r="I273" s="529">
        <f t="shared" si="3"/>
        <v>1.0245</v>
      </c>
      <c r="J273" s="528">
        <f t="shared" si="5"/>
        <v>16</v>
      </c>
      <c r="L273" s="456"/>
      <c r="M273" s="456"/>
      <c r="N273" s="456"/>
      <c r="O273" s="456"/>
      <c r="P273" s="456"/>
    </row>
    <row r="274" spans="1:16" x14ac:dyDescent="0.25">
      <c r="A274" s="374" t="str">
        <f t="shared" si="2"/>
        <v>4 WBT (P)</v>
      </c>
      <c r="B274" s="1">
        <f t="shared" si="2"/>
        <v>19.809999999999999</v>
      </c>
      <c r="C274" s="1">
        <f t="shared" si="2"/>
        <v>0.34</v>
      </c>
      <c r="D274" s="576">
        <v>0</v>
      </c>
      <c r="E274" s="576"/>
      <c r="F274" s="576"/>
      <c r="G274" s="676">
        <f t="shared" si="4"/>
        <v>0</v>
      </c>
      <c r="H274" s="576">
        <v>9.5381</v>
      </c>
      <c r="I274" s="529">
        <f t="shared" si="3"/>
        <v>1.0245</v>
      </c>
      <c r="J274" s="528">
        <f t="shared" si="5"/>
        <v>9.8000000000000007</v>
      </c>
      <c r="L274" s="456"/>
      <c r="M274" s="456"/>
      <c r="N274" s="456"/>
      <c r="O274" s="456"/>
      <c r="P274" s="456"/>
    </row>
    <row r="275" spans="1:16" x14ac:dyDescent="0.25">
      <c r="A275" s="374" t="str">
        <f t="shared" si="2"/>
        <v>4 WBT (S)</v>
      </c>
      <c r="B275" s="1">
        <f t="shared" si="2"/>
        <v>19.8</v>
      </c>
      <c r="C275" s="1">
        <f t="shared" si="2"/>
        <v>0.35</v>
      </c>
      <c r="D275" s="576">
        <v>0</v>
      </c>
      <c r="E275" s="576"/>
      <c r="F275" s="576"/>
      <c r="G275" s="676">
        <f t="shared" si="4"/>
        <v>0</v>
      </c>
      <c r="H275" s="576">
        <v>9.5381</v>
      </c>
      <c r="I275" s="529">
        <f t="shared" si="3"/>
        <v>1.0245</v>
      </c>
      <c r="J275" s="528">
        <f t="shared" si="5"/>
        <v>9.8000000000000007</v>
      </c>
      <c r="L275" s="456"/>
      <c r="M275" s="456"/>
      <c r="N275" s="456"/>
      <c r="O275" s="456"/>
      <c r="P275" s="456"/>
    </row>
    <row r="276" spans="1:16" x14ac:dyDescent="0.25">
      <c r="A276" s="374" t="str">
        <f t="shared" si="2"/>
        <v>5 WBT (P)</v>
      </c>
      <c r="B276" s="1">
        <f t="shared" si="2"/>
        <v>20.73</v>
      </c>
      <c r="C276" s="1">
        <f t="shared" si="2"/>
        <v>1.01</v>
      </c>
      <c r="D276" s="576">
        <v>0</v>
      </c>
      <c r="E276" s="576"/>
      <c r="F276" s="576"/>
      <c r="G276" s="676">
        <f t="shared" si="4"/>
        <v>0</v>
      </c>
      <c r="H276" s="576">
        <v>4.0959000000000003</v>
      </c>
      <c r="I276" s="529">
        <f t="shared" si="3"/>
        <v>1.0229999999999999</v>
      </c>
      <c r="J276" s="528">
        <f t="shared" si="5"/>
        <v>4.2</v>
      </c>
      <c r="L276" s="456"/>
      <c r="M276" s="456"/>
      <c r="N276" s="456"/>
      <c r="O276" s="456"/>
      <c r="P276" s="456"/>
    </row>
    <row r="277" spans="1:16" x14ac:dyDescent="0.25">
      <c r="A277" s="374" t="str">
        <f t="shared" si="2"/>
        <v>5 WBT (S)</v>
      </c>
      <c r="B277" s="1">
        <f t="shared" si="2"/>
        <v>20.79</v>
      </c>
      <c r="C277" s="1">
        <f t="shared" si="2"/>
        <v>1.04</v>
      </c>
      <c r="D277" s="576">
        <v>0</v>
      </c>
      <c r="E277" s="576"/>
      <c r="F277" s="576"/>
      <c r="G277" s="676">
        <f t="shared" si="4"/>
        <v>0</v>
      </c>
      <c r="H277" s="576">
        <v>3.6858</v>
      </c>
      <c r="I277" s="529">
        <f t="shared" si="3"/>
        <v>1.022</v>
      </c>
      <c r="J277" s="528">
        <f t="shared" si="5"/>
        <v>3.8</v>
      </c>
      <c r="L277" s="456"/>
      <c r="M277" s="456"/>
      <c r="N277" s="456"/>
      <c r="O277" s="456"/>
      <c r="P277" s="456"/>
    </row>
    <row r="278" spans="1:16" x14ac:dyDescent="0.25">
      <c r="A278" s="374" t="str">
        <f t="shared" si="2"/>
        <v>GWT (P)</v>
      </c>
      <c r="B278" s="1">
        <f t="shared" si="2"/>
        <v>4.93</v>
      </c>
      <c r="C278" s="1">
        <f t="shared" si="2"/>
        <v>0.35</v>
      </c>
      <c r="D278" s="576">
        <v>0.45</v>
      </c>
      <c r="E278" s="576">
        <v>-1.3259999999999999E-2</v>
      </c>
      <c r="F278" s="576">
        <v>0</v>
      </c>
      <c r="G278" s="676">
        <f t="shared" si="4"/>
        <v>0.43674000000000002</v>
      </c>
      <c r="H278" s="576">
        <v>10.3</v>
      </c>
      <c r="I278" s="529">
        <f t="shared" si="3"/>
        <v>1</v>
      </c>
      <c r="J278" s="528">
        <f t="shared" si="5"/>
        <v>10.3</v>
      </c>
      <c r="L278" s="456"/>
      <c r="M278" s="456"/>
      <c r="N278" s="456"/>
      <c r="O278" s="456"/>
      <c r="P278" s="456"/>
    </row>
    <row r="279" spans="1:16" x14ac:dyDescent="0.25">
      <c r="A279" s="374" t="str">
        <f t="shared" si="2"/>
        <v>GWT (S)</v>
      </c>
      <c r="B279" s="1">
        <f t="shared" si="2"/>
        <v>4.95</v>
      </c>
      <c r="C279" s="1">
        <f t="shared" si="2"/>
        <v>0.35</v>
      </c>
      <c r="D279" s="576">
        <v>1.52</v>
      </c>
      <c r="E279" s="576">
        <v>-1.2579999999999999E-2</v>
      </c>
      <c r="F279" s="576">
        <v>0</v>
      </c>
      <c r="G279" s="676">
        <f t="shared" si="4"/>
        <v>1.50742</v>
      </c>
      <c r="H279" s="576">
        <v>62.2</v>
      </c>
      <c r="I279" s="529">
        <f t="shared" si="3"/>
        <v>1</v>
      </c>
      <c r="J279" s="528">
        <f t="shared" si="5"/>
        <v>62.2</v>
      </c>
      <c r="L279" s="456"/>
      <c r="M279" s="456"/>
      <c r="N279" s="456"/>
      <c r="O279" s="456"/>
      <c r="P279" s="456"/>
    </row>
    <row r="280" spans="1:16" x14ac:dyDescent="0.25">
      <c r="A280" s="375" t="str">
        <f t="shared" si="2"/>
        <v>A.PK</v>
      </c>
      <c r="B280" s="2">
        <f t="shared" si="2"/>
        <v>12.85</v>
      </c>
      <c r="C280" s="2">
        <f t="shared" si="2"/>
        <v>0.35</v>
      </c>
      <c r="D280" s="576">
        <v>3.42</v>
      </c>
      <c r="E280" s="577">
        <v>2.7000000000000001E-3</v>
      </c>
      <c r="F280" s="577">
        <v>0</v>
      </c>
      <c r="G280" s="579">
        <f>IFERROR(D280+(E280+F280),D280)</f>
        <v>3.4226999999999999</v>
      </c>
      <c r="H280" s="577">
        <v>116.75</v>
      </c>
      <c r="I280" s="530">
        <f t="shared" si="3"/>
        <v>1.0189999999999999</v>
      </c>
      <c r="J280" s="531">
        <f t="shared" si="5"/>
        <v>119</v>
      </c>
      <c r="L280" s="456"/>
      <c r="M280" s="456"/>
      <c r="N280" s="456"/>
      <c r="O280" s="456"/>
      <c r="P280" s="456"/>
    </row>
    <row r="281" spans="1:16" x14ac:dyDescent="0.25">
      <c r="A281" s="289" t="s">
        <v>14</v>
      </c>
      <c r="B281" s="290"/>
      <c r="C281" s="290"/>
      <c r="D281" s="290"/>
      <c r="E281" s="290"/>
      <c r="F281" s="290"/>
      <c r="G281" s="291"/>
      <c r="H281" s="532">
        <f>SUM($H$267:$H$280)</f>
        <v>270.98239999999998</v>
      </c>
      <c r="I281" s="533"/>
      <c r="J281" s="532">
        <f>SUM($J$267:$J$280)</f>
        <v>275.3</v>
      </c>
      <c r="L281" s="456"/>
      <c r="M281" s="456"/>
      <c r="N281" s="456"/>
      <c r="O281" s="456"/>
      <c r="P281" s="456"/>
    </row>
    <row r="282" spans="1:16" x14ac:dyDescent="0.25">
      <c r="L282" s="456"/>
      <c r="M282" s="456"/>
      <c r="N282" s="456"/>
      <c r="O282" s="456"/>
      <c r="P282" s="456"/>
    </row>
    <row r="283" spans="1:16" x14ac:dyDescent="0.25">
      <c r="L283" s="456"/>
      <c r="M283" s="456"/>
      <c r="N283" s="456"/>
      <c r="O283" s="456"/>
      <c r="P283" s="456"/>
    </row>
    <row r="284" spans="1:16" x14ac:dyDescent="0.25">
      <c r="L284" s="456"/>
      <c r="M284" s="456"/>
      <c r="N284" s="456"/>
      <c r="O284" s="456"/>
      <c r="P284" s="456"/>
    </row>
    <row r="285" spans="1:16" ht="15.75" x14ac:dyDescent="0.25">
      <c r="A285" s="380" t="s">
        <v>539</v>
      </c>
      <c r="L285" s="456"/>
      <c r="M285" s="456"/>
      <c r="N285" s="456"/>
      <c r="O285" s="456"/>
      <c r="P285" s="456"/>
    </row>
    <row r="286" spans="1:16" x14ac:dyDescent="0.25">
      <c r="A286" s="286" t="s">
        <v>0</v>
      </c>
      <c r="B286" s="286" t="s">
        <v>1</v>
      </c>
      <c r="C286" s="286" t="s">
        <v>2</v>
      </c>
      <c r="D286" s="286" t="s">
        <v>1</v>
      </c>
      <c r="E286" s="735" t="s">
        <v>563</v>
      </c>
      <c r="F286" s="735"/>
      <c r="G286" s="286" t="s">
        <v>3</v>
      </c>
      <c r="H286" s="286" t="s">
        <v>1</v>
      </c>
      <c r="I286" s="286" t="s">
        <v>1</v>
      </c>
      <c r="J286" s="286" t="s">
        <v>4</v>
      </c>
      <c r="L286" s="456"/>
      <c r="M286" s="456"/>
      <c r="N286" s="456"/>
      <c r="O286" s="456"/>
      <c r="P286" s="456"/>
    </row>
    <row r="287" spans="1:16" x14ac:dyDescent="0.25">
      <c r="A287" s="287" t="s">
        <v>705</v>
      </c>
      <c r="B287" s="412" t="s">
        <v>5</v>
      </c>
      <c r="C287" s="412" t="s">
        <v>6</v>
      </c>
      <c r="D287" s="287" t="s">
        <v>7</v>
      </c>
      <c r="E287" s="288" t="s">
        <v>8</v>
      </c>
      <c r="F287" s="288" t="s">
        <v>9</v>
      </c>
      <c r="G287" s="412" t="s">
        <v>7</v>
      </c>
      <c r="H287" s="287" t="s">
        <v>534</v>
      </c>
      <c r="I287" s="287" t="s">
        <v>10</v>
      </c>
      <c r="J287" s="412" t="s">
        <v>11</v>
      </c>
      <c r="L287" s="456"/>
      <c r="M287" s="456"/>
      <c r="N287" s="456"/>
      <c r="O287" s="456"/>
      <c r="P287" s="456"/>
    </row>
    <row r="288" spans="1:16" x14ac:dyDescent="0.25">
      <c r="A288" s="376" t="s">
        <v>541</v>
      </c>
      <c r="B288" s="576" t="s">
        <v>770</v>
      </c>
      <c r="C288" s="576"/>
      <c r="D288" s="625"/>
      <c r="E288" s="625"/>
      <c r="F288" s="625"/>
      <c r="G288" s="1">
        <f>IFERROR(D288+(E288+F288),"GAUGE")</f>
        <v>0</v>
      </c>
      <c r="H288" s="575">
        <v>74</v>
      </c>
      <c r="I288" s="526">
        <v>1</v>
      </c>
      <c r="J288" s="528">
        <f t="shared" ref="J288:J289" si="6">IFERROR(ROUND(H288*I288,1),"")</f>
        <v>74</v>
      </c>
      <c r="L288" s="456"/>
      <c r="M288" s="456"/>
      <c r="N288" s="456"/>
      <c r="O288" s="456"/>
      <c r="P288" s="456"/>
    </row>
    <row r="289" spans="1:16" x14ac:dyDescent="0.25">
      <c r="A289" s="382" t="s">
        <v>542</v>
      </c>
      <c r="B289" s="577"/>
      <c r="C289" s="577"/>
      <c r="D289" s="626"/>
      <c r="E289" s="626"/>
      <c r="F289" s="626"/>
      <c r="G289" s="2">
        <f t="shared" ref="G289" si="7">IFERROR(D289+(E289+F289),"GAUGE")</f>
        <v>0</v>
      </c>
      <c r="H289" s="577">
        <v>26</v>
      </c>
      <c r="I289" s="530">
        <v>1</v>
      </c>
      <c r="J289" s="531">
        <f t="shared" si="6"/>
        <v>26</v>
      </c>
      <c r="L289" s="456"/>
      <c r="M289" s="456"/>
      <c r="N289" s="456"/>
      <c r="O289" s="456"/>
      <c r="P289" s="456"/>
    </row>
    <row r="290" spans="1:16" x14ac:dyDescent="0.25">
      <c r="A290" s="381" t="s">
        <v>14</v>
      </c>
      <c r="B290" s="291"/>
      <c r="C290" s="291"/>
      <c r="D290" s="291"/>
      <c r="E290" s="291"/>
      <c r="F290" s="291"/>
      <c r="G290" s="291"/>
      <c r="H290" s="534">
        <f>SUM($H$288:$H$289)</f>
        <v>100</v>
      </c>
      <c r="I290" s="535"/>
      <c r="J290" s="534">
        <f>SUM($J$288:$J$289)</f>
        <v>100</v>
      </c>
      <c r="L290" s="456"/>
      <c r="M290" s="456"/>
      <c r="N290" s="456"/>
      <c r="O290" s="456"/>
      <c r="P290" s="456"/>
    </row>
    <row r="291" spans="1:16" x14ac:dyDescent="0.25">
      <c r="L291" s="456"/>
      <c r="M291" s="456"/>
      <c r="N291" s="456"/>
      <c r="O291" s="456"/>
      <c r="P291" s="456"/>
    </row>
    <row r="292" spans="1:16" x14ac:dyDescent="0.25">
      <c r="L292" s="456"/>
      <c r="M292" s="456"/>
      <c r="N292" s="456"/>
      <c r="O292" s="456"/>
      <c r="P292" s="456"/>
    </row>
    <row r="293" spans="1:16" ht="15.75" x14ac:dyDescent="0.25">
      <c r="A293" s="3" t="s">
        <v>540</v>
      </c>
      <c r="L293" s="456"/>
      <c r="M293" s="456"/>
      <c r="N293" s="456"/>
      <c r="O293" s="456"/>
      <c r="P293" s="456"/>
    </row>
    <row r="294" spans="1:16" x14ac:dyDescent="0.25">
      <c r="A294" s="286" t="s">
        <v>0</v>
      </c>
      <c r="B294" s="286" t="s">
        <v>1</v>
      </c>
      <c r="C294" s="286" t="s">
        <v>2</v>
      </c>
      <c r="D294" s="286" t="s">
        <v>1</v>
      </c>
      <c r="E294" s="735" t="s">
        <v>563</v>
      </c>
      <c r="F294" s="735"/>
      <c r="G294" s="286" t="s">
        <v>3</v>
      </c>
      <c r="H294" s="286" t="s">
        <v>1</v>
      </c>
      <c r="I294" s="286" t="s">
        <v>1</v>
      </c>
      <c r="J294" s="286" t="s">
        <v>4</v>
      </c>
      <c r="L294" s="456"/>
      <c r="M294" s="456"/>
      <c r="N294" s="456"/>
      <c r="O294" s="456"/>
      <c r="P294" s="456"/>
    </row>
    <row r="295" spans="1:16" x14ac:dyDescent="0.25">
      <c r="A295" s="287" t="s">
        <v>705</v>
      </c>
      <c r="B295" s="287" t="s">
        <v>5</v>
      </c>
      <c r="C295" s="287" t="s">
        <v>6</v>
      </c>
      <c r="D295" s="287" t="s">
        <v>7</v>
      </c>
      <c r="E295" s="288" t="s">
        <v>8</v>
      </c>
      <c r="F295" s="288" t="s">
        <v>9</v>
      </c>
      <c r="G295" s="412" t="s">
        <v>7</v>
      </c>
      <c r="H295" s="287" t="s">
        <v>534</v>
      </c>
      <c r="I295" s="287" t="s">
        <v>10</v>
      </c>
      <c r="J295" s="412" t="s">
        <v>11</v>
      </c>
      <c r="L295" s="456"/>
      <c r="M295" s="456"/>
      <c r="N295" s="456"/>
      <c r="O295" s="456"/>
      <c r="P295" s="456"/>
    </row>
    <row r="296" spans="1:16" x14ac:dyDescent="0.25">
      <c r="A296" s="376" t="s">
        <v>541</v>
      </c>
      <c r="B296" s="525" t="str">
        <f>$B$288</f>
        <v>GAUGE</v>
      </c>
      <c r="C296" s="525">
        <f>$C$288</f>
        <v>0</v>
      </c>
      <c r="D296" s="575"/>
      <c r="E296" s="575"/>
      <c r="F296" s="575"/>
      <c r="G296" s="1">
        <f>IFERROR(D296+(E296+F296),"GAUGE")</f>
        <v>0</v>
      </c>
      <c r="H296" s="575">
        <v>62</v>
      </c>
      <c r="I296" s="526">
        <v>1</v>
      </c>
      <c r="J296" s="528">
        <f t="shared" ref="J296:J297" si="8">IFERROR(ROUND(H296*I296,1),"")</f>
        <v>62</v>
      </c>
      <c r="L296" s="456"/>
      <c r="M296" s="456"/>
      <c r="N296" s="456"/>
      <c r="O296" s="456"/>
      <c r="P296" s="456"/>
    </row>
    <row r="297" spans="1:16" x14ac:dyDescent="0.25">
      <c r="A297" s="382" t="s">
        <v>542</v>
      </c>
      <c r="B297" s="2">
        <f>$B$289</f>
        <v>0</v>
      </c>
      <c r="C297" s="2">
        <f>$C$289</f>
        <v>0</v>
      </c>
      <c r="D297" s="577"/>
      <c r="E297" s="577"/>
      <c r="F297" s="577"/>
      <c r="G297" s="2">
        <f t="shared" ref="G297" si="9">IFERROR(D297+(E297+F297),"GAUGE")</f>
        <v>0</v>
      </c>
      <c r="H297" s="577">
        <v>26</v>
      </c>
      <c r="I297" s="530">
        <v>1</v>
      </c>
      <c r="J297" s="531">
        <f t="shared" si="8"/>
        <v>26</v>
      </c>
      <c r="L297" s="456"/>
      <c r="M297" s="456"/>
      <c r="N297" s="456"/>
      <c r="O297" s="456"/>
      <c r="P297" s="456"/>
    </row>
    <row r="298" spans="1:16" x14ac:dyDescent="0.25">
      <c r="A298" s="381" t="s">
        <v>14</v>
      </c>
      <c r="B298" s="291"/>
      <c r="C298" s="291"/>
      <c r="D298" s="291"/>
      <c r="E298" s="291"/>
      <c r="F298" s="291"/>
      <c r="G298" s="291"/>
      <c r="H298" s="534">
        <f>SUM($H$296:$H$297)</f>
        <v>88</v>
      </c>
      <c r="I298" s="535"/>
      <c r="J298" s="534">
        <f>SUM($J$296:$J$297)</f>
        <v>88</v>
      </c>
      <c r="L298" s="456"/>
      <c r="M298" s="456"/>
      <c r="N298" s="456"/>
      <c r="O298" s="456"/>
      <c r="P298" s="456"/>
    </row>
    <row r="299" spans="1:16" x14ac:dyDescent="0.25">
      <c r="L299" s="456"/>
      <c r="M299" s="456"/>
      <c r="N299" s="456"/>
      <c r="O299" s="456"/>
      <c r="P299" s="456"/>
    </row>
    <row r="300" spans="1:16" x14ac:dyDescent="0.25">
      <c r="L300" s="456"/>
      <c r="M300" s="456"/>
      <c r="N300" s="456"/>
      <c r="O300" s="456"/>
      <c r="P300" s="456"/>
    </row>
    <row r="301" spans="1:16" ht="15.75" x14ac:dyDescent="0.25">
      <c r="A301" s="380" t="s">
        <v>687</v>
      </c>
      <c r="B301" s="7"/>
      <c r="C301" s="7"/>
      <c r="D301" s="7"/>
      <c r="E301" s="7"/>
      <c r="F301" s="7"/>
      <c r="G301" s="7"/>
      <c r="H301" s="7"/>
      <c r="I301" s="7"/>
      <c r="J301" s="7"/>
      <c r="L301" s="456"/>
      <c r="M301" s="456"/>
      <c r="N301" s="456"/>
      <c r="O301" s="456"/>
      <c r="P301" s="456"/>
    </row>
    <row r="302" spans="1:16" x14ac:dyDescent="0.25">
      <c r="A302" s="383"/>
      <c r="B302" s="8"/>
      <c r="C302" s="8"/>
      <c r="D302" s="388"/>
      <c r="E302" s="8"/>
      <c r="F302" s="736" t="s">
        <v>543</v>
      </c>
      <c r="G302" s="736"/>
      <c r="H302" s="384"/>
      <c r="I302" s="737" t="s">
        <v>544</v>
      </c>
      <c r="J302" s="738"/>
      <c r="L302" s="456"/>
      <c r="M302" s="456"/>
      <c r="N302" s="456"/>
      <c r="O302" s="456"/>
      <c r="P302" s="456"/>
    </row>
    <row r="303" spans="1:16" ht="15.75" x14ac:dyDescent="0.25">
      <c r="A303" s="389" t="s">
        <v>545</v>
      </c>
      <c r="B303" s="390"/>
      <c r="C303" s="390"/>
      <c r="D303" s="419"/>
      <c r="E303" s="390"/>
      <c r="F303" s="739">
        <f>Draft!$H$65</f>
        <v>979.3</v>
      </c>
      <c r="G303" s="739"/>
      <c r="H303" s="406"/>
      <c r="I303" s="739">
        <f>Draft!$Z$65</f>
        <v>972.8</v>
      </c>
      <c r="J303" s="740"/>
      <c r="L303" s="456"/>
      <c r="M303" s="456"/>
      <c r="N303" s="456"/>
      <c r="O303" s="456"/>
      <c r="P303" s="456"/>
    </row>
    <row r="304" spans="1:16" ht="15.75" x14ac:dyDescent="0.25">
      <c r="A304" s="385" t="s">
        <v>546</v>
      </c>
      <c r="D304" s="420"/>
      <c r="F304" s="733">
        <f>Draft!$H$66</f>
        <v>258.89999999999998</v>
      </c>
      <c r="G304" s="733"/>
      <c r="H304" s="407"/>
      <c r="I304" s="733">
        <f>Draft!$Z$66</f>
        <v>258.89999999999998</v>
      </c>
      <c r="J304" s="734"/>
      <c r="L304" s="456"/>
      <c r="M304" s="456"/>
      <c r="N304" s="456"/>
      <c r="O304" s="456"/>
      <c r="P304" s="456"/>
    </row>
    <row r="305" spans="1:16" ht="15.75" x14ac:dyDescent="0.25">
      <c r="A305" s="385" t="s">
        <v>547</v>
      </c>
      <c r="D305" s="420"/>
      <c r="F305" s="733" t="str">
        <f>Draft!$H$67</f>
        <v>K</v>
      </c>
      <c r="G305" s="733"/>
      <c r="H305" s="407"/>
      <c r="I305" s="733" t="str">
        <f>Draft!$Z$67</f>
        <v>K</v>
      </c>
      <c r="J305" s="734"/>
      <c r="L305" s="456"/>
      <c r="M305" s="456"/>
      <c r="N305" s="456"/>
      <c r="O305" s="456"/>
      <c r="P305" s="456"/>
    </row>
    <row r="306" spans="1:16" ht="15.75" x14ac:dyDescent="0.25">
      <c r="A306" s="385" t="s">
        <v>548</v>
      </c>
      <c r="D306" s="420"/>
      <c r="F306" s="733">
        <f>$J$290</f>
        <v>100</v>
      </c>
      <c r="G306" s="733"/>
      <c r="H306" s="407"/>
      <c r="I306" s="733">
        <f>$J$298</f>
        <v>88</v>
      </c>
      <c r="J306" s="734"/>
      <c r="L306" s="456"/>
      <c r="M306" s="456"/>
      <c r="N306" s="456"/>
      <c r="O306" s="456"/>
      <c r="P306" s="456"/>
    </row>
    <row r="307" spans="1:16" ht="15.75" x14ac:dyDescent="0.25">
      <c r="A307" s="385" t="s">
        <v>549</v>
      </c>
      <c r="D307" s="420"/>
      <c r="F307" s="733">
        <f>$J$261</f>
        <v>16664.7</v>
      </c>
      <c r="G307" s="733"/>
      <c r="H307" s="407"/>
      <c r="I307" s="733">
        <f>$J$281</f>
        <v>275.3</v>
      </c>
      <c r="J307" s="734"/>
      <c r="L307" s="456"/>
      <c r="M307" s="456"/>
      <c r="N307" s="456"/>
      <c r="O307" s="456"/>
      <c r="P307" s="456"/>
    </row>
    <row r="308" spans="1:16" ht="15.75" x14ac:dyDescent="0.25">
      <c r="A308" s="391" t="s">
        <v>550</v>
      </c>
      <c r="B308" s="392"/>
      <c r="C308" s="392"/>
      <c r="D308" s="421"/>
      <c r="E308" s="392"/>
      <c r="F308" s="727">
        <f>Draft!$H$71</f>
        <v>0</v>
      </c>
      <c r="G308" s="727"/>
      <c r="H308" s="408"/>
      <c r="I308" s="727">
        <f>Draft!$Z$71</f>
        <v>0</v>
      </c>
      <c r="J308" s="728"/>
      <c r="L308" s="456"/>
      <c r="M308" s="456"/>
      <c r="N308" s="456"/>
      <c r="O308" s="456"/>
      <c r="P308" s="456"/>
    </row>
    <row r="309" spans="1:16" ht="15.75" x14ac:dyDescent="0.25">
      <c r="A309" s="386" t="s">
        <v>14</v>
      </c>
      <c r="B309" s="8"/>
      <c r="C309" s="8"/>
      <c r="D309" s="387"/>
      <c r="E309" s="8"/>
      <c r="F309" s="729">
        <f>SUM($F$303:$G$308)</f>
        <v>18002.900000000001</v>
      </c>
      <c r="G309" s="729"/>
      <c r="H309" s="409"/>
      <c r="I309" s="727">
        <f>SUM($I$303:$J$308)</f>
        <v>1594.9999999999998</v>
      </c>
      <c r="J309" s="727"/>
      <c r="L309" s="456"/>
      <c r="M309" s="456"/>
      <c r="N309" s="456"/>
      <c r="O309" s="456"/>
      <c r="P309" s="456"/>
    </row>
    <row r="310" spans="1:16" x14ac:dyDescent="0.25">
      <c r="L310" s="456"/>
      <c r="M310" s="456"/>
      <c r="N310" s="456"/>
      <c r="O310" s="456"/>
      <c r="P310" s="456"/>
    </row>
  </sheetData>
  <mergeCells count="172">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 ref="E265:F265"/>
    <mergeCell ref="E286:F286"/>
    <mergeCell ref="E294:F294"/>
    <mergeCell ref="I303:J303"/>
    <mergeCell ref="F302:G302"/>
    <mergeCell ref="I302:J302"/>
    <mergeCell ref="F303:G303"/>
    <mergeCell ref="A230:F230"/>
    <mergeCell ref="I232:J232"/>
    <mergeCell ref="I233:J233"/>
    <mergeCell ref="I234:J234"/>
    <mergeCell ref="G234:H234"/>
    <mergeCell ref="G220:H220"/>
    <mergeCell ref="I205:J205"/>
    <mergeCell ref="I206:J206"/>
    <mergeCell ref="I207:J207"/>
    <mergeCell ref="I208:J208"/>
    <mergeCell ref="G214:H214"/>
    <mergeCell ref="I214:J214"/>
    <mergeCell ref="G206:H206"/>
    <mergeCell ref="G207:H207"/>
    <mergeCell ref="G208:H208"/>
    <mergeCell ref="F309:G309"/>
    <mergeCell ref="I304:J304"/>
    <mergeCell ref="I305:J305"/>
    <mergeCell ref="I306:J306"/>
    <mergeCell ref="I307:J307"/>
    <mergeCell ref="I308:J308"/>
    <mergeCell ref="I309:J309"/>
    <mergeCell ref="F304:G304"/>
    <mergeCell ref="F305:G305"/>
    <mergeCell ref="F306:G306"/>
    <mergeCell ref="F307:G307"/>
    <mergeCell ref="F308:G308"/>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D120:E120"/>
    <mergeCell ref="D121:E121"/>
    <mergeCell ref="F120:I120"/>
    <mergeCell ref="F121:I121"/>
    <mergeCell ref="F122:I122"/>
    <mergeCell ref="H176:I176"/>
    <mergeCell ref="H177:I177"/>
    <mergeCell ref="F114:I114"/>
    <mergeCell ref="F115:I115"/>
    <mergeCell ref="F116:I116"/>
    <mergeCell ref="G138:H138"/>
    <mergeCell ref="E155:J155"/>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B121:C121"/>
    <mergeCell ref="B122:C122"/>
    <mergeCell ref="I135:J135"/>
    <mergeCell ref="G135:H135"/>
    <mergeCell ref="G139:H139"/>
    <mergeCell ref="G140:H140"/>
    <mergeCell ref="E245:F245"/>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s>
  <conditionalFormatting sqref="B115">
    <cfRule type="cellIs" dxfId="31" priority="34" operator="equal">
      <formula>0</formula>
    </cfRule>
  </conditionalFormatting>
  <conditionalFormatting sqref="F115">
    <cfRule type="cellIs" dxfId="30" priority="32" operator="equal">
      <formula>0</formula>
    </cfRule>
  </conditionalFormatting>
  <conditionalFormatting sqref="F116:F121">
    <cfRule type="cellIs" dxfId="29" priority="30" operator="equal">
      <formula>0</formula>
    </cfRule>
  </conditionalFormatting>
  <conditionalFormatting sqref="B116:B121">
    <cfRule type="cellIs" dxfId="28" priority="27" operator="equal">
      <formula>0</formula>
    </cfRule>
  </conditionalFormatting>
  <conditionalFormatting sqref="D115">
    <cfRule type="cellIs" dxfId="27" priority="29" operator="equal">
      <formula>0</formula>
    </cfRule>
  </conditionalFormatting>
  <conditionalFormatting sqref="D116:D121">
    <cfRule type="cellIs" dxfId="26" priority="28" operator="equal">
      <formula>0</formula>
    </cfRule>
  </conditionalFormatting>
  <conditionalFormatting sqref="G240:I240">
    <cfRule type="expression" dxfId="25" priority="40">
      <formula>$G$240=0</formula>
    </cfRule>
  </conditionalFormatting>
  <conditionalFormatting sqref="F240">
    <cfRule type="expression" dxfId="24" priority="41">
      <formula>#REF!=0</formula>
    </cfRule>
  </conditionalFormatting>
  <conditionalFormatting sqref="G239:I239">
    <cfRule type="expression" dxfId="23" priority="15">
      <formula>$G$239=0</formula>
    </cfRule>
  </conditionalFormatting>
  <conditionalFormatting sqref="H177:I177">
    <cfRule type="cellIs" dxfId="22" priority="12" operator="equal">
      <formula>0</formula>
    </cfRule>
  </conditionalFormatting>
  <conditionalFormatting sqref="H178:I180">
    <cfRule type="cellIs" dxfId="21" priority="11" operator="equal">
      <formula>0</formula>
    </cfRule>
  </conditionalFormatting>
  <conditionalFormatting sqref="J177">
    <cfRule type="expression" dxfId="20" priority="10">
      <formula>$D$177=""</formula>
    </cfRule>
  </conditionalFormatting>
  <conditionalFormatting sqref="J178">
    <cfRule type="expression" dxfId="19" priority="9">
      <formula>$D$178=""</formula>
    </cfRule>
  </conditionalFormatting>
  <conditionalFormatting sqref="J179">
    <cfRule type="expression" dxfId="18" priority="8">
      <formula>$D$179=""</formula>
    </cfRule>
  </conditionalFormatting>
  <conditionalFormatting sqref="J180">
    <cfRule type="expression" dxfId="17" priority="7">
      <formula>$D$180=""</formula>
    </cfRule>
  </conditionalFormatting>
  <conditionalFormatting sqref="H244">
    <cfRule type="cellIs" dxfId="16" priority="6" operator="equal">
      <formula>0</formula>
    </cfRule>
  </conditionalFormatting>
  <conditionalFormatting sqref="H264">
    <cfRule type="cellIs" dxfId="15"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&amp;RPGUA/DS/081/26</oddHeader>
    <oddFooter>&amp;C&amp;P</oddFooter>
  </headerFooter>
  <rowBreaks count="6" manualBreakCount="6">
    <brk id="33" max="9" man="1"/>
    <brk id="88" max="9" man="1"/>
    <brk id="132" max="9" man="1"/>
    <brk id="181" max="9" man="1"/>
    <brk id="241" max="9" man="1"/>
    <brk id="282"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87"/>
  <sheetViews>
    <sheetView tabSelected="1" view="pageBreakPreview" topLeftCell="A269" zoomScale="93" zoomScaleNormal="93" zoomScaleSheetLayoutView="93" workbookViewId="0">
      <selection activeCell="L59" sqref="L59"/>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57" t="str">
        <f>_xlfn.CONCAT("MV"," """,CAPA!B8,""" ")</f>
        <v xml:space="preserve">MV "Karlovasi" </v>
      </c>
      <c r="B1" s="857"/>
      <c r="C1" s="857"/>
      <c r="D1" s="857"/>
      <c r="E1" s="857"/>
      <c r="F1" s="857"/>
      <c r="G1" s="857"/>
      <c r="H1" s="857"/>
      <c r="I1" s="857"/>
      <c r="J1" s="857"/>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58" t="str">
        <f>_xlfn.CONCAT(CAPA!A5,CAPA!B5)</f>
        <v>PGUA/DS/081/26</v>
      </c>
      <c r="H3" s="858"/>
      <c r="I3" s="858"/>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688</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690</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694</v>
      </c>
      <c r="B14" s="259"/>
      <c r="C14" s="259"/>
      <c r="D14" s="259"/>
      <c r="E14" s="259"/>
      <c r="F14" s="259"/>
      <c r="G14" s="259"/>
      <c r="H14" s="261"/>
      <c r="I14" s="261" t="s">
        <v>22</v>
      </c>
    </row>
    <row r="15" spans="1:10" ht="19.5" x14ac:dyDescent="0.4">
      <c r="A15" s="260" t="s">
        <v>695</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686</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1" t="s">
        <v>567</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tr">
        <f>Relato!A33</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859" t="str">
        <f>$A$1</f>
        <v xml:space="preserve">MV "Karlovasi" </v>
      </c>
      <c r="B34" s="859"/>
      <c r="C34" s="859"/>
      <c r="D34" s="859"/>
      <c r="E34" s="859"/>
      <c r="F34" s="859"/>
      <c r="G34" s="859"/>
      <c r="H34" s="859"/>
      <c r="I34" s="859"/>
      <c r="J34" s="859"/>
      <c r="L34" s="460"/>
      <c r="M34" s="460"/>
      <c r="N34" s="460"/>
      <c r="O34" s="460"/>
      <c r="P34" s="460"/>
    </row>
    <row r="35" spans="1:16" ht="15.75" x14ac:dyDescent="0.25">
      <c r="A35" s="849" t="str">
        <f>$G$3</f>
        <v>PGUA/DS/081/26</v>
      </c>
      <c r="B35" s="849"/>
      <c r="C35" s="849"/>
      <c r="D35" s="849"/>
      <c r="E35" s="849"/>
      <c r="F35" s="849"/>
      <c r="G35" s="849"/>
      <c r="H35" s="849"/>
      <c r="I35" s="849"/>
      <c r="J35" s="849"/>
      <c r="L35" s="460"/>
      <c r="M35" s="460"/>
      <c r="N35" s="460"/>
      <c r="O35" s="460"/>
      <c r="P35" s="460"/>
    </row>
    <row r="36" spans="1:16" ht="15.75" x14ac:dyDescent="0.25">
      <c r="A36" s="849" t="str">
        <f>A3</f>
        <v>DRAUGHT SURVEY REPORT</v>
      </c>
      <c r="B36" s="849"/>
      <c r="C36" s="849"/>
      <c r="D36" s="849"/>
      <c r="E36" s="849"/>
      <c r="F36" s="849"/>
      <c r="G36" s="849"/>
      <c r="H36" s="849"/>
      <c r="I36" s="849"/>
      <c r="J36" s="849"/>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54" t="s">
        <v>39</v>
      </c>
      <c r="B38" s="854"/>
      <c r="C38" s="854"/>
      <c r="D38" s="854"/>
      <c r="E38" s="854"/>
      <c r="F38" s="854"/>
      <c r="G38" s="854"/>
      <c r="H38" s="854"/>
      <c r="I38" s="854"/>
      <c r="J38" s="854"/>
      <c r="L38" s="460"/>
      <c r="M38" s="460"/>
      <c r="N38" s="460"/>
      <c r="O38" s="460"/>
      <c r="P38" s="460"/>
    </row>
    <row r="39" spans="1:16" ht="15" customHeight="1" x14ac:dyDescent="0.25">
      <c r="A39" s="854"/>
      <c r="B39" s="854"/>
      <c r="C39" s="854"/>
      <c r="D39" s="854"/>
      <c r="E39" s="854"/>
      <c r="F39" s="854"/>
      <c r="G39" s="854"/>
      <c r="H39" s="854"/>
      <c r="I39" s="854"/>
      <c r="J39" s="854"/>
      <c r="L39" s="460"/>
      <c r="M39" s="460"/>
      <c r="N39" s="460"/>
      <c r="O39" s="460"/>
      <c r="P39" s="460"/>
    </row>
    <row r="40" spans="1:16" ht="75" customHeight="1" x14ac:dyDescent="0.25">
      <c r="A40" s="854" t="str">
        <f>_xlfn.CONCAT(CAPA!$E$46:$E$55,".")</f>
        <v xml:space="preserve"> Messrs. AGTL - Armazéns Gerais Terminal Ltda.,  Messrs. Cimbessul Terminal Portuario S/A, Messrs. Cotriguaçu Cooperativa Central Regional Iguaçu Ltda.,  Messrs. Amaggi &amp; LDC Terminais Portuários Paranaguá S.A,  Messrs. Rocha Terminais Portuários e Logística .</v>
      </c>
      <c r="B40" s="854"/>
      <c r="C40" s="854"/>
      <c r="D40" s="854"/>
      <c r="E40" s="854"/>
      <c r="F40" s="854"/>
      <c r="G40" s="854"/>
      <c r="H40" s="854"/>
      <c r="I40" s="854"/>
      <c r="J40" s="854"/>
      <c r="L40" s="630" t="str">
        <f>_xlfn.CONCAT(CAPA!$E$46:$E$55,".")</f>
        <v xml:space="preserve"> Messrs. AGTL - Armazéns Gerais Terminal Ltda.,  Messrs. Cimbessul Terminal Portuario S/A, Messrs. Cotriguaçu Cooperativa Central Regional Iguaçu Ltda.,  Messrs. Amaggi &amp; LDC Terminais Portuários Paranaguá S.A,  Messrs. Rocha Terminais Portuários e Logística .</v>
      </c>
      <c r="M40" s="460"/>
      <c r="N40" s="460"/>
      <c r="O40" s="460"/>
      <c r="P40" s="460"/>
    </row>
    <row r="41" spans="1:16" ht="60" x14ac:dyDescent="0.25">
      <c r="A41" s="855" t="str">
        <f>$L$41</f>
        <v>Attend on board the referenced vessel on  March 15th, 2026 from 18:00 until 20:30 hours, whilst she was anchored at inner roads area 6,1, and on  March 18th, 2026 from 7:30 until 9:30 hours, whilst she was berthed alongside wharf 212 at port of Paranaguá, Br - Brazil, with views to perform the initial and final draft surveys, ascertaining the following figures:</v>
      </c>
      <c r="B41" s="855"/>
      <c r="C41" s="855"/>
      <c r="D41" s="855"/>
      <c r="E41" s="855"/>
      <c r="F41" s="855"/>
      <c r="G41" s="855"/>
      <c r="H41" s="855"/>
      <c r="I41" s="855"/>
      <c r="J41" s="855"/>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15th, 2026 from 18:00 until 20:30 hours, whilst she was anchored at inner roads area 6,1, and on  March 18th, 2026 from 7:30 until 9:30 hours, whilst she was berthed alongside wharf 212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688</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"Karlovasi" </v>
      </c>
      <c r="B48" s="13"/>
      <c r="C48" s="13"/>
      <c r="D48" s="13"/>
      <c r="E48" s="13"/>
      <c r="F48" s="14" t="str">
        <f>_xlfn.CONCAT("Mr. ",CAPA!$B$30,", ",$L$48)</f>
        <v>Mr. Pavlo Mariynsky, the Master</v>
      </c>
      <c r="H48" s="14"/>
      <c r="I48" s="14"/>
      <c r="J48" s="13"/>
      <c r="K48" s="13"/>
      <c r="L48" s="461" t="s">
        <v>551</v>
      </c>
      <c r="M48" s="461"/>
      <c r="N48" s="460"/>
      <c r="O48" s="460"/>
      <c r="P48" s="460"/>
    </row>
    <row r="49" spans="1:16" ht="15.75" x14ac:dyDescent="0.25">
      <c r="A49" s="13"/>
      <c r="B49" s="13"/>
      <c r="C49" s="13"/>
      <c r="D49" s="13"/>
      <c r="E49" s="13"/>
      <c r="F49" s="14" t="str">
        <f>_xlfn.CONCAT("Mr. ",CAPA!$B$31,", ",$L$49)</f>
        <v>Mr. Sergei Ukolov, the Chief Officer</v>
      </c>
      <c r="H49" s="13"/>
      <c r="I49" s="13"/>
      <c r="J49" s="13"/>
      <c r="K49" s="13"/>
      <c r="L49" s="461" t="s">
        <v>552</v>
      </c>
      <c r="M49" s="461"/>
      <c r="N49" s="460"/>
      <c r="O49" s="460"/>
      <c r="P49" s="460"/>
    </row>
    <row r="50" spans="1:16" ht="15.75" x14ac:dyDescent="0.25">
      <c r="A50" s="13"/>
      <c r="B50" s="13"/>
      <c r="C50" s="13"/>
      <c r="D50" s="13"/>
      <c r="E50" s="13"/>
      <c r="F50" s="14" t="str">
        <f>_xlfn.CONCAT("Mr. ",CAPA!$B$32,", ",$L$50)</f>
        <v>Mr. Andrii Liskevych, the Chief Engineer</v>
      </c>
      <c r="H50" s="13"/>
      <c r="I50" s="13"/>
      <c r="J50" s="13"/>
      <c r="K50" s="13"/>
      <c r="L50" s="462" t="s">
        <v>553</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441" t="str">
        <f>CAPA!$A$41</f>
        <v>AGÊNCIA MARITIMA CARGONAVE LTDA</v>
      </c>
      <c r="B53" s="6"/>
      <c r="C53" s="6"/>
      <c r="D53" s="6"/>
      <c r="E53" s="6"/>
      <c r="F53" s="441" t="str">
        <f>Clients!$D$50</f>
        <v>Mr. Edilson Gonçalves</v>
      </c>
      <c r="H53" s="13"/>
      <c r="I53" s="13"/>
      <c r="J53" s="13"/>
      <c r="K53" s="13"/>
      <c r="L53" s="462"/>
      <c r="M53" s="462"/>
      <c r="N53" s="460"/>
      <c r="O53" s="460"/>
      <c r="P53" s="460"/>
    </row>
    <row r="54" spans="1:16" ht="15.75" x14ac:dyDescent="0.25">
      <c r="A54" s="6" t="s">
        <v>42</v>
      </c>
      <c r="B54" s="6"/>
      <c r="C54" s="6"/>
      <c r="D54" s="6"/>
      <c r="E54" s="6"/>
      <c r="F54" s="441" t="str">
        <f>Clients!$D$51</f>
        <v>Mr. Renan Calixto</v>
      </c>
      <c r="H54" s="13"/>
      <c r="I54" s="13"/>
      <c r="J54" s="13"/>
      <c r="K54" s="13"/>
      <c r="L54" s="462"/>
      <c r="M54" s="462"/>
      <c r="N54" s="460"/>
      <c r="O54" s="460"/>
      <c r="P54" s="460"/>
    </row>
    <row r="55" spans="1:16" ht="15.75" x14ac:dyDescent="0.25">
      <c r="A55" s="6"/>
      <c r="B55" s="6"/>
      <c r="C55" s="6"/>
      <c r="D55" s="6"/>
      <c r="E55" s="6"/>
      <c r="F55" s="441" t="str">
        <f>Clients!$D$52</f>
        <v>Mr. Lorram Gabriel Florentino</v>
      </c>
      <c r="H55" s="13"/>
      <c r="I55" s="13"/>
      <c r="J55" s="13"/>
      <c r="K55" s="13"/>
      <c r="L55" s="462"/>
      <c r="M55" s="462"/>
      <c r="N55" s="460"/>
      <c r="O55" s="460"/>
      <c r="P55" s="460"/>
    </row>
    <row r="56" spans="1:16" ht="15.75" x14ac:dyDescent="0.25">
      <c r="A56" s="13"/>
      <c r="B56" s="13"/>
      <c r="C56" s="13"/>
      <c r="D56" s="13"/>
      <c r="E56" s="13"/>
      <c r="F56" s="12"/>
      <c r="H56" s="13"/>
      <c r="I56" s="13"/>
      <c r="J56" s="13"/>
      <c r="K56" s="13"/>
      <c r="L56" s="462"/>
      <c r="M56" s="462"/>
      <c r="N56" s="460"/>
      <c r="O56" s="460"/>
      <c r="P56" s="460"/>
    </row>
    <row r="57" spans="1:16" ht="15.75" x14ac:dyDescent="0.25">
      <c r="A57" s="13"/>
      <c r="B57" s="13"/>
      <c r="C57" s="13"/>
      <c r="D57" s="13"/>
      <c r="E57" s="13"/>
      <c r="F57" s="12"/>
      <c r="H57" s="13"/>
      <c r="I57" s="13"/>
      <c r="J57" s="13"/>
      <c r="K57" s="13"/>
      <c r="L57" s="462"/>
      <c r="M57" s="462"/>
      <c r="N57" s="460"/>
      <c r="O57" s="460"/>
      <c r="P57" s="460"/>
    </row>
    <row r="58" spans="1:16" ht="15.75" x14ac:dyDescent="0.25">
      <c r="A58" s="440" t="str">
        <f>CAPA!$A$43</f>
        <v>AGÊNCIA MARITIMA CARGONAVE LTDA</v>
      </c>
      <c r="B58" s="5"/>
      <c r="C58" s="5"/>
      <c r="D58" s="5"/>
      <c r="E58" s="5"/>
      <c r="F58" s="285" t="str">
        <f>Clients!$D$181</f>
        <v>Mr. Azemir do Rosario</v>
      </c>
      <c r="H58" s="6"/>
      <c r="I58" s="6"/>
      <c r="J58" s="442"/>
      <c r="L58" s="460"/>
      <c r="M58" s="460"/>
      <c r="N58" s="460"/>
      <c r="O58" s="460"/>
      <c r="P58" s="460"/>
    </row>
    <row r="59" spans="1:16" ht="15.75" x14ac:dyDescent="0.25">
      <c r="A59" s="440" t="s">
        <v>41</v>
      </c>
      <c r="B59" s="5"/>
      <c r="C59" s="5"/>
      <c r="D59" s="5"/>
      <c r="E59" s="5"/>
      <c r="F59" s="285" t="str">
        <f>Clients!$D$182</f>
        <v>Mr. Willian Cordeiro</v>
      </c>
      <c r="H59" s="6"/>
      <c r="I59" s="6"/>
      <c r="J59" s="442"/>
      <c r="L59" s="460"/>
      <c r="M59" s="460"/>
      <c r="N59" s="460"/>
      <c r="O59" s="460"/>
      <c r="P59" s="460"/>
    </row>
    <row r="60" spans="1:16" ht="15.75" x14ac:dyDescent="0.25">
      <c r="A60" s="440"/>
      <c r="B60" s="5"/>
      <c r="C60" s="5"/>
      <c r="D60" s="5"/>
      <c r="E60" s="5"/>
      <c r="F60" s="14"/>
      <c r="H60" s="13"/>
      <c r="I60" s="6"/>
      <c r="J60" s="442"/>
      <c r="L60" s="460"/>
      <c r="M60" s="460"/>
      <c r="N60" s="460"/>
      <c r="O60" s="460"/>
      <c r="P60" s="460"/>
    </row>
    <row r="61" spans="1:16" ht="15.75" x14ac:dyDescent="0.25">
      <c r="A61" s="5"/>
      <c r="B61" s="6"/>
      <c r="C61" s="6"/>
      <c r="D61" s="6"/>
      <c r="E61" s="6"/>
      <c r="F61" s="441"/>
      <c r="H61" s="6"/>
      <c r="I61" s="6"/>
      <c r="J61" s="442"/>
      <c r="L61" s="460"/>
      <c r="M61" s="460"/>
      <c r="N61" s="460"/>
      <c r="O61" s="460"/>
      <c r="P61" s="460"/>
    </row>
    <row r="62" spans="1:16" ht="15.75" x14ac:dyDescent="0.25">
      <c r="A62" s="5" t="str">
        <f>IF(CAPA!$A$88=0,"",CAPA!$A$88)</f>
        <v>UNISURVEY LTDA.</v>
      </c>
      <c r="B62" s="5"/>
      <c r="C62" s="5"/>
      <c r="D62" s="5"/>
      <c r="E62" s="5"/>
      <c r="F62" s="440" t="str">
        <f>Clients!$D$267</f>
        <v>Mr. Joni Nunes Carvalho</v>
      </c>
      <c r="H62" s="6"/>
      <c r="I62" s="6"/>
      <c r="J62" s="442"/>
      <c r="L62" s="460"/>
      <c r="M62" s="460"/>
      <c r="N62" s="460"/>
      <c r="O62" s="460"/>
      <c r="P62" s="460"/>
    </row>
    <row r="63" spans="1:16" ht="15.75" x14ac:dyDescent="0.25">
      <c r="A63" s="5" t="s">
        <v>785</v>
      </c>
      <c r="B63" s="5"/>
      <c r="C63" s="5"/>
      <c r="D63" s="5"/>
      <c r="E63" s="5"/>
      <c r="F63" s="440" t="str">
        <f>Clients!$D$268</f>
        <v>Mr. Diego Florentino</v>
      </c>
      <c r="H63" s="6"/>
      <c r="I63" s="6"/>
      <c r="J63" s="442"/>
      <c r="L63" s="460"/>
      <c r="M63" s="460"/>
      <c r="N63" s="460"/>
      <c r="O63" s="460"/>
      <c r="P63" s="460"/>
    </row>
    <row r="64" spans="1:16" ht="15.75" x14ac:dyDescent="0.25">
      <c r="A64" s="6"/>
      <c r="B64" s="6"/>
      <c r="C64" s="6"/>
      <c r="D64" s="6"/>
      <c r="E64" s="6"/>
      <c r="F64" s="440"/>
      <c r="H64" s="6"/>
      <c r="I64" s="13"/>
      <c r="J64" s="442"/>
      <c r="L64" s="460"/>
      <c r="M64" s="460"/>
      <c r="N64" s="460"/>
      <c r="O64" s="460"/>
      <c r="P64" s="460"/>
    </row>
    <row r="65" spans="1:16" ht="15.75" x14ac:dyDescent="0.25">
      <c r="A65" s="5"/>
      <c r="B65" s="5"/>
      <c r="C65" s="5"/>
      <c r="D65" s="5"/>
      <c r="E65" s="5"/>
      <c r="F65" s="440"/>
      <c r="H65" s="13"/>
      <c r="I65" s="13"/>
      <c r="J65" s="442"/>
      <c r="L65" s="460"/>
      <c r="M65" s="460"/>
      <c r="N65" s="460"/>
      <c r="O65" s="460"/>
      <c r="P65" s="460"/>
    </row>
    <row r="66" spans="1:16" ht="15.75" x14ac:dyDescent="0.25">
      <c r="A66" s="5" t="s">
        <v>43</v>
      </c>
      <c r="B66" s="5"/>
      <c r="C66" s="5"/>
      <c r="D66" s="5"/>
      <c r="E66" s="5"/>
      <c r="F66" s="441" t="str">
        <f>CAPA!$A$85</f>
        <v>Mr. Marcos Antonio Fangueiro</v>
      </c>
      <c r="H66" s="13"/>
      <c r="I66" s="13"/>
      <c r="J66" s="442"/>
      <c r="L66" s="460"/>
      <c r="M66" s="460"/>
      <c r="N66" s="460"/>
      <c r="O66" s="460"/>
      <c r="P66" s="460"/>
    </row>
    <row r="67" spans="1:16" ht="15.75" x14ac:dyDescent="0.25">
      <c r="A67" s="5"/>
      <c r="B67" s="5"/>
      <c r="C67" s="5"/>
      <c r="D67" s="5"/>
      <c r="E67" s="5"/>
      <c r="F67" s="293"/>
      <c r="G67" s="293"/>
      <c r="H67" s="13"/>
      <c r="I67" s="13"/>
      <c r="J67" s="442"/>
      <c r="L67" s="460"/>
      <c r="M67" s="460"/>
      <c r="N67" s="460"/>
      <c r="O67" s="460"/>
      <c r="P67" s="460"/>
    </row>
    <row r="68" spans="1:16" ht="15.75" x14ac:dyDescent="0.25">
      <c r="A68" s="5"/>
      <c r="B68" s="5"/>
      <c r="C68" s="5"/>
      <c r="D68" s="5"/>
      <c r="E68" s="5"/>
      <c r="F68" s="293"/>
      <c r="G68" s="13"/>
      <c r="H68" s="13"/>
      <c r="I68" s="13"/>
      <c r="J68" s="442"/>
      <c r="L68" s="460"/>
      <c r="M68" s="460"/>
      <c r="N68" s="460"/>
      <c r="O68" s="460"/>
      <c r="P68" s="460"/>
    </row>
    <row r="69" spans="1:16" ht="15.75" x14ac:dyDescent="0.25">
      <c r="A69" s="266" t="s">
        <v>44</v>
      </c>
      <c r="B69" s="13"/>
      <c r="C69" s="13"/>
      <c r="D69" s="13"/>
      <c r="E69" s="13"/>
      <c r="F69" s="266" t="s">
        <v>564</v>
      </c>
      <c r="H69" s="266"/>
      <c r="I69" s="13"/>
      <c r="J69" s="442"/>
      <c r="L69" s="460"/>
      <c r="M69" s="460"/>
      <c r="N69" s="460"/>
      <c r="O69" s="460"/>
      <c r="P69" s="460"/>
    </row>
    <row r="70" spans="1:16" ht="15.75" x14ac:dyDescent="0.25">
      <c r="A70" s="266" t="s">
        <v>45</v>
      </c>
      <c r="B70" s="13"/>
      <c r="C70" s="13"/>
      <c r="D70" s="13"/>
      <c r="E70" s="13"/>
      <c r="F70" s="13" t="s">
        <v>46</v>
      </c>
      <c r="H70" s="13"/>
      <c r="I70" s="13"/>
      <c r="J70" s="13"/>
      <c r="L70" s="460"/>
      <c r="M70" s="460"/>
      <c r="N70" s="460"/>
      <c r="O70" s="460"/>
      <c r="P70" s="460"/>
    </row>
    <row r="71" spans="1:16" ht="15.75" x14ac:dyDescent="0.25">
      <c r="A71" s="13"/>
      <c r="B71" s="13"/>
      <c r="C71" s="13"/>
      <c r="D71" s="13"/>
      <c r="E71" s="13"/>
      <c r="F71" s="851" t="str">
        <f>_xlfn.CONCAT("Mr. ",CAPA!$A$97)</f>
        <v>Mr. Haroldo Fernandes Alves Junior</v>
      </c>
      <c r="G71" s="851"/>
      <c r="H71" s="851"/>
      <c r="I71" s="851"/>
      <c r="J71" s="851"/>
      <c r="L71" s="460"/>
      <c r="M71" s="460"/>
      <c r="N71" s="460"/>
      <c r="O71" s="460"/>
      <c r="P71" s="460"/>
    </row>
    <row r="72" spans="1:16" ht="15.75" x14ac:dyDescent="0.25">
      <c r="A72" s="267" t="s">
        <v>47</v>
      </c>
      <c r="B72" s="13"/>
      <c r="C72" s="13"/>
      <c r="D72" s="13"/>
      <c r="E72" s="13"/>
      <c r="F72" s="13"/>
      <c r="G72" s="13"/>
      <c r="H72" s="13"/>
      <c r="I72" s="13"/>
      <c r="L72" s="460"/>
      <c r="M72" s="460"/>
      <c r="N72" s="460"/>
      <c r="O72" s="460"/>
      <c r="P72" s="460"/>
    </row>
    <row r="73" spans="1:16" ht="15.75" x14ac:dyDescent="0.25">
      <c r="A73" s="267"/>
      <c r="B73" s="13"/>
      <c r="C73" s="13"/>
      <c r="D73" s="13"/>
      <c r="E73" s="13"/>
      <c r="F73" s="13"/>
      <c r="G73" s="13"/>
      <c r="H73" s="13"/>
      <c r="I73" s="13"/>
      <c r="L73" s="460"/>
      <c r="M73" s="460"/>
      <c r="N73" s="460"/>
      <c r="O73" s="460"/>
      <c r="P73" s="460"/>
    </row>
    <row r="74" spans="1:16" ht="15.75" x14ac:dyDescent="0.25">
      <c r="A74" s="266" t="s">
        <v>48</v>
      </c>
      <c r="B74" s="13"/>
      <c r="C74" s="13"/>
      <c r="D74" s="13"/>
      <c r="E74" s="856" t="str">
        <f>CAPA!$B$8</f>
        <v>Karlovasi</v>
      </c>
      <c r="F74" s="856"/>
      <c r="G74" s="856"/>
      <c r="H74" s="856"/>
      <c r="I74" s="856"/>
      <c r="J74" s="856"/>
      <c r="L74" s="460"/>
      <c r="M74" s="460"/>
      <c r="N74" s="460"/>
      <c r="O74" s="460"/>
      <c r="P74" s="460"/>
    </row>
    <row r="75" spans="1:16" ht="15.75" x14ac:dyDescent="0.25">
      <c r="A75" s="266" t="s">
        <v>49</v>
      </c>
      <c r="B75" s="13"/>
      <c r="C75" s="13"/>
      <c r="D75" s="13"/>
      <c r="E75" s="856" t="str">
        <f>CAPA!$B$12</f>
        <v>CQ2400</v>
      </c>
      <c r="F75" s="856"/>
      <c r="G75" s="5"/>
      <c r="H75" s="5"/>
      <c r="I75" s="13"/>
      <c r="L75" s="460"/>
      <c r="M75" s="460"/>
      <c r="N75" s="460"/>
      <c r="O75" s="460"/>
      <c r="P75" s="460"/>
    </row>
    <row r="76" spans="1:16" ht="15.75" x14ac:dyDescent="0.25">
      <c r="A76" s="266" t="s">
        <v>50</v>
      </c>
      <c r="B76" s="13"/>
      <c r="C76" s="13"/>
      <c r="D76" s="13"/>
      <c r="E76" s="856" t="str">
        <f>CAPA!$B$13</f>
        <v>Madeira</v>
      </c>
      <c r="F76" s="856"/>
      <c r="G76" s="856"/>
      <c r="H76" s="5"/>
      <c r="I76" s="13"/>
      <c r="L76" s="460"/>
      <c r="M76" s="460"/>
      <c r="N76" s="460"/>
      <c r="O76" s="460"/>
      <c r="P76" s="460"/>
    </row>
    <row r="77" spans="1:16" ht="15.75" x14ac:dyDescent="0.25">
      <c r="A77" s="266" t="s">
        <v>51</v>
      </c>
      <c r="B77" s="13"/>
      <c r="C77" s="13"/>
      <c r="D77" s="13"/>
      <c r="E77" s="856" t="str">
        <f>CAPA!$B$14</f>
        <v>Portuguese</v>
      </c>
      <c r="F77" s="856"/>
      <c r="G77" s="856"/>
      <c r="H77" s="856"/>
      <c r="I77" s="856"/>
      <c r="J77" s="856"/>
      <c r="L77" s="460"/>
      <c r="M77" s="460"/>
      <c r="N77" s="460"/>
      <c r="O77" s="460"/>
      <c r="P77" s="460"/>
    </row>
    <row r="78" spans="1:16" ht="15.75" x14ac:dyDescent="0.25">
      <c r="A78" s="266" t="s">
        <v>52</v>
      </c>
      <c r="B78" s="13"/>
      <c r="C78" s="13"/>
      <c r="D78" s="13"/>
      <c r="E78" s="856">
        <f>CAPA!$B$10</f>
        <v>9951783</v>
      </c>
      <c r="F78" s="856"/>
      <c r="G78" s="5"/>
      <c r="H78" s="5"/>
      <c r="I78" s="13"/>
      <c r="L78" s="460"/>
      <c r="M78" s="460"/>
      <c r="N78" s="460"/>
      <c r="O78" s="460"/>
      <c r="P78" s="460"/>
    </row>
    <row r="79" spans="1:16" ht="15.75" x14ac:dyDescent="0.25">
      <c r="A79" s="266" t="s">
        <v>53</v>
      </c>
      <c r="B79" s="13"/>
      <c r="C79" s="13"/>
      <c r="D79" s="13"/>
      <c r="E79" s="268">
        <f>CAPA!$B$15</f>
        <v>199.98</v>
      </c>
      <c r="F79" s="268"/>
      <c r="G79" s="5"/>
      <c r="H79" s="5"/>
      <c r="I79" s="13"/>
      <c r="L79" s="460"/>
      <c r="M79" s="460"/>
      <c r="N79" s="460"/>
      <c r="O79" s="460"/>
      <c r="P79" s="460"/>
    </row>
    <row r="80" spans="1:16" ht="15.75" x14ac:dyDescent="0.25">
      <c r="A80" s="266" t="s">
        <v>54</v>
      </c>
      <c r="B80" s="13"/>
      <c r="C80" s="13"/>
      <c r="D80" s="13"/>
      <c r="E80" s="268">
        <f>CAPA!$B$16</f>
        <v>195.4</v>
      </c>
      <c r="F80" s="268"/>
      <c r="G80" s="5"/>
      <c r="H80" s="5"/>
      <c r="I80" s="13"/>
      <c r="L80" s="460"/>
      <c r="M80" s="460"/>
      <c r="N80" s="460"/>
      <c r="O80" s="460"/>
      <c r="P80" s="460"/>
    </row>
    <row r="81" spans="1:16" ht="15.75" x14ac:dyDescent="0.25">
      <c r="A81" s="266" t="s">
        <v>55</v>
      </c>
      <c r="B81" s="13"/>
      <c r="C81" s="13"/>
      <c r="D81" s="13"/>
      <c r="E81" s="268">
        <f>CAPA!$B$17</f>
        <v>19.3</v>
      </c>
      <c r="F81" s="268"/>
      <c r="G81" s="5"/>
      <c r="H81" s="5"/>
      <c r="I81" s="13"/>
      <c r="L81" s="460"/>
      <c r="M81" s="460"/>
      <c r="N81" s="460"/>
      <c r="O81" s="460"/>
      <c r="P81" s="460"/>
    </row>
    <row r="82" spans="1:16" ht="15.75" x14ac:dyDescent="0.25">
      <c r="A82" s="266" t="s">
        <v>56</v>
      </c>
      <c r="B82" s="13"/>
      <c r="C82" s="13"/>
      <c r="D82" s="13"/>
      <c r="E82" s="268">
        <f>CAPA!$B$18</f>
        <v>32.24</v>
      </c>
      <c r="F82" s="268"/>
      <c r="G82" s="5"/>
      <c r="H82" s="5"/>
      <c r="I82" s="13"/>
      <c r="L82" s="460"/>
      <c r="M82" s="460"/>
      <c r="N82" s="460"/>
      <c r="O82" s="460"/>
      <c r="P82" s="460"/>
    </row>
    <row r="83" spans="1:16" ht="15.75" x14ac:dyDescent="0.25">
      <c r="A83" s="266" t="s">
        <v>57</v>
      </c>
      <c r="B83" s="13"/>
      <c r="C83" s="13"/>
      <c r="D83" s="13"/>
      <c r="E83" s="850">
        <f>CAPA!$B$20</f>
        <v>36138</v>
      </c>
      <c r="F83" s="850"/>
      <c r="G83" s="850"/>
      <c r="H83" s="850"/>
      <c r="I83" s="850"/>
      <c r="J83" s="850"/>
      <c r="L83" s="460"/>
      <c r="M83" s="460"/>
      <c r="N83" s="460"/>
      <c r="O83" s="460"/>
      <c r="P83" s="460"/>
    </row>
    <row r="84" spans="1:16" ht="15.75" x14ac:dyDescent="0.25">
      <c r="A84" s="266" t="s">
        <v>58</v>
      </c>
      <c r="B84" s="13"/>
      <c r="C84" s="13"/>
      <c r="D84" s="13"/>
      <c r="E84" s="850">
        <f>CAPA!$B$21</f>
        <v>21173</v>
      </c>
      <c r="F84" s="850"/>
      <c r="G84" s="850"/>
      <c r="H84" s="850"/>
      <c r="I84" s="850"/>
      <c r="J84" s="850"/>
      <c r="L84" s="460"/>
      <c r="M84" s="460"/>
      <c r="N84" s="460"/>
      <c r="O84" s="460"/>
      <c r="P84" s="460"/>
    </row>
    <row r="85" spans="1:16" ht="60" x14ac:dyDescent="0.25">
      <c r="A85" s="439" t="s">
        <v>59</v>
      </c>
      <c r="B85" s="13"/>
      <c r="C85" s="13"/>
      <c r="D85" s="13"/>
      <c r="E85" s="853" t="str">
        <f>CAPA!$B$23</f>
        <v xml:space="preserve">NKK: NS*(CSR, BC-A, BC-XII, GRAB 20, EQ C DG, PSPC-WBT, NC, 1C) (ESP) (HCM-GBS) (IWS) (PSCM) (EEDI-p3) (NOx-III(SCR)) 
MNS* </v>
      </c>
      <c r="F85" s="853"/>
      <c r="G85" s="853"/>
      <c r="H85" s="853"/>
      <c r="I85" s="853"/>
      <c r="J85" s="853"/>
      <c r="L85" s="460"/>
      <c r="M85" s="463" t="str">
        <f>CAPA!$B$23</f>
        <v xml:space="preserve">NKK: NS*(CSR, BC-A, BC-XII, GRAB 20, EQ C DG, PSPC-WBT, NC, 1C) (ESP) (HCM-GBS) (IWS) (PSCM) (EEDI-p3) (NOx-III(SCR)) 
MNS* </v>
      </c>
      <c r="N85" s="460"/>
      <c r="O85" s="460"/>
      <c r="P85" s="460"/>
    </row>
    <row r="86" spans="1:16" ht="15.75" x14ac:dyDescent="0.25">
      <c r="A86" s="266" t="s">
        <v>60</v>
      </c>
      <c r="B86" s="13"/>
      <c r="C86" s="13"/>
      <c r="D86" s="13"/>
      <c r="E86" s="850">
        <f>CAPA!$B$19</f>
        <v>11774</v>
      </c>
      <c r="F86" s="850"/>
      <c r="G86" s="5"/>
      <c r="H86" s="5"/>
      <c r="I86" s="13"/>
      <c r="L86" s="460"/>
      <c r="M86" s="464"/>
      <c r="N86" s="460"/>
      <c r="O86" s="460"/>
      <c r="P86" s="460"/>
    </row>
    <row r="87" spans="1:16" ht="15.75" x14ac:dyDescent="0.25">
      <c r="A87" s="266" t="s">
        <v>61</v>
      </c>
      <c r="B87" s="13"/>
      <c r="C87" s="13"/>
      <c r="D87" s="13"/>
      <c r="E87" s="850" t="str">
        <f>_xlfn.CONCAT(TEXT($I$119,"#,##0.0")," on ",TEXT(F119,"#,##0.00")," m")</f>
        <v>62,713.0 on 13.53 m</v>
      </c>
      <c r="F87" s="850"/>
      <c r="G87" s="850"/>
      <c r="H87" s="850"/>
      <c r="I87" s="850"/>
      <c r="J87" s="850"/>
      <c r="L87" s="460"/>
      <c r="M87" s="460"/>
      <c r="N87" s="460"/>
      <c r="O87" s="460"/>
      <c r="P87" s="460"/>
    </row>
    <row r="88" spans="1:16" ht="15.75" x14ac:dyDescent="0.25">
      <c r="A88" s="266"/>
      <c r="B88" s="13"/>
      <c r="C88" s="13"/>
      <c r="D88" s="13"/>
      <c r="E88" s="269"/>
      <c r="F88" s="269"/>
      <c r="G88" s="13"/>
      <c r="H88" s="13"/>
      <c r="I88" s="13"/>
      <c r="L88" s="460"/>
      <c r="M88" s="460"/>
      <c r="N88" s="460"/>
      <c r="O88" s="460"/>
      <c r="P88" s="460"/>
    </row>
    <row r="89" spans="1:16" ht="15.75" x14ac:dyDescent="0.25">
      <c r="A89" s="266" t="s">
        <v>62</v>
      </c>
      <c r="B89" s="13"/>
      <c r="C89" s="13"/>
      <c r="D89" s="13"/>
      <c r="E89" s="14" t="str">
        <f>CAPA!$B$11</f>
        <v>Iwagi Zosen Co., Ltd. / Imabari Shipbuilding Co., Ltd.</v>
      </c>
      <c r="F89" s="13"/>
      <c r="G89" s="13"/>
      <c r="H89" s="13"/>
      <c r="I89" s="13"/>
      <c r="L89" s="460"/>
      <c r="M89" s="460"/>
      <c r="N89" s="460"/>
      <c r="O89" s="460"/>
      <c r="P89" s="460"/>
    </row>
    <row r="90" spans="1:16" ht="15.75" x14ac:dyDescent="0.25">
      <c r="A90" s="266"/>
      <c r="B90" s="13"/>
      <c r="C90" s="13"/>
      <c r="D90" s="13"/>
      <c r="E90" s="269"/>
      <c r="F90" s="269"/>
      <c r="G90" s="13"/>
      <c r="H90" s="13"/>
      <c r="I90" s="13"/>
      <c r="L90" s="460"/>
      <c r="M90" s="460"/>
      <c r="N90" s="460"/>
      <c r="O90" s="460"/>
      <c r="P90" s="460"/>
    </row>
    <row r="91" spans="1:16" ht="15.75" x14ac:dyDescent="0.25">
      <c r="A91" s="266" t="s">
        <v>63</v>
      </c>
      <c r="B91" s="13"/>
      <c r="C91" s="13"/>
      <c r="D91" s="13"/>
      <c r="E91" s="851" t="str">
        <f>CAPA!$B$24</f>
        <v>Tsamadou Limited</v>
      </c>
      <c r="F91" s="851"/>
      <c r="G91" s="851"/>
      <c r="H91" s="851"/>
      <c r="I91" s="851"/>
      <c r="J91" s="851"/>
      <c r="L91" s="460"/>
      <c r="M91" s="460"/>
      <c r="N91" s="460"/>
      <c r="O91" s="460"/>
      <c r="P91" s="460"/>
    </row>
    <row r="92" spans="1:16" ht="15.75" x14ac:dyDescent="0.25">
      <c r="A92" s="266" t="s">
        <v>64</v>
      </c>
      <c r="B92" s="13"/>
      <c r="C92" s="13"/>
      <c r="D92" s="13"/>
      <c r="E92" s="851" t="str">
        <f>CAPA!$B$25</f>
        <v>JHI Steamship Co.</v>
      </c>
      <c r="F92" s="851"/>
      <c r="G92" s="851"/>
      <c r="H92" s="851"/>
      <c r="I92" s="851"/>
      <c r="J92" s="851"/>
      <c r="L92" s="460"/>
      <c r="M92" s="460"/>
      <c r="N92" s="460"/>
      <c r="O92" s="460"/>
      <c r="P92" s="460"/>
    </row>
    <row r="93" spans="1:16" ht="15.75" x14ac:dyDescent="0.25">
      <c r="A93" s="266"/>
      <c r="B93" s="13"/>
      <c r="C93" s="13"/>
      <c r="D93" s="13"/>
      <c r="E93" s="13"/>
      <c r="F93" s="13"/>
      <c r="G93" s="13"/>
      <c r="H93" s="13"/>
      <c r="I93" s="13"/>
      <c r="L93" s="460"/>
      <c r="M93" s="460"/>
      <c r="N93" s="460"/>
      <c r="O93" s="460"/>
      <c r="P93" s="460"/>
    </row>
    <row r="94" spans="1:16" ht="15.75" x14ac:dyDescent="0.25">
      <c r="A94" s="3" t="s">
        <v>20</v>
      </c>
      <c r="B94" s="13"/>
      <c r="C94" s="13"/>
      <c r="D94" s="13"/>
      <c r="E94" s="13"/>
      <c r="F94" s="13"/>
      <c r="G94" s="13"/>
      <c r="H94" s="13"/>
      <c r="I94" s="13"/>
      <c r="L94" s="460"/>
      <c r="M94" s="460"/>
      <c r="N94" s="460"/>
      <c r="O94" s="460"/>
      <c r="P94" s="460"/>
    </row>
    <row r="95" spans="1:16" ht="15.75" x14ac:dyDescent="0.25">
      <c r="A95" s="266"/>
      <c r="B95" s="13"/>
      <c r="C95" s="13"/>
      <c r="D95" s="13"/>
      <c r="E95" s="13"/>
      <c r="F95" s="13"/>
      <c r="G95" s="13"/>
      <c r="H95" s="13"/>
      <c r="I95" s="13"/>
      <c r="L95" s="460"/>
      <c r="M95" s="460"/>
      <c r="N95" s="460"/>
      <c r="O95" s="460"/>
      <c r="P95" s="460"/>
    </row>
    <row r="96" spans="1:16" ht="15.75" x14ac:dyDescent="0.25">
      <c r="A96" s="3" t="s">
        <v>65</v>
      </c>
      <c r="B96" s="848" t="s">
        <v>66</v>
      </c>
      <c r="C96" s="848"/>
      <c r="D96" s="852" t="s">
        <v>67</v>
      </c>
      <c r="E96" s="852"/>
      <c r="F96" s="849" t="s">
        <v>68</v>
      </c>
      <c r="G96" s="849"/>
      <c r="H96" s="849"/>
      <c r="I96" s="849"/>
      <c r="J96" s="270" t="s">
        <v>69</v>
      </c>
      <c r="L96" s="460"/>
      <c r="M96" s="460"/>
      <c r="N96" s="460"/>
      <c r="O96" s="460"/>
      <c r="P96" s="460"/>
    </row>
    <row r="97" spans="1:16" ht="15.75" x14ac:dyDescent="0.25">
      <c r="A97" s="3"/>
      <c r="B97" s="848" t="s">
        <v>70</v>
      </c>
      <c r="C97" s="848"/>
      <c r="D97" s="271"/>
      <c r="F97" s="849" t="s">
        <v>71</v>
      </c>
      <c r="G97" s="849"/>
      <c r="H97" s="849"/>
      <c r="I97" s="849"/>
      <c r="J97" s="13"/>
      <c r="L97" s="460"/>
      <c r="M97" s="460"/>
      <c r="N97" s="460"/>
      <c r="O97" s="460"/>
      <c r="P97" s="460"/>
    </row>
    <row r="98" spans="1:16" ht="15.75" x14ac:dyDescent="0.25">
      <c r="A98" s="265" t="s">
        <v>72</v>
      </c>
      <c r="B98" s="845">
        <f>DCP!$B$28</f>
        <v>521357</v>
      </c>
      <c r="C98" s="845"/>
      <c r="D98" s="846" t="str">
        <f>DCP!$B$15</f>
        <v>Soybeans</v>
      </c>
      <c r="E98" s="846"/>
      <c r="F98" s="847">
        <f>DCP!$B$27</f>
        <v>10748.09</v>
      </c>
      <c r="G98" s="847"/>
      <c r="H98" s="847"/>
      <c r="I98" s="847"/>
      <c r="J98" s="272">
        <f>Relato!J115</f>
        <v>48.506944024473185</v>
      </c>
      <c r="L98" s="460"/>
      <c r="M98" s="460"/>
      <c r="N98" s="460"/>
      <c r="O98" s="460"/>
      <c r="P98" s="460"/>
    </row>
    <row r="99" spans="1:16" ht="15.75" x14ac:dyDescent="0.25">
      <c r="A99" s="265" t="s">
        <v>73</v>
      </c>
      <c r="B99" s="845">
        <f>DCP!$C$28</f>
        <v>591477</v>
      </c>
      <c r="C99" s="845"/>
      <c r="D99" s="846" t="str">
        <f>DCP!$C$15</f>
        <v>Soybeans</v>
      </c>
      <c r="E99" s="846"/>
      <c r="F99" s="847">
        <f>DCP!$C$27</f>
        <v>12219.365</v>
      </c>
      <c r="G99" s="847"/>
      <c r="H99" s="847"/>
      <c r="I99" s="847" t="e">
        <f>C99/H99</f>
        <v>#DIV/0!</v>
      </c>
      <c r="J99" s="272">
        <f>Relato!J116</f>
        <v>48.40488847006371</v>
      </c>
      <c r="L99" s="460"/>
      <c r="M99" s="460"/>
      <c r="N99" s="460"/>
      <c r="O99" s="460"/>
      <c r="P99" s="460"/>
    </row>
    <row r="100" spans="1:16" ht="15.75" x14ac:dyDescent="0.25">
      <c r="A100" s="265" t="s">
        <v>74</v>
      </c>
      <c r="B100" s="845">
        <f>DCP!$D$28</f>
        <v>590919</v>
      </c>
      <c r="C100" s="845"/>
      <c r="D100" s="846" t="str">
        <f>DCP!$D$15</f>
        <v>Soybeans</v>
      </c>
      <c r="E100" s="846"/>
      <c r="F100" s="847">
        <f>DCP!$D$27</f>
        <v>11720.035</v>
      </c>
      <c r="G100" s="847"/>
      <c r="H100" s="847"/>
      <c r="I100" s="847" t="e">
        <f>D100/H100</f>
        <v>#VALUE!</v>
      </c>
      <c r="J100" s="272" t="str">
        <f>Relato!J117</f>
        <v>SLACK</v>
      </c>
      <c r="L100" s="460"/>
      <c r="M100" s="460"/>
      <c r="N100" s="460"/>
      <c r="O100" s="460"/>
      <c r="P100" s="460"/>
    </row>
    <row r="101" spans="1:16" ht="15.75" x14ac:dyDescent="0.25">
      <c r="A101" s="265" t="s">
        <v>75</v>
      </c>
      <c r="B101" s="845">
        <f>DCP!$E$28</f>
        <v>591843</v>
      </c>
      <c r="C101" s="845"/>
      <c r="D101" s="846" t="str">
        <f>DCP!$E$15</f>
        <v>Soybeans</v>
      </c>
      <c r="E101" s="846"/>
      <c r="F101" s="847">
        <f>DCP!$E$27</f>
        <v>12398.794999999998</v>
      </c>
      <c r="G101" s="847"/>
      <c r="H101" s="847"/>
      <c r="I101" s="847" t="e">
        <f>D101/H101</f>
        <v>#VALUE!</v>
      </c>
      <c r="J101" s="272">
        <f>Relato!J118</f>
        <v>47.73391285201506</v>
      </c>
      <c r="L101" s="460"/>
      <c r="M101" s="460"/>
      <c r="N101" s="460"/>
      <c r="O101" s="460"/>
      <c r="P101" s="460"/>
    </row>
    <row r="102" spans="1:16" ht="15.75" x14ac:dyDescent="0.25">
      <c r="A102" s="265" t="s">
        <v>76</v>
      </c>
      <c r="B102" s="845">
        <f>DCP!$F$28</f>
        <v>572109</v>
      </c>
      <c r="C102" s="845"/>
      <c r="D102" s="846" t="str">
        <f>DCP!$F$15</f>
        <v>Soybeans</v>
      </c>
      <c r="E102" s="846"/>
      <c r="F102" s="847">
        <f>DCP!$F$27</f>
        <v>11913.714999999998</v>
      </c>
      <c r="G102" s="847"/>
      <c r="H102" s="847"/>
      <c r="I102" s="847" t="e">
        <f>D102/H102</f>
        <v>#VALUE!</v>
      </c>
      <c r="J102" s="272">
        <f>Relato!J119</f>
        <v>48.021041295683176</v>
      </c>
      <c r="L102" s="460"/>
      <c r="M102" s="460"/>
      <c r="N102" s="460"/>
      <c r="O102" s="460"/>
      <c r="P102" s="460"/>
    </row>
    <row r="103" spans="1:16" ht="15.75" x14ac:dyDescent="0.25">
      <c r="A103" s="3" t="s">
        <v>79</v>
      </c>
      <c r="B103" s="842">
        <f>SUM(B98:B102)</f>
        <v>2867705</v>
      </c>
      <c r="C103" s="842"/>
      <c r="D103" s="13"/>
      <c r="F103" s="843">
        <f>SUM(F98:F102)</f>
        <v>59000</v>
      </c>
      <c r="G103" s="843"/>
      <c r="H103" s="843"/>
      <c r="I103" s="843"/>
      <c r="L103" s="460"/>
      <c r="M103" s="460"/>
      <c r="N103" s="460"/>
      <c r="O103" s="460"/>
      <c r="P103" s="460"/>
    </row>
    <row r="104" spans="1:16" ht="15.75" x14ac:dyDescent="0.25">
      <c r="A104" s="3"/>
      <c r="B104" s="273"/>
      <c r="C104" s="13"/>
      <c r="D104" s="13"/>
      <c r="E104" s="274"/>
      <c r="F104" s="275"/>
      <c r="G104" s="13"/>
      <c r="H104" s="13"/>
      <c r="I104" s="13"/>
      <c r="L104" s="460"/>
      <c r="M104" s="460"/>
      <c r="N104" s="460"/>
      <c r="O104" s="460"/>
      <c r="P104" s="460"/>
    </row>
    <row r="105" spans="1:16" ht="15.75" x14ac:dyDescent="0.25">
      <c r="A105" s="266"/>
      <c r="B105" s="13"/>
      <c r="C105" s="13"/>
      <c r="D105" s="13"/>
      <c r="E105" s="13"/>
      <c r="F105" s="13"/>
      <c r="G105" s="13"/>
      <c r="H105" s="13"/>
      <c r="I105" s="13"/>
      <c r="L105" s="460"/>
      <c r="M105" s="460"/>
      <c r="N105" s="460"/>
      <c r="O105" s="460"/>
      <c r="P105" s="460"/>
    </row>
    <row r="106" spans="1:16" ht="15.75" x14ac:dyDescent="0.25">
      <c r="A106" s="267" t="s">
        <v>689</v>
      </c>
      <c r="B106" s="13"/>
      <c r="C106" s="13"/>
      <c r="D106" s="13"/>
      <c r="E106" s="13"/>
      <c r="F106" s="13"/>
      <c r="G106" s="13"/>
      <c r="H106" s="13"/>
      <c r="I106" s="13"/>
      <c r="L106" s="460"/>
      <c r="M106" s="460"/>
      <c r="N106" s="460"/>
      <c r="O106" s="460"/>
      <c r="P106" s="460"/>
    </row>
    <row r="107" spans="1:16" ht="15.75" x14ac:dyDescent="0.25">
      <c r="A107" s="267"/>
      <c r="B107" s="13"/>
      <c r="C107" s="13"/>
      <c r="D107" s="13"/>
      <c r="E107" s="13"/>
      <c r="F107" s="13"/>
      <c r="G107" s="13"/>
      <c r="H107" s="13"/>
      <c r="I107" s="13"/>
      <c r="L107" s="460"/>
      <c r="M107" s="460"/>
      <c r="N107" s="460"/>
      <c r="O107" s="460"/>
      <c r="P107" s="460"/>
    </row>
    <row r="108" spans="1:16" ht="15.75" x14ac:dyDescent="0.25">
      <c r="A108" s="266" t="s">
        <v>80</v>
      </c>
      <c r="B108" s="13"/>
      <c r="C108" s="13"/>
      <c r="D108" s="13"/>
      <c r="E108" s="265" t="str">
        <f>_xlfn.CONCAT("Issued by ",CAPA!$B$67)</f>
        <v>Issued by Iwagi Zosen Co., Ltd. / Imabari Shipbuilding Co., Ltd.</v>
      </c>
      <c r="G108" s="13"/>
      <c r="H108" s="13"/>
      <c r="I108" s="13"/>
      <c r="L108" s="460"/>
      <c r="M108" s="460"/>
      <c r="N108" s="460"/>
      <c r="O108" s="460"/>
      <c r="P108" s="460"/>
    </row>
    <row r="109" spans="1:16" ht="15.75" x14ac:dyDescent="0.25">
      <c r="A109" s="266"/>
      <c r="B109" s="13"/>
      <c r="C109" s="13"/>
      <c r="D109" s="13"/>
      <c r="E109" s="13" t="str">
        <f>_xlfn.CONCAT("on ",CAPA!$B$68,", Dwg. No. ",CAPA!$B$69)</f>
        <v>on 17.01.2023, Dwg. No. C-2300</v>
      </c>
      <c r="G109" s="13"/>
      <c r="H109" s="13"/>
      <c r="I109" s="13"/>
      <c r="L109" s="460"/>
      <c r="M109" s="460"/>
      <c r="N109" s="460"/>
      <c r="O109" s="460"/>
      <c r="P109" s="460"/>
    </row>
    <row r="110" spans="1:16" ht="15.75" x14ac:dyDescent="0.25">
      <c r="A110" s="266"/>
      <c r="B110" s="13"/>
      <c r="C110" s="13"/>
      <c r="D110" s="13"/>
      <c r="E110" s="14"/>
      <c r="G110" s="14"/>
      <c r="H110" s="14"/>
      <c r="I110" s="13"/>
      <c r="L110" s="460"/>
      <c r="M110" s="460"/>
      <c r="N110" s="460"/>
      <c r="O110" s="460"/>
      <c r="P110" s="460"/>
    </row>
    <row r="111" spans="1:16" ht="15.75" x14ac:dyDescent="0.25">
      <c r="A111" s="266" t="s">
        <v>81</v>
      </c>
      <c r="B111" s="13"/>
      <c r="C111" s="13"/>
      <c r="D111" s="13"/>
      <c r="E111" s="265" t="str">
        <f>$E$108</f>
        <v>Issued by Iwagi Zosen Co., Ltd. / Imabari Shipbuilding Co., Ltd.</v>
      </c>
      <c r="G111" s="13"/>
      <c r="H111" s="13"/>
      <c r="I111" s="13"/>
      <c r="L111" s="460"/>
      <c r="M111" s="460"/>
      <c r="N111" s="460"/>
      <c r="O111" s="460"/>
      <c r="P111" s="460"/>
    </row>
    <row r="112" spans="1:16" ht="15.75" x14ac:dyDescent="0.25">
      <c r="A112" s="13"/>
      <c r="B112" s="13"/>
      <c r="C112" s="13"/>
      <c r="D112" s="13"/>
      <c r="E112" s="13" t="str">
        <f>_xlfn.CONCAT("on ",CAPA!$B$73," Dwg. no. ",CAPA!$B$74)</f>
        <v>on 17.01.2023 Dwg. no. C-080/D</v>
      </c>
      <c r="G112" s="13"/>
      <c r="H112" s="13"/>
      <c r="I112" s="13"/>
      <c r="L112" s="460"/>
      <c r="M112" s="460"/>
      <c r="N112" s="460"/>
      <c r="O112" s="460"/>
      <c r="P112" s="460"/>
    </row>
    <row r="113" spans="1:16" ht="15.75" x14ac:dyDescent="0.25">
      <c r="A113" s="13"/>
      <c r="B113" s="13"/>
      <c r="C113" s="13"/>
      <c r="D113" s="13"/>
      <c r="E113" s="13"/>
      <c r="F113" s="13"/>
      <c r="G113" s="13"/>
      <c r="H113" s="13"/>
      <c r="I113" s="13"/>
      <c r="L113" s="460"/>
      <c r="M113" s="460"/>
      <c r="N113" s="460"/>
      <c r="O113" s="460"/>
      <c r="P113" s="460"/>
    </row>
    <row r="114" spans="1:16" ht="15.75" x14ac:dyDescent="0.25">
      <c r="A114" s="267" t="s">
        <v>21</v>
      </c>
      <c r="B114" s="13"/>
      <c r="C114" s="13"/>
      <c r="D114" s="13"/>
      <c r="E114" s="13"/>
      <c r="F114" s="13"/>
      <c r="G114" s="13"/>
      <c r="H114" s="13"/>
      <c r="I114" s="13"/>
      <c r="L114" s="460"/>
      <c r="M114" s="460"/>
      <c r="N114" s="460"/>
      <c r="O114" s="460"/>
      <c r="P114" s="460"/>
    </row>
    <row r="115" spans="1:16" ht="15.75" x14ac:dyDescent="0.25">
      <c r="A115" s="266"/>
      <c r="B115" s="13"/>
      <c r="E115" s="709" t="s">
        <v>82</v>
      </c>
      <c r="F115" s="710" t="s">
        <v>691</v>
      </c>
      <c r="G115" s="844" t="s">
        <v>84</v>
      </c>
      <c r="H115" s="844"/>
      <c r="I115" s="844" t="s">
        <v>85</v>
      </c>
      <c r="J115" s="844"/>
      <c r="K115" s="276"/>
      <c r="L115" s="465"/>
      <c r="M115" s="466"/>
      <c r="N115" s="460"/>
      <c r="O115" s="460"/>
      <c r="P115" s="460"/>
    </row>
    <row r="116" spans="1:16" ht="15.75" x14ac:dyDescent="0.25">
      <c r="A116" s="266" t="s">
        <v>86</v>
      </c>
      <c r="B116" s="10"/>
      <c r="E116" s="277">
        <f>CAPA!$L$78</f>
        <v>5.2350000000000003</v>
      </c>
      <c r="F116" s="277">
        <f>CAPA!$M$78</f>
        <v>14.114000000000001</v>
      </c>
      <c r="G116" s="841">
        <f>CAPA!$N$78</f>
        <v>76146</v>
      </c>
      <c r="H116" s="841"/>
      <c r="I116" s="841">
        <f>CAPA!$O$78</f>
        <v>64372</v>
      </c>
      <c r="J116" s="841"/>
      <c r="K116" s="278"/>
      <c r="L116" s="467"/>
      <c r="M116" s="468"/>
      <c r="N116" s="460"/>
      <c r="O116" s="460"/>
      <c r="P116" s="460"/>
    </row>
    <row r="117" spans="1:16" ht="15.75" x14ac:dyDescent="0.25">
      <c r="A117" s="266" t="s">
        <v>87</v>
      </c>
      <c r="B117" s="10"/>
      <c r="E117" s="277">
        <f>CAPA!$L$79</f>
        <v>5.516</v>
      </c>
      <c r="F117" s="277">
        <f>CAPA!$M$79</f>
        <v>13.833</v>
      </c>
      <c r="G117" s="841">
        <f>CAPA!$N$79</f>
        <v>74487</v>
      </c>
      <c r="H117" s="841"/>
      <c r="I117" s="841">
        <f>CAPA!$O$79</f>
        <v>62713</v>
      </c>
      <c r="J117" s="841"/>
      <c r="K117" s="278"/>
      <c r="L117" s="467"/>
      <c r="M117" s="468"/>
      <c r="N117" s="460"/>
      <c r="O117" s="460"/>
      <c r="P117" s="460"/>
    </row>
    <row r="118" spans="1:16" ht="15.75" x14ac:dyDescent="0.25">
      <c r="A118" s="266" t="s">
        <v>88</v>
      </c>
      <c r="B118" s="10"/>
      <c r="E118" s="277">
        <f>CAPA!$L$80</f>
        <v>5.5419999999999998</v>
      </c>
      <c r="F118" s="277">
        <f>CAPA!$M$80</f>
        <v>13.807</v>
      </c>
      <c r="G118" s="841">
        <f>CAPA!$N$80</f>
        <v>76188</v>
      </c>
      <c r="H118" s="841"/>
      <c r="I118" s="841">
        <f>CAPA!$O$80</f>
        <v>64414</v>
      </c>
      <c r="J118" s="841"/>
      <c r="K118" s="278"/>
      <c r="L118" s="467"/>
      <c r="M118" s="468"/>
      <c r="N118" s="460"/>
      <c r="O118" s="460"/>
      <c r="P118" s="460"/>
    </row>
    <row r="119" spans="1:16" ht="15.75" x14ac:dyDescent="0.25">
      <c r="A119" s="266" t="s">
        <v>89</v>
      </c>
      <c r="B119" s="10"/>
      <c r="E119" s="277">
        <f>CAPA!$L$81</f>
        <v>5.8230000000000004</v>
      </c>
      <c r="F119" s="277">
        <f>CAPA!$M$81</f>
        <v>13.526</v>
      </c>
      <c r="G119" s="841">
        <f>CAPA!$N$81</f>
        <v>74487</v>
      </c>
      <c r="H119" s="841"/>
      <c r="I119" s="841">
        <f>CAPA!$O$81</f>
        <v>62713</v>
      </c>
      <c r="J119" s="841"/>
      <c r="K119" s="278"/>
      <c r="L119" s="467"/>
      <c r="M119" s="468"/>
      <c r="N119" s="460"/>
      <c r="O119" s="460"/>
      <c r="P119" s="460"/>
    </row>
    <row r="120" spans="1:16" ht="15.75" x14ac:dyDescent="0.25">
      <c r="A120" s="266" t="s">
        <v>90</v>
      </c>
      <c r="B120" s="10"/>
      <c r="E120" s="277">
        <f>CAPA!$L$82</f>
        <v>6.1040000000000001</v>
      </c>
      <c r="F120" s="277">
        <f>CAPA!$M$82</f>
        <v>13.244999999999999</v>
      </c>
      <c r="G120" s="841">
        <f>CAPA!$N$82</f>
        <v>72788</v>
      </c>
      <c r="H120" s="841"/>
      <c r="I120" s="841">
        <f>CAPA!$O$82</f>
        <v>61014</v>
      </c>
      <c r="J120" s="841"/>
      <c r="K120" s="278"/>
      <c r="L120" s="467"/>
      <c r="M120" s="468"/>
      <c r="N120" s="460"/>
      <c r="O120" s="460"/>
      <c r="P120" s="460"/>
    </row>
    <row r="121" spans="1:16" ht="15.75" x14ac:dyDescent="0.25">
      <c r="A121" s="266"/>
      <c r="B121" s="10"/>
      <c r="C121" s="10"/>
      <c r="D121" s="10"/>
      <c r="E121" s="10"/>
      <c r="F121" s="10"/>
      <c r="G121" s="10"/>
      <c r="H121" s="10"/>
      <c r="I121" s="10"/>
      <c r="L121" s="460"/>
      <c r="M121" s="460"/>
      <c r="N121" s="460"/>
      <c r="O121" s="460"/>
      <c r="P121" s="460"/>
    </row>
    <row r="122" spans="1:16" ht="15.75" x14ac:dyDescent="0.25">
      <c r="A122" s="266"/>
      <c r="B122" s="10"/>
      <c r="C122" s="10"/>
      <c r="D122" s="10"/>
      <c r="E122" s="10"/>
      <c r="F122" s="10"/>
      <c r="G122" s="10"/>
      <c r="H122" s="10"/>
      <c r="I122" s="10"/>
      <c r="L122" s="460"/>
      <c r="M122" s="460"/>
      <c r="N122" s="460"/>
      <c r="O122" s="460"/>
      <c r="P122" s="460"/>
    </row>
    <row r="123" spans="1:16" ht="15.75" x14ac:dyDescent="0.25">
      <c r="A123" s="267" t="s">
        <v>692</v>
      </c>
      <c r="B123" s="10"/>
      <c r="C123" s="10"/>
      <c r="D123" s="10"/>
      <c r="E123" s="10"/>
      <c r="F123" s="10"/>
      <c r="G123" s="10"/>
      <c r="H123" s="10"/>
      <c r="I123" s="10"/>
      <c r="L123" s="460"/>
      <c r="M123" s="460"/>
      <c r="N123" s="460"/>
      <c r="O123" s="460"/>
      <c r="P123" s="460"/>
    </row>
    <row r="124" spans="1:16" x14ac:dyDescent="0.25">
      <c r="A124" s="279"/>
      <c r="B124" s="10"/>
      <c r="C124" s="10"/>
      <c r="D124" s="10"/>
      <c r="E124" s="10"/>
      <c r="F124" s="10"/>
      <c r="G124" s="10"/>
      <c r="H124" s="10"/>
      <c r="I124" s="10"/>
      <c r="L124" s="460"/>
      <c r="M124" s="460"/>
      <c r="N124" s="460"/>
      <c r="O124" s="460"/>
      <c r="P124" s="460"/>
    </row>
    <row r="125" spans="1:16" ht="15.75" x14ac:dyDescent="0.25">
      <c r="A125" s="266" t="s">
        <v>91</v>
      </c>
      <c r="B125" s="10"/>
      <c r="C125" s="10"/>
      <c r="D125" s="10"/>
      <c r="E125" s="394" t="str">
        <f>Relato!$E$145</f>
        <v xml:space="preserve"> March 15th, 2026 from 18:00 until 20:30 hrs</v>
      </c>
      <c r="G125" s="280"/>
      <c r="H125" s="280"/>
      <c r="I125" s="10"/>
      <c r="L125" s="460"/>
      <c r="M125" s="460"/>
      <c r="N125" s="460"/>
      <c r="O125" s="460"/>
      <c r="P125" s="460"/>
    </row>
    <row r="126" spans="1:16" ht="15.75" x14ac:dyDescent="0.25">
      <c r="A126" s="266" t="s">
        <v>92</v>
      </c>
      <c r="B126" s="10"/>
      <c r="C126" s="10"/>
      <c r="D126" s="10"/>
      <c r="E126" s="14" t="str">
        <f>Relato!$E$146</f>
        <v>Paranaguá, Br - Brazil (inner roads 6.1)</v>
      </c>
      <c r="G126" s="13"/>
      <c r="H126" s="13"/>
      <c r="I126" s="10"/>
      <c r="L126" s="460"/>
      <c r="M126" s="460"/>
      <c r="N126" s="460"/>
      <c r="O126" s="460"/>
      <c r="P126" s="460"/>
    </row>
    <row r="127" spans="1:16" ht="15.75" x14ac:dyDescent="0.25">
      <c r="A127" s="266" t="s">
        <v>93</v>
      </c>
      <c r="B127" s="10"/>
      <c r="C127" s="10"/>
      <c r="D127" s="10"/>
      <c r="E127" s="395">
        <f>Draft!$O$7</f>
        <v>0.25</v>
      </c>
      <c r="G127" s="13"/>
      <c r="H127" s="13"/>
      <c r="I127" s="10"/>
      <c r="L127" s="460"/>
      <c r="M127" s="460"/>
      <c r="N127" s="460"/>
      <c r="O127" s="460"/>
      <c r="P127" s="460"/>
    </row>
    <row r="128" spans="1:16" ht="15.75" x14ac:dyDescent="0.25">
      <c r="A128" s="266" t="s">
        <v>594</v>
      </c>
      <c r="B128" s="10"/>
      <c r="C128" s="10"/>
      <c r="D128" s="10"/>
      <c r="E128" s="628">
        <f>Draft!$O$8</f>
        <v>2</v>
      </c>
      <c r="F128" s="393"/>
      <c r="G128" s="281"/>
      <c r="H128" s="281"/>
      <c r="I128" s="281"/>
      <c r="L128" s="460"/>
      <c r="M128" s="460"/>
      <c r="N128" s="460"/>
      <c r="O128" s="460"/>
      <c r="P128" s="460"/>
    </row>
    <row r="129" spans="1:16" ht="15.75" x14ac:dyDescent="0.25">
      <c r="A129" s="266" t="s">
        <v>94</v>
      </c>
      <c r="B129" s="10"/>
      <c r="C129" s="10"/>
      <c r="D129" s="10"/>
      <c r="E129" s="14" t="str">
        <f>Draft!$E$8</f>
        <v>No tide flow</v>
      </c>
      <c r="G129" s="13"/>
      <c r="H129" s="13"/>
      <c r="I129" s="10"/>
      <c r="L129" s="460"/>
      <c r="M129" s="460"/>
      <c r="N129" s="460"/>
      <c r="O129" s="460"/>
      <c r="P129" s="460"/>
    </row>
    <row r="130" spans="1:16" ht="15.75" x14ac:dyDescent="0.25">
      <c r="A130" s="266" t="s">
        <v>95</v>
      </c>
      <c r="B130" s="10"/>
      <c r="C130" s="10"/>
      <c r="D130" s="10"/>
      <c r="E130" s="14" t="str">
        <f>Draft!$E$7</f>
        <v>Fine</v>
      </c>
      <c r="G130" s="13"/>
      <c r="H130" s="13"/>
      <c r="I130" s="10"/>
      <c r="L130" s="460"/>
      <c r="M130" s="460"/>
      <c r="N130" s="460"/>
      <c r="O130" s="460"/>
      <c r="P130" s="460"/>
    </row>
    <row r="131" spans="1:16" ht="15.75" x14ac:dyDescent="0.25">
      <c r="A131" s="266"/>
      <c r="B131" s="10"/>
      <c r="C131" s="10"/>
      <c r="D131" s="10"/>
      <c r="E131" s="10"/>
      <c r="F131" s="13"/>
      <c r="G131" s="13"/>
      <c r="H131" s="13"/>
      <c r="I131" s="10"/>
      <c r="L131" s="460"/>
      <c r="M131" s="460"/>
      <c r="N131" s="460"/>
      <c r="O131" s="460"/>
      <c r="P131" s="460"/>
    </row>
    <row r="132" spans="1:16" ht="15.75" x14ac:dyDescent="0.25">
      <c r="A132" s="266"/>
      <c r="B132" s="10"/>
      <c r="C132" s="10"/>
      <c r="D132" s="10"/>
      <c r="E132" s="10"/>
      <c r="F132" s="13"/>
      <c r="G132" s="13"/>
      <c r="H132" s="13"/>
      <c r="I132" s="10"/>
      <c r="L132" s="460"/>
      <c r="M132" s="460"/>
      <c r="N132" s="460"/>
      <c r="O132" s="460"/>
      <c r="P132" s="460"/>
    </row>
    <row r="133" spans="1:16" ht="15.75" x14ac:dyDescent="0.25">
      <c r="A133" s="267" t="s">
        <v>693</v>
      </c>
      <c r="B133" s="10"/>
      <c r="C133" s="10"/>
      <c r="D133" s="10"/>
      <c r="E133" s="10"/>
      <c r="F133" s="13"/>
      <c r="G133" s="13"/>
      <c r="H133" s="13"/>
      <c r="I133" s="10"/>
      <c r="L133" s="460"/>
      <c r="M133" s="460"/>
      <c r="N133" s="460"/>
      <c r="O133" s="460"/>
      <c r="P133" s="460"/>
    </row>
    <row r="134" spans="1:16" ht="15.75" x14ac:dyDescent="0.25">
      <c r="A134" s="266"/>
      <c r="B134" s="10"/>
      <c r="C134" s="10"/>
      <c r="D134" s="10"/>
      <c r="E134" s="10"/>
      <c r="F134" s="13"/>
      <c r="G134" s="13"/>
      <c r="H134" s="13"/>
      <c r="I134" s="10"/>
      <c r="L134" s="460"/>
      <c r="M134" s="460"/>
      <c r="N134" s="460"/>
      <c r="O134" s="460"/>
      <c r="P134" s="460"/>
    </row>
    <row r="135" spans="1:16" ht="15.75" x14ac:dyDescent="0.25">
      <c r="A135" s="266" t="s">
        <v>91</v>
      </c>
      <c r="B135" s="10"/>
      <c r="C135" s="10"/>
      <c r="D135" s="10"/>
      <c r="E135" s="394" t="str">
        <f>Relato!$E$155</f>
        <v xml:space="preserve"> March 18th, 2026 from 7:30 until 9:30 hrs</v>
      </c>
      <c r="G135" s="13"/>
      <c r="H135" s="13"/>
      <c r="I135" s="10"/>
      <c r="L135" s="460"/>
      <c r="M135" s="460"/>
      <c r="N135" s="460"/>
      <c r="O135" s="460"/>
      <c r="P135" s="460"/>
    </row>
    <row r="136" spans="1:16" ht="15.75" x14ac:dyDescent="0.25">
      <c r="A136" s="266" t="s">
        <v>92</v>
      </c>
      <c r="B136" s="10"/>
      <c r="C136" s="10"/>
      <c r="D136" s="10"/>
      <c r="E136" s="14" t="str">
        <f>Relato!$E$156</f>
        <v>Paranaguá, Br - Brazil (wharf 212)</v>
      </c>
      <c r="G136" s="13"/>
      <c r="H136" s="13"/>
      <c r="I136" s="10"/>
      <c r="L136" s="460"/>
      <c r="M136" s="460"/>
      <c r="N136" s="460"/>
      <c r="O136" s="460"/>
      <c r="P136" s="460"/>
    </row>
    <row r="137" spans="1:16" ht="15.75" x14ac:dyDescent="0.25">
      <c r="A137" s="266" t="s">
        <v>93</v>
      </c>
      <c r="B137" s="10"/>
      <c r="C137" s="10"/>
      <c r="D137" s="10"/>
      <c r="E137" s="395">
        <f>Draft!$AH$7</f>
        <v>0.15</v>
      </c>
      <c r="G137" s="13"/>
      <c r="H137" s="13"/>
      <c r="I137" s="10"/>
      <c r="L137" s="460"/>
      <c r="M137" s="460"/>
      <c r="N137" s="460"/>
      <c r="O137" s="460"/>
      <c r="P137" s="460"/>
    </row>
    <row r="138" spans="1:16" ht="15.75" x14ac:dyDescent="0.25">
      <c r="A138" s="266" t="s">
        <v>594</v>
      </c>
      <c r="B138" s="10"/>
      <c r="C138" s="10"/>
      <c r="D138" s="10"/>
      <c r="E138" s="628">
        <f>Draft!$AH$8</f>
        <v>1</v>
      </c>
      <c r="G138" s="282"/>
      <c r="H138" s="282"/>
      <c r="I138" s="10"/>
      <c r="L138" s="456"/>
      <c r="M138" s="456"/>
      <c r="N138" s="456"/>
      <c r="O138" s="456"/>
      <c r="P138" s="456"/>
    </row>
    <row r="139" spans="1:16" ht="15.75" x14ac:dyDescent="0.25">
      <c r="A139" s="266" t="s">
        <v>94</v>
      </c>
      <c r="B139" s="10"/>
      <c r="C139" s="10"/>
      <c r="D139" s="10"/>
      <c r="E139" s="14" t="str">
        <f>Draft!$X$8</f>
        <v>Flood tide, &lt;1 knot</v>
      </c>
      <c r="G139" s="13"/>
      <c r="H139" s="13"/>
      <c r="I139" s="10"/>
      <c r="L139" s="456"/>
      <c r="M139" s="456"/>
      <c r="N139" s="456"/>
      <c r="O139" s="456"/>
      <c r="P139" s="456"/>
    </row>
    <row r="140" spans="1:16" ht="15.75" x14ac:dyDescent="0.25">
      <c r="A140" s="266" t="s">
        <v>95</v>
      </c>
      <c r="B140" s="10"/>
      <c r="C140" s="10"/>
      <c r="D140" s="10"/>
      <c r="E140" s="14" t="str">
        <f>Draft!$X$7</f>
        <v>Overcast</v>
      </c>
      <c r="G140" s="13"/>
      <c r="H140" s="13"/>
      <c r="I140" s="10"/>
      <c r="L140" s="456"/>
      <c r="M140" s="456"/>
      <c r="N140" s="456"/>
      <c r="O140" s="456"/>
      <c r="P140" s="456"/>
    </row>
    <row r="141" spans="1:16" ht="15.75" x14ac:dyDescent="0.25">
      <c r="A141" s="266"/>
      <c r="B141" s="10"/>
      <c r="C141" s="10"/>
      <c r="D141" s="10"/>
      <c r="E141" s="10"/>
      <c r="F141" s="13"/>
      <c r="G141" s="13"/>
      <c r="H141" s="13"/>
      <c r="I141" s="10"/>
      <c r="L141" s="456"/>
      <c r="M141" s="456"/>
      <c r="N141" s="456"/>
      <c r="O141" s="456"/>
      <c r="P141" s="456"/>
    </row>
    <row r="142" spans="1:16" ht="15.75" x14ac:dyDescent="0.25">
      <c r="A142" s="266"/>
      <c r="B142" s="10"/>
      <c r="C142" s="10"/>
      <c r="D142" s="10"/>
      <c r="E142" s="10"/>
      <c r="F142" s="13"/>
      <c r="G142" s="13"/>
      <c r="H142" s="13"/>
      <c r="I142" s="10"/>
      <c r="L142" s="456"/>
      <c r="M142" s="456"/>
      <c r="N142" s="456"/>
      <c r="O142" s="456"/>
      <c r="P142" s="456"/>
    </row>
    <row r="143" spans="1:16" ht="15.75" x14ac:dyDescent="0.25">
      <c r="A143" s="267" t="s">
        <v>96</v>
      </c>
      <c r="B143" s="10"/>
      <c r="C143" s="10"/>
      <c r="D143" s="10"/>
      <c r="E143" s="10"/>
      <c r="F143" s="13"/>
      <c r="G143" s="13"/>
      <c r="H143" s="13"/>
      <c r="I143" s="10"/>
      <c r="L143" s="456"/>
      <c r="M143" s="456"/>
      <c r="N143" s="456"/>
      <c r="O143" s="456"/>
      <c r="P143" s="456"/>
    </row>
    <row r="144" spans="1:16" ht="15.75" x14ac:dyDescent="0.25">
      <c r="A144" s="266"/>
      <c r="B144" s="10"/>
      <c r="C144" s="10"/>
      <c r="D144" s="10"/>
      <c r="E144" s="10"/>
      <c r="F144" s="13"/>
      <c r="G144" s="13"/>
      <c r="H144" s="13"/>
      <c r="I144" s="10"/>
      <c r="L144" s="456"/>
      <c r="M144" s="456"/>
      <c r="N144" s="456"/>
      <c r="O144" s="456"/>
      <c r="P144" s="456"/>
    </row>
    <row r="145" spans="1:21" ht="15.75" x14ac:dyDescent="0.25">
      <c r="A145" s="266" t="s">
        <v>97</v>
      </c>
      <c r="B145" s="10"/>
      <c r="C145" s="10"/>
      <c r="D145" s="10"/>
      <c r="E145" s="14" t="str">
        <f>CAPA!$B$6</f>
        <v>Soybeans in bulk</v>
      </c>
      <c r="G145" s="13"/>
      <c r="H145" s="13"/>
      <c r="I145" s="10"/>
      <c r="L145" s="456"/>
      <c r="M145" s="456"/>
      <c r="N145" s="456"/>
      <c r="O145" s="456"/>
      <c r="P145" s="456"/>
    </row>
    <row r="146" spans="1:21" ht="15.75" x14ac:dyDescent="0.25">
      <c r="A146" s="266" t="s">
        <v>98</v>
      </c>
      <c r="B146" s="10"/>
      <c r="C146" s="10"/>
      <c r="D146" s="10"/>
      <c r="E146" s="14" t="str">
        <f>_xlfn.CONCAT("Port of ",Draft!$E$5)</f>
        <v>Port of Paranaguá, Br - Brazil</v>
      </c>
      <c r="G146" s="13"/>
      <c r="H146" s="13"/>
      <c r="I146" s="10"/>
      <c r="L146" s="456"/>
      <c r="M146" s="456"/>
      <c r="N146" s="456"/>
      <c r="O146" s="456"/>
      <c r="P146" s="456"/>
    </row>
    <row r="147" spans="1:21" ht="15.75" x14ac:dyDescent="0.25">
      <c r="A147" s="266" t="s">
        <v>99</v>
      </c>
      <c r="B147" s="10"/>
      <c r="C147" s="10"/>
      <c r="D147" s="10"/>
      <c r="E147" s="14" t="str">
        <f>CAPA!$B$38</f>
        <v>One China Port</v>
      </c>
      <c r="G147" s="13"/>
      <c r="H147" s="13"/>
      <c r="I147" s="10"/>
      <c r="L147" s="456"/>
      <c r="M147" s="456"/>
      <c r="N147" s="456"/>
      <c r="O147" s="456"/>
      <c r="P147" s="456"/>
    </row>
    <row r="148" spans="1:21" ht="15.75" x14ac:dyDescent="0.25">
      <c r="A148" s="266" t="s">
        <v>100</v>
      </c>
      <c r="B148" s="10"/>
      <c r="C148" s="10"/>
      <c r="D148" s="10"/>
      <c r="E148" s="14" t="str">
        <f>CAPA!$B$36</f>
        <v>Wheat in bulk</v>
      </c>
      <c r="G148" s="13"/>
      <c r="H148" s="13"/>
      <c r="I148" s="10"/>
      <c r="L148" s="456"/>
      <c r="M148" s="457" t="s">
        <v>554</v>
      </c>
      <c r="N148" s="458" t="s">
        <v>314</v>
      </c>
      <c r="O148" s="459"/>
      <c r="P148" s="459"/>
      <c r="Q148" s="10"/>
      <c r="R148" s="10"/>
      <c r="S148" s="10"/>
      <c r="T148" s="10"/>
      <c r="U148" s="10"/>
    </row>
    <row r="149" spans="1:21" ht="15.75" x14ac:dyDescent="0.25">
      <c r="A149" s="266" t="s">
        <v>101</v>
      </c>
      <c r="B149" s="10"/>
      <c r="C149" s="10"/>
      <c r="D149" s="10"/>
      <c r="E149" s="14" t="str">
        <f>CAPA!$B$37</f>
        <v>Cai Mep, Vietnam</v>
      </c>
      <c r="G149" s="13"/>
      <c r="H149" s="13"/>
      <c r="I149" s="10"/>
      <c r="L149" s="456"/>
      <c r="M149" s="457" t="s">
        <v>555</v>
      </c>
      <c r="N149" s="458" t="s">
        <v>316</v>
      </c>
      <c r="O149" s="459"/>
      <c r="P149" s="459"/>
      <c r="Q149" s="10"/>
      <c r="R149" s="10"/>
      <c r="S149" s="10"/>
      <c r="T149" s="10"/>
      <c r="U149" s="10"/>
    </row>
    <row r="150" spans="1:21" ht="15.75" x14ac:dyDescent="0.25">
      <c r="A150" s="266"/>
      <c r="B150" s="10"/>
      <c r="C150" s="10"/>
      <c r="D150" s="10"/>
      <c r="E150" s="10"/>
      <c r="F150" s="13"/>
      <c r="G150" s="13"/>
      <c r="H150" s="13"/>
      <c r="I150" s="10"/>
      <c r="L150" s="456"/>
      <c r="M150" s="457" t="s">
        <v>556</v>
      </c>
      <c r="N150" s="458" t="s">
        <v>317</v>
      </c>
      <c r="O150" s="459"/>
      <c r="P150" s="459"/>
      <c r="Q150" s="10"/>
      <c r="R150" s="10"/>
      <c r="S150" s="10"/>
      <c r="T150" s="10"/>
      <c r="U150" s="10"/>
    </row>
    <row r="151" spans="1:21" ht="15.75" x14ac:dyDescent="0.25">
      <c r="A151" s="266"/>
      <c r="B151" s="10"/>
      <c r="C151" s="10"/>
      <c r="D151" s="10"/>
      <c r="E151" s="10"/>
      <c r="F151" s="10"/>
      <c r="G151" s="10"/>
      <c r="H151" s="10"/>
      <c r="I151" s="10"/>
      <c r="L151" s="456"/>
      <c r="M151" s="457" t="s">
        <v>557</v>
      </c>
      <c r="N151" s="458" t="s">
        <v>319</v>
      </c>
      <c r="O151" s="459"/>
      <c r="P151" s="459"/>
      <c r="Q151" s="10"/>
      <c r="R151" s="10"/>
      <c r="S151" s="10"/>
      <c r="T151" s="10"/>
      <c r="U151" s="10"/>
    </row>
    <row r="152" spans="1:21" ht="15.75" x14ac:dyDescent="0.25">
      <c r="A152" s="283" t="s">
        <v>102</v>
      </c>
      <c r="B152" s="283"/>
      <c r="C152" s="10"/>
      <c r="D152" s="10"/>
      <c r="E152" s="10"/>
      <c r="F152" s="10"/>
      <c r="G152" s="17"/>
      <c r="H152" s="840">
        <f>$I$210</f>
        <v>59000</v>
      </c>
      <c r="I152" s="840"/>
      <c r="J152" s="10" t="s">
        <v>103</v>
      </c>
      <c r="L152" s="456"/>
      <c r="M152" s="457" t="s">
        <v>558</v>
      </c>
      <c r="N152" s="458" t="s">
        <v>320</v>
      </c>
      <c r="O152" s="459"/>
      <c r="P152" s="459"/>
      <c r="Q152" s="10"/>
      <c r="R152" s="10"/>
      <c r="S152" s="10"/>
      <c r="T152" s="10"/>
      <c r="U152" s="10"/>
    </row>
    <row r="153" spans="1:21" ht="15.75" x14ac:dyDescent="0.25">
      <c r="A153" s="266"/>
      <c r="B153" s="10"/>
      <c r="C153" s="10"/>
      <c r="D153" s="10"/>
      <c r="E153" s="10"/>
      <c r="F153" s="10"/>
      <c r="G153" s="12"/>
      <c r="H153" s="10"/>
      <c r="I153" s="10"/>
      <c r="J153" s="10"/>
      <c r="L153" s="456"/>
      <c r="M153" s="457" t="s">
        <v>556</v>
      </c>
      <c r="N153" s="458" t="s">
        <v>321</v>
      </c>
      <c r="O153" s="459"/>
      <c r="P153" s="459"/>
      <c r="Q153" s="10"/>
      <c r="R153" s="10"/>
      <c r="S153" s="10"/>
      <c r="T153" s="10"/>
      <c r="U153" s="10"/>
    </row>
    <row r="154" spans="1:21" ht="15.75" x14ac:dyDescent="0.25">
      <c r="A154" s="283" t="s">
        <v>696</v>
      </c>
      <c r="B154" s="283"/>
      <c r="C154" s="13"/>
      <c r="D154" s="13" t="s">
        <v>104</v>
      </c>
      <c r="E154" s="10"/>
      <c r="G154" s="17"/>
      <c r="H154" s="840">
        <f>$I$211</f>
        <v>58996.599078394887</v>
      </c>
      <c r="I154" s="840"/>
      <c r="J154" s="10" t="s">
        <v>103</v>
      </c>
      <c r="L154" s="456"/>
      <c r="M154" s="457" t="s">
        <v>559</v>
      </c>
      <c r="N154" s="458" t="s">
        <v>322</v>
      </c>
      <c r="O154" s="459"/>
      <c r="P154" s="459"/>
      <c r="Q154" s="10"/>
      <c r="R154" s="10"/>
      <c r="S154" s="10"/>
      <c r="T154" s="10"/>
      <c r="U154" s="10"/>
    </row>
    <row r="155" spans="1:21" ht="15.75" x14ac:dyDescent="0.25">
      <c r="A155" s="284"/>
      <c r="B155" s="284"/>
      <c r="C155" s="14"/>
      <c r="D155" s="14" t="s">
        <v>105</v>
      </c>
      <c r="E155" s="10"/>
      <c r="G155" s="17"/>
      <c r="H155" s="840">
        <f>$H$215</f>
        <v>59018.563999999998</v>
      </c>
      <c r="I155" s="840"/>
      <c r="J155" s="10" t="s">
        <v>103</v>
      </c>
      <c r="L155" s="456"/>
      <c r="M155" s="456"/>
      <c r="N155" s="456"/>
      <c r="O155" s="456"/>
      <c r="P155" s="456"/>
    </row>
    <row r="156" spans="1:21" ht="15.75" x14ac:dyDescent="0.25">
      <c r="A156" s="284"/>
      <c r="B156" s="284"/>
      <c r="C156" s="13"/>
      <c r="D156" s="13" t="s">
        <v>106</v>
      </c>
      <c r="E156" s="13"/>
      <c r="G156" s="17"/>
      <c r="H156" s="840">
        <f>$H$216</f>
        <v>59023.142</v>
      </c>
      <c r="I156" s="840"/>
      <c r="J156" s="10" t="s">
        <v>103</v>
      </c>
      <c r="L156" s="456"/>
      <c r="M156" s="456"/>
      <c r="N156" s="456"/>
      <c r="O156" s="456"/>
      <c r="P156" s="456"/>
    </row>
    <row r="157" spans="1:21" ht="15.75" x14ac:dyDescent="0.25">
      <c r="A157" s="284"/>
      <c r="B157" s="284"/>
      <c r="C157" s="15"/>
      <c r="D157" s="15" t="str">
        <f>Relato!$D$177</f>
        <v>CONSIGNEES SURVEYOR:</v>
      </c>
      <c r="E157" s="15"/>
      <c r="G157" s="17"/>
      <c r="H157" s="840">
        <f>Draft!$X$84</f>
        <v>59021.83</v>
      </c>
      <c r="I157" s="840"/>
      <c r="J157" s="10" t="s">
        <v>103</v>
      </c>
      <c r="L157" s="456"/>
      <c r="M157" s="456"/>
      <c r="N157" s="456"/>
      <c r="O157" s="456"/>
      <c r="P157" s="456"/>
    </row>
    <row r="158" spans="1:21" ht="15.75" x14ac:dyDescent="0.25">
      <c r="A158" s="284"/>
      <c r="B158" s="284"/>
      <c r="C158" s="285"/>
      <c r="D158" s="15"/>
      <c r="E158" s="285"/>
      <c r="F158" s="285"/>
      <c r="G158" s="11"/>
      <c r="H158" s="10"/>
      <c r="I158" s="10"/>
      <c r="L158" s="456"/>
      <c r="M158" s="456"/>
      <c r="N158" s="456"/>
      <c r="O158" s="456"/>
      <c r="P158" s="456"/>
    </row>
    <row r="159" spans="1:21" ht="7.5" customHeight="1" thickBot="1" x14ac:dyDescent="0.3">
      <c r="A159" s="294"/>
      <c r="B159" s="294"/>
      <c r="C159" s="295"/>
      <c r="D159" s="295"/>
      <c r="E159" s="295"/>
      <c r="F159" s="295"/>
      <c r="G159" s="296"/>
      <c r="H159" s="297"/>
      <c r="I159" s="298"/>
      <c r="J159" s="299"/>
      <c r="L159" s="456"/>
      <c r="M159" s="456"/>
      <c r="N159" s="456"/>
      <c r="O159" s="456"/>
      <c r="P159" s="456"/>
    </row>
    <row r="160" spans="1:21" ht="21" customHeight="1" thickBot="1" x14ac:dyDescent="0.45">
      <c r="A160" s="300"/>
      <c r="B160" s="297"/>
      <c r="C160" s="297"/>
      <c r="D160" s="297"/>
      <c r="E160" s="297"/>
      <c r="F160" s="301"/>
      <c r="G160" s="818" t="s">
        <v>107</v>
      </c>
      <c r="H160" s="819"/>
      <c r="I160" s="820" t="s">
        <v>108</v>
      </c>
      <c r="J160" s="821"/>
      <c r="L160" s="456"/>
      <c r="M160" s="456"/>
      <c r="N160" s="456"/>
      <c r="O160" s="456"/>
      <c r="P160" s="456"/>
    </row>
    <row r="161" spans="1:16" ht="14.1" customHeight="1" x14ac:dyDescent="0.25">
      <c r="A161" s="822" t="str">
        <f>$A$1</f>
        <v xml:space="preserve">MV "Karlovasi" </v>
      </c>
      <c r="B161" s="823"/>
      <c r="C161" s="823"/>
      <c r="D161" s="823"/>
      <c r="E161" s="823"/>
      <c r="F161" s="824"/>
      <c r="G161" s="831" t="str">
        <f>Relato!$G$184</f>
        <v>Inner roads 6.1</v>
      </c>
      <c r="H161" s="831"/>
      <c r="I161" s="832" t="str">
        <f>Relato!$I$184</f>
        <v>Wharf 212</v>
      </c>
      <c r="J161" s="833"/>
      <c r="L161" s="456"/>
      <c r="M161" s="456"/>
      <c r="N161" s="456"/>
      <c r="O161" s="456"/>
      <c r="P161" s="456"/>
    </row>
    <row r="162" spans="1:16" ht="14.1" customHeight="1" x14ac:dyDescent="0.25">
      <c r="A162" s="825"/>
      <c r="B162" s="826"/>
      <c r="C162" s="826"/>
      <c r="D162" s="826"/>
      <c r="E162" s="826"/>
      <c r="F162" s="827"/>
      <c r="G162" s="837" t="str">
        <f>Relato!$G$185</f>
        <v>15.03.2026 - 18:05 h</v>
      </c>
      <c r="H162" s="839"/>
      <c r="I162" s="837" t="str">
        <f>Relato!$I$185</f>
        <v>18.03.2026 - 07:45 h</v>
      </c>
      <c r="J162" s="838"/>
      <c r="L162" s="456"/>
      <c r="M162" s="456"/>
      <c r="N162" s="456"/>
      <c r="O162" s="456"/>
      <c r="P162" s="456"/>
    </row>
    <row r="163" spans="1:16" ht="14.1" customHeight="1" x14ac:dyDescent="0.25">
      <c r="A163" s="828"/>
      <c r="B163" s="829"/>
      <c r="C163" s="829"/>
      <c r="D163" s="829"/>
      <c r="E163" s="829"/>
      <c r="F163" s="830"/>
      <c r="G163" s="834">
        <f>Relato!$G$186</f>
        <v>0.25</v>
      </c>
      <c r="H163" s="835"/>
      <c r="I163" s="834">
        <f>Relato!$I$186</f>
        <v>0.15</v>
      </c>
      <c r="J163" s="836"/>
      <c r="L163" s="456"/>
      <c r="M163" s="456"/>
      <c r="N163" s="456"/>
      <c r="O163" s="456"/>
      <c r="P163" s="456"/>
    </row>
    <row r="164" spans="1:16" ht="14.1" customHeight="1" x14ac:dyDescent="0.25">
      <c r="A164" s="806" t="str">
        <f>_xlfn.CONCAT("IMO NO.  ",CAPA!$B$10)</f>
        <v>IMO NO.  9951783</v>
      </c>
      <c r="B164" s="807"/>
      <c r="C164" s="807" t="str">
        <f>_xlfn.CONCAT("FLAG:  ",CAPA!$B$14)</f>
        <v>FLAG:  Portuguese</v>
      </c>
      <c r="D164" s="807"/>
      <c r="E164" s="807" t="str">
        <f>_xlfn.CONCAT("BUILD:  ",CAPA!$B$9)</f>
        <v>BUILD:  2023</v>
      </c>
      <c r="F164" s="808"/>
      <c r="G164" s="809" t="str">
        <f>CONCATENATE("Wind force ",TEXT(Draft!$O$8,"00"))</f>
        <v>Wind force 02</v>
      </c>
      <c r="H164" s="810"/>
      <c r="I164" s="809" t="str">
        <f>Relato!$I$187</f>
        <v>Wind force 01</v>
      </c>
      <c r="J164" s="811"/>
      <c r="L164" s="456"/>
      <c r="M164" s="456"/>
      <c r="N164" s="456"/>
      <c r="O164" s="456"/>
      <c r="P164" s="456"/>
    </row>
    <row r="165" spans="1:16" ht="14.1" customHeight="1" x14ac:dyDescent="0.25">
      <c r="A165" s="443" t="str">
        <f>IF(Draft!H84="NÃO","DRAUGHT SURVEY CERTIFICATE","FULL DISPLACEMENT SURVEY CERTIFICATE")</f>
        <v>DRAUGHT SURVEY CERTIFICATE</v>
      </c>
      <c r="B165" s="302"/>
      <c r="C165" s="302"/>
      <c r="D165" s="302"/>
      <c r="E165" s="302"/>
      <c r="F165" s="303"/>
      <c r="G165" s="809" t="str">
        <f>Draft!$E$8</f>
        <v>No tide flow</v>
      </c>
      <c r="H165" s="810"/>
      <c r="I165" s="809" t="str">
        <f>Relato!$I$188</f>
        <v>Flood tide, &lt;1 knot</v>
      </c>
      <c r="J165" s="811"/>
      <c r="L165" s="456"/>
      <c r="M165" s="456"/>
      <c r="N165" s="456"/>
      <c r="O165" s="456"/>
      <c r="P165" s="456"/>
    </row>
    <row r="166" spans="1:16" ht="14.1" customHeight="1" thickBot="1" x14ac:dyDescent="0.3">
      <c r="A166" s="444" t="str">
        <f>$G$3</f>
        <v>PGUA/DS/081/26</v>
      </c>
      <c r="B166" s="304"/>
      <c r="C166" s="304"/>
      <c r="D166" s="304"/>
      <c r="E166" s="304"/>
      <c r="F166" s="305"/>
      <c r="G166" s="814" t="str">
        <f>Relato!$G$189</f>
        <v>Weather:   Fine</v>
      </c>
      <c r="H166" s="815"/>
      <c r="I166" s="816" t="str">
        <f>Relato!$I$189</f>
        <v>Weather:   Overcast</v>
      </c>
      <c r="J166" s="817"/>
      <c r="L166" s="456"/>
      <c r="M166" s="456"/>
      <c r="N166" s="456"/>
      <c r="O166" s="456"/>
      <c r="P166" s="456"/>
    </row>
    <row r="167" spans="1:16" ht="3.75" customHeight="1" thickBot="1" x14ac:dyDescent="0.3">
      <c r="A167" s="306"/>
      <c r="B167" s="306"/>
      <c r="C167" s="306"/>
      <c r="D167" s="306"/>
      <c r="E167" s="306"/>
      <c r="F167" s="307"/>
      <c r="G167" s="306"/>
      <c r="H167" s="306"/>
      <c r="I167" s="308"/>
      <c r="J167" s="309"/>
      <c r="L167" s="456"/>
      <c r="M167" s="456"/>
      <c r="N167" s="456"/>
      <c r="O167" s="456"/>
      <c r="P167" s="456"/>
    </row>
    <row r="168" spans="1:16" ht="12.95" customHeight="1" x14ac:dyDescent="0.25">
      <c r="A168" s="326" t="s">
        <v>697</v>
      </c>
      <c r="B168" s="336"/>
      <c r="C168" s="336"/>
      <c r="D168" s="336"/>
      <c r="E168" s="336"/>
      <c r="F168" s="337"/>
      <c r="G168" s="786" t="s">
        <v>109</v>
      </c>
      <c r="H168" s="787"/>
      <c r="I168" s="812" t="s">
        <v>110</v>
      </c>
      <c r="J168" s="813"/>
      <c r="L168" s="456"/>
      <c r="M168" s="456"/>
      <c r="N168" s="456"/>
      <c r="O168" s="456"/>
      <c r="P168" s="456"/>
    </row>
    <row r="169" spans="1:16" ht="12.95" customHeight="1" x14ac:dyDescent="0.25">
      <c r="A169" s="338" t="s">
        <v>111</v>
      </c>
      <c r="B169" s="312"/>
      <c r="C169" s="312"/>
      <c r="D169" s="312"/>
      <c r="E169" s="312"/>
      <c r="F169" s="313"/>
      <c r="G169" s="801">
        <f>Draft!$C$25</f>
        <v>5.05</v>
      </c>
      <c r="H169" s="802"/>
      <c r="I169" s="803">
        <f>Draft!$U$25</f>
        <v>13.06</v>
      </c>
      <c r="J169" s="804"/>
      <c r="L169" s="456"/>
      <c r="M169" s="456"/>
      <c r="N169" s="456"/>
      <c r="O169" s="456"/>
      <c r="P169" s="456"/>
    </row>
    <row r="170" spans="1:16" ht="12.95" customHeight="1" x14ac:dyDescent="0.25">
      <c r="A170" s="448" t="s">
        <v>112</v>
      </c>
      <c r="B170" s="315"/>
      <c r="C170" s="315"/>
      <c r="D170" s="315"/>
      <c r="E170" s="315"/>
      <c r="F170" s="316"/>
      <c r="G170" s="790">
        <f>Draft!$G$25</f>
        <v>5.07</v>
      </c>
      <c r="H170" s="791"/>
      <c r="I170" s="805">
        <f>Draft!$Y$25</f>
        <v>13.06</v>
      </c>
      <c r="J170" s="792"/>
      <c r="L170" s="456"/>
      <c r="M170" s="456"/>
      <c r="N170" s="456"/>
      <c r="O170" s="456"/>
      <c r="P170" s="456"/>
    </row>
    <row r="171" spans="1:16" ht="12.95" customHeight="1" x14ac:dyDescent="0.25">
      <c r="A171" s="339" t="s">
        <v>113</v>
      </c>
      <c r="B171" s="315"/>
      <c r="C171" s="315"/>
      <c r="D171" s="315"/>
      <c r="E171" s="315"/>
      <c r="F171" s="316"/>
      <c r="G171" s="790">
        <f>($G$169+$G$170)/2</f>
        <v>5.0600000000000005</v>
      </c>
      <c r="H171" s="791"/>
      <c r="I171" s="790">
        <f>($I$169+$I$170)/2</f>
        <v>13.06</v>
      </c>
      <c r="J171" s="792"/>
      <c r="L171" s="456"/>
      <c r="M171" s="456"/>
      <c r="N171" s="456"/>
      <c r="O171" s="456"/>
      <c r="P171" s="456"/>
    </row>
    <row r="172" spans="1:16" ht="12.95" customHeight="1" x14ac:dyDescent="0.25">
      <c r="A172" s="448" t="s">
        <v>114</v>
      </c>
      <c r="B172" s="314"/>
      <c r="C172" s="314"/>
      <c r="D172" s="314"/>
      <c r="E172" s="314"/>
      <c r="F172" s="317"/>
      <c r="G172" s="793">
        <f>Draft!$M$25</f>
        <v>-2.2500000000000853E-2</v>
      </c>
      <c r="H172" s="794"/>
      <c r="I172" s="795">
        <f>Draft!$AE$25</f>
        <v>-2.0000000000006679E-3</v>
      </c>
      <c r="J172" s="796"/>
      <c r="L172" s="456"/>
      <c r="M172" s="456"/>
      <c r="N172" s="456"/>
      <c r="O172" s="456"/>
      <c r="P172" s="456"/>
    </row>
    <row r="173" spans="1:16" ht="12.95" customHeight="1" x14ac:dyDescent="0.25">
      <c r="A173" s="330" t="s">
        <v>698</v>
      </c>
      <c r="B173" s="310"/>
      <c r="C173" s="310"/>
      <c r="D173" s="310"/>
      <c r="E173" s="310"/>
      <c r="F173" s="311"/>
      <c r="G173" s="797">
        <f>Draft!$P$25</f>
        <v>5.0374999999999996</v>
      </c>
      <c r="H173" s="798"/>
      <c r="I173" s="799">
        <f>Draft!$AH$25</f>
        <v>13.058</v>
      </c>
      <c r="J173" s="800"/>
      <c r="L173" s="456"/>
      <c r="M173" s="456"/>
      <c r="N173" s="456"/>
      <c r="O173" s="456"/>
      <c r="P173" s="456"/>
    </row>
    <row r="174" spans="1:16" ht="12.95" customHeight="1" x14ac:dyDescent="0.25">
      <c r="A174" s="338" t="s">
        <v>115</v>
      </c>
      <c r="B174" s="312"/>
      <c r="C174" s="312"/>
      <c r="D174" s="312"/>
      <c r="E174" s="312"/>
      <c r="F174" s="313"/>
      <c r="G174" s="801">
        <f>Draft!$C$26</f>
        <v>5.84</v>
      </c>
      <c r="H174" s="802"/>
      <c r="I174" s="803">
        <f>Draft!$U$26</f>
        <v>13.24</v>
      </c>
      <c r="J174" s="804"/>
      <c r="L174" s="456"/>
      <c r="M174" s="456"/>
      <c r="N174" s="456"/>
      <c r="O174" s="456"/>
      <c r="P174" s="456"/>
    </row>
    <row r="175" spans="1:16" ht="12.95" customHeight="1" x14ac:dyDescent="0.25">
      <c r="A175" s="448" t="s">
        <v>116</v>
      </c>
      <c r="B175" s="315"/>
      <c r="C175" s="315"/>
      <c r="D175" s="315"/>
      <c r="E175" s="315"/>
      <c r="F175" s="316"/>
      <c r="G175" s="790">
        <f>Draft!$G$26</f>
        <v>5.91</v>
      </c>
      <c r="H175" s="791"/>
      <c r="I175" s="805">
        <f>Draft!$Y$26</f>
        <v>13.22</v>
      </c>
      <c r="J175" s="792"/>
      <c r="L175" s="456"/>
      <c r="M175" s="456"/>
      <c r="N175" s="456"/>
      <c r="O175" s="456"/>
      <c r="P175" s="456"/>
    </row>
    <row r="176" spans="1:16" ht="12.95" customHeight="1" x14ac:dyDescent="0.25">
      <c r="A176" s="339" t="s">
        <v>117</v>
      </c>
      <c r="B176" s="315"/>
      <c r="C176" s="315"/>
      <c r="D176" s="315"/>
      <c r="E176" s="315"/>
      <c r="F176" s="316"/>
      <c r="G176" s="790">
        <f>($G$174+$G$175)/2</f>
        <v>5.875</v>
      </c>
      <c r="H176" s="791"/>
      <c r="I176" s="790">
        <f>($I$174+$I$175)/2</f>
        <v>13.23</v>
      </c>
      <c r="J176" s="792"/>
      <c r="L176" s="456"/>
      <c r="M176" s="456"/>
      <c r="N176" s="456"/>
      <c r="O176" s="456"/>
      <c r="P176" s="456"/>
    </row>
    <row r="177" spans="1:16" ht="12.95" customHeight="1" x14ac:dyDescent="0.25">
      <c r="A177" s="448" t="s">
        <v>118</v>
      </c>
      <c r="B177" s="314"/>
      <c r="C177" s="314"/>
      <c r="D177" s="314"/>
      <c r="E177" s="314"/>
      <c r="F177" s="317"/>
      <c r="G177" s="793">
        <f>Draft!$M$26</f>
        <v>0</v>
      </c>
      <c r="H177" s="794"/>
      <c r="I177" s="795">
        <f>Draft!$AE$26</f>
        <v>-5.0000000000061107E-4</v>
      </c>
      <c r="J177" s="796"/>
      <c r="L177" s="456"/>
      <c r="M177" s="456"/>
      <c r="N177" s="456"/>
      <c r="O177" s="456"/>
      <c r="P177" s="456"/>
    </row>
    <row r="178" spans="1:16" ht="12.95" customHeight="1" x14ac:dyDescent="0.25">
      <c r="A178" s="330" t="s">
        <v>699</v>
      </c>
      <c r="B178" s="310"/>
      <c r="C178" s="310"/>
      <c r="D178" s="310"/>
      <c r="E178" s="310"/>
      <c r="F178" s="311"/>
      <c r="G178" s="797">
        <f>Draft!$P$26</f>
        <v>5.875</v>
      </c>
      <c r="H178" s="798"/>
      <c r="I178" s="799">
        <f>Draft!$AH$26</f>
        <v>13.2295</v>
      </c>
      <c r="J178" s="800"/>
      <c r="L178" s="456"/>
      <c r="M178" s="456"/>
      <c r="N178" s="456"/>
      <c r="O178" s="456"/>
      <c r="P178" s="456"/>
    </row>
    <row r="179" spans="1:16" ht="12.95" customHeight="1" x14ac:dyDescent="0.25">
      <c r="A179" s="338" t="s">
        <v>119</v>
      </c>
      <c r="B179" s="312"/>
      <c r="C179" s="312"/>
      <c r="D179" s="312"/>
      <c r="E179" s="312"/>
      <c r="F179" s="313"/>
      <c r="G179" s="801">
        <f>Draft!$C$27</f>
        <v>6.84</v>
      </c>
      <c r="H179" s="802"/>
      <c r="I179" s="803">
        <f>Draft!$U$27</f>
        <v>13.23</v>
      </c>
      <c r="J179" s="804"/>
      <c r="L179" s="456"/>
      <c r="M179" s="456"/>
      <c r="N179" s="456"/>
      <c r="O179" s="456"/>
      <c r="P179" s="456"/>
    </row>
    <row r="180" spans="1:16" ht="12.95" customHeight="1" x14ac:dyDescent="0.25">
      <c r="A180" s="339" t="s">
        <v>120</v>
      </c>
      <c r="B180" s="315"/>
      <c r="C180" s="315"/>
      <c r="D180" s="315"/>
      <c r="E180" s="315"/>
      <c r="F180" s="316"/>
      <c r="G180" s="790">
        <f>Draft!$G$27</f>
        <v>6.84</v>
      </c>
      <c r="H180" s="791"/>
      <c r="I180" s="805">
        <f>Draft!$Y$27</f>
        <v>13.21</v>
      </c>
      <c r="J180" s="792"/>
      <c r="L180" s="456"/>
      <c r="M180" s="456"/>
      <c r="N180" s="456"/>
      <c r="O180" s="456"/>
      <c r="P180" s="456"/>
    </row>
    <row r="181" spans="1:16" ht="12.95" customHeight="1" x14ac:dyDescent="0.25">
      <c r="A181" s="339" t="s">
        <v>121</v>
      </c>
      <c r="B181" s="315"/>
      <c r="C181" s="315"/>
      <c r="D181" s="315"/>
      <c r="E181" s="315"/>
      <c r="F181" s="316"/>
      <c r="G181" s="790">
        <f>($G$179+$G$180)/2</f>
        <v>6.84</v>
      </c>
      <c r="H181" s="791"/>
      <c r="I181" s="790">
        <f>($I$179+$I$180)/2</f>
        <v>13.22</v>
      </c>
      <c r="J181" s="792"/>
      <c r="L181" s="456"/>
      <c r="M181" s="456"/>
      <c r="N181" s="456"/>
      <c r="O181" s="456"/>
      <c r="P181" s="456"/>
    </row>
    <row r="182" spans="1:16" ht="12.95" customHeight="1" x14ac:dyDescent="0.25">
      <c r="A182" s="448" t="s">
        <v>122</v>
      </c>
      <c r="B182" s="314"/>
      <c r="C182" s="314"/>
      <c r="D182" s="314"/>
      <c r="E182" s="314"/>
      <c r="F182" s="317"/>
      <c r="G182" s="793">
        <f>Draft!$M$27</f>
        <v>8.7800000000000544E-2</v>
      </c>
      <c r="H182" s="794"/>
      <c r="I182" s="795">
        <f>Draft!$AE$27</f>
        <v>7.899999999999352E-3</v>
      </c>
      <c r="J182" s="796"/>
      <c r="L182" s="456"/>
      <c r="M182" s="456"/>
      <c r="N182" s="456"/>
      <c r="O182" s="456"/>
      <c r="P182" s="456"/>
    </row>
    <row r="183" spans="1:16" ht="12.95" customHeight="1" x14ac:dyDescent="0.25">
      <c r="A183" s="330" t="s">
        <v>700</v>
      </c>
      <c r="B183" s="310"/>
      <c r="C183" s="310"/>
      <c r="D183" s="310"/>
      <c r="E183" s="310"/>
      <c r="F183" s="311"/>
      <c r="G183" s="797">
        <f>Draft!$P$27</f>
        <v>6.9278000000000004</v>
      </c>
      <c r="H183" s="798"/>
      <c r="I183" s="799">
        <f>Draft!$AH$27</f>
        <v>13.2279</v>
      </c>
      <c r="J183" s="800"/>
      <c r="L183" s="456"/>
      <c r="M183" s="456"/>
      <c r="N183" s="456"/>
      <c r="O183" s="456"/>
      <c r="P183" s="456"/>
    </row>
    <row r="184" spans="1:16" ht="12.95" customHeight="1" thickBot="1" x14ac:dyDescent="0.3">
      <c r="A184" s="449" t="s">
        <v>123</v>
      </c>
      <c r="B184" s="318"/>
      <c r="C184" s="318"/>
      <c r="D184" s="318"/>
      <c r="E184" s="318"/>
      <c r="F184" s="319"/>
      <c r="G184" s="779">
        <f>Draft!$O$20+Draft!$H$18</f>
        <v>0</v>
      </c>
      <c r="H184" s="780"/>
      <c r="I184" s="781">
        <f>$G$184</f>
        <v>0</v>
      </c>
      <c r="J184" s="782"/>
      <c r="L184" s="456"/>
      <c r="M184" s="456"/>
      <c r="N184" s="456"/>
      <c r="O184" s="456"/>
      <c r="P184" s="456"/>
    </row>
    <row r="185" spans="1:16" ht="12.95" customHeight="1" thickBot="1" x14ac:dyDescent="0.3">
      <c r="A185" s="340" t="s">
        <v>571</v>
      </c>
      <c r="B185" s="341"/>
      <c r="C185" s="341"/>
      <c r="D185" s="341"/>
      <c r="E185" s="341"/>
      <c r="F185" s="342"/>
      <c r="G185" s="731">
        <f>Draft!$M$37</f>
        <v>1.0400861600940559E-2</v>
      </c>
      <c r="H185" s="732"/>
      <c r="I185" s="731">
        <f>Draft!$AE$37</f>
        <v>-1.258101803976075E-2</v>
      </c>
      <c r="J185" s="732"/>
      <c r="L185" s="456"/>
      <c r="M185" s="456"/>
      <c r="N185" s="456"/>
      <c r="O185" s="456"/>
      <c r="P185" s="456"/>
    </row>
    <row r="186" spans="1:16" ht="12.95" customHeight="1" thickBot="1" x14ac:dyDescent="0.3">
      <c r="A186" s="450" t="s">
        <v>572</v>
      </c>
      <c r="B186" s="320"/>
      <c r="C186" s="320"/>
      <c r="D186" s="320"/>
      <c r="E186" s="320"/>
      <c r="F186" s="321"/>
      <c r="G186" s="783">
        <f>Draft!$M$39</f>
        <v>5.9123133616009405</v>
      </c>
      <c r="H186" s="784"/>
      <c r="I186" s="783">
        <f>Draft!$AE$39</f>
        <v>13.19528148196024</v>
      </c>
      <c r="J186" s="785"/>
      <c r="L186" s="456"/>
      <c r="M186" s="456"/>
      <c r="N186" s="456"/>
      <c r="O186" s="456"/>
      <c r="P186" s="456"/>
    </row>
    <row r="187" spans="1:16" ht="3.75" customHeight="1" thickBot="1" x14ac:dyDescent="0.3">
      <c r="A187" s="455"/>
      <c r="B187" s="322"/>
      <c r="C187" s="322"/>
      <c r="D187" s="322"/>
      <c r="E187" s="322"/>
      <c r="F187" s="322"/>
      <c r="G187" s="323"/>
      <c r="H187" s="324"/>
      <c r="I187" s="325"/>
      <c r="J187" s="351"/>
      <c r="L187" s="456"/>
      <c r="M187" s="456"/>
      <c r="N187" s="456"/>
      <c r="O187" s="456"/>
      <c r="P187" s="456"/>
    </row>
    <row r="188" spans="1:16" ht="12.95" customHeight="1" x14ac:dyDescent="0.25">
      <c r="A188" s="326" t="s">
        <v>125</v>
      </c>
      <c r="B188" s="327"/>
      <c r="C188" s="327"/>
      <c r="D188" s="327"/>
      <c r="E188" s="327"/>
      <c r="F188" s="328"/>
      <c r="G188" s="329" t="str">
        <f>IF(G183=0,"",IF(G183&gt;G173,"BY STERN","BY HEAD"))</f>
        <v>BY STERN</v>
      </c>
      <c r="H188" s="396">
        <f>Draft!$P$29</f>
        <v>1.8903000000000008</v>
      </c>
      <c r="I188" s="329" t="str">
        <f>IF(I183=0,"",IF(I183&gt;I173,"BY STERN","BY HEAD"))</f>
        <v>BY STERN</v>
      </c>
      <c r="J188" s="445">
        <f>Draft!$AH$29</f>
        <v>0.16990000000000016</v>
      </c>
      <c r="L188" s="456"/>
      <c r="M188" s="456"/>
      <c r="N188" s="456"/>
      <c r="O188" s="456"/>
      <c r="P188" s="456"/>
    </row>
    <row r="189" spans="1:16" ht="12.95" customHeight="1" x14ac:dyDescent="0.25">
      <c r="A189" s="330" t="s">
        <v>126</v>
      </c>
      <c r="B189" s="331"/>
      <c r="C189" s="331"/>
      <c r="D189" s="331"/>
      <c r="E189" s="331"/>
      <c r="F189" s="332"/>
      <c r="G189" s="333" t="str">
        <f>_xlfn.CONCAT(Draft!$P$35," ",TEXT(Draft!$M$35,"0.00")," º")</f>
        <v>S 0.12 º</v>
      </c>
      <c r="H189" s="397">
        <f>Draft!$G$35</f>
        <v>7</v>
      </c>
      <c r="I189" s="333" t="str">
        <f>_xlfn.CONCAT(Draft!$AH$35," ",TEXT(Draft!$AE$35,"0.00")," º")</f>
        <v>P 0.04 º</v>
      </c>
      <c r="J189" s="446">
        <f>Draft!$Y$35</f>
        <v>2</v>
      </c>
      <c r="L189" s="456"/>
      <c r="M189" s="456"/>
      <c r="N189" s="456"/>
      <c r="O189" s="456"/>
      <c r="P189" s="456"/>
    </row>
    <row r="190" spans="1:16" ht="12.95" customHeight="1" thickBot="1" x14ac:dyDescent="0.3">
      <c r="A190" s="334" t="s">
        <v>128</v>
      </c>
      <c r="B190" s="299"/>
      <c r="C190" s="299"/>
      <c r="D190" s="299"/>
      <c r="E190" s="299"/>
      <c r="F190" s="335"/>
      <c r="G190" s="399" t="str">
        <f>Draft!$M$33</f>
        <v>HOGGING</v>
      </c>
      <c r="H190" s="398">
        <f>Draft!$G$33</f>
        <v>10.764999999999958</v>
      </c>
      <c r="I190" s="399" t="str">
        <f>Draft!$AE$33</f>
        <v>SAGGING</v>
      </c>
      <c r="J190" s="447">
        <f>Draft!$Y$33</f>
        <v>8.6550000000000793</v>
      </c>
      <c r="L190" s="456"/>
      <c r="M190" s="456"/>
      <c r="N190" s="456"/>
      <c r="O190" s="456"/>
      <c r="P190" s="456"/>
    </row>
    <row r="191" spans="1:16" ht="3.75" customHeight="1" thickBot="1" x14ac:dyDescent="0.3">
      <c r="A191" s="314"/>
      <c r="B191" s="314"/>
      <c r="C191" s="314"/>
      <c r="D191" s="314"/>
      <c r="E191" s="314"/>
      <c r="F191" s="314"/>
      <c r="G191" s="314"/>
      <c r="H191" s="314"/>
      <c r="I191" s="325"/>
      <c r="J191" s="309"/>
      <c r="L191" s="456"/>
      <c r="M191" s="456"/>
      <c r="N191" s="456"/>
      <c r="O191" s="456"/>
      <c r="P191" s="456"/>
    </row>
    <row r="192" spans="1:16" ht="12.95" customHeight="1" x14ac:dyDescent="0.25">
      <c r="A192" s="326" t="s">
        <v>129</v>
      </c>
      <c r="B192" s="336"/>
      <c r="C192" s="336"/>
      <c r="D192" s="336"/>
      <c r="E192" s="336"/>
      <c r="F192" s="337"/>
      <c r="G192" s="786" t="s">
        <v>109</v>
      </c>
      <c r="H192" s="787"/>
      <c r="I192" s="788" t="s">
        <v>110</v>
      </c>
      <c r="J192" s="789"/>
      <c r="L192" s="456"/>
      <c r="M192" s="456"/>
      <c r="N192" s="456"/>
      <c r="O192" s="456"/>
      <c r="P192" s="456"/>
    </row>
    <row r="193" spans="1:16" ht="12.95" customHeight="1" x14ac:dyDescent="0.25">
      <c r="A193" s="338" t="s">
        <v>130</v>
      </c>
      <c r="B193" s="312"/>
      <c r="C193" s="312"/>
      <c r="D193" s="312"/>
      <c r="E193" s="312"/>
      <c r="F193" s="313"/>
      <c r="G193" s="773">
        <f>Draft!$M$43</f>
        <v>30627.72</v>
      </c>
      <c r="H193" s="774"/>
      <c r="I193" s="773">
        <f>Draft!$AE$43</f>
        <v>73462.03</v>
      </c>
      <c r="J193" s="775"/>
      <c r="L193" s="456"/>
      <c r="M193" s="456"/>
      <c r="N193" s="456"/>
      <c r="O193" s="456"/>
      <c r="P193" s="456"/>
    </row>
    <row r="194" spans="1:16" ht="12.95" customHeight="1" x14ac:dyDescent="0.25">
      <c r="A194" s="339" t="s">
        <v>131</v>
      </c>
      <c r="B194" s="315"/>
      <c r="C194" s="315"/>
      <c r="D194" s="315"/>
      <c r="E194" s="315"/>
      <c r="F194" s="316"/>
      <c r="G194" s="776">
        <f>Draft!$N$57</f>
        <v>-328.77739278147402</v>
      </c>
      <c r="H194" s="777"/>
      <c r="I194" s="776">
        <f>Draft!$AF$57</f>
        <v>18.787491569089063</v>
      </c>
      <c r="J194" s="778"/>
      <c r="L194" s="456"/>
      <c r="M194" s="456"/>
      <c r="N194" s="456"/>
      <c r="O194" s="456"/>
      <c r="P194" s="456"/>
    </row>
    <row r="195" spans="1:16" ht="12.95" customHeight="1" x14ac:dyDescent="0.25">
      <c r="A195" s="339" t="s">
        <v>132</v>
      </c>
      <c r="B195" s="315"/>
      <c r="C195" s="315"/>
      <c r="D195" s="315"/>
      <c r="E195" s="315"/>
      <c r="F195" s="316"/>
      <c r="G195" s="776">
        <f>Draft!$N$58</f>
        <v>27.978752086489294</v>
      </c>
      <c r="H195" s="777"/>
      <c r="I195" s="776">
        <f>Draft!$AF$58</f>
        <v>4.3579697799385787E-2</v>
      </c>
      <c r="J195" s="778"/>
      <c r="L195" s="456"/>
      <c r="M195" s="456"/>
      <c r="N195" s="456"/>
      <c r="O195" s="456"/>
      <c r="P195" s="456"/>
    </row>
    <row r="196" spans="1:16" ht="12.95" customHeight="1" x14ac:dyDescent="0.25">
      <c r="A196" s="339" t="s">
        <v>133</v>
      </c>
      <c r="B196" s="315"/>
      <c r="C196" s="315"/>
      <c r="D196" s="315"/>
      <c r="E196" s="315"/>
      <c r="F196" s="316"/>
      <c r="G196" s="767">
        <f>Draft!$N$61</f>
        <v>30326.921359305015</v>
      </c>
      <c r="H196" s="768"/>
      <c r="I196" s="767">
        <f>Draft!$AF$61</f>
        <v>73480.861071266889</v>
      </c>
      <c r="J196" s="769"/>
      <c r="L196" s="456"/>
      <c r="M196" s="456"/>
      <c r="N196" s="456"/>
      <c r="O196" s="456"/>
      <c r="P196" s="456"/>
    </row>
    <row r="197" spans="1:16" ht="12.95" customHeight="1" x14ac:dyDescent="0.25">
      <c r="A197" s="339" t="s">
        <v>134</v>
      </c>
      <c r="B197" s="315"/>
      <c r="C197" s="315"/>
      <c r="D197" s="315"/>
      <c r="E197" s="315"/>
      <c r="F197" s="316"/>
      <c r="G197" s="770">
        <f>Draft!$H$62</f>
        <v>1.0155000000000001</v>
      </c>
      <c r="H197" s="771"/>
      <c r="I197" s="770">
        <f>Draft!$Z$62</f>
        <v>1.0135000000000001</v>
      </c>
      <c r="J197" s="772"/>
      <c r="L197" s="456"/>
      <c r="M197" s="456"/>
      <c r="N197" s="456"/>
      <c r="O197" s="456"/>
      <c r="P197" s="456"/>
    </row>
    <row r="198" spans="1:16" ht="12.95" customHeight="1" x14ac:dyDescent="0.25">
      <c r="A198" s="339" t="s">
        <v>701</v>
      </c>
      <c r="B198" s="315"/>
      <c r="C198" s="315"/>
      <c r="D198" s="315"/>
      <c r="E198" s="315"/>
      <c r="F198" s="316"/>
      <c r="G198" s="767">
        <f>Draft!$N$63</f>
        <v>30045.842575974875</v>
      </c>
      <c r="H198" s="768"/>
      <c r="I198" s="767">
        <f>Draft!$AF$63</f>
        <v>72656.441654369759</v>
      </c>
      <c r="J198" s="769"/>
      <c r="L198" s="456"/>
      <c r="M198" s="456"/>
      <c r="N198" s="456"/>
      <c r="O198" s="456"/>
      <c r="P198" s="456"/>
    </row>
    <row r="199" spans="1:16" ht="12.95" customHeight="1" thickBot="1" x14ac:dyDescent="0.3">
      <c r="A199" s="340" t="s">
        <v>702</v>
      </c>
      <c r="B199" s="341"/>
      <c r="C199" s="341"/>
      <c r="D199" s="341"/>
      <c r="E199" s="341"/>
      <c r="F199" s="342"/>
      <c r="G199" s="757">
        <f>Draft!$H$72</f>
        <v>18002.900000000001</v>
      </c>
      <c r="H199" s="758"/>
      <c r="I199" s="757">
        <f>Draft!$AF$72</f>
        <v>1594.9999999999998</v>
      </c>
      <c r="J199" s="759"/>
      <c r="L199" s="456"/>
      <c r="M199" s="456"/>
      <c r="N199" s="456"/>
      <c r="O199" s="456"/>
      <c r="P199" s="456"/>
    </row>
    <row r="200" spans="1:16" ht="12.95" customHeight="1" thickBot="1" x14ac:dyDescent="0.3">
      <c r="A200" s="619" t="s">
        <v>703</v>
      </c>
      <c r="B200" s="620"/>
      <c r="C200" s="620"/>
      <c r="D200" s="620"/>
      <c r="E200" s="620"/>
      <c r="F200" s="620"/>
      <c r="G200" s="760">
        <f>Draft!$N$74</f>
        <v>12042.942575974874</v>
      </c>
      <c r="H200" s="761"/>
      <c r="I200" s="760">
        <f>Draft!$AF$74</f>
        <v>71061.441654369759</v>
      </c>
      <c r="J200" s="762"/>
      <c r="K200" s="451"/>
      <c r="L200" s="456"/>
      <c r="M200" s="456"/>
      <c r="N200" s="456"/>
      <c r="O200" s="456"/>
      <c r="P200" s="456"/>
    </row>
    <row r="201" spans="1:16" ht="12.95" customHeight="1" x14ac:dyDescent="0.25">
      <c r="A201" s="343" t="s">
        <v>608</v>
      </c>
      <c r="B201" s="344"/>
      <c r="C201" s="344"/>
      <c r="D201" s="344"/>
      <c r="E201" s="344"/>
      <c r="F201" s="345"/>
      <c r="G201" s="763">
        <f>Draft!$H$75</f>
        <v>11774</v>
      </c>
      <c r="H201" s="764"/>
      <c r="I201" s="346"/>
      <c r="J201" s="347"/>
      <c r="L201" s="456"/>
      <c r="M201" s="456"/>
      <c r="N201" s="456"/>
      <c r="O201" s="456"/>
      <c r="P201" s="456"/>
    </row>
    <row r="202" spans="1:16" ht="12.95" customHeight="1" x14ac:dyDescent="0.25">
      <c r="A202" s="348" t="str">
        <f>IF(Draft!H84="NÃO","Calculated constant","Declared constant")</f>
        <v>Calculated constant</v>
      </c>
      <c r="B202" s="349"/>
      <c r="C202" s="349"/>
      <c r="D202" s="349"/>
      <c r="E202" s="349"/>
      <c r="F202" s="350"/>
      <c r="G202" s="765">
        <f>Draft!$N$77</f>
        <v>290.8425759748734</v>
      </c>
      <c r="H202" s="766"/>
      <c r="I202" s="325"/>
      <c r="J202" s="351"/>
      <c r="L202" s="456"/>
      <c r="M202" s="456"/>
      <c r="N202" s="456"/>
      <c r="O202" s="456"/>
      <c r="P202" s="456"/>
    </row>
    <row r="203" spans="1:16" ht="12.95" customHeight="1" x14ac:dyDescent="0.25">
      <c r="A203" s="352" t="s">
        <v>704</v>
      </c>
      <c r="B203" s="353"/>
      <c r="C203" s="353"/>
      <c r="D203" s="353"/>
      <c r="E203" s="353"/>
      <c r="F203" s="354"/>
      <c r="G203" s="746">
        <f>Draft!$H$76</f>
        <v>21.9</v>
      </c>
      <c r="H203" s="747"/>
      <c r="I203" s="746">
        <f>Draft!$Z$76</f>
        <v>0</v>
      </c>
      <c r="J203" s="748"/>
      <c r="L203" s="456"/>
      <c r="M203" s="456"/>
      <c r="N203" s="456"/>
      <c r="O203" s="456"/>
      <c r="P203" s="456"/>
    </row>
    <row r="204" spans="1:16" ht="12.95" customHeight="1" thickBot="1" x14ac:dyDescent="0.3">
      <c r="A204" s="355" t="str">
        <f>IF(I200=0,"",IF(I200&gt;G200,"Total cargo loaded on board as per draught survey","Total cargo discharged as per draught survey"))</f>
        <v>Total cargo loaded on board as per draught survey</v>
      </c>
      <c r="B204" s="356"/>
      <c r="C204" s="356"/>
      <c r="D204" s="356"/>
      <c r="E204" s="356"/>
      <c r="F204" s="356"/>
      <c r="G204" s="357"/>
      <c r="H204" s="358"/>
      <c r="I204" s="749">
        <f>Draft!$AF$77</f>
        <v>58996.599078394887</v>
      </c>
      <c r="J204" s="750"/>
      <c r="L204" s="469" t="str">
        <f>_xlfn.CONCAT(Draft!$AQ$32,Draft!$AQ$33," on initial draft survey")</f>
        <v>hogging on initial draft survey</v>
      </c>
      <c r="M204" s="469" t="str">
        <f>IF($L$204="sagging on initial draft survey",1,"")</f>
        <v/>
      </c>
      <c r="N204" s="456">
        <f>IF($L$204="hogging on initial draft survey",1,"")</f>
        <v>1</v>
      </c>
      <c r="O204" s="460" t="str">
        <f>IF(SUM($M$204:$N$204)=1,$L$204,"")</f>
        <v>hogging on initial draft survey</v>
      </c>
      <c r="P204" s="470" t="str">
        <f>IF(O204=1,L204,"")</f>
        <v/>
      </c>
    </row>
    <row r="205" spans="1:16" ht="3.75" customHeight="1" thickBot="1" x14ac:dyDescent="0.3">
      <c r="A205" s="306"/>
      <c r="B205" s="306"/>
      <c r="C205" s="306"/>
      <c r="D205" s="306"/>
      <c r="E205" s="306"/>
      <c r="F205" s="306"/>
      <c r="G205" s="306"/>
      <c r="H205" s="306"/>
      <c r="I205" s="308"/>
      <c r="J205" s="309"/>
      <c r="L205" s="469" t="str">
        <f>IFERROR(IF(SUM(M204:N204,M206:N206)=2," and ",""),"")</f>
        <v xml:space="preserve"> and </v>
      </c>
      <c r="M205" s="456"/>
      <c r="N205" s="456"/>
      <c r="O205" s="460"/>
      <c r="P205" s="460"/>
    </row>
    <row r="206" spans="1:16" ht="12.95" customHeight="1" x14ac:dyDescent="0.25">
      <c r="A206" s="359" t="str">
        <f>_xlfn.CONCAT("Loading terminals: ",CAPA!E58,CAPA!E59,CAPA!E60,CAPA!E61,CAPA!E62,CAPA!E63,CAPA!E64,CAPA!E65,CAPA!E66,CAPA!E67,CAPA!E68,CAPA!E69,CAPA!E70,CAPA!E71,".")</f>
        <v>Loading terminals: AG, CB, CT, AL, RO, BTG 2 V, .</v>
      </c>
      <c r="B206" s="360"/>
      <c r="C206" s="360"/>
      <c r="D206" s="360"/>
      <c r="E206" s="360"/>
      <c r="F206" s="634"/>
      <c r="G206" s="9" t="s">
        <v>135</v>
      </c>
      <c r="H206" s="403">
        <f>Draft!$M$47</f>
        <v>55.125</v>
      </c>
      <c r="I206" s="9" t="s">
        <v>135</v>
      </c>
      <c r="J206" s="452">
        <f>Draft!$AE$47</f>
        <v>61.4</v>
      </c>
      <c r="L206" s="456" t="str">
        <f>_xlfn.CONCAT(Draft!$AQ$35,Draft!$AQ$36," on final draft survey")</f>
        <v>sagging on final draft survey</v>
      </c>
      <c r="M206" s="469" t="str">
        <f>IF($L$206="hogging on final draft survey",1,"")</f>
        <v/>
      </c>
      <c r="N206" s="456">
        <f>IF($L$206="sagging on final draft survey",1,"")</f>
        <v>1</v>
      </c>
      <c r="O206" s="460" t="str">
        <f>IF(SUM($M$206:$N$206)=1,$L$206,"")</f>
        <v>sagging on final draft survey</v>
      </c>
      <c r="P206" s="460" t="str">
        <f>IF(O206=1,L206,"")</f>
        <v/>
      </c>
    </row>
    <row r="207" spans="1:16" ht="12.95" customHeight="1" thickBot="1" x14ac:dyDescent="0.3">
      <c r="A207" s="400" t="str">
        <f>_xlfn.CONCAT("Cargo: ",CAPA!B6)</f>
        <v>Cargo: Soybeans in bulk</v>
      </c>
      <c r="B207" s="402"/>
      <c r="C207" s="402"/>
      <c r="D207" s="402"/>
      <c r="E207" s="402"/>
      <c r="F207" s="401"/>
      <c r="G207" s="361" t="s">
        <v>141</v>
      </c>
      <c r="H207" s="404">
        <f>Draft!$J$53</f>
        <v>688.4</v>
      </c>
      <c r="I207" s="361" t="s">
        <v>141</v>
      </c>
      <c r="J207" s="453">
        <f>Draft!$AB$53</f>
        <v>923.3</v>
      </c>
      <c r="L207" s="456" t="s">
        <v>685</v>
      </c>
      <c r="M207" s="456"/>
      <c r="N207" s="456"/>
      <c r="O207" s="460"/>
      <c r="P207" s="460"/>
    </row>
    <row r="208" spans="1:16" ht="12.95" customHeight="1" thickTop="1" thickBot="1" x14ac:dyDescent="0.3">
      <c r="A208" s="751" t="str">
        <f>Relato!A230</f>
        <v>Paranaguá, Br - Brazil.  March 18th, 2026</v>
      </c>
      <c r="B208" s="752"/>
      <c r="C208" s="752"/>
      <c r="D208" s="752"/>
      <c r="E208" s="752"/>
      <c r="F208" s="753"/>
      <c r="G208" s="362" t="s">
        <v>142</v>
      </c>
      <c r="H208" s="405">
        <f>Draft!$J$54</f>
        <v>657.8</v>
      </c>
      <c r="I208" s="362" t="s">
        <v>142</v>
      </c>
      <c r="J208" s="454">
        <f>Draft!$AB$54</f>
        <v>917.4</v>
      </c>
      <c r="L208" s="456"/>
      <c r="M208" s="456"/>
      <c r="N208" s="456"/>
      <c r="O208" s="460"/>
      <c r="P208" s="460"/>
    </row>
    <row r="209" spans="1:16" ht="3.75" customHeight="1" thickBot="1" x14ac:dyDescent="0.3">
      <c r="A209" s="363"/>
      <c r="B209" s="364"/>
      <c r="C209" s="364"/>
      <c r="D209" s="364"/>
      <c r="E209" s="364"/>
      <c r="F209" s="365"/>
      <c r="G209" s="365"/>
      <c r="H209" s="365"/>
      <c r="I209" s="365"/>
      <c r="J209" s="309"/>
      <c r="L209" s="456"/>
      <c r="M209" s="456"/>
      <c r="N209" s="456"/>
      <c r="O209" s="456"/>
      <c r="P209" s="456"/>
    </row>
    <row r="210" spans="1:16" ht="12.95" customHeight="1" thickTop="1" x14ac:dyDescent="0.25">
      <c r="A210" s="366" t="str">
        <f>IF(I200=0,"",IF(I200&gt;G200,"Total cargo loaded on board as per shore scales","Total manifested cargo"))</f>
        <v>Total cargo loaded on board as per shore scales</v>
      </c>
      <c r="B210" s="367"/>
      <c r="C210" s="367"/>
      <c r="D210" s="367"/>
      <c r="E210" s="367"/>
      <c r="F210" s="367"/>
      <c r="G210" s="368"/>
      <c r="H210" s="369"/>
      <c r="I210" s="754">
        <f>Draft!$Z$78</f>
        <v>59000</v>
      </c>
      <c r="J210" s="755"/>
      <c r="L210" s="456"/>
      <c r="M210" s="456"/>
      <c r="N210" s="456"/>
      <c r="O210" s="456"/>
      <c r="P210" s="456"/>
    </row>
    <row r="211" spans="1:16" ht="12.95" customHeight="1" x14ac:dyDescent="0.25">
      <c r="A211" s="370" t="str">
        <f>A204</f>
        <v>Total cargo loaded on board as per draught survey</v>
      </c>
      <c r="B211" s="621"/>
      <c r="C211" s="621"/>
      <c r="D211" s="621"/>
      <c r="E211" s="621"/>
      <c r="F211" s="621"/>
      <c r="G211" s="622"/>
      <c r="H211" s="623"/>
      <c r="I211" s="741">
        <f>Draft!$AF$77</f>
        <v>58996.599078394887</v>
      </c>
      <c r="J211" s="742"/>
      <c r="L211" s="456"/>
      <c r="M211" s="456"/>
      <c r="N211" s="456"/>
      <c r="O211" s="456"/>
      <c r="P211" s="456"/>
    </row>
    <row r="212" spans="1:16" ht="12.95" customHeight="1" thickBot="1" x14ac:dyDescent="0.3">
      <c r="A212" s="624" t="str">
        <f>IF($G$212&gt;0,"Surplus","Shortage")</f>
        <v>Shortage</v>
      </c>
      <c r="B212" s="371"/>
      <c r="C212" s="371"/>
      <c r="D212" s="371"/>
      <c r="E212" s="371"/>
      <c r="F212" s="371"/>
      <c r="G212" s="743">
        <f>$I$211-$I$210</f>
        <v>-3.4009216051126714</v>
      </c>
      <c r="H212" s="743"/>
      <c r="I212" s="744">
        <f>($G$212/$I$210)*100</f>
        <v>-5.7642739069706291E-3</v>
      </c>
      <c r="J212" s="745"/>
      <c r="L212" s="456"/>
      <c r="M212" s="456"/>
      <c r="N212" s="456"/>
      <c r="O212" s="456"/>
      <c r="P212" s="456"/>
    </row>
    <row r="213" spans="1:16" ht="39" customHeight="1" thickTop="1" x14ac:dyDescent="0.25">
      <c r="A213" s="730" t="str">
        <f>CONCATENATE("Remarks: 1) Due to huge hull deflexion in ",$O$204,$L$205,$O$206,$L$207,Draft!$H$78,"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to236 t.</v>
      </c>
      <c r="B213" s="730"/>
      <c r="C213" s="730"/>
      <c r="D213" s="730"/>
      <c r="E213" s="730"/>
      <c r="F213" s="730"/>
      <c r="G213" s="730"/>
      <c r="H213" s="730"/>
      <c r="I213" s="730"/>
      <c r="J213" s="730"/>
      <c r="L213" s="456"/>
      <c r="M213" s="456"/>
      <c r="N213" s="456"/>
      <c r="O213" s="456"/>
      <c r="P213" s="456"/>
    </row>
    <row r="214" spans="1:16" ht="12.95" customHeight="1" x14ac:dyDescent="0.25">
      <c r="A214" s="10"/>
      <c r="B214" s="10"/>
      <c r="C214" s="10"/>
      <c r="D214" s="10"/>
      <c r="E214" s="10"/>
      <c r="F214" s="10"/>
      <c r="G214" s="10"/>
      <c r="H214" s="10"/>
      <c r="I214" s="10"/>
      <c r="L214" s="456"/>
      <c r="M214" s="456"/>
      <c r="N214" s="456"/>
      <c r="O214" s="460"/>
      <c r="P214" s="460"/>
    </row>
    <row r="215" spans="1:16" ht="12.95" customHeight="1" x14ac:dyDescent="0.25">
      <c r="A215" s="413" t="s">
        <v>137</v>
      </c>
      <c r="B215" s="413"/>
      <c r="C215" s="413"/>
      <c r="D215" s="413"/>
      <c r="E215" s="413"/>
      <c r="F215" s="414"/>
      <c r="G215" s="415" t="s">
        <v>138</v>
      </c>
      <c r="H215" s="582">
        <f>Draft!$X$82</f>
        <v>59018.563999999998</v>
      </c>
      <c r="I215" s="583">
        <f>H215-I210</f>
        <v>18.563999999998487</v>
      </c>
      <c r="J215" s="627">
        <f>IFERROR((I215/I210)*100,"")</f>
        <v>3.1464406779658449E-2</v>
      </c>
      <c r="L215" s="456"/>
      <c r="M215" s="456"/>
      <c r="N215" s="456"/>
      <c r="O215" s="460"/>
      <c r="P215" s="460"/>
    </row>
    <row r="216" spans="1:16" ht="12.95" customHeight="1" x14ac:dyDescent="0.25">
      <c r="A216" s="416" t="str">
        <f>_xlfn.CONCAT("José Antonio Machado Gomes Pereira"," / ",CAPA!A97)</f>
        <v>José Antonio Machado Gomes Pereira / Haroldo Fernandes Alves Junior</v>
      </c>
      <c r="B216" s="416"/>
      <c r="C216" s="416"/>
      <c r="D216" s="416"/>
      <c r="E216" s="416"/>
      <c r="F216" s="414"/>
      <c r="G216" s="415" t="s">
        <v>139</v>
      </c>
      <c r="H216" s="582">
        <f>Draft!$X$83</f>
        <v>59023.142</v>
      </c>
      <c r="I216" s="583">
        <f>H216-I210</f>
        <v>23.141999999999825</v>
      </c>
      <c r="J216" s="627">
        <f>IFERROR((I216/I210)*100,"")</f>
        <v>3.9223728813559025E-2</v>
      </c>
    </row>
    <row r="217" spans="1:16" ht="12.95" customHeight="1" x14ac:dyDescent="0.25">
      <c r="A217" s="416" t="s">
        <v>140</v>
      </c>
      <c r="B217" s="416"/>
      <c r="C217" s="416"/>
      <c r="D217" s="416"/>
      <c r="E217" s="416"/>
      <c r="F217" s="417"/>
      <c r="G217" s="418" t="str">
        <f>Draft!$U$84</f>
        <v>Consignees:</v>
      </c>
      <c r="H217" s="582">
        <f>Draft!$X$84</f>
        <v>59021.83</v>
      </c>
      <c r="I217" s="583">
        <f>H217-I210</f>
        <v>21.830000000001746</v>
      </c>
      <c r="J217" s="627">
        <f>IFERROR((I217/I210)*100,"")</f>
        <v>3.7000000000002961E-2</v>
      </c>
    </row>
    <row r="218" spans="1:16" ht="12.95" customHeight="1" x14ac:dyDescent="0.25">
      <c r="A218" s="10"/>
      <c r="B218" s="416"/>
      <c r="C218" s="416"/>
      <c r="D218" s="416"/>
      <c r="E218" s="416"/>
      <c r="F218" s="417"/>
      <c r="G218" s="418"/>
      <c r="H218" s="582"/>
      <c r="I218" s="583"/>
      <c r="J218" s="627"/>
    </row>
    <row r="219" spans="1:16" ht="12.95" customHeight="1" x14ac:dyDescent="0.25">
      <c r="A219" s="308"/>
      <c r="B219" s="373"/>
      <c r="C219" s="373"/>
      <c r="D219" s="373"/>
      <c r="E219" s="373"/>
      <c r="F219" s="373"/>
      <c r="G219" s="308"/>
      <c r="H219" s="308"/>
      <c r="I219" s="308"/>
      <c r="J219" s="309"/>
      <c r="L219" s="456"/>
      <c r="M219" s="456"/>
      <c r="N219" s="456"/>
      <c r="O219" s="460"/>
      <c r="P219" s="460"/>
    </row>
    <row r="220" spans="1:16" ht="12.95" customHeight="1" x14ac:dyDescent="0.25">
      <c r="A220" s="308"/>
      <c r="B220" s="373"/>
      <c r="C220" s="373"/>
      <c r="D220" s="373"/>
      <c r="E220" s="373"/>
      <c r="F220" s="373"/>
      <c r="G220" s="308"/>
      <c r="H220" s="308"/>
      <c r="I220" s="308"/>
      <c r="J220" s="309"/>
      <c r="L220" s="456"/>
      <c r="M220" s="456"/>
      <c r="N220" s="456"/>
      <c r="O220" s="460"/>
      <c r="P220" s="460"/>
    </row>
    <row r="221" spans="1:16" ht="15.75" x14ac:dyDescent="0.25">
      <c r="A221" s="3" t="s">
        <v>535</v>
      </c>
      <c r="B221" s="16"/>
      <c r="C221" s="16"/>
      <c r="D221" s="16"/>
      <c r="E221" s="16"/>
      <c r="F221" s="292" t="s">
        <v>536</v>
      </c>
      <c r="G221" s="410">
        <f>Draft!$E$4</f>
        <v>46096</v>
      </c>
      <c r="H221" s="377">
        <v>0.77430555555555558</v>
      </c>
      <c r="I221" s="378" t="s">
        <v>537</v>
      </c>
      <c r="J221" s="379">
        <f>IFERROR(ROUND(Draft!$P$29,2),"")</f>
        <v>1.89</v>
      </c>
      <c r="L221" s="456"/>
      <c r="M221" s="456"/>
      <c r="N221" s="456"/>
      <c r="O221" s="460"/>
      <c r="P221" s="460"/>
    </row>
    <row r="222" spans="1:16" x14ac:dyDescent="0.25">
      <c r="A222" s="286" t="s">
        <v>0</v>
      </c>
      <c r="B222" s="286" t="s">
        <v>1</v>
      </c>
      <c r="C222" s="286" t="s">
        <v>2</v>
      </c>
      <c r="D222" s="286" t="s">
        <v>1</v>
      </c>
      <c r="E222" s="735" t="s">
        <v>563</v>
      </c>
      <c r="F222" s="735"/>
      <c r="G222" s="286" t="s">
        <v>3</v>
      </c>
      <c r="H222" s="286" t="s">
        <v>1</v>
      </c>
      <c r="I222" s="286" t="s">
        <v>1</v>
      </c>
      <c r="J222" s="286" t="s">
        <v>4</v>
      </c>
      <c r="L222" s="456"/>
      <c r="M222" s="456"/>
      <c r="N222" s="456"/>
      <c r="O222" s="460"/>
      <c r="P222" s="460"/>
    </row>
    <row r="223" spans="1:16" x14ac:dyDescent="0.25">
      <c r="A223" s="287" t="s">
        <v>705</v>
      </c>
      <c r="B223" s="287" t="s">
        <v>5</v>
      </c>
      <c r="C223" s="287" t="s">
        <v>6</v>
      </c>
      <c r="D223" s="287" t="s">
        <v>7</v>
      </c>
      <c r="E223" s="288" t="s">
        <v>8</v>
      </c>
      <c r="F223" s="288" t="s">
        <v>9</v>
      </c>
      <c r="G223" s="287" t="s">
        <v>7</v>
      </c>
      <c r="H223" s="287" t="s">
        <v>534</v>
      </c>
      <c r="I223" s="287" t="s">
        <v>10</v>
      </c>
      <c r="J223" s="287" t="s">
        <v>11</v>
      </c>
      <c r="L223" s="456"/>
      <c r="M223" s="456"/>
      <c r="N223" s="456"/>
      <c r="O223" s="456"/>
      <c r="P223" s="456"/>
    </row>
    <row r="224" spans="1:16" x14ac:dyDescent="0.25">
      <c r="A224" s="376" t="str">
        <f>Relato!$A$247</f>
        <v>F.PK</v>
      </c>
      <c r="B224" s="525">
        <f>Relato!$B$247</f>
        <v>22.92</v>
      </c>
      <c r="C224" s="525">
        <f>Relato!$C$247</f>
        <v>0.35</v>
      </c>
      <c r="D224" s="525">
        <f>Relato!$D$247</f>
        <v>19.57</v>
      </c>
      <c r="E224" s="525">
        <f>Relato!$E$247</f>
        <v>-4.4580000000000002E-2</v>
      </c>
      <c r="F224" s="525">
        <f>Relato!$F$247</f>
        <v>0</v>
      </c>
      <c r="G224" s="578">
        <f>IFERROR(D224+(E224+F224),D224)</f>
        <v>19.52542</v>
      </c>
      <c r="H224" s="525">
        <f>Relato!$H$247</f>
        <v>2576.7800000000002</v>
      </c>
      <c r="I224" s="526">
        <f>Relato!$I$247</f>
        <v>1.0209999999999999</v>
      </c>
      <c r="J224" s="527">
        <f>ROUND(H224*I224,1)</f>
        <v>2630.9</v>
      </c>
      <c r="L224" s="456"/>
      <c r="M224" s="456"/>
      <c r="N224" s="456"/>
      <c r="O224" s="456"/>
      <c r="P224" s="456"/>
    </row>
    <row r="225" spans="1:16" x14ac:dyDescent="0.25">
      <c r="A225" s="374" t="str">
        <f>Relato!$A$248</f>
        <v>1 WBT (P)</v>
      </c>
      <c r="B225" s="1">
        <f>Relato!$B$248</f>
        <v>19.84</v>
      </c>
      <c r="C225" s="1">
        <f>Relato!$C$248</f>
        <v>0.36</v>
      </c>
      <c r="D225" s="1">
        <f>Relato!$D$248</f>
        <v>16.25</v>
      </c>
      <c r="E225" s="1">
        <f>Relato!$E$248</f>
        <v>-9.4719999999999999E-2</v>
      </c>
      <c r="F225" s="1">
        <f>Relato!$F$248</f>
        <v>-1.2E-2</v>
      </c>
      <c r="G225" s="676">
        <f>IFERROR(D225+(E225+F225),D225)</f>
        <v>16.143280000000001</v>
      </c>
      <c r="H225" s="1">
        <f>Relato!$H$248</f>
        <v>1021.16</v>
      </c>
      <c r="I225" s="529">
        <f>Relato!$I$248</f>
        <v>1.0229999999999999</v>
      </c>
      <c r="J225" s="528">
        <f>IFERROR(ROUND(H225*I225,1),"")</f>
        <v>1044.5999999999999</v>
      </c>
      <c r="L225" s="456"/>
      <c r="M225" s="456"/>
      <c r="N225" s="456"/>
      <c r="O225" s="456"/>
      <c r="P225" s="456"/>
    </row>
    <row r="226" spans="1:16" x14ac:dyDescent="0.25">
      <c r="A226" s="374" t="str">
        <f>Relato!$A$249</f>
        <v>1 WBT (S)</v>
      </c>
      <c r="B226" s="1">
        <f>Relato!$B$249</f>
        <v>19.82</v>
      </c>
      <c r="C226" s="1">
        <f>Relato!$C$249</f>
        <v>0.35</v>
      </c>
      <c r="D226" s="1">
        <f>Relato!$D$249</f>
        <v>15.89</v>
      </c>
      <c r="E226" s="1">
        <f>Relato!$E$249</f>
        <v>-8.516E-2</v>
      </c>
      <c r="F226" s="1">
        <f>Relato!$F$249</f>
        <v>1.72E-2</v>
      </c>
      <c r="G226" s="676">
        <f t="shared" ref="G226:G236" si="0">IFERROR(D226+(E226+F226),D226)</f>
        <v>15.822040000000001</v>
      </c>
      <c r="H226" s="1">
        <f>Relato!$H$249</f>
        <v>1007.49</v>
      </c>
      <c r="I226" s="529">
        <f>Relato!$I$249</f>
        <v>1.0229999999999999</v>
      </c>
      <c r="J226" s="528">
        <f t="shared" ref="J226:J237" si="1">IFERROR(ROUND(H226*I226,1),"")</f>
        <v>1030.7</v>
      </c>
      <c r="L226" s="456"/>
      <c r="M226" s="456"/>
      <c r="N226" s="456"/>
      <c r="O226" s="456"/>
      <c r="P226" s="456"/>
    </row>
    <row r="227" spans="1:16" x14ac:dyDescent="0.25">
      <c r="A227" s="374" t="str">
        <f>Relato!$A$250</f>
        <v>2 WBT (P)</v>
      </c>
      <c r="B227" s="1">
        <f>Relato!$B$250</f>
        <v>19.79</v>
      </c>
      <c r="C227" s="1">
        <f>Relato!$C$250</f>
        <v>0.36</v>
      </c>
      <c r="D227" s="1">
        <f>Relato!$D$250</f>
        <v>19.38</v>
      </c>
      <c r="E227" s="1">
        <f>Relato!$E$250</f>
        <v>-0.15984999999999999</v>
      </c>
      <c r="F227" s="1">
        <f>Relato!$F$250</f>
        <v>-1.2E-2</v>
      </c>
      <c r="G227" s="676">
        <f t="shared" si="0"/>
        <v>19.20815</v>
      </c>
      <c r="H227" s="1">
        <f>Relato!$H$250</f>
        <v>1700.56</v>
      </c>
      <c r="I227" s="529">
        <f>Relato!$I$250</f>
        <v>1.0245</v>
      </c>
      <c r="J227" s="528">
        <f t="shared" si="1"/>
        <v>1742.2</v>
      </c>
      <c r="L227" s="456"/>
      <c r="M227" s="456"/>
      <c r="N227" s="456"/>
      <c r="O227" s="456"/>
      <c r="P227" s="456"/>
    </row>
    <row r="228" spans="1:16" x14ac:dyDescent="0.25">
      <c r="A228" s="374" t="str">
        <f>Relato!$A$251</f>
        <v>2 WBT (S)</v>
      </c>
      <c r="B228" s="1">
        <f>Relato!$B$251</f>
        <v>19.78</v>
      </c>
      <c r="C228" s="1">
        <f>Relato!$C$251</f>
        <v>0.35</v>
      </c>
      <c r="D228" s="1">
        <f>Relato!$D$251</f>
        <v>19.239999999999998</v>
      </c>
      <c r="E228" s="1">
        <f>Relato!$E$251</f>
        <v>-0.15759000000000001</v>
      </c>
      <c r="F228" s="1">
        <f>Relato!$F$251</f>
        <v>-1.6800000000000001E-3</v>
      </c>
      <c r="G228" s="676">
        <f t="shared" si="0"/>
        <v>19.080729999999999</v>
      </c>
      <c r="H228" s="1">
        <f>Relato!$H$251</f>
        <v>1668.73</v>
      </c>
      <c r="I228" s="529">
        <f>Relato!$I$251</f>
        <v>1.0245</v>
      </c>
      <c r="J228" s="528">
        <f t="shared" si="1"/>
        <v>1709.6</v>
      </c>
      <c r="L228" s="456"/>
      <c r="M228" s="456"/>
      <c r="N228" s="456"/>
      <c r="O228" s="456"/>
      <c r="P228" s="456"/>
    </row>
    <row r="229" spans="1:16" x14ac:dyDescent="0.25">
      <c r="A229" s="374" t="str">
        <f>Relato!$A$252</f>
        <v>3 WBT (P)</v>
      </c>
      <c r="B229" s="1">
        <f>Relato!$B$252</f>
        <v>19.809999999999999</v>
      </c>
      <c r="C229" s="1">
        <f>Relato!C252</f>
        <v>0.34</v>
      </c>
      <c r="D229" s="1">
        <f>Relato!$D$252</f>
        <v>19.41</v>
      </c>
      <c r="E229" s="1">
        <f>Relato!$E$252</f>
        <v>-0.14641999999999999</v>
      </c>
      <c r="F229" s="1">
        <f>Relato!$F$252</f>
        <v>-1.2999999999999999E-2</v>
      </c>
      <c r="G229" s="676">
        <f t="shared" si="0"/>
        <v>19.250579999999999</v>
      </c>
      <c r="H229" s="1">
        <f>Relato!$H$252</f>
        <v>1361.5</v>
      </c>
      <c r="I229" s="529">
        <f>Relato!$I$252</f>
        <v>1.0245</v>
      </c>
      <c r="J229" s="528">
        <f t="shared" si="1"/>
        <v>1394.9</v>
      </c>
      <c r="L229" s="456"/>
      <c r="M229" s="456"/>
      <c r="N229" s="456"/>
      <c r="O229" s="456"/>
      <c r="P229" s="456"/>
    </row>
    <row r="230" spans="1:16" x14ac:dyDescent="0.25">
      <c r="A230" s="374" t="str">
        <f>Relato!$A$253</f>
        <v>3 WBT (S)</v>
      </c>
      <c r="B230" s="1">
        <f>Relato!$B$253</f>
        <v>19.809999999999999</v>
      </c>
      <c r="C230" s="1">
        <f>Relato!$C$253</f>
        <v>0.33</v>
      </c>
      <c r="D230" s="1">
        <f>Relato!$D$253</f>
        <v>19.28</v>
      </c>
      <c r="E230" s="1">
        <f>Relato!$E$253</f>
        <v>-0.17729</v>
      </c>
      <c r="F230" s="1">
        <f>Relato!$F$253</f>
        <v>1.6559999999999998E-2</v>
      </c>
      <c r="G230" s="676">
        <f t="shared" si="0"/>
        <v>19.11927</v>
      </c>
      <c r="H230" s="1">
        <f>Relato!$H$253</f>
        <v>1350.47</v>
      </c>
      <c r="I230" s="529">
        <f>Relato!$I$253</f>
        <v>1.0245</v>
      </c>
      <c r="J230" s="528">
        <f t="shared" si="1"/>
        <v>1383.6</v>
      </c>
      <c r="L230" s="456"/>
      <c r="M230" s="456"/>
      <c r="N230" s="456"/>
      <c r="O230" s="456"/>
      <c r="P230" s="456"/>
    </row>
    <row r="231" spans="1:16" x14ac:dyDescent="0.25">
      <c r="A231" s="374" t="str">
        <f>Relato!$A$254</f>
        <v>4 WBT (P)</v>
      </c>
      <c r="B231" s="1">
        <f>Relato!$B$254</f>
        <v>19.809999999999999</v>
      </c>
      <c r="C231" s="1">
        <f>Relato!$C$254</f>
        <v>0.34</v>
      </c>
      <c r="D231" s="1">
        <f>Relato!$D$254</f>
        <v>19.54</v>
      </c>
      <c r="E231" s="1">
        <f>Relato!$E$254</f>
        <v>-0.13883999999999999</v>
      </c>
      <c r="F231" s="1">
        <f>Relato!$F$254</f>
        <v>-3.9600000000000003E-2</v>
      </c>
      <c r="G231" s="676">
        <f t="shared" si="0"/>
        <v>19.361560000000001</v>
      </c>
      <c r="H231" s="1">
        <f>Relato!$H$254</f>
        <v>1358.71</v>
      </c>
      <c r="I231" s="529">
        <f>Relato!$I$254</f>
        <v>1.0245</v>
      </c>
      <c r="J231" s="528">
        <f t="shared" si="1"/>
        <v>1392</v>
      </c>
      <c r="L231" s="456"/>
      <c r="M231" s="456"/>
      <c r="N231" s="456"/>
      <c r="O231" s="456"/>
      <c r="P231" s="456"/>
    </row>
    <row r="232" spans="1:16" x14ac:dyDescent="0.25">
      <c r="A232" s="374" t="str">
        <f>Relato!$A$255</f>
        <v>4 WBT (S)</v>
      </c>
      <c r="B232" s="1">
        <f>Relato!$B$255</f>
        <v>19.8</v>
      </c>
      <c r="C232" s="1">
        <f>Relato!$C$255</f>
        <v>0.35</v>
      </c>
      <c r="D232" s="1">
        <f>Relato!$D$255</f>
        <v>19.239999999999998</v>
      </c>
      <c r="E232" s="1">
        <f>Relato!$E$255</f>
        <v>-0.17599999999999999</v>
      </c>
      <c r="F232" s="1">
        <f>Relato!$F$255</f>
        <v>6.8399999999999997E-3</v>
      </c>
      <c r="G232" s="676">
        <f t="shared" si="0"/>
        <v>19.070839999999997</v>
      </c>
      <c r="H232" s="1">
        <f>Relato!$H$255</f>
        <v>1345.69</v>
      </c>
      <c r="I232" s="529">
        <f>Relato!$I$255</f>
        <v>1.0245</v>
      </c>
      <c r="J232" s="528">
        <f t="shared" si="1"/>
        <v>1378.7</v>
      </c>
      <c r="L232" s="456"/>
      <c r="M232" s="456"/>
      <c r="N232" s="456"/>
      <c r="O232" s="456"/>
      <c r="P232" s="456"/>
    </row>
    <row r="233" spans="1:16" x14ac:dyDescent="0.25">
      <c r="A233" s="374" t="str">
        <f>Relato!$A$256</f>
        <v>5 WBT (P)</v>
      </c>
      <c r="B233" s="1">
        <f>Relato!$B$256</f>
        <v>20.73</v>
      </c>
      <c r="C233" s="1">
        <f>Relato!$C$256</f>
        <v>1.01</v>
      </c>
      <c r="D233" s="1">
        <f>Relato!$D$256</f>
        <v>8.9499999999999993</v>
      </c>
      <c r="E233" s="1">
        <f>Relato!$E$256</f>
        <v>-2.4459999999999999E-2</v>
      </c>
      <c r="F233" s="1">
        <f>Relato!$F$256</f>
        <v>-2.9520000000000001E-2</v>
      </c>
      <c r="G233" s="676">
        <f t="shared" si="0"/>
        <v>8.89602</v>
      </c>
      <c r="H233" s="1">
        <f>Relato!$H$256</f>
        <v>1005.43</v>
      </c>
      <c r="I233" s="529">
        <f>Relato!$I$256</f>
        <v>1.0229999999999999</v>
      </c>
      <c r="J233" s="528">
        <f t="shared" si="1"/>
        <v>1028.5999999999999</v>
      </c>
      <c r="L233" s="456"/>
      <c r="M233" s="456"/>
      <c r="N233" s="456"/>
      <c r="O233" s="456"/>
      <c r="P233" s="456"/>
    </row>
    <row r="234" spans="1:16" x14ac:dyDescent="0.25">
      <c r="A234" s="374" t="str">
        <f>Relato!$A$257</f>
        <v>5 WBT (S)</v>
      </c>
      <c r="B234" s="1">
        <f>Relato!$B$257</f>
        <v>20.79</v>
      </c>
      <c r="C234" s="1">
        <f>Relato!$C$257</f>
        <v>1.04</v>
      </c>
      <c r="D234" s="1">
        <f>Relato!$D$257</f>
        <v>13.8</v>
      </c>
      <c r="E234" s="1">
        <f>Relato!$E$257</f>
        <v>0</v>
      </c>
      <c r="F234" s="1">
        <f>Relato!$F$257</f>
        <v>0</v>
      </c>
      <c r="G234" s="676">
        <f t="shared" si="0"/>
        <v>13.8</v>
      </c>
      <c r="H234" s="1">
        <f>Relato!$H$257</f>
        <v>1010.28</v>
      </c>
      <c r="I234" s="529">
        <f>Relato!$I$257</f>
        <v>1.022</v>
      </c>
      <c r="J234" s="528">
        <f t="shared" si="1"/>
        <v>1032.5</v>
      </c>
      <c r="L234" s="456"/>
      <c r="M234" s="456"/>
      <c r="N234" s="456"/>
      <c r="O234" s="456"/>
      <c r="P234" s="456"/>
    </row>
    <row r="235" spans="1:16" x14ac:dyDescent="0.25">
      <c r="A235" s="374" t="str">
        <f>Relato!$A$258</f>
        <v>GWT (P)</v>
      </c>
      <c r="B235" s="1">
        <f>Relato!$B$258</f>
        <v>4.93</v>
      </c>
      <c r="C235" s="1">
        <f>Relato!$C$258</f>
        <v>0.35</v>
      </c>
      <c r="D235" s="1">
        <f>Relato!$D$258</f>
        <v>0.42</v>
      </c>
      <c r="E235" s="1">
        <f>Relato!$E$258</f>
        <v>-0.14942</v>
      </c>
      <c r="F235" s="1">
        <f>Relato!$F$258</f>
        <v>0</v>
      </c>
      <c r="G235" s="676">
        <f t="shared" si="0"/>
        <v>0.27057999999999999</v>
      </c>
      <c r="H235" s="1">
        <f>Relato!$H$258</f>
        <v>4.78</v>
      </c>
      <c r="I235" s="529">
        <f>Relato!$I$258</f>
        <v>1</v>
      </c>
      <c r="J235" s="528">
        <f t="shared" si="1"/>
        <v>4.8</v>
      </c>
      <c r="L235" s="456"/>
      <c r="M235" s="456"/>
      <c r="N235" s="456"/>
      <c r="O235" s="456"/>
      <c r="P235" s="456"/>
    </row>
    <row r="236" spans="1:16" x14ac:dyDescent="0.25">
      <c r="A236" s="374" t="str">
        <f>Relato!$A$259</f>
        <v>GWT (S)</v>
      </c>
      <c r="B236" s="1">
        <f>Relato!$B$259</f>
        <v>4.95</v>
      </c>
      <c r="C236" s="1">
        <f>Relato!$C$259</f>
        <v>0.35</v>
      </c>
      <c r="D236" s="1">
        <f>Relato!$D$259</f>
        <v>1.66</v>
      </c>
      <c r="E236" s="1">
        <f>Relato!$E$259</f>
        <v>-0.1416</v>
      </c>
      <c r="F236" s="1">
        <f>Relato!$F$259</f>
        <v>0</v>
      </c>
      <c r="G236" s="676">
        <f t="shared" si="0"/>
        <v>1.5184</v>
      </c>
      <c r="H236" s="1">
        <f>Relato!$H$259</f>
        <v>62.72</v>
      </c>
      <c r="I236" s="529">
        <f>Relato!$I$259</f>
        <v>1</v>
      </c>
      <c r="J236" s="528">
        <f t="shared" si="1"/>
        <v>62.7</v>
      </c>
      <c r="L236" s="456"/>
      <c r="M236" s="456"/>
      <c r="N236" s="456"/>
      <c r="O236" s="456"/>
      <c r="P236" s="456"/>
    </row>
    <row r="237" spans="1:16" x14ac:dyDescent="0.25">
      <c r="A237" s="375" t="str">
        <f>Relato!$A$260</f>
        <v>A.PK</v>
      </c>
      <c r="B237" s="1">
        <f>Relato!$B$260</f>
        <v>12.85</v>
      </c>
      <c r="C237" s="2">
        <f>Relato!$C$260</f>
        <v>0.35</v>
      </c>
      <c r="D237" s="2">
        <f>Relato!$D$260</f>
        <v>7.02</v>
      </c>
      <c r="E237" s="2">
        <f>Relato!$E$260</f>
        <v>3.7900000000000003E-2</v>
      </c>
      <c r="F237" s="2">
        <f>Relato!$F$260</f>
        <v>0</v>
      </c>
      <c r="G237" s="579">
        <f>IFERROR(D237+(E237+F237),D237)</f>
        <v>7.0578999999999992</v>
      </c>
      <c r="H237" s="2">
        <f>Relato!$H$260</f>
        <v>813.42</v>
      </c>
      <c r="I237" s="530">
        <f>Relato!$I$260</f>
        <v>1.0189999999999999</v>
      </c>
      <c r="J237" s="531">
        <f t="shared" si="1"/>
        <v>828.9</v>
      </c>
      <c r="L237" s="456"/>
      <c r="M237" s="456"/>
      <c r="N237" s="456"/>
      <c r="O237" s="456"/>
      <c r="P237" s="456"/>
    </row>
    <row r="238" spans="1:16" x14ac:dyDescent="0.25">
      <c r="A238" s="289" t="s">
        <v>14</v>
      </c>
      <c r="B238" s="290"/>
      <c r="C238" s="290"/>
      <c r="D238" s="290"/>
      <c r="E238" s="290"/>
      <c r="F238" s="290"/>
      <c r="G238" s="291"/>
      <c r="H238" s="532">
        <f>SUM($H$224:$H$237)</f>
        <v>16287.72</v>
      </c>
      <c r="I238" s="533"/>
      <c r="J238" s="532">
        <f>SUM($J$224:$J$237)</f>
        <v>16664.7</v>
      </c>
      <c r="L238" s="456"/>
      <c r="M238" s="456"/>
      <c r="N238" s="456"/>
      <c r="O238" s="456"/>
      <c r="P238" s="456"/>
    </row>
    <row r="239" spans="1:16" x14ac:dyDescent="0.25">
      <c r="L239" s="456"/>
      <c r="M239" s="456"/>
      <c r="N239" s="456"/>
      <c r="O239" s="456"/>
      <c r="P239" s="456"/>
    </row>
    <row r="240" spans="1:16" x14ac:dyDescent="0.25">
      <c r="L240" s="456"/>
      <c r="M240" s="456"/>
      <c r="N240" s="456"/>
      <c r="O240" s="456"/>
      <c r="P240" s="456"/>
    </row>
    <row r="241" spans="1:16" ht="15.75" x14ac:dyDescent="0.25">
      <c r="A241" s="3" t="str">
        <f>Relato!A264</f>
        <v>11) FINAL BALLAST CONDITION:</v>
      </c>
      <c r="F241" s="292" t="s">
        <v>536</v>
      </c>
      <c r="G241" s="410">
        <f>Draft!$X$4</f>
        <v>46099</v>
      </c>
      <c r="H241" s="377">
        <v>0.34375</v>
      </c>
      <c r="I241" s="378" t="s">
        <v>537</v>
      </c>
      <c r="J241" s="379">
        <f>IFERROR(ROUND(Draft!$AH$29,2),"")</f>
        <v>0.17</v>
      </c>
      <c r="L241" s="456"/>
      <c r="M241" s="456"/>
      <c r="N241" s="456"/>
      <c r="O241" s="456"/>
      <c r="P241" s="456"/>
    </row>
    <row r="242" spans="1:16" x14ac:dyDescent="0.25">
      <c r="A242" s="286" t="str">
        <f>Relato!A265</f>
        <v>Vessel's</v>
      </c>
      <c r="B242" s="286" t="s">
        <v>1</v>
      </c>
      <c r="C242" s="286" t="s">
        <v>2</v>
      </c>
      <c r="D242" s="286" t="s">
        <v>1</v>
      </c>
      <c r="E242" s="735" t="s">
        <v>563</v>
      </c>
      <c r="F242" s="735"/>
      <c r="G242" s="286" t="s">
        <v>3</v>
      </c>
      <c r="H242" s="286" t="s">
        <v>1</v>
      </c>
      <c r="I242" s="286" t="s">
        <v>1</v>
      </c>
      <c r="J242" s="286" t="s">
        <v>4</v>
      </c>
      <c r="L242" s="456"/>
      <c r="M242" s="456"/>
      <c r="N242" s="456"/>
      <c r="O242" s="456"/>
      <c r="P242" s="456"/>
    </row>
    <row r="243" spans="1:16" x14ac:dyDescent="0.25">
      <c r="A243" s="287" t="str">
        <f>Relato!A266</f>
        <v>Tank No.</v>
      </c>
      <c r="B243" s="287" t="s">
        <v>5</v>
      </c>
      <c r="C243" s="287" t="s">
        <v>6</v>
      </c>
      <c r="D243" s="287" t="s">
        <v>7</v>
      </c>
      <c r="E243" s="288" t="s">
        <v>8</v>
      </c>
      <c r="F243" s="288" t="s">
        <v>9</v>
      </c>
      <c r="G243" s="287" t="s">
        <v>7</v>
      </c>
      <c r="H243" s="287" t="s">
        <v>534</v>
      </c>
      <c r="I243" s="287" t="s">
        <v>10</v>
      </c>
      <c r="J243" s="287" t="s">
        <v>11</v>
      </c>
      <c r="L243" s="456"/>
      <c r="M243" s="456"/>
      <c r="N243" s="456"/>
      <c r="O243" s="456"/>
      <c r="P243" s="456"/>
    </row>
    <row r="244" spans="1:16" x14ac:dyDescent="0.25">
      <c r="A244" s="376" t="str">
        <f>Relato!A267</f>
        <v>F.PK</v>
      </c>
      <c r="B244" s="525">
        <f t="shared" ref="B244:C257" si="2">B224</f>
        <v>22.92</v>
      </c>
      <c r="C244" s="525">
        <f t="shared" si="2"/>
        <v>0.35</v>
      </c>
      <c r="D244" s="525">
        <f>Relato!$D$267</f>
        <v>0.04</v>
      </c>
      <c r="E244" s="725" t="s">
        <v>784</v>
      </c>
      <c r="F244" s="525">
        <f>Relato!$F$267</f>
        <v>0</v>
      </c>
      <c r="G244" s="578">
        <f>IFERROR(D244+(E244+F244),D244)</f>
        <v>0.04</v>
      </c>
      <c r="H244" s="525">
        <f>Relato!$H$267</f>
        <v>1.756</v>
      </c>
      <c r="I244" s="526">
        <f>Relato!I267</f>
        <v>1.0209999999999999</v>
      </c>
      <c r="J244" s="527">
        <f>ROUND(H244*I244,1)</f>
        <v>1.8</v>
      </c>
      <c r="L244" s="456"/>
      <c r="M244" s="456"/>
      <c r="N244" s="456"/>
      <c r="O244" s="456"/>
      <c r="P244" s="456"/>
    </row>
    <row r="245" spans="1:16" x14ac:dyDescent="0.25">
      <c r="A245" s="374" t="str">
        <f>Relato!A268</f>
        <v>1 WBT (P)</v>
      </c>
      <c r="B245" s="1">
        <f t="shared" si="2"/>
        <v>19.84</v>
      </c>
      <c r="C245" s="1">
        <f t="shared" si="2"/>
        <v>0.36</v>
      </c>
      <c r="D245" s="1">
        <f>Relato!$D$268</f>
        <v>0</v>
      </c>
      <c r="E245" s="756"/>
      <c r="F245" s="1">
        <f>Relato!$F$268</f>
        <v>0</v>
      </c>
      <c r="G245" s="676">
        <f>IFERROR(D245+(E245+F245),D245)</f>
        <v>0</v>
      </c>
      <c r="H245" s="1">
        <f>Relato!$H$268</f>
        <v>4.9497999999999998</v>
      </c>
      <c r="I245" s="529">
        <f>Relato!I268</f>
        <v>1.0229999999999999</v>
      </c>
      <c r="J245" s="528">
        <f>IFERROR(ROUND(H245*I245,1),"")</f>
        <v>5.0999999999999996</v>
      </c>
      <c r="L245" s="456"/>
      <c r="M245" s="456"/>
      <c r="N245" s="456"/>
      <c r="O245" s="456"/>
      <c r="P245" s="456"/>
    </row>
    <row r="246" spans="1:16" x14ac:dyDescent="0.25">
      <c r="A246" s="374" t="str">
        <f>Relato!A269</f>
        <v>1 WBT (S)</v>
      </c>
      <c r="B246" s="1">
        <f t="shared" si="2"/>
        <v>19.82</v>
      </c>
      <c r="C246" s="1">
        <f t="shared" si="2"/>
        <v>0.35</v>
      </c>
      <c r="D246" s="1">
        <f>Relato!$D$269</f>
        <v>0.01</v>
      </c>
      <c r="E246" s="756"/>
      <c r="F246" s="1">
        <f>Relato!$F$269</f>
        <v>0</v>
      </c>
      <c r="G246" s="676">
        <f t="shared" ref="G246:G256" si="3">IFERROR(D246+(E246+F246),D246)</f>
        <v>0.01</v>
      </c>
      <c r="H246" s="1">
        <f>Relato!$H$269</f>
        <v>7.7965</v>
      </c>
      <c r="I246" s="529">
        <f>Relato!I269</f>
        <v>1.0229999999999999</v>
      </c>
      <c r="J246" s="528">
        <f t="shared" ref="J246:J257" si="4">IFERROR(ROUND(H246*I246,1),"")</f>
        <v>8</v>
      </c>
      <c r="L246" s="456"/>
      <c r="M246" s="456"/>
      <c r="N246" s="456"/>
      <c r="O246" s="456"/>
      <c r="P246" s="456"/>
    </row>
    <row r="247" spans="1:16" x14ac:dyDescent="0.25">
      <c r="A247" s="374" t="str">
        <f>Relato!A270</f>
        <v>2 WBT (P)</v>
      </c>
      <c r="B247" s="1">
        <f t="shared" si="2"/>
        <v>19.79</v>
      </c>
      <c r="C247" s="1">
        <f t="shared" si="2"/>
        <v>0.36</v>
      </c>
      <c r="D247" s="1">
        <f>Relato!$D$270</f>
        <v>0.01</v>
      </c>
      <c r="E247" s="756"/>
      <c r="F247" s="1">
        <f>Relato!$F$270</f>
        <v>0</v>
      </c>
      <c r="G247" s="676">
        <f t="shared" si="3"/>
        <v>0.01</v>
      </c>
      <c r="H247" s="1">
        <f>Relato!$H$270</f>
        <v>10.083</v>
      </c>
      <c r="I247" s="529">
        <f>Relato!I270</f>
        <v>1.0245</v>
      </c>
      <c r="J247" s="528">
        <f t="shared" si="4"/>
        <v>10.3</v>
      </c>
      <c r="L247" s="456"/>
      <c r="M247" s="456"/>
      <c r="N247" s="456"/>
      <c r="O247" s="456"/>
      <c r="P247" s="456"/>
    </row>
    <row r="248" spans="1:16" x14ac:dyDescent="0.25">
      <c r="A248" s="374" t="str">
        <f t="shared" ref="A248:A257" si="5">A228</f>
        <v>2 WBT (S)</v>
      </c>
      <c r="B248" s="1">
        <f t="shared" si="2"/>
        <v>19.78</v>
      </c>
      <c r="C248" s="1">
        <f t="shared" si="2"/>
        <v>0.35</v>
      </c>
      <c r="D248" s="1">
        <f>Relato!$D$271</f>
        <v>0</v>
      </c>
      <c r="E248" s="756"/>
      <c r="F248" s="1">
        <f>Relato!$F$271</f>
        <v>0</v>
      </c>
      <c r="G248" s="676">
        <f t="shared" si="3"/>
        <v>0</v>
      </c>
      <c r="H248" s="1">
        <f>Relato!$H$271</f>
        <v>6.1262999999999996</v>
      </c>
      <c r="I248" s="529">
        <f>Relato!I271</f>
        <v>1.0245</v>
      </c>
      <c r="J248" s="528">
        <f t="shared" si="4"/>
        <v>6.3</v>
      </c>
      <c r="L248" s="456"/>
      <c r="M248" s="456"/>
      <c r="N248" s="456"/>
      <c r="O248" s="456"/>
      <c r="P248" s="456"/>
    </row>
    <row r="249" spans="1:16" x14ac:dyDescent="0.25">
      <c r="A249" s="374" t="str">
        <f t="shared" si="5"/>
        <v>3 WBT (P)</v>
      </c>
      <c r="B249" s="1">
        <f t="shared" si="2"/>
        <v>19.809999999999999</v>
      </c>
      <c r="C249" s="1">
        <f t="shared" si="2"/>
        <v>0.34</v>
      </c>
      <c r="D249" s="1">
        <f>Relato!$D$272</f>
        <v>0</v>
      </c>
      <c r="E249" s="756"/>
      <c r="F249" s="1">
        <f>Relato!$F$272</f>
        <v>0</v>
      </c>
      <c r="G249" s="676">
        <f t="shared" si="3"/>
        <v>0</v>
      </c>
      <c r="H249" s="1">
        <f>Relato!$H$272</f>
        <v>8.5027000000000008</v>
      </c>
      <c r="I249" s="529">
        <f>Relato!I272</f>
        <v>1.0245</v>
      </c>
      <c r="J249" s="528">
        <f t="shared" si="4"/>
        <v>8.6999999999999993</v>
      </c>
      <c r="L249" s="456"/>
      <c r="M249" s="456"/>
      <c r="N249" s="456"/>
      <c r="O249" s="456"/>
      <c r="P249" s="456"/>
    </row>
    <row r="250" spans="1:16" x14ac:dyDescent="0.25">
      <c r="A250" s="374" t="str">
        <f t="shared" si="5"/>
        <v>3 WBT (S)</v>
      </c>
      <c r="B250" s="1">
        <f t="shared" si="2"/>
        <v>19.809999999999999</v>
      </c>
      <c r="C250" s="1">
        <f t="shared" si="2"/>
        <v>0.33</v>
      </c>
      <c r="D250" s="1">
        <f>Relato!$D$273</f>
        <v>0.02</v>
      </c>
      <c r="E250" s="756"/>
      <c r="F250" s="1">
        <f>Relato!$F$273</f>
        <v>0</v>
      </c>
      <c r="G250" s="676">
        <f t="shared" si="3"/>
        <v>0.02</v>
      </c>
      <c r="H250" s="1">
        <f>Relato!$H$273</f>
        <v>15.6602</v>
      </c>
      <c r="I250" s="529">
        <f>Relato!I273</f>
        <v>1.0245</v>
      </c>
      <c r="J250" s="528">
        <f t="shared" si="4"/>
        <v>16</v>
      </c>
      <c r="L250" s="456"/>
      <c r="M250" s="456"/>
      <c r="N250" s="456"/>
      <c r="O250" s="456"/>
      <c r="P250" s="456"/>
    </row>
    <row r="251" spans="1:16" x14ac:dyDescent="0.25">
      <c r="A251" s="374" t="str">
        <f t="shared" si="5"/>
        <v>4 WBT (P)</v>
      </c>
      <c r="B251" s="1">
        <f t="shared" si="2"/>
        <v>19.809999999999999</v>
      </c>
      <c r="C251" s="1">
        <f t="shared" si="2"/>
        <v>0.34</v>
      </c>
      <c r="D251" s="1">
        <f>Relato!$D$274</f>
        <v>0</v>
      </c>
      <c r="E251" s="756"/>
      <c r="F251" s="1">
        <f>Relato!$F$274</f>
        <v>0</v>
      </c>
      <c r="G251" s="676">
        <f t="shared" si="3"/>
        <v>0</v>
      </c>
      <c r="H251" s="1">
        <f>Relato!$H$274</f>
        <v>9.5381</v>
      </c>
      <c r="I251" s="529">
        <f>Relato!I274</f>
        <v>1.0245</v>
      </c>
      <c r="J251" s="528">
        <f t="shared" si="4"/>
        <v>9.8000000000000007</v>
      </c>
      <c r="L251" s="456"/>
      <c r="M251" s="456"/>
      <c r="N251" s="456"/>
      <c r="O251" s="456"/>
      <c r="P251" s="456"/>
    </row>
    <row r="252" spans="1:16" x14ac:dyDescent="0.25">
      <c r="A252" s="374" t="str">
        <f t="shared" si="5"/>
        <v>4 WBT (S)</v>
      </c>
      <c r="B252" s="1">
        <f t="shared" si="2"/>
        <v>19.8</v>
      </c>
      <c r="C252" s="1">
        <f t="shared" si="2"/>
        <v>0.35</v>
      </c>
      <c r="D252" s="1">
        <f>Relato!$D$275</f>
        <v>0</v>
      </c>
      <c r="E252" s="756"/>
      <c r="F252" s="1">
        <f>Relato!$F$275</f>
        <v>0</v>
      </c>
      <c r="G252" s="676">
        <f t="shared" si="3"/>
        <v>0</v>
      </c>
      <c r="H252" s="1">
        <f>Relato!$H$275</f>
        <v>9.5381</v>
      </c>
      <c r="I252" s="529">
        <f>Relato!I275</f>
        <v>1.0245</v>
      </c>
      <c r="J252" s="528">
        <f t="shared" si="4"/>
        <v>9.8000000000000007</v>
      </c>
      <c r="L252" s="456"/>
      <c r="M252" s="456"/>
      <c r="N252" s="456"/>
      <c r="O252" s="456"/>
      <c r="P252" s="456"/>
    </row>
    <row r="253" spans="1:16" x14ac:dyDescent="0.25">
      <c r="A253" s="374" t="str">
        <f t="shared" si="5"/>
        <v>5 WBT (P)</v>
      </c>
      <c r="B253" s="1">
        <f t="shared" si="2"/>
        <v>20.73</v>
      </c>
      <c r="C253" s="1">
        <f t="shared" si="2"/>
        <v>1.01</v>
      </c>
      <c r="D253" s="1">
        <f>Relato!$D$276</f>
        <v>0</v>
      </c>
      <c r="E253" s="756"/>
      <c r="F253" s="1">
        <f>Relato!$F$276</f>
        <v>0</v>
      </c>
      <c r="G253" s="676">
        <f t="shared" si="3"/>
        <v>0</v>
      </c>
      <c r="H253" s="1">
        <f>Relato!$H$276</f>
        <v>4.0959000000000003</v>
      </c>
      <c r="I253" s="529">
        <f>Relato!I276</f>
        <v>1.0229999999999999</v>
      </c>
      <c r="J253" s="528">
        <f t="shared" si="4"/>
        <v>4.2</v>
      </c>
      <c r="L253" s="456"/>
      <c r="M253" s="456"/>
      <c r="N253" s="456"/>
      <c r="O253" s="456"/>
      <c r="P253" s="456"/>
    </row>
    <row r="254" spans="1:16" x14ac:dyDescent="0.25">
      <c r="A254" s="374" t="str">
        <f t="shared" si="5"/>
        <v>5 WBT (S)</v>
      </c>
      <c r="B254" s="1">
        <f t="shared" si="2"/>
        <v>20.79</v>
      </c>
      <c r="C254" s="1">
        <f t="shared" si="2"/>
        <v>1.04</v>
      </c>
      <c r="D254" s="1">
        <f>Relato!$D$277</f>
        <v>0</v>
      </c>
      <c r="E254" s="756"/>
      <c r="F254" s="1">
        <f>Relato!$F$277</f>
        <v>0</v>
      </c>
      <c r="G254" s="676">
        <f t="shared" si="3"/>
        <v>0</v>
      </c>
      <c r="H254" s="1">
        <f>Relato!$H$277</f>
        <v>3.6858</v>
      </c>
      <c r="I254" s="529">
        <f>Relato!I277</f>
        <v>1.022</v>
      </c>
      <c r="J254" s="528">
        <f t="shared" si="4"/>
        <v>3.8</v>
      </c>
      <c r="L254" s="456"/>
      <c r="M254" s="456"/>
      <c r="N254" s="456"/>
      <c r="O254" s="456"/>
      <c r="P254" s="456"/>
    </row>
    <row r="255" spans="1:16" x14ac:dyDescent="0.25">
      <c r="A255" s="374" t="str">
        <f t="shared" si="5"/>
        <v>GWT (P)</v>
      </c>
      <c r="B255" s="1">
        <f t="shared" si="2"/>
        <v>4.93</v>
      </c>
      <c r="C255" s="1">
        <f t="shared" si="2"/>
        <v>0.35</v>
      </c>
      <c r="D255" s="1">
        <f>Relato!$D$278</f>
        <v>0.45</v>
      </c>
      <c r="E255" s="1">
        <f>Relato!$E$278</f>
        <v>-1.3259999999999999E-2</v>
      </c>
      <c r="F255" s="1">
        <f>Relato!$F$278</f>
        <v>0</v>
      </c>
      <c r="G255" s="676">
        <f t="shared" si="3"/>
        <v>0.43674000000000002</v>
      </c>
      <c r="H255" s="1">
        <f>Relato!$H$278</f>
        <v>10.3</v>
      </c>
      <c r="I255" s="529">
        <f>Relato!I278</f>
        <v>1</v>
      </c>
      <c r="J255" s="528">
        <f t="shared" si="4"/>
        <v>10.3</v>
      </c>
      <c r="L255" s="456"/>
      <c r="M255" s="456"/>
      <c r="N255" s="456"/>
      <c r="O255" s="456"/>
      <c r="P255" s="456"/>
    </row>
    <row r="256" spans="1:16" x14ac:dyDescent="0.25">
      <c r="A256" s="374" t="str">
        <f t="shared" si="5"/>
        <v>GWT (S)</v>
      </c>
      <c r="B256" s="1">
        <f t="shared" si="2"/>
        <v>4.95</v>
      </c>
      <c r="C256" s="1">
        <f t="shared" si="2"/>
        <v>0.35</v>
      </c>
      <c r="D256" s="1">
        <f>Relato!$D$279</f>
        <v>1.52</v>
      </c>
      <c r="E256" s="1">
        <f>Relato!$E$279</f>
        <v>-1.2579999999999999E-2</v>
      </c>
      <c r="F256" s="1">
        <f>Relato!$F$279</f>
        <v>0</v>
      </c>
      <c r="G256" s="676">
        <f t="shared" si="3"/>
        <v>1.50742</v>
      </c>
      <c r="H256" s="1">
        <f>Relato!$H$279</f>
        <v>62.2</v>
      </c>
      <c r="I256" s="529">
        <f>Relato!I279</f>
        <v>1</v>
      </c>
      <c r="J256" s="528">
        <f t="shared" si="4"/>
        <v>62.2</v>
      </c>
      <c r="L256" s="456"/>
      <c r="M256" s="456"/>
      <c r="N256" s="456"/>
      <c r="O256" s="456"/>
      <c r="P256" s="456"/>
    </row>
    <row r="257" spans="1:16" x14ac:dyDescent="0.25">
      <c r="A257" s="375" t="str">
        <f t="shared" si="5"/>
        <v>A.PK</v>
      </c>
      <c r="B257" s="2">
        <f t="shared" si="2"/>
        <v>12.85</v>
      </c>
      <c r="C257" s="2">
        <f t="shared" si="2"/>
        <v>0.35</v>
      </c>
      <c r="D257" s="2">
        <f>Relato!$D$280</f>
        <v>3.42</v>
      </c>
      <c r="E257" s="2">
        <f>Relato!$E$280</f>
        <v>2.7000000000000001E-3</v>
      </c>
      <c r="F257" s="2">
        <f>Relato!$F$280</f>
        <v>0</v>
      </c>
      <c r="G257" s="579">
        <f>IFERROR(D257+(E257+F257),D257)</f>
        <v>3.4226999999999999</v>
      </c>
      <c r="H257" s="2">
        <f>Relato!$H$280</f>
        <v>116.75</v>
      </c>
      <c r="I257" s="530">
        <f>Relato!I280</f>
        <v>1.0189999999999999</v>
      </c>
      <c r="J257" s="531">
        <f t="shared" si="4"/>
        <v>119</v>
      </c>
      <c r="L257" s="456"/>
      <c r="M257" s="456"/>
      <c r="N257" s="456"/>
      <c r="O257" s="456"/>
      <c r="P257" s="456"/>
    </row>
    <row r="258" spans="1:16" x14ac:dyDescent="0.25">
      <c r="A258" s="289" t="s">
        <v>14</v>
      </c>
      <c r="B258" s="290"/>
      <c r="C258" s="290"/>
      <c r="D258" s="290"/>
      <c r="E258" s="290"/>
      <c r="F258" s="290"/>
      <c r="G258" s="291"/>
      <c r="H258" s="532">
        <f>SUM($H$244:$H$257)</f>
        <v>270.98239999999998</v>
      </c>
      <c r="I258" s="533"/>
      <c r="J258" s="532">
        <f>SUM($J$244:$J$257)</f>
        <v>275.3</v>
      </c>
      <c r="L258" s="456"/>
      <c r="M258" s="456"/>
      <c r="N258" s="456"/>
      <c r="O258" s="456"/>
      <c r="P258" s="456"/>
    </row>
    <row r="259" spans="1:16" x14ac:dyDescent="0.25">
      <c r="L259" s="456"/>
      <c r="M259" s="456"/>
      <c r="N259" s="456"/>
      <c r="O259" s="456"/>
      <c r="P259" s="456"/>
    </row>
    <row r="260" spans="1:16" x14ac:dyDescent="0.25">
      <c r="L260" s="456"/>
      <c r="M260" s="456"/>
      <c r="N260" s="456"/>
      <c r="O260" s="456"/>
      <c r="P260" s="456"/>
    </row>
    <row r="261" spans="1:16" x14ac:dyDescent="0.25">
      <c r="L261" s="456"/>
      <c r="M261" s="456"/>
      <c r="N261" s="456"/>
      <c r="O261" s="456"/>
      <c r="P261" s="456"/>
    </row>
    <row r="262" spans="1:16" ht="15.75" x14ac:dyDescent="0.25">
      <c r="A262" s="380" t="s">
        <v>539</v>
      </c>
      <c r="L262" s="456"/>
      <c r="M262" s="456"/>
      <c r="N262" s="456"/>
      <c r="O262" s="456"/>
      <c r="P262" s="456"/>
    </row>
    <row r="263" spans="1:16" x14ac:dyDescent="0.25">
      <c r="A263" s="286" t="s">
        <v>0</v>
      </c>
      <c r="B263" s="286" t="s">
        <v>1</v>
      </c>
      <c r="C263" s="286" t="s">
        <v>2</v>
      </c>
      <c r="D263" s="286" t="s">
        <v>1</v>
      </c>
      <c r="E263" s="735" t="s">
        <v>563</v>
      </c>
      <c r="F263" s="735"/>
      <c r="G263" s="286" t="s">
        <v>3</v>
      </c>
      <c r="H263" s="286" t="s">
        <v>1</v>
      </c>
      <c r="I263" s="286" t="s">
        <v>1</v>
      </c>
      <c r="J263" s="286" t="s">
        <v>4</v>
      </c>
      <c r="L263" s="456"/>
      <c r="M263" s="456"/>
      <c r="N263" s="456"/>
      <c r="O263" s="456"/>
      <c r="P263" s="456"/>
    </row>
    <row r="264" spans="1:16" x14ac:dyDescent="0.25">
      <c r="A264" s="287" t="s">
        <v>705</v>
      </c>
      <c r="B264" s="412" t="s">
        <v>5</v>
      </c>
      <c r="C264" s="412" t="s">
        <v>6</v>
      </c>
      <c r="D264" s="287" t="s">
        <v>7</v>
      </c>
      <c r="E264" s="288" t="s">
        <v>8</v>
      </c>
      <c r="F264" s="288" t="s">
        <v>9</v>
      </c>
      <c r="G264" s="412" t="s">
        <v>7</v>
      </c>
      <c r="H264" s="287" t="s">
        <v>534</v>
      </c>
      <c r="I264" s="287" t="s">
        <v>10</v>
      </c>
      <c r="J264" s="412" t="s">
        <v>11</v>
      </c>
      <c r="L264" s="456"/>
      <c r="M264" s="456"/>
      <c r="N264" s="456"/>
      <c r="O264" s="456"/>
      <c r="P264" s="456"/>
    </row>
    <row r="265" spans="1:16" x14ac:dyDescent="0.25">
      <c r="A265" s="376" t="s">
        <v>541</v>
      </c>
      <c r="B265" s="725" t="str">
        <f>Relato!$B$288</f>
        <v>GAUGE</v>
      </c>
      <c r="C265" s="725"/>
      <c r="D265" s="725"/>
      <c r="E265" s="725"/>
      <c r="F265" s="725"/>
      <c r="G265" s="725"/>
      <c r="H265" s="525">
        <f>Relato!$H$288</f>
        <v>74</v>
      </c>
      <c r="I265" s="526">
        <f>Relato!$I$288</f>
        <v>1</v>
      </c>
      <c r="J265" s="528">
        <f t="shared" ref="J265:J266" si="6">IFERROR(ROUND(H265*I265,1),"")</f>
        <v>74</v>
      </c>
      <c r="L265" s="456"/>
      <c r="M265" s="456"/>
      <c r="N265" s="456"/>
      <c r="O265" s="456"/>
      <c r="P265" s="456"/>
    </row>
    <row r="266" spans="1:16" x14ac:dyDescent="0.25">
      <c r="A266" s="382" t="s">
        <v>542</v>
      </c>
      <c r="B266" s="726"/>
      <c r="C266" s="726"/>
      <c r="D266" s="726"/>
      <c r="E266" s="726"/>
      <c r="F266" s="726"/>
      <c r="G266" s="726"/>
      <c r="H266" s="2">
        <f>Relato!$H$289</f>
        <v>26</v>
      </c>
      <c r="I266" s="530">
        <f>Relato!$I$289</f>
        <v>1</v>
      </c>
      <c r="J266" s="531">
        <f t="shared" si="6"/>
        <v>26</v>
      </c>
      <c r="L266" s="456"/>
      <c r="M266" s="456"/>
      <c r="N266" s="456"/>
      <c r="O266" s="456"/>
      <c r="P266" s="456"/>
    </row>
    <row r="267" spans="1:16" x14ac:dyDescent="0.25">
      <c r="A267" s="381" t="s">
        <v>14</v>
      </c>
      <c r="B267" s="291"/>
      <c r="C267" s="291"/>
      <c r="D267" s="291"/>
      <c r="E267" s="291"/>
      <c r="F267" s="291"/>
      <c r="G267" s="291"/>
      <c r="H267" s="534">
        <f>SUM($H$265:$H$266)</f>
        <v>100</v>
      </c>
      <c r="I267" s="535"/>
      <c r="J267" s="534">
        <f>SUM($J$265:$J$266)</f>
        <v>100</v>
      </c>
      <c r="L267" s="456"/>
      <c r="M267" s="456"/>
      <c r="N267" s="456"/>
      <c r="O267" s="456"/>
      <c r="P267" s="456"/>
    </row>
    <row r="268" spans="1:16" x14ac:dyDescent="0.25">
      <c r="D268" s="536"/>
      <c r="E268" s="536"/>
      <c r="F268" s="536"/>
      <c r="L268" s="456"/>
      <c r="M268" s="456"/>
      <c r="N268" s="456"/>
      <c r="O268" s="456"/>
      <c r="P268" s="456"/>
    </row>
    <row r="269" spans="1:16" x14ac:dyDescent="0.25">
      <c r="D269" s="536"/>
      <c r="E269" s="536"/>
      <c r="F269" s="536"/>
      <c r="L269" s="456"/>
      <c r="M269" s="456"/>
      <c r="N269" s="456"/>
      <c r="O269" s="456"/>
      <c r="P269" s="456"/>
    </row>
    <row r="270" spans="1:16" ht="15.75" x14ac:dyDescent="0.25">
      <c r="A270" s="3" t="s">
        <v>540</v>
      </c>
      <c r="D270" s="536"/>
      <c r="E270" s="536"/>
      <c r="F270" s="536"/>
      <c r="L270" s="456"/>
      <c r="M270" s="456"/>
      <c r="N270" s="456"/>
      <c r="O270" s="456"/>
      <c r="P270" s="456"/>
    </row>
    <row r="271" spans="1:16" x14ac:dyDescent="0.25">
      <c r="A271" s="286" t="s">
        <v>0</v>
      </c>
      <c r="B271" s="286" t="s">
        <v>1</v>
      </c>
      <c r="C271" s="286" t="s">
        <v>2</v>
      </c>
      <c r="D271" s="286" t="s">
        <v>1</v>
      </c>
      <c r="E271" s="735" t="s">
        <v>563</v>
      </c>
      <c r="F271" s="735"/>
      <c r="G271" s="286" t="s">
        <v>3</v>
      </c>
      <c r="H271" s="286" t="s">
        <v>1</v>
      </c>
      <c r="I271" s="286" t="s">
        <v>1</v>
      </c>
      <c r="J271" s="286" t="s">
        <v>4</v>
      </c>
      <c r="L271" s="456"/>
      <c r="M271" s="456"/>
      <c r="N271" s="456"/>
      <c r="O271" s="456"/>
      <c r="P271" s="456"/>
    </row>
    <row r="272" spans="1:16" x14ac:dyDescent="0.25">
      <c r="A272" s="287" t="s">
        <v>705</v>
      </c>
      <c r="B272" s="287" t="s">
        <v>5</v>
      </c>
      <c r="C272" s="287" t="s">
        <v>6</v>
      </c>
      <c r="D272" s="287" t="s">
        <v>7</v>
      </c>
      <c r="E272" s="288" t="s">
        <v>8</v>
      </c>
      <c r="F272" s="288" t="s">
        <v>9</v>
      </c>
      <c r="G272" s="412" t="s">
        <v>7</v>
      </c>
      <c r="H272" s="287" t="s">
        <v>534</v>
      </c>
      <c r="I272" s="287" t="s">
        <v>10</v>
      </c>
      <c r="J272" s="412" t="s">
        <v>11</v>
      </c>
      <c r="L272" s="456"/>
      <c r="M272" s="456"/>
      <c r="N272" s="456"/>
      <c r="O272" s="456"/>
      <c r="P272" s="456"/>
    </row>
    <row r="273" spans="1:16" x14ac:dyDescent="0.25">
      <c r="A273" s="376" t="s">
        <v>541</v>
      </c>
      <c r="B273" s="725" t="str">
        <f>$B$265</f>
        <v>GAUGE</v>
      </c>
      <c r="C273" s="725"/>
      <c r="D273" s="725"/>
      <c r="E273" s="725"/>
      <c r="F273" s="725"/>
      <c r="G273" s="725"/>
      <c r="H273" s="525">
        <f>Relato!$H$296</f>
        <v>62</v>
      </c>
      <c r="I273" s="526">
        <f>I265</f>
        <v>1</v>
      </c>
      <c r="J273" s="528">
        <f t="shared" ref="J273:J274" si="7">IFERROR(ROUND(H273*I273,1),"")</f>
        <v>62</v>
      </c>
      <c r="L273" s="456"/>
      <c r="M273" s="456"/>
      <c r="N273" s="456"/>
      <c r="O273" s="456"/>
      <c r="P273" s="456"/>
    </row>
    <row r="274" spans="1:16" x14ac:dyDescent="0.25">
      <c r="A274" s="382" t="s">
        <v>542</v>
      </c>
      <c r="B274" s="726"/>
      <c r="C274" s="726"/>
      <c r="D274" s="726"/>
      <c r="E274" s="726"/>
      <c r="F274" s="726"/>
      <c r="G274" s="726"/>
      <c r="H274" s="2">
        <f>Relato!$H$297</f>
        <v>26</v>
      </c>
      <c r="I274" s="530">
        <f t="shared" ref="I274" si="8">I266</f>
        <v>1</v>
      </c>
      <c r="J274" s="531">
        <f t="shared" si="7"/>
        <v>26</v>
      </c>
      <c r="L274" s="456"/>
      <c r="M274" s="456"/>
      <c r="N274" s="456"/>
      <c r="O274" s="456"/>
      <c r="P274" s="456"/>
    </row>
    <row r="275" spans="1:16" x14ac:dyDescent="0.25">
      <c r="A275" s="381" t="s">
        <v>14</v>
      </c>
      <c r="B275" s="291"/>
      <c r="C275" s="291"/>
      <c r="D275" s="291"/>
      <c r="E275" s="291"/>
      <c r="F275" s="291"/>
      <c r="G275" s="291"/>
      <c r="H275" s="534">
        <f>SUM($H$273:$H$274)</f>
        <v>88</v>
      </c>
      <c r="I275" s="535"/>
      <c r="J275" s="534">
        <f>SUM($J$273:$J$274)</f>
        <v>88</v>
      </c>
      <c r="L275" s="456"/>
      <c r="M275" s="456"/>
      <c r="N275" s="456"/>
      <c r="O275" s="456"/>
      <c r="P275" s="456"/>
    </row>
    <row r="276" spans="1:16" x14ac:dyDescent="0.25">
      <c r="L276" s="456"/>
      <c r="M276" s="456"/>
      <c r="N276" s="456"/>
      <c r="O276" s="456"/>
      <c r="P276" s="456"/>
    </row>
    <row r="277" spans="1:16" x14ac:dyDescent="0.25">
      <c r="L277" s="456"/>
      <c r="M277" s="456"/>
      <c r="N277" s="456"/>
      <c r="O277" s="456"/>
      <c r="P277" s="456"/>
    </row>
    <row r="278" spans="1:16" ht="15.75" x14ac:dyDescent="0.25">
      <c r="A278" s="380" t="s">
        <v>687</v>
      </c>
      <c r="B278" s="7"/>
      <c r="C278" s="7"/>
      <c r="D278" s="7"/>
      <c r="E278" s="7"/>
      <c r="F278" s="7"/>
      <c r="G278" s="7"/>
      <c r="H278" s="7"/>
      <c r="I278" s="7"/>
      <c r="J278" s="7"/>
      <c r="L278" s="456"/>
      <c r="M278" s="456"/>
      <c r="N278" s="456"/>
      <c r="O278" s="456"/>
      <c r="P278" s="456"/>
    </row>
    <row r="279" spans="1:16" x14ac:dyDescent="0.25">
      <c r="A279" s="383"/>
      <c r="B279" s="8"/>
      <c r="C279" s="8"/>
      <c r="D279" s="388"/>
      <c r="E279" s="8"/>
      <c r="F279" s="736" t="s">
        <v>543</v>
      </c>
      <c r="G279" s="736"/>
      <c r="H279" s="384"/>
      <c r="I279" s="737" t="s">
        <v>544</v>
      </c>
      <c r="J279" s="738"/>
      <c r="L279" s="456"/>
      <c r="M279" s="456"/>
      <c r="N279" s="456"/>
      <c r="O279" s="456"/>
      <c r="P279" s="456"/>
    </row>
    <row r="280" spans="1:16" ht="15.75" x14ac:dyDescent="0.25">
      <c r="A280" s="389" t="s">
        <v>545</v>
      </c>
      <c r="B280" s="390"/>
      <c r="C280" s="390"/>
      <c r="D280" s="419"/>
      <c r="E280" s="390"/>
      <c r="F280" s="739">
        <f>Draft!$H$65</f>
        <v>979.3</v>
      </c>
      <c r="G280" s="739"/>
      <c r="H280" s="406"/>
      <c r="I280" s="739">
        <f>Draft!$Z$65</f>
        <v>972.8</v>
      </c>
      <c r="J280" s="740"/>
      <c r="L280" s="456"/>
      <c r="M280" s="456"/>
      <c r="N280" s="456"/>
      <c r="O280" s="456"/>
      <c r="P280" s="456"/>
    </row>
    <row r="281" spans="1:16" ht="15.75" x14ac:dyDescent="0.25">
      <c r="A281" s="385" t="s">
        <v>546</v>
      </c>
      <c r="D281" s="420"/>
      <c r="F281" s="733">
        <f>Draft!$H$66</f>
        <v>258.89999999999998</v>
      </c>
      <c r="G281" s="733"/>
      <c r="H281" s="407"/>
      <c r="I281" s="733">
        <f>Draft!$Z$66</f>
        <v>258.89999999999998</v>
      </c>
      <c r="J281" s="734"/>
      <c r="L281" s="456"/>
      <c r="M281" s="456"/>
      <c r="N281" s="456"/>
      <c r="O281" s="456"/>
      <c r="P281" s="456"/>
    </row>
    <row r="282" spans="1:16" ht="15.75" x14ac:dyDescent="0.25">
      <c r="A282" s="385" t="s">
        <v>547</v>
      </c>
      <c r="D282" s="420"/>
      <c r="F282" s="733" t="str">
        <f>Draft!$H$67</f>
        <v>K</v>
      </c>
      <c r="G282" s="733"/>
      <c r="H282" s="407"/>
      <c r="I282" s="733" t="str">
        <f>Draft!$Z$67</f>
        <v>K</v>
      </c>
      <c r="J282" s="734"/>
      <c r="L282" s="456"/>
      <c r="M282" s="456"/>
      <c r="N282" s="456"/>
      <c r="O282" s="456"/>
      <c r="P282" s="456"/>
    </row>
    <row r="283" spans="1:16" ht="15.75" x14ac:dyDescent="0.25">
      <c r="A283" s="385" t="s">
        <v>548</v>
      </c>
      <c r="D283" s="420"/>
      <c r="F283" s="733">
        <f>$J$267</f>
        <v>100</v>
      </c>
      <c r="G283" s="733"/>
      <c r="H283" s="407"/>
      <c r="I283" s="733">
        <f>$J$275</f>
        <v>88</v>
      </c>
      <c r="J283" s="734"/>
      <c r="L283" s="456"/>
      <c r="M283" s="456"/>
      <c r="N283" s="456"/>
      <c r="O283" s="456"/>
      <c r="P283" s="456"/>
    </row>
    <row r="284" spans="1:16" ht="15.75" x14ac:dyDescent="0.25">
      <c r="A284" s="385" t="s">
        <v>549</v>
      </c>
      <c r="D284" s="420"/>
      <c r="F284" s="733">
        <f>$J$238</f>
        <v>16664.7</v>
      </c>
      <c r="G284" s="733"/>
      <c r="H284" s="407"/>
      <c r="I284" s="733">
        <f>$J$258</f>
        <v>275.3</v>
      </c>
      <c r="J284" s="734"/>
      <c r="L284" s="456"/>
      <c r="M284" s="456"/>
      <c r="N284" s="456"/>
      <c r="O284" s="456"/>
      <c r="P284" s="456"/>
    </row>
    <row r="285" spans="1:16" ht="15.75" x14ac:dyDescent="0.25">
      <c r="A285" s="391" t="s">
        <v>550</v>
      </c>
      <c r="B285" s="392"/>
      <c r="C285" s="392"/>
      <c r="D285" s="421"/>
      <c r="E285" s="392"/>
      <c r="F285" s="727">
        <f>Draft!$H$71</f>
        <v>0</v>
      </c>
      <c r="G285" s="727"/>
      <c r="H285" s="408"/>
      <c r="I285" s="727">
        <f>Draft!$Z$71</f>
        <v>0</v>
      </c>
      <c r="J285" s="728"/>
      <c r="L285" s="456"/>
      <c r="M285" s="456"/>
      <c r="N285" s="456"/>
      <c r="O285" s="456"/>
      <c r="P285" s="456"/>
    </row>
    <row r="286" spans="1:16" ht="15.75" x14ac:dyDescent="0.25">
      <c r="A286" s="386" t="s">
        <v>14</v>
      </c>
      <c r="B286" s="8"/>
      <c r="C286" s="8"/>
      <c r="D286" s="387"/>
      <c r="E286" s="8"/>
      <c r="F286" s="729">
        <f>SUM($F$280:$G$285)</f>
        <v>18002.900000000001</v>
      </c>
      <c r="G286" s="729"/>
      <c r="H286" s="409"/>
      <c r="I286" s="727">
        <f>SUM($I$280:$J$285)</f>
        <v>1594.9999999999998</v>
      </c>
      <c r="J286" s="727"/>
      <c r="L286" s="456"/>
      <c r="M286" s="456"/>
      <c r="N286" s="456"/>
      <c r="O286" s="456"/>
      <c r="P286" s="456"/>
    </row>
    <row r="287" spans="1:16" x14ac:dyDescent="0.25">
      <c r="L287" s="456"/>
      <c r="M287" s="456"/>
      <c r="N287" s="456"/>
      <c r="O287" s="456"/>
      <c r="P287" s="456"/>
    </row>
  </sheetData>
  <mergeCells count="168">
    <mergeCell ref="A1:J1"/>
    <mergeCell ref="G3:I3"/>
    <mergeCell ref="A34:J34"/>
    <mergeCell ref="A35:J35"/>
    <mergeCell ref="A36:J36"/>
    <mergeCell ref="A38:J39"/>
    <mergeCell ref="E77:J77"/>
    <mergeCell ref="E78:F78"/>
    <mergeCell ref="E83:J83"/>
    <mergeCell ref="E84:J84"/>
    <mergeCell ref="E85:J85"/>
    <mergeCell ref="E86:F86"/>
    <mergeCell ref="A40:J40"/>
    <mergeCell ref="A41:J41"/>
    <mergeCell ref="F71:J71"/>
    <mergeCell ref="E74:J74"/>
    <mergeCell ref="E75:F75"/>
    <mergeCell ref="E76:G76"/>
    <mergeCell ref="B97:C97"/>
    <mergeCell ref="F97:I97"/>
    <mergeCell ref="B98:C98"/>
    <mergeCell ref="D98:E98"/>
    <mergeCell ref="F98:I98"/>
    <mergeCell ref="B99:C99"/>
    <mergeCell ref="D99:E99"/>
    <mergeCell ref="F99:I99"/>
    <mergeCell ref="E87:J87"/>
    <mergeCell ref="E91:J91"/>
    <mergeCell ref="E92:J92"/>
    <mergeCell ref="B96:C96"/>
    <mergeCell ref="D96:E96"/>
    <mergeCell ref="F96:I96"/>
    <mergeCell ref="B102:C102"/>
    <mergeCell ref="D102:E102"/>
    <mergeCell ref="F102:I102"/>
    <mergeCell ref="B100:C100"/>
    <mergeCell ref="D100:E100"/>
    <mergeCell ref="F100:I100"/>
    <mergeCell ref="B101:C101"/>
    <mergeCell ref="D101:E101"/>
    <mergeCell ref="F101:I101"/>
    <mergeCell ref="G116:H116"/>
    <mergeCell ref="I116:J116"/>
    <mergeCell ref="G117:H117"/>
    <mergeCell ref="I117:J117"/>
    <mergeCell ref="G118:H118"/>
    <mergeCell ref="I118:J118"/>
    <mergeCell ref="B103:C103"/>
    <mergeCell ref="F103:I103"/>
    <mergeCell ref="G115:H115"/>
    <mergeCell ref="I115:J115"/>
    <mergeCell ref="H155:I155"/>
    <mergeCell ref="H156:I156"/>
    <mergeCell ref="H157:I157"/>
    <mergeCell ref="G119:H119"/>
    <mergeCell ref="I119:J119"/>
    <mergeCell ref="G120:H120"/>
    <mergeCell ref="I120:J120"/>
    <mergeCell ref="H152:I152"/>
    <mergeCell ref="H154:I154"/>
    <mergeCell ref="G160:H160"/>
    <mergeCell ref="I160:J160"/>
    <mergeCell ref="A161:F163"/>
    <mergeCell ref="G161:H161"/>
    <mergeCell ref="I161:J161"/>
    <mergeCell ref="G163:H163"/>
    <mergeCell ref="I163:J163"/>
    <mergeCell ref="G164:H164"/>
    <mergeCell ref="I164:J164"/>
    <mergeCell ref="I162:J162"/>
    <mergeCell ref="G162:H162"/>
    <mergeCell ref="G169:H169"/>
    <mergeCell ref="I169:J169"/>
    <mergeCell ref="G170:H170"/>
    <mergeCell ref="I170:J170"/>
    <mergeCell ref="G171:H171"/>
    <mergeCell ref="I171:J171"/>
    <mergeCell ref="A164:B164"/>
    <mergeCell ref="C164:D164"/>
    <mergeCell ref="E164:F164"/>
    <mergeCell ref="G165:H165"/>
    <mergeCell ref="I165:J165"/>
    <mergeCell ref="G168:H168"/>
    <mergeCell ref="I168:J168"/>
    <mergeCell ref="G166:H166"/>
    <mergeCell ref="I166:J166"/>
    <mergeCell ref="G175:H175"/>
    <mergeCell ref="I175:J175"/>
    <mergeCell ref="G176:H176"/>
    <mergeCell ref="I176:J176"/>
    <mergeCell ref="G177:H177"/>
    <mergeCell ref="I177:J177"/>
    <mergeCell ref="G172:H172"/>
    <mergeCell ref="I172:J172"/>
    <mergeCell ref="G173:H173"/>
    <mergeCell ref="I173:J173"/>
    <mergeCell ref="G174:H174"/>
    <mergeCell ref="I174:J174"/>
    <mergeCell ref="G181:H181"/>
    <mergeCell ref="I181:J181"/>
    <mergeCell ref="G182:H182"/>
    <mergeCell ref="I182:J182"/>
    <mergeCell ref="G183:H183"/>
    <mergeCell ref="I183:J183"/>
    <mergeCell ref="G178:H178"/>
    <mergeCell ref="I178:J178"/>
    <mergeCell ref="G179:H179"/>
    <mergeCell ref="I179:J179"/>
    <mergeCell ref="G180:H180"/>
    <mergeCell ref="I180:J180"/>
    <mergeCell ref="G193:H193"/>
    <mergeCell ref="I193:J193"/>
    <mergeCell ref="G194:H194"/>
    <mergeCell ref="I194:J194"/>
    <mergeCell ref="G195:H195"/>
    <mergeCell ref="I195:J195"/>
    <mergeCell ref="G184:H184"/>
    <mergeCell ref="I184:J184"/>
    <mergeCell ref="G186:H186"/>
    <mergeCell ref="I186:J186"/>
    <mergeCell ref="G192:H192"/>
    <mergeCell ref="I192:J192"/>
    <mergeCell ref="G199:H199"/>
    <mergeCell ref="I199:J199"/>
    <mergeCell ref="G200:H200"/>
    <mergeCell ref="I200:J200"/>
    <mergeCell ref="G201:H201"/>
    <mergeCell ref="G202:H202"/>
    <mergeCell ref="G196:H196"/>
    <mergeCell ref="I196:J196"/>
    <mergeCell ref="G197:H197"/>
    <mergeCell ref="I197:J197"/>
    <mergeCell ref="G198:H198"/>
    <mergeCell ref="I198:J198"/>
    <mergeCell ref="I212:J212"/>
    <mergeCell ref="E222:F222"/>
    <mergeCell ref="E242:F242"/>
    <mergeCell ref="E263:F263"/>
    <mergeCell ref="G203:H203"/>
    <mergeCell ref="I203:J203"/>
    <mergeCell ref="I204:J204"/>
    <mergeCell ref="A208:F208"/>
    <mergeCell ref="I210:J210"/>
    <mergeCell ref="E244:E254"/>
    <mergeCell ref="B265:G266"/>
    <mergeCell ref="B273:G274"/>
    <mergeCell ref="F285:G285"/>
    <mergeCell ref="I285:J285"/>
    <mergeCell ref="F286:G286"/>
    <mergeCell ref="I286:J286"/>
    <mergeCell ref="A213:J213"/>
    <mergeCell ref="G185:H185"/>
    <mergeCell ref="I185:J185"/>
    <mergeCell ref="F282:G282"/>
    <mergeCell ref="I282:J282"/>
    <mergeCell ref="F283:G283"/>
    <mergeCell ref="I283:J283"/>
    <mergeCell ref="F284:G284"/>
    <mergeCell ref="I284:J284"/>
    <mergeCell ref="E271:F271"/>
    <mergeCell ref="F279:G279"/>
    <mergeCell ref="I279:J279"/>
    <mergeCell ref="F280:G280"/>
    <mergeCell ref="I280:J280"/>
    <mergeCell ref="F281:G281"/>
    <mergeCell ref="I281:J281"/>
    <mergeCell ref="I211:J211"/>
    <mergeCell ref="G212:H212"/>
  </mergeCells>
  <conditionalFormatting sqref="B98">
    <cfRule type="cellIs" dxfId="66" priority="24" operator="equal">
      <formula>0</formula>
    </cfRule>
  </conditionalFormatting>
  <conditionalFormatting sqref="F98">
    <cfRule type="cellIs" dxfId="65" priority="23" operator="equal">
      <formula>0</formula>
    </cfRule>
  </conditionalFormatting>
  <conditionalFormatting sqref="F99:F102">
    <cfRule type="cellIs" dxfId="64" priority="22" operator="equal">
      <formula>0</formula>
    </cfRule>
  </conditionalFormatting>
  <conditionalFormatting sqref="B99:B102">
    <cfRule type="cellIs" dxfId="63" priority="19" operator="equal">
      <formula>0</formula>
    </cfRule>
  </conditionalFormatting>
  <conditionalFormatting sqref="D98">
    <cfRule type="cellIs" dxfId="62" priority="21" operator="equal">
      <formula>0</formula>
    </cfRule>
  </conditionalFormatting>
  <conditionalFormatting sqref="D99:D102">
    <cfRule type="cellIs" dxfId="61" priority="20" operator="equal">
      <formula>0</formula>
    </cfRule>
  </conditionalFormatting>
  <conditionalFormatting sqref="G218:I218">
    <cfRule type="expression" dxfId="60" priority="25">
      <formula>$G$218=0</formula>
    </cfRule>
  </conditionalFormatting>
  <conditionalFormatting sqref="F218">
    <cfRule type="expression" dxfId="59" priority="26">
      <formula>#REF!=0</formula>
    </cfRule>
  </conditionalFormatting>
  <conditionalFormatting sqref="G217:I217">
    <cfRule type="expression" dxfId="58" priority="18">
      <formula>$G$217=0</formula>
    </cfRule>
  </conditionalFormatting>
  <conditionalFormatting sqref="H157:I157">
    <cfRule type="cellIs" dxfId="57" priority="15" operator="equal">
      <formula>0</formula>
    </cfRule>
  </conditionalFormatting>
  <conditionalFormatting sqref="J157">
    <cfRule type="expression" dxfId="56" priority="13">
      <formula>$D$157=""</formula>
    </cfRule>
  </conditionalFormatting>
  <conditionalFormatting sqref="H221">
    <cfRule type="cellIs" dxfId="55" priority="9" operator="equal">
      <formula>0</formula>
    </cfRule>
  </conditionalFormatting>
  <conditionalFormatting sqref="H241">
    <cfRule type="cellIs" dxfId="54" priority="8" operator="equal">
      <formula>0</formula>
    </cfRule>
  </conditionalFormatting>
  <conditionalFormatting sqref="G58:J59">
    <cfRule type="expression" dxfId="53" priority="4">
      <formula>$A$58=$A$53</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&amp;RPGUA/DS/081/26</oddHeader>
    <oddFooter>&amp;C&amp;P</oddFooter>
  </headerFooter>
  <rowBreaks count="6" manualBreakCount="6">
    <brk id="33" max="17" man="1"/>
    <brk id="71" max="17" man="1"/>
    <brk id="112" max="17" man="1"/>
    <brk id="158" max="17" man="1"/>
    <brk id="218" max="17" man="1"/>
    <brk id="259"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G188:H190 H206:H208 G169:H186 G160:G166 G193:H199 G203</xm:sqref>
        </x14:conditionalFormatting>
        <x14:conditionalFormatting xmlns:xm="http://schemas.microsoft.com/office/excel/2006/main">
          <x14:cfRule type="expression" priority="6" id="{35C28081-2E8D-44B7-8188-F96BB646BE50}">
            <xm:f>Draft!$H$84="SIM"</xm:f>
            <x14:dxf>
              <font>
                <color theme="0"/>
              </font>
            </x14:dxf>
          </x14:cfRule>
          <xm:sqref>I185</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N35" sqref="N35"/>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Karlovasi</v>
      </c>
    </row>
    <row r="3" spans="1:14" ht="24" customHeight="1" x14ac:dyDescent="0.3">
      <c r="C3" s="423" t="str">
        <f>_xlfn.CONCAT(N5,N6,"MV ""","",_xlfn.CONCAT(C5),"",""" - Resumo dos números apurados - ","(",TEXT(G36,"#,##0.000")," t"," ou ",TEXT(I36,"#,##0.00"),"%",")")</f>
        <v>MV "Karlovasi" - Resumo dos números apurados - (-3.401 t ou -0.01%)</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Karlovasi</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77"/>
      <c r="D16" s="1177"/>
      <c r="E16" s="1177"/>
      <c r="F16" s="1177"/>
      <c r="G16" s="1177"/>
      <c r="H16" s="1177"/>
      <c r="I16" s="1177"/>
      <c r="J16" s="1177"/>
      <c r="K16" s="1177"/>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566</v>
      </c>
      <c r="D19" s="554" t="s">
        <v>515</v>
      </c>
      <c r="E19" s="555">
        <f>Draft!$E$4</f>
        <v>46096</v>
      </c>
      <c r="F19" s="556"/>
      <c r="G19" s="1178" t="str">
        <f>_xlfn.CONCAT(TEXT(Draft!$O$5,"hh:mm")," - ",Draft!$AN$7,Draft!$H$6)</f>
        <v>18:05 - Fundeado - área 6.1</v>
      </c>
      <c r="H19" s="1178"/>
      <c r="I19" s="1178"/>
      <c r="J19" s="1178"/>
      <c r="K19" s="1179"/>
      <c r="L19" s="250"/>
      <c r="M19" s="250"/>
      <c r="N19" s="250"/>
      <c r="O19" s="250" t="e">
        <f>IF(Draft!H6="berthed",Atracado,Fundeado)</f>
        <v>#NAME?</v>
      </c>
      <c r="P19" s="250"/>
      <c r="Q19" s="250"/>
    </row>
    <row r="20" spans="1:17" ht="17.25" x14ac:dyDescent="0.3">
      <c r="A20" s="538"/>
      <c r="B20" s="538"/>
      <c r="C20" s="557" t="s">
        <v>565</v>
      </c>
      <c r="D20" s="543" t="s">
        <v>515</v>
      </c>
      <c r="E20" s="544">
        <f>Draft!$X$4</f>
        <v>46099</v>
      </c>
      <c r="F20" s="545"/>
      <c r="G20" s="1180" t="str">
        <f>_xlfn.CONCAT(TEXT(Draft!$AH$5,"hh:mm")," - ",Draft!$AN$8,Draft!$AA$6)</f>
        <v>07:45 - Atracado - berço 212</v>
      </c>
      <c r="H20" s="1180"/>
      <c r="I20" s="1180"/>
      <c r="J20" s="1180"/>
      <c r="K20" s="1181"/>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59" t="s">
        <v>610</v>
      </c>
      <c r="D22" s="660" t="s">
        <v>515</v>
      </c>
      <c r="E22" s="661" t="s">
        <v>611</v>
      </c>
      <c r="F22" s="662"/>
      <c r="G22" s="662" t="s">
        <v>612</v>
      </c>
      <c r="H22" s="662"/>
      <c r="I22" s="663"/>
      <c r="J22" s="663"/>
      <c r="K22" s="664"/>
      <c r="L22" s="542"/>
      <c r="M22" s="250"/>
      <c r="N22" s="250"/>
      <c r="O22" s="422">
        <v>3000</v>
      </c>
      <c r="P22" s="250"/>
      <c r="Q22" s="250"/>
    </row>
    <row r="23" spans="1:17" ht="15" customHeight="1" x14ac:dyDescent="0.3">
      <c r="A23" s="538"/>
      <c r="B23" s="538"/>
      <c r="C23" s="665" t="s">
        <v>339</v>
      </c>
      <c r="D23" s="666" t="s">
        <v>515</v>
      </c>
      <c r="E23" s="667">
        <v>12143.924999999999</v>
      </c>
      <c r="F23" s="663"/>
      <c r="G23" s="668">
        <f>IFERROR(E23/E34*100,"")</f>
        <v>20.582923728813558</v>
      </c>
      <c r="H23" s="663"/>
      <c r="I23" s="663"/>
      <c r="J23" s="663"/>
      <c r="K23" s="664"/>
      <c r="L23" s="542"/>
      <c r="M23" s="250"/>
      <c r="N23" s="250"/>
      <c r="O23" s="422"/>
      <c r="P23" s="250"/>
      <c r="Q23" s="250"/>
    </row>
    <row r="24" spans="1:17" ht="15" customHeight="1" x14ac:dyDescent="0.3">
      <c r="A24" s="538"/>
      <c r="B24" s="538"/>
      <c r="C24" s="665" t="s">
        <v>729</v>
      </c>
      <c r="D24" s="666" t="s">
        <v>515</v>
      </c>
      <c r="E24" s="667">
        <v>7000</v>
      </c>
      <c r="F24" s="663"/>
      <c r="G24" s="668">
        <f>IFERROR(E24/E34*100,"")</f>
        <v>11.864406779661017</v>
      </c>
      <c r="H24" s="663"/>
      <c r="I24" s="663"/>
      <c r="J24" s="663"/>
      <c r="K24" s="664"/>
      <c r="L24" s="542"/>
      <c r="M24" s="250"/>
      <c r="N24" s="250"/>
      <c r="O24" s="422"/>
      <c r="P24" s="250"/>
      <c r="Q24" s="250"/>
    </row>
    <row r="25" spans="1:17" ht="15" customHeight="1" x14ac:dyDescent="0.3">
      <c r="A25" s="538"/>
      <c r="B25" s="538"/>
      <c r="C25" s="665" t="s">
        <v>730</v>
      </c>
      <c r="D25" s="666" t="s">
        <v>515</v>
      </c>
      <c r="E25" s="667">
        <v>0</v>
      </c>
      <c r="F25" s="663"/>
      <c r="G25" s="668">
        <f>IFERROR(E25/E34*100,"")</f>
        <v>0</v>
      </c>
      <c r="H25" s="663"/>
      <c r="I25" s="663"/>
      <c r="J25" s="663"/>
      <c r="K25" s="664"/>
      <c r="L25" s="542"/>
      <c r="M25" s="250"/>
      <c r="N25" s="250"/>
      <c r="O25" s="422"/>
      <c r="P25" s="250"/>
      <c r="Q25" s="250"/>
    </row>
    <row r="26" spans="1:17" ht="15" customHeight="1" x14ac:dyDescent="0.3">
      <c r="A26" s="538"/>
      <c r="B26" s="538"/>
      <c r="C26" s="665" t="s">
        <v>731</v>
      </c>
      <c r="D26" s="666" t="s">
        <v>515</v>
      </c>
      <c r="E26" s="667">
        <v>0</v>
      </c>
      <c r="F26" s="663"/>
      <c r="G26" s="668">
        <f>IFERROR(E26/E34*100,"")</f>
        <v>0</v>
      </c>
      <c r="H26" s="663"/>
      <c r="I26" s="663"/>
      <c r="J26" s="663"/>
      <c r="K26" s="664"/>
      <c r="L26" s="542"/>
      <c r="M26" s="250"/>
      <c r="N26" s="250"/>
      <c r="O26" s="422"/>
      <c r="P26" s="250"/>
      <c r="Q26" s="250"/>
    </row>
    <row r="27" spans="1:17" ht="15" customHeight="1" x14ac:dyDescent="0.3">
      <c r="A27" s="538"/>
      <c r="B27" s="538"/>
      <c r="C27" s="665" t="s">
        <v>736</v>
      </c>
      <c r="D27" s="666" t="s">
        <v>515</v>
      </c>
      <c r="E27" s="667">
        <v>20000</v>
      </c>
      <c r="F27" s="663"/>
      <c r="G27" s="668">
        <f>IFERROR(E27/E34*100,"")</f>
        <v>33.898305084745758</v>
      </c>
      <c r="H27" s="663"/>
      <c r="I27" s="663"/>
      <c r="J27" s="663"/>
      <c r="K27" s="664"/>
      <c r="L27" s="542"/>
      <c r="M27" s="250"/>
      <c r="N27" s="250"/>
      <c r="O27" s="422"/>
      <c r="P27" s="250"/>
      <c r="Q27" s="250"/>
    </row>
    <row r="28" spans="1:17" ht="15" customHeight="1" x14ac:dyDescent="0.3">
      <c r="A28" s="538"/>
      <c r="B28" s="538"/>
      <c r="C28" s="665" t="s">
        <v>340</v>
      </c>
      <c r="D28" s="666" t="s">
        <v>515</v>
      </c>
      <c r="E28" s="667">
        <v>0</v>
      </c>
      <c r="F28" s="663"/>
      <c r="G28" s="668">
        <f>IFERROR(E28/E34*100,"")</f>
        <v>0</v>
      </c>
      <c r="H28" s="663"/>
      <c r="I28" s="663"/>
      <c r="J28" s="663"/>
      <c r="K28" s="664"/>
      <c r="L28" s="542"/>
      <c r="M28" s="250"/>
      <c r="N28" s="250"/>
      <c r="O28" s="422"/>
      <c r="P28" s="250"/>
      <c r="Q28" s="250"/>
    </row>
    <row r="29" spans="1:17" ht="15" customHeight="1" x14ac:dyDescent="0.3">
      <c r="A29" s="538"/>
      <c r="B29" s="538"/>
      <c r="C29" s="665" t="s">
        <v>342</v>
      </c>
      <c r="D29" s="666" t="s">
        <v>515</v>
      </c>
      <c r="E29" s="667">
        <v>4000</v>
      </c>
      <c r="F29" s="663"/>
      <c r="G29" s="668">
        <f>IFERROR(E29/E34*100,"")</f>
        <v>6.7796610169491522</v>
      </c>
      <c r="H29" s="663"/>
      <c r="I29" s="663"/>
      <c r="J29" s="663"/>
      <c r="K29" s="664"/>
      <c r="L29" s="542"/>
      <c r="M29" s="250"/>
      <c r="N29" s="250"/>
      <c r="O29" s="422"/>
      <c r="P29" s="250"/>
      <c r="Q29" s="250"/>
    </row>
    <row r="30" spans="1:17" ht="15" customHeight="1" x14ac:dyDescent="0.3">
      <c r="A30" s="538"/>
      <c r="B30" s="538"/>
      <c r="C30" s="665" t="s">
        <v>343</v>
      </c>
      <c r="D30" s="666" t="s">
        <v>515</v>
      </c>
      <c r="E30" s="667">
        <v>0</v>
      </c>
      <c r="F30" s="663"/>
      <c r="G30" s="668">
        <f>IFERROR(E30/E34*100,"")</f>
        <v>0</v>
      </c>
      <c r="H30" s="663"/>
      <c r="I30" s="663"/>
      <c r="J30" s="663"/>
      <c r="K30" s="664"/>
      <c r="L30" s="542"/>
      <c r="M30" s="250"/>
      <c r="N30" s="250"/>
      <c r="O30" s="422"/>
      <c r="P30" s="250"/>
      <c r="Q30" s="250"/>
    </row>
    <row r="31" spans="1:17" ht="15" customHeight="1" x14ac:dyDescent="0.3">
      <c r="A31" s="538"/>
      <c r="B31" s="538"/>
      <c r="C31" s="665" t="s">
        <v>346</v>
      </c>
      <c r="D31" s="666" t="s">
        <v>515</v>
      </c>
      <c r="E31" s="667">
        <v>10000</v>
      </c>
      <c r="F31" s="663"/>
      <c r="G31" s="668">
        <f>IFERROR(E31/E34*100,"")</f>
        <v>16.949152542372879</v>
      </c>
      <c r="H31" s="663"/>
      <c r="I31" s="663"/>
      <c r="J31" s="663"/>
      <c r="K31" s="664"/>
      <c r="L31" s="542"/>
      <c r="M31" s="250"/>
      <c r="N31" s="250"/>
      <c r="O31" s="422"/>
      <c r="P31" s="250"/>
      <c r="Q31" s="250"/>
    </row>
    <row r="32" spans="1:17" ht="15" customHeight="1" x14ac:dyDescent="0.3">
      <c r="A32" s="538"/>
      <c r="B32" s="538"/>
      <c r="C32" s="665" t="s">
        <v>347</v>
      </c>
      <c r="D32" s="666" t="s">
        <v>515</v>
      </c>
      <c r="E32" s="667">
        <v>0</v>
      </c>
      <c r="F32" s="669"/>
      <c r="G32" s="668">
        <f>IFERROR(E32/E34*100,"")</f>
        <v>0</v>
      </c>
      <c r="H32" s="669"/>
      <c r="I32" s="669"/>
      <c r="J32" s="669"/>
      <c r="K32" s="670"/>
    </row>
    <row r="33" spans="1:17" ht="15" customHeight="1" x14ac:dyDescent="0.3">
      <c r="A33" s="538"/>
      <c r="B33" s="538"/>
      <c r="C33" s="665" t="s">
        <v>349</v>
      </c>
      <c r="D33" s="666" t="s">
        <v>515</v>
      </c>
      <c r="E33" s="667">
        <v>5856.0749999999998</v>
      </c>
      <c r="F33" s="669"/>
      <c r="G33" s="668">
        <f>IFERROR(E33/E34*100,"")</f>
        <v>9.9255508474576271</v>
      </c>
      <c r="H33" s="669"/>
      <c r="I33" s="669"/>
      <c r="J33" s="669"/>
      <c r="K33" s="670"/>
    </row>
    <row r="34" spans="1:17" ht="15" customHeight="1" x14ac:dyDescent="0.3">
      <c r="A34" s="538"/>
      <c r="B34" s="538"/>
      <c r="C34" s="659" t="s">
        <v>609</v>
      </c>
      <c r="D34" s="660" t="s">
        <v>515</v>
      </c>
      <c r="E34" s="671">
        <f>Draft!$Z$78</f>
        <v>59000</v>
      </c>
      <c r="F34" s="671"/>
      <c r="G34" s="672">
        <f>SUM(G23:G33)</f>
        <v>100</v>
      </c>
      <c r="H34" s="673"/>
      <c r="I34" s="673"/>
      <c r="J34" s="673"/>
      <c r="K34" s="674"/>
      <c r="O34" s="248" t="s">
        <v>314</v>
      </c>
      <c r="P34" s="249" t="s">
        <v>516</v>
      </c>
    </row>
    <row r="35" spans="1:17" ht="17.100000000000001" customHeight="1" x14ac:dyDescent="0.3">
      <c r="A35" s="538"/>
      <c r="B35" s="538"/>
      <c r="C35" s="560"/>
      <c r="D35" s="545"/>
      <c r="E35" s="545"/>
      <c r="F35" s="545"/>
      <c r="G35" s="545"/>
      <c r="H35" s="545"/>
      <c r="I35" s="545"/>
      <c r="J35" s="545"/>
      <c r="K35" s="696" t="s">
        <v>673</v>
      </c>
      <c r="O35" s="248" t="s">
        <v>316</v>
      </c>
      <c r="P35" s="249" t="s">
        <v>517</v>
      </c>
    </row>
    <row r="36" spans="1:17" ht="17.100000000000001" customHeight="1" x14ac:dyDescent="0.3">
      <c r="A36" s="546"/>
      <c r="B36" s="546"/>
      <c r="C36" s="561" t="s">
        <v>518</v>
      </c>
      <c r="D36" s="539" t="s">
        <v>515</v>
      </c>
      <c r="E36" s="573">
        <f>IF(K36="SIM",Draft!AF77,Draft!Z77)</f>
        <v>58996.599078394887</v>
      </c>
      <c r="F36" s="540" t="s">
        <v>519</v>
      </c>
      <c r="G36" s="573">
        <f>IF(K36="SIM",Draft!AF79,Draft!Z79)</f>
        <v>-3.4009216051126714</v>
      </c>
      <c r="H36" s="541" t="s">
        <v>520</v>
      </c>
      <c r="I36" s="574">
        <f>$G$36/$E$34*100</f>
        <v>-5.7642739069706291E-3</v>
      </c>
      <c r="J36" s="540" t="s">
        <v>521</v>
      </c>
      <c r="K36" s="695" t="s">
        <v>573</v>
      </c>
      <c r="L36" s="249"/>
      <c r="M36" s="250"/>
      <c r="N36" s="250"/>
      <c r="O36" s="248" t="s">
        <v>317</v>
      </c>
      <c r="P36" s="249" t="s">
        <v>522</v>
      </c>
      <c r="Q36" s="250"/>
    </row>
    <row r="37" spans="1:17" ht="17.100000000000001" customHeight="1" x14ac:dyDescent="0.3">
      <c r="A37" s="546"/>
      <c r="B37" s="546"/>
      <c r="C37" s="561" t="s">
        <v>523</v>
      </c>
      <c r="D37" s="539" t="s">
        <v>515</v>
      </c>
      <c r="E37" s="573">
        <f>Draft!$X$82</f>
        <v>59018.563999999998</v>
      </c>
      <c r="F37" s="540" t="s">
        <v>519</v>
      </c>
      <c r="G37" s="573">
        <f>Draft!$AA$82</f>
        <v>18.563999999998487</v>
      </c>
      <c r="H37" s="541" t="s">
        <v>520</v>
      </c>
      <c r="I37" s="574">
        <f>$G$37/$E$34*100</f>
        <v>3.1464406779658449E-2</v>
      </c>
      <c r="J37" s="540" t="s">
        <v>521</v>
      </c>
      <c r="K37" s="562"/>
      <c r="L37" s="249"/>
      <c r="M37" s="250"/>
      <c r="N37" s="250"/>
      <c r="O37" s="248" t="s">
        <v>319</v>
      </c>
      <c r="P37" s="249" t="s">
        <v>524</v>
      </c>
      <c r="Q37" s="250"/>
    </row>
    <row r="38" spans="1:17" ht="17.100000000000001" customHeight="1" x14ac:dyDescent="0.3">
      <c r="A38" s="546"/>
      <c r="B38" s="546"/>
      <c r="C38" s="561" t="s">
        <v>525</v>
      </c>
      <c r="D38" s="539" t="s">
        <v>515</v>
      </c>
      <c r="E38" s="573">
        <f>Draft!$X$83</f>
        <v>59023.142</v>
      </c>
      <c r="F38" s="540" t="s">
        <v>519</v>
      </c>
      <c r="G38" s="573">
        <f>Draft!$AA$83</f>
        <v>23.141999999999825</v>
      </c>
      <c r="H38" s="541" t="s">
        <v>520</v>
      </c>
      <c r="I38" s="574">
        <f>$G$38/$E$34*100</f>
        <v>3.9223728813559025E-2</v>
      </c>
      <c r="J38" s="540" t="s">
        <v>521</v>
      </c>
      <c r="K38" s="562"/>
      <c r="L38" s="249"/>
      <c r="M38" s="250"/>
      <c r="N38" s="250"/>
      <c r="O38" s="248" t="s">
        <v>320</v>
      </c>
      <c r="P38" s="249" t="s">
        <v>526</v>
      </c>
      <c r="Q38" s="250"/>
    </row>
    <row r="39" spans="1:17" ht="17.100000000000001" customHeight="1" x14ac:dyDescent="0.3">
      <c r="A39" s="547"/>
      <c r="B39" s="548" t="str">
        <f>Draft!$U$84</f>
        <v>Consignees:</v>
      </c>
      <c r="C39" s="561" t="str">
        <f>IFERROR(_xlfn.IFS(B39=O34,P34,B39=O35,P35,B39=O36,P36,B39=O37,P37,B39=O38,P38,B39=O39,P39,B39=O40,P40,B39=O41,P41,B39=O42,P42),"")</f>
        <v>Comprador:</v>
      </c>
      <c r="D39" s="539" t="s">
        <v>515</v>
      </c>
      <c r="E39" s="573">
        <f>Draft!$X$84</f>
        <v>59021.83</v>
      </c>
      <c r="F39" s="540" t="s">
        <v>519</v>
      </c>
      <c r="G39" s="573">
        <f>Draft!$AA$84</f>
        <v>21.830000000001746</v>
      </c>
      <c r="H39" s="541" t="s">
        <v>520</v>
      </c>
      <c r="I39" s="574">
        <f>Draft!$AC$84</f>
        <v>3.7000000000002961E-2</v>
      </c>
      <c r="J39" s="540" t="s">
        <v>521</v>
      </c>
      <c r="K39" s="562"/>
      <c r="L39" s="249"/>
      <c r="M39" s="250"/>
      <c r="N39" s="250"/>
      <c r="O39" s="248" t="s">
        <v>321</v>
      </c>
      <c r="P39" s="249" t="s">
        <v>527</v>
      </c>
      <c r="Q39" s="250"/>
    </row>
    <row r="40" spans="1:17" ht="17.100000000000001" customHeight="1" x14ac:dyDescent="0.3">
      <c r="A40" s="547"/>
      <c r="B40" s="548">
        <f>Draft!$U$85</f>
        <v>0</v>
      </c>
      <c r="C40" s="561" t="str">
        <f>IFERROR(_xlfn.IFS(B40=O34,P34,B40=O35,P35,B40=O36,P36,B40=O37,P37,B40=O38,P38,B40=O39,P39,B40=O40,P40,B40=O41,P41,B40=O42,P42),"")</f>
        <v/>
      </c>
      <c r="D40" s="539" t="s">
        <v>515</v>
      </c>
      <c r="E40" s="573">
        <f>Draft!$X$85</f>
        <v>0</v>
      </c>
      <c r="F40" s="540" t="s">
        <v>519</v>
      </c>
      <c r="G40" s="573">
        <f>Draft!$AA$85</f>
        <v>-59000</v>
      </c>
      <c r="H40" s="541" t="s">
        <v>520</v>
      </c>
      <c r="I40" s="574">
        <f>Draft!$AC$85</f>
        <v>-100</v>
      </c>
      <c r="J40" s="540" t="s">
        <v>521</v>
      </c>
      <c r="K40" s="562"/>
      <c r="L40" s="249"/>
      <c r="M40" s="250"/>
      <c r="N40" s="250"/>
      <c r="O40" s="248" t="s">
        <v>322</v>
      </c>
      <c r="P40" s="249" t="s">
        <v>528</v>
      </c>
      <c r="Q40" s="250"/>
    </row>
    <row r="41" spans="1:17" ht="17.100000000000001" customHeight="1" x14ac:dyDescent="0.3">
      <c r="A41" s="547"/>
      <c r="B41" s="548">
        <f>Draft!$U$86</f>
        <v>0</v>
      </c>
      <c r="C41" s="561" t="str">
        <f>IFERROR(_xlfn.IFS(B41=O34,P34,B41=O35,P35,B41=O36,P36,B41=O37,P37,B41=O38,P38,B41=O39,P39,B41=O40,P40,B41=O41,P41,B41=O42,P42),"")</f>
        <v/>
      </c>
      <c r="D41" s="539" t="s">
        <v>515</v>
      </c>
      <c r="E41" s="573">
        <f>Draft!$X$86</f>
        <v>0</v>
      </c>
      <c r="F41" s="540" t="s">
        <v>519</v>
      </c>
      <c r="G41" s="573">
        <f>Draft!$AA$86</f>
        <v>-59000</v>
      </c>
      <c r="H41" s="541" t="s">
        <v>520</v>
      </c>
      <c r="I41" s="574">
        <f>Draft!$AC$86</f>
        <v>-100</v>
      </c>
      <c r="J41" s="540" t="s">
        <v>521</v>
      </c>
      <c r="K41" s="562"/>
      <c r="L41" s="249"/>
      <c r="M41" s="250"/>
      <c r="N41" s="250"/>
      <c r="O41" s="75" t="s">
        <v>63</v>
      </c>
      <c r="P41" s="249" t="s">
        <v>524</v>
      </c>
      <c r="Q41" s="250"/>
    </row>
    <row r="42" spans="1:17" ht="17.100000000000001" customHeight="1" x14ac:dyDescent="0.3">
      <c r="A42" s="547"/>
      <c r="B42" s="548">
        <f>Draft!$U$87</f>
        <v>0</v>
      </c>
      <c r="C42" s="561" t="str">
        <f>IFERROR(_xlfn.IFS(B42=O34,P34,B42=O35,P35,B42=O36,P36,B42=O37,P37,B42=O38,P38,B42=O39,P39,B42=O40,P40,B42=O41,P41,B42=O42,P42),"")</f>
        <v/>
      </c>
      <c r="D42" s="539" t="s">
        <v>515</v>
      </c>
      <c r="E42" s="573">
        <f>Draft!$X$87</f>
        <v>0</v>
      </c>
      <c r="F42" s="540" t="s">
        <v>519</v>
      </c>
      <c r="G42" s="573">
        <f>Draft!$AA$87</f>
        <v>-59000</v>
      </c>
      <c r="H42" s="541" t="s">
        <v>520</v>
      </c>
      <c r="I42" s="574">
        <f>Draft!$AC$87</f>
        <v>-100</v>
      </c>
      <c r="J42" s="540" t="s">
        <v>521</v>
      </c>
      <c r="K42" s="562"/>
      <c r="L42" s="249"/>
      <c r="M42" s="250"/>
      <c r="N42" s="250"/>
      <c r="O42" s="75" t="s">
        <v>604</v>
      </c>
      <c r="P42" s="249" t="s">
        <v>607</v>
      </c>
      <c r="Q42" s="250"/>
    </row>
    <row r="43" spans="1:17" ht="17.100000000000001" customHeight="1" x14ac:dyDescent="0.3">
      <c r="A43" s="547"/>
      <c r="B43" s="548">
        <f>Draft!$U$88</f>
        <v>0</v>
      </c>
      <c r="C43" s="561"/>
      <c r="D43" s="540"/>
      <c r="E43" s="573">
        <f>Draft!$X$88</f>
        <v>0</v>
      </c>
      <c r="F43" s="540" t="s">
        <v>519</v>
      </c>
      <c r="G43" s="573">
        <f>Draft!$Z$88</f>
        <v>0</v>
      </c>
      <c r="H43" s="541" t="s">
        <v>520</v>
      </c>
      <c r="I43" s="574">
        <f>Draft!$AC$88</f>
        <v>0</v>
      </c>
      <c r="J43" s="540" t="s">
        <v>521</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82" t="s">
        <v>670</v>
      </c>
      <c r="D45" s="1183"/>
      <c r="E45" s="1183"/>
      <c r="F45" s="1183"/>
      <c r="G45" s="1183"/>
      <c r="H45" s="1183"/>
      <c r="I45" s="1183"/>
      <c r="J45" s="1183"/>
      <c r="K45" s="1184"/>
    </row>
    <row r="46" spans="1:17" s="693" customFormat="1" ht="18" customHeight="1" x14ac:dyDescent="0.25">
      <c r="C46" s="694" t="s">
        <v>337</v>
      </c>
      <c r="D46" s="1185" t="s">
        <v>666</v>
      </c>
      <c r="E46" s="1185"/>
      <c r="F46" s="1185" t="s">
        <v>671</v>
      </c>
      <c r="G46" s="1185"/>
      <c r="H46" s="1185" t="s">
        <v>672</v>
      </c>
      <c r="I46" s="1185"/>
      <c r="J46" s="1185" t="s">
        <v>338</v>
      </c>
      <c r="K46" s="1185"/>
    </row>
    <row r="47" spans="1:17" ht="12.75" customHeight="1" x14ac:dyDescent="0.2">
      <c r="C47" s="692">
        <v>1</v>
      </c>
      <c r="D47" s="1176">
        <v>10748.09</v>
      </c>
      <c r="E47" s="1176"/>
      <c r="F47" s="1176">
        <v>521357</v>
      </c>
      <c r="G47" s="1176"/>
      <c r="H47" s="1176" t="s">
        <v>771</v>
      </c>
      <c r="I47" s="1176"/>
      <c r="J47" s="1176" t="s">
        <v>773</v>
      </c>
      <c r="K47" s="1176"/>
    </row>
    <row r="48" spans="1:17" ht="12.75" customHeight="1" x14ac:dyDescent="0.2">
      <c r="C48" s="692">
        <v>2</v>
      </c>
      <c r="D48" s="1176">
        <v>12219.365</v>
      </c>
      <c r="E48" s="1176"/>
      <c r="F48" s="1176">
        <v>591477</v>
      </c>
      <c r="G48" s="1176"/>
      <c r="H48" s="1176" t="s">
        <v>771</v>
      </c>
      <c r="I48" s="1176"/>
      <c r="J48" s="1176" t="s">
        <v>773</v>
      </c>
      <c r="K48" s="1176"/>
    </row>
    <row r="49" spans="3:11" ht="12.75" customHeight="1" x14ac:dyDescent="0.2">
      <c r="C49" s="692">
        <v>3</v>
      </c>
      <c r="D49" s="1176">
        <v>11720.035</v>
      </c>
      <c r="E49" s="1176"/>
      <c r="F49" s="1176">
        <v>590919</v>
      </c>
      <c r="G49" s="1176"/>
      <c r="H49" s="1176" t="s">
        <v>772</v>
      </c>
      <c r="I49" s="1176"/>
      <c r="J49" s="1176" t="s">
        <v>773</v>
      </c>
      <c r="K49" s="1176"/>
    </row>
    <row r="50" spans="3:11" ht="12.75" customHeight="1" x14ac:dyDescent="0.2">
      <c r="C50" s="692">
        <v>4</v>
      </c>
      <c r="D50" s="1176">
        <v>12398.795</v>
      </c>
      <c r="E50" s="1176"/>
      <c r="F50" s="1176">
        <v>591843</v>
      </c>
      <c r="G50" s="1176"/>
      <c r="H50" s="1176" t="s">
        <v>771</v>
      </c>
      <c r="I50" s="1176"/>
      <c r="J50" s="1176" t="s">
        <v>773</v>
      </c>
      <c r="K50" s="1176"/>
    </row>
    <row r="51" spans="3:11" ht="12.75" customHeight="1" x14ac:dyDescent="0.2">
      <c r="C51" s="692">
        <v>5</v>
      </c>
      <c r="D51" s="1176">
        <v>11913.715</v>
      </c>
      <c r="E51" s="1176"/>
      <c r="F51" s="1176">
        <v>572109</v>
      </c>
      <c r="G51" s="1176"/>
      <c r="H51" s="1176" t="s">
        <v>771</v>
      </c>
      <c r="I51" s="1176"/>
      <c r="J51" s="1176" t="s">
        <v>773</v>
      </c>
      <c r="K51" s="1176"/>
    </row>
    <row r="52" spans="3:11" ht="12.75" customHeight="1" x14ac:dyDescent="0.2">
      <c r="C52" s="692">
        <v>6</v>
      </c>
      <c r="D52" s="1176"/>
      <c r="E52" s="1176"/>
      <c r="F52" s="1176"/>
      <c r="G52" s="1176"/>
      <c r="H52" s="1176"/>
      <c r="I52" s="1176"/>
      <c r="J52" s="1176"/>
      <c r="K52" s="1176"/>
    </row>
    <row r="53" spans="3:11" ht="12.75" customHeight="1" x14ac:dyDescent="0.2">
      <c r="C53" s="692">
        <v>7</v>
      </c>
      <c r="D53" s="1176"/>
      <c r="E53" s="1176"/>
      <c r="F53" s="1176"/>
      <c r="G53" s="1176"/>
      <c r="H53" s="1176"/>
      <c r="I53" s="1176"/>
      <c r="J53" s="1176"/>
      <c r="K53" s="1176"/>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disablePrompts="1"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6" t="s">
        <v>529</v>
      </c>
      <c r="C8" s="1186"/>
      <c r="D8" s="1186"/>
      <c r="E8" s="1186"/>
    </row>
    <row r="9" spans="2:7" ht="15" x14ac:dyDescent="0.25">
      <c r="B9" s="251" t="s">
        <v>530</v>
      </c>
      <c r="C9" s="251" t="s">
        <v>531</v>
      </c>
      <c r="D9" s="251" t="s">
        <v>532</v>
      </c>
      <c r="E9" s="251" t="s">
        <v>533</v>
      </c>
    </row>
    <row r="10" spans="2:7" x14ac:dyDescent="0.2">
      <c r="B10" s="252" t="str">
        <f>'DADOS E-MAIL '!$C$36</f>
        <v>Standard Brazil</v>
      </c>
      <c r="C10" s="253">
        <f>'DADOS E-MAIL '!$E$36</f>
        <v>58996.599078394887</v>
      </c>
      <c r="D10" s="254">
        <f>C10-$G$10</f>
        <v>-3.4009216051126714</v>
      </c>
      <c r="E10" s="255">
        <f>$D$10/$G$10*100</f>
        <v>-5.7642739069706291E-3</v>
      </c>
      <c r="G10" s="246">
        <f>'DADOS E-MAIL '!$E$34</f>
        <v>59000</v>
      </c>
    </row>
    <row r="11" spans="2:7" x14ac:dyDescent="0.2">
      <c r="B11" s="252" t="str">
        <f>'DADOS E-MAIL '!$C$37</f>
        <v>Comando do navio:</v>
      </c>
      <c r="C11" s="253">
        <f>'DADOS E-MAIL '!$E$37</f>
        <v>59018.563999999998</v>
      </c>
      <c r="D11" s="254">
        <f>C11-$G$11</f>
        <v>18.563999999998487</v>
      </c>
      <c r="E11" s="255">
        <f>$D$11/$G$11*100</f>
        <v>3.1464406779658449E-2</v>
      </c>
      <c r="G11" s="246">
        <f>'DADOS E-MAIL '!$E$34</f>
        <v>59000</v>
      </c>
    </row>
    <row r="12" spans="2:7" x14ac:dyDescent="0.2">
      <c r="B12" s="252" t="str">
        <f>'DADOS E-MAIL '!$C$38</f>
        <v>Receita Federal:</v>
      </c>
      <c r="C12" s="253">
        <f>'DADOS E-MAIL '!$E$38</f>
        <v>59023.142</v>
      </c>
      <c r="D12" s="254">
        <f>C12-$G$12</f>
        <v>23.141999999999825</v>
      </c>
      <c r="E12" s="255">
        <f>$D$12/$G$12*100</f>
        <v>3.9223728813559025E-2</v>
      </c>
      <c r="G12" s="246">
        <f>'DADOS E-MAIL '!$E$34</f>
        <v>59000</v>
      </c>
    </row>
    <row r="14" spans="2:7" x14ac:dyDescent="0.2">
      <c r="B14" s="1186" t="s">
        <v>282</v>
      </c>
      <c r="C14" s="1186"/>
      <c r="D14" s="1186"/>
      <c r="E14" s="1186"/>
    </row>
    <row r="15" spans="2:7" ht="15" x14ac:dyDescent="0.25">
      <c r="B15" s="251" t="s">
        <v>530</v>
      </c>
      <c r="C15" s="251" t="s">
        <v>531</v>
      </c>
      <c r="D15" s="251" t="s">
        <v>532</v>
      </c>
      <c r="E15" s="251" t="s">
        <v>533</v>
      </c>
    </row>
    <row r="16" spans="2:7" x14ac:dyDescent="0.2">
      <c r="B16" s="252" t="str">
        <f>'DADOS E-MAIL '!$C$36</f>
        <v>Standard Brazil</v>
      </c>
      <c r="C16" s="253">
        <f>Draft!$AF$77</f>
        <v>58996.599078394887</v>
      </c>
      <c r="D16" s="254">
        <f>$C$16-$G$16</f>
        <v>-3.4009216051126714</v>
      </c>
      <c r="E16" s="255">
        <f>$D$16/$G$16*100</f>
        <v>-5.7642739069706291E-3</v>
      </c>
      <c r="G16" s="246">
        <f>'DADOS E-MAIL '!$E$34</f>
        <v>59000</v>
      </c>
    </row>
    <row r="17" spans="2:7" x14ac:dyDescent="0.2">
      <c r="B17" s="252" t="str">
        <f>'DADOS E-MAIL '!$C$37</f>
        <v>Comando do navio:</v>
      </c>
      <c r="C17" s="253">
        <f>'DADOS E-MAIL '!$E$37</f>
        <v>59018.563999999998</v>
      </c>
      <c r="D17" s="254">
        <f>C17-$G$11</f>
        <v>18.563999999998487</v>
      </c>
      <c r="E17" s="255">
        <f>$D$11/$G$11*100</f>
        <v>3.1464406779658449E-2</v>
      </c>
      <c r="G17" s="246">
        <f>'DADOS E-MAIL '!$E$34</f>
        <v>59000</v>
      </c>
    </row>
    <row r="18" spans="2:7" x14ac:dyDescent="0.2">
      <c r="B18" s="252" t="str">
        <f>'DADOS E-MAIL '!$C$38</f>
        <v>Receita Federal:</v>
      </c>
      <c r="C18" s="253">
        <f>'DADOS E-MAIL '!$E$38</f>
        <v>59023.142</v>
      </c>
      <c r="D18" s="254">
        <f>C18-$G$12</f>
        <v>23.141999999999825</v>
      </c>
      <c r="E18" s="255">
        <f>$D$12/$G$12*100</f>
        <v>3.9223728813559025E-2</v>
      </c>
      <c r="G18" s="246">
        <f>'DADOS E-MAIL '!$E$34</f>
        <v>59000</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4"/>
  <sheetViews>
    <sheetView zoomScaleNormal="100" zoomScaleSheetLayoutView="100" workbookViewId="0">
      <selection activeCell="Z25" sqref="Z25"/>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41" t="str">
        <f>(_xlfn.CONCAT("MV ",CAPA!B8))</f>
        <v>MV Karlovasi</v>
      </c>
      <c r="I2" s="1241"/>
      <c r="J2" s="1241"/>
      <c r="K2" s="1241"/>
      <c r="L2" s="1241"/>
      <c r="M2" s="1241"/>
      <c r="N2" s="1241"/>
      <c r="O2" s="1241"/>
      <c r="P2" s="309"/>
      <c r="Q2" s="309"/>
      <c r="R2" s="1242" t="s">
        <v>662</v>
      </c>
      <c r="S2" s="1242"/>
      <c r="T2" s="1242"/>
      <c r="U2" s="1242"/>
      <c r="V2" s="309"/>
    </row>
    <row r="3" spans="1:22" x14ac:dyDescent="0.25">
      <c r="A3" s="309"/>
      <c r="B3" s="309"/>
      <c r="C3" s="309"/>
      <c r="D3" s="309"/>
      <c r="E3" s="309"/>
      <c r="F3" s="309"/>
      <c r="G3" s="309"/>
      <c r="H3" s="1241"/>
      <c r="I3" s="1241"/>
      <c r="J3" s="1241"/>
      <c r="K3" s="1241"/>
      <c r="L3" s="1241"/>
      <c r="M3" s="1241"/>
      <c r="N3" s="1241"/>
      <c r="O3" s="1241"/>
      <c r="P3" s="309"/>
      <c r="Q3" s="309"/>
      <c r="R3" s="1243">
        <f>Draft!Z78</f>
        <v>59000</v>
      </c>
      <c r="S3" s="1243"/>
      <c r="T3" s="1243"/>
      <c r="U3" s="1243"/>
      <c r="V3" s="309"/>
    </row>
    <row r="4" spans="1:22" x14ac:dyDescent="0.25">
      <c r="A4" s="309"/>
      <c r="B4" s="309"/>
      <c r="C4" s="309"/>
      <c r="D4" s="309"/>
      <c r="E4" s="309"/>
      <c r="F4" s="309"/>
      <c r="G4" s="309"/>
      <c r="H4" s="309"/>
      <c r="I4" s="309"/>
      <c r="J4" s="309"/>
      <c r="K4" s="309"/>
      <c r="L4" s="309"/>
      <c r="M4" s="309"/>
      <c r="N4" s="309"/>
      <c r="O4" s="309"/>
      <c r="P4" s="309"/>
      <c r="Q4" s="309"/>
      <c r="R4" s="1242"/>
      <c r="S4" s="1242"/>
      <c r="T4" s="1242"/>
      <c r="U4" s="1242"/>
      <c r="V4" s="309"/>
    </row>
    <row r="5" spans="1:22" ht="15.75" thickBot="1" x14ac:dyDescent="0.3">
      <c r="A5" s="309"/>
      <c r="B5" s="309"/>
      <c r="C5" s="309"/>
      <c r="D5" s="309"/>
      <c r="E5" s="309"/>
      <c r="F5" s="309"/>
      <c r="G5" s="309"/>
      <c r="H5" s="697"/>
      <c r="I5" s="697"/>
      <c r="J5" s="697"/>
      <c r="K5" s="697"/>
      <c r="L5" s="697"/>
      <c r="M5" s="697"/>
      <c r="N5" s="697"/>
      <c r="O5" s="697"/>
      <c r="P5" s="309"/>
      <c r="Q5" s="309"/>
      <c r="R5" s="309"/>
      <c r="S5" s="309"/>
      <c r="T5" s="309"/>
      <c r="U5" s="309"/>
      <c r="V5" s="309"/>
    </row>
    <row r="6" spans="1:22" ht="20.25" thickTop="1" thickBot="1" x14ac:dyDescent="0.35">
      <c r="A6" s="309"/>
      <c r="B6" s="309"/>
      <c r="C6" s="309"/>
      <c r="D6" s="309"/>
      <c r="E6" s="309"/>
      <c r="F6" s="309"/>
      <c r="G6" s="309"/>
      <c r="H6" s="1244" t="s">
        <v>661</v>
      </c>
      <c r="I6" s="1244"/>
      <c r="J6" s="1244"/>
      <c r="K6" s="1245"/>
      <c r="L6" s="1246" t="s">
        <v>660</v>
      </c>
      <c r="M6" s="1244"/>
      <c r="N6" s="1244"/>
      <c r="O6" s="1244"/>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47" t="s">
        <v>659</v>
      </c>
      <c r="D9" s="1247"/>
      <c r="E9" s="1247"/>
      <c r="F9" s="1247"/>
      <c r="G9" s="1247"/>
      <c r="H9" s="1247"/>
      <c r="I9" s="1247"/>
      <c r="J9" s="1247"/>
      <c r="K9" s="1247"/>
      <c r="L9" s="1247"/>
      <c r="M9" s="1247"/>
      <c r="N9" s="1247"/>
      <c r="O9" s="1247"/>
      <c r="P9" s="1247"/>
      <c r="Q9" s="1247"/>
      <c r="R9" s="1247"/>
      <c r="S9" s="1247"/>
      <c r="T9" s="1247"/>
      <c r="U9" s="309"/>
      <c r="V9" s="309"/>
    </row>
    <row r="10" spans="1:22" ht="15" customHeight="1" x14ac:dyDescent="0.25">
      <c r="A10" s="309"/>
      <c r="B10" s="309"/>
      <c r="C10" s="1247"/>
      <c r="D10" s="1247"/>
      <c r="E10" s="1247"/>
      <c r="F10" s="1247"/>
      <c r="G10" s="1247"/>
      <c r="H10" s="1247"/>
      <c r="I10" s="1247"/>
      <c r="J10" s="1247"/>
      <c r="K10" s="1247"/>
      <c r="L10" s="1247"/>
      <c r="M10" s="1247"/>
      <c r="N10" s="1247"/>
      <c r="O10" s="1247"/>
      <c r="P10" s="1247"/>
      <c r="Q10" s="1247"/>
      <c r="R10" s="1247"/>
      <c r="S10" s="1247"/>
      <c r="T10" s="1247"/>
      <c r="U10" s="309"/>
      <c r="V10" s="309"/>
    </row>
    <row r="11" spans="1:22" ht="15" customHeight="1" x14ac:dyDescent="0.25">
      <c r="A11" s="309"/>
      <c r="B11" s="309"/>
      <c r="C11" s="1247"/>
      <c r="D11" s="1247"/>
      <c r="E11" s="1247"/>
      <c r="F11" s="1247"/>
      <c r="G11" s="1247"/>
      <c r="H11" s="1247"/>
      <c r="I11" s="1247"/>
      <c r="J11" s="1247"/>
      <c r="K11" s="1247"/>
      <c r="L11" s="1247"/>
      <c r="M11" s="1247"/>
      <c r="N11" s="1247"/>
      <c r="O11" s="1247"/>
      <c r="P11" s="1247"/>
      <c r="Q11" s="1247"/>
      <c r="R11" s="1247"/>
      <c r="S11" s="1247"/>
      <c r="T11" s="1247"/>
      <c r="U11" s="309"/>
      <c r="V11" s="309"/>
    </row>
    <row r="12" spans="1:22" ht="18" customHeight="1" x14ac:dyDescent="0.25">
      <c r="A12" s="309"/>
      <c r="B12" s="309"/>
      <c r="C12" s="1247"/>
      <c r="D12" s="1247"/>
      <c r="E12" s="1247"/>
      <c r="F12" s="1247"/>
      <c r="G12" s="1247"/>
      <c r="H12" s="1247"/>
      <c r="I12" s="1247"/>
      <c r="J12" s="1247"/>
      <c r="K12" s="1247"/>
      <c r="L12" s="1247"/>
      <c r="M12" s="1247"/>
      <c r="N12" s="1247"/>
      <c r="O12" s="1247"/>
      <c r="P12" s="1247"/>
      <c r="Q12" s="1247"/>
      <c r="R12" s="1247"/>
      <c r="S12" s="1247"/>
      <c r="T12" s="1247"/>
      <c r="U12" s="309"/>
      <c r="V12" s="309"/>
    </row>
    <row r="13" spans="1:22" ht="18" customHeight="1" x14ac:dyDescent="0.25">
      <c r="A13" s="309"/>
      <c r="B13" s="309"/>
      <c r="C13" s="698"/>
      <c r="D13" s="698"/>
      <c r="E13" s="698"/>
      <c r="F13" s="698"/>
      <c r="G13" s="698"/>
      <c r="H13" s="698"/>
      <c r="I13" s="698"/>
      <c r="J13" s="698"/>
      <c r="K13" s="698"/>
      <c r="L13" s="698"/>
      <c r="M13" s="698"/>
      <c r="N13" s="698"/>
      <c r="O13" s="698"/>
      <c r="P13" s="698"/>
      <c r="Q13" s="698"/>
      <c r="R13" s="698"/>
      <c r="S13" s="698"/>
      <c r="T13" s="698"/>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20" t="s">
        <v>658</v>
      </c>
      <c r="C16" s="1220"/>
      <c r="D16" s="1220"/>
      <c r="E16" s="1220"/>
      <c r="F16" s="1220"/>
      <c r="G16" s="1220"/>
      <c r="H16" s="1220"/>
      <c r="I16" s="1220"/>
      <c r="J16" s="1220"/>
      <c r="K16" s="309"/>
      <c r="L16" s="685"/>
      <c r="M16" s="1220" t="s">
        <v>657</v>
      </c>
      <c r="N16" s="1220"/>
      <c r="O16" s="1220"/>
      <c r="P16" s="1220"/>
      <c r="Q16" s="1220"/>
      <c r="R16" s="1220"/>
      <c r="S16" s="1220"/>
      <c r="T16" s="1220"/>
      <c r="U16" s="1220"/>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48" t="s">
        <v>656</v>
      </c>
      <c r="C18" s="1248"/>
      <c r="D18" s="1248" t="s">
        <v>655</v>
      </c>
      <c r="E18" s="1248"/>
      <c r="F18" s="1248" t="s">
        <v>654</v>
      </c>
      <c r="G18" s="1248"/>
      <c r="H18" s="1248"/>
      <c r="I18" s="1248"/>
      <c r="J18" s="1248"/>
      <c r="K18" s="309"/>
      <c r="L18" s="309"/>
      <c r="M18" s="1248" t="s">
        <v>656</v>
      </c>
      <c r="N18" s="1248"/>
      <c r="O18" s="1248" t="s">
        <v>655</v>
      </c>
      <c r="P18" s="1248"/>
      <c r="Q18" s="1248" t="s">
        <v>654</v>
      </c>
      <c r="R18" s="1248"/>
      <c r="S18" s="1248"/>
      <c r="T18" s="1248"/>
      <c r="U18" s="1248"/>
      <c r="V18" s="309"/>
    </row>
    <row r="19" spans="1:22" x14ac:dyDescent="0.25">
      <c r="A19" s="309"/>
      <c r="B19" s="1238"/>
      <c r="C19" s="1239"/>
      <c r="D19" s="1239"/>
      <c r="E19" s="1239"/>
      <c r="F19" s="1240"/>
      <c r="G19" s="1240"/>
      <c r="H19" s="1240"/>
      <c r="I19" s="1240"/>
      <c r="J19" s="1240"/>
      <c r="K19" s="309"/>
      <c r="L19" s="309"/>
      <c r="M19" s="1238"/>
      <c r="N19" s="1239"/>
      <c r="O19" s="1239"/>
      <c r="P19" s="1239"/>
      <c r="Q19" s="1240"/>
      <c r="R19" s="1240"/>
      <c r="S19" s="1240"/>
      <c r="T19" s="1240"/>
      <c r="U19" s="1240"/>
      <c r="V19" s="309"/>
    </row>
    <row r="20" spans="1:22" ht="15.75" x14ac:dyDescent="0.25">
      <c r="A20" s="309"/>
      <c r="B20" s="1234">
        <f>Draft!E4</f>
        <v>46096</v>
      </c>
      <c r="C20" s="1235"/>
      <c r="D20" s="1236" t="str">
        <f>_xlfn.CONCAT(TEXT(Draft!O4,"hh:mm")," - ",TEXT(Draft!O6,"hh:mm")," h")</f>
        <v>18:00 - 20:30 h</v>
      </c>
      <c r="E20" s="1235"/>
      <c r="F20" s="1237" t="s">
        <v>653</v>
      </c>
      <c r="G20" s="1237"/>
      <c r="H20" s="1237"/>
      <c r="I20" s="1237"/>
      <c r="J20" s="1237"/>
      <c r="K20" s="699"/>
      <c r="L20" s="699"/>
      <c r="M20" s="1234">
        <v>46097</v>
      </c>
      <c r="N20" s="1235"/>
      <c r="O20" s="1236">
        <v>0.62847222222222221</v>
      </c>
      <c r="P20" s="1235"/>
      <c r="Q20" s="1237" t="s">
        <v>652</v>
      </c>
      <c r="R20" s="1237"/>
      <c r="S20" s="1237"/>
      <c r="T20" s="1237"/>
      <c r="U20" s="1237"/>
      <c r="V20" s="309"/>
    </row>
    <row r="21" spans="1:22" ht="15.75" x14ac:dyDescent="0.25">
      <c r="A21" s="309"/>
      <c r="B21" s="1234">
        <f>Draft!X4</f>
        <v>46099</v>
      </c>
      <c r="C21" s="1235"/>
      <c r="D21" s="1236" t="str">
        <f>_xlfn.CONCAT(TEXT(Draft!AH4,"hh:mm")," - ",TEXT(Draft!AH6,"hh:mm")," h")</f>
        <v>07:30 - 09:30 h</v>
      </c>
      <c r="E21" s="1235"/>
      <c r="F21" s="1237" t="s">
        <v>651</v>
      </c>
      <c r="G21" s="1237"/>
      <c r="H21" s="1237"/>
      <c r="I21" s="1237"/>
      <c r="J21" s="1237"/>
      <c r="K21" s="699"/>
      <c r="L21" s="699"/>
      <c r="M21" s="1234">
        <v>46099</v>
      </c>
      <c r="N21" s="1235"/>
      <c r="O21" s="1236">
        <v>0.29166666666666669</v>
      </c>
      <c r="P21" s="1235"/>
      <c r="Q21" s="1237" t="s">
        <v>650</v>
      </c>
      <c r="R21" s="1237"/>
      <c r="S21" s="1237"/>
      <c r="T21" s="1237"/>
      <c r="U21" s="1237"/>
      <c r="V21" s="309"/>
    </row>
    <row r="22" spans="1:22" x14ac:dyDescent="0.25">
      <c r="A22" s="309"/>
      <c r="B22" s="1224"/>
      <c r="C22" s="1225"/>
      <c r="D22" s="1226"/>
      <c r="E22" s="1225"/>
      <c r="F22" s="1227"/>
      <c r="G22" s="1227"/>
      <c r="H22" s="1227"/>
      <c r="I22" s="1227"/>
      <c r="J22" s="1227"/>
      <c r="K22" s="309"/>
      <c r="L22" s="309"/>
      <c r="M22" s="1224"/>
      <c r="N22" s="1225"/>
      <c r="O22" s="1226"/>
      <c r="P22" s="1225"/>
      <c r="Q22" s="1227"/>
      <c r="R22" s="1227"/>
      <c r="S22" s="1227"/>
      <c r="T22" s="1227"/>
      <c r="U22" s="1227"/>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20" t="s">
        <v>649</v>
      </c>
      <c r="E26" s="1220"/>
      <c r="F26" s="1220"/>
      <c r="G26" s="1220"/>
      <c r="H26" s="1220"/>
      <c r="I26" s="1220"/>
      <c r="J26" s="1220"/>
      <c r="K26" s="1220"/>
      <c r="L26" s="1220"/>
      <c r="M26" s="1220"/>
      <c r="N26" s="1220"/>
      <c r="O26" s="1220"/>
      <c r="P26" s="1220"/>
      <c r="Q26" s="1220"/>
      <c r="R26" s="1220"/>
      <c r="S26" s="1220"/>
      <c r="T26" s="309"/>
      <c r="U26" s="309"/>
      <c r="V26" s="309"/>
    </row>
    <row r="27" spans="1:22" x14ac:dyDescent="0.25">
      <c r="A27" s="309"/>
      <c r="B27" s="309"/>
      <c r="C27" s="309"/>
      <c r="D27" s="309"/>
      <c r="E27" s="309"/>
      <c r="F27" s="309"/>
      <c r="G27" s="309"/>
      <c r="H27" s="309"/>
      <c r="I27" s="309"/>
      <c r="J27" s="309"/>
      <c r="K27" s="309"/>
      <c r="L27" s="685"/>
      <c r="M27" s="309"/>
      <c r="N27" s="309"/>
      <c r="O27" s="309"/>
      <c r="P27" s="309"/>
      <c r="Q27" s="309"/>
      <c r="R27" s="309"/>
      <c r="S27" s="309"/>
      <c r="T27" s="309"/>
      <c r="U27" s="309"/>
      <c r="V27" s="309"/>
    </row>
    <row r="28" spans="1:22" x14ac:dyDescent="0.25">
      <c r="A28" s="309"/>
      <c r="B28" s="687"/>
      <c r="C28" s="687"/>
      <c r="D28" s="687"/>
      <c r="E28" s="687"/>
      <c r="F28" s="687"/>
      <c r="G28" s="687"/>
      <c r="H28" s="687"/>
      <c r="I28" s="687"/>
      <c r="J28" s="687"/>
      <c r="K28" s="309"/>
      <c r="L28" s="685"/>
      <c r="M28" s="687"/>
      <c r="N28" s="687"/>
      <c r="O28" s="687"/>
      <c r="P28" s="687"/>
      <c r="Q28" s="687"/>
      <c r="R28" s="687"/>
      <c r="S28" s="687"/>
      <c r="T28" s="687"/>
      <c r="U28" s="687"/>
      <c r="V28" s="309"/>
    </row>
    <row r="29" spans="1:22" ht="28.5" x14ac:dyDescent="0.25">
      <c r="A29" s="309"/>
      <c r="B29" s="687"/>
      <c r="C29" s="687"/>
      <c r="D29" s="687"/>
      <c r="E29" s="687"/>
      <c r="F29" s="687"/>
      <c r="G29" s="1228">
        <f>H67</f>
        <v>59000</v>
      </c>
      <c r="H29" s="1229"/>
      <c r="I29" s="1229"/>
      <c r="J29" s="1229"/>
      <c r="K29" s="1229"/>
      <c r="L29" s="1229"/>
      <c r="M29" s="1229"/>
      <c r="N29" s="1229"/>
      <c r="O29" s="1229"/>
      <c r="P29" s="1229"/>
      <c r="Q29" s="1229"/>
      <c r="R29" s="1229"/>
      <c r="S29" s="687"/>
      <c r="T29" s="687"/>
      <c r="U29" s="687"/>
      <c r="V29" s="309"/>
    </row>
    <row r="30" spans="1:22" ht="18.75" x14ac:dyDescent="0.3">
      <c r="A30" s="309"/>
      <c r="B30" s="688"/>
      <c r="C30" s="684"/>
      <c r="D30" s="701"/>
      <c r="E30" s="703"/>
      <c r="F30" s="703"/>
      <c r="G30" s="1230" t="s">
        <v>611</v>
      </c>
      <c r="H30" s="1231"/>
      <c r="I30" s="1231"/>
      <c r="J30" s="1231"/>
      <c r="K30" s="1232" t="s">
        <v>648</v>
      </c>
      <c r="L30" s="1233"/>
      <c r="M30" s="1233"/>
      <c r="N30" s="1233"/>
      <c r="O30" s="1232" t="s">
        <v>648</v>
      </c>
      <c r="P30" s="1233"/>
      <c r="Q30" s="1233"/>
      <c r="R30" s="1233"/>
      <c r="S30" s="684"/>
      <c r="T30" s="684"/>
      <c r="U30" s="688"/>
      <c r="V30" s="309"/>
    </row>
    <row r="31" spans="1:22" ht="18.75" x14ac:dyDescent="0.3">
      <c r="A31" s="309"/>
      <c r="B31" s="309"/>
      <c r="C31" s="684"/>
      <c r="D31" s="702" t="s">
        <v>647</v>
      </c>
      <c r="E31" s="702"/>
      <c r="F31" s="702"/>
      <c r="G31" s="1230" t="s">
        <v>646</v>
      </c>
      <c r="H31" s="1231"/>
      <c r="I31" s="1231"/>
      <c r="J31" s="1231"/>
      <c r="K31" s="1230" t="s">
        <v>646</v>
      </c>
      <c r="L31" s="1231"/>
      <c r="M31" s="1231"/>
      <c r="N31" s="1231"/>
      <c r="O31" s="1232" t="s">
        <v>645</v>
      </c>
      <c r="P31" s="1233"/>
      <c r="Q31" s="1233"/>
      <c r="R31" s="1233"/>
      <c r="S31" s="1218"/>
      <c r="T31" s="1218"/>
      <c r="U31" s="309"/>
      <c r="V31" s="309"/>
    </row>
    <row r="32" spans="1:22" ht="18.75" x14ac:dyDescent="0.3">
      <c r="A32" s="309"/>
      <c r="B32" s="309"/>
      <c r="C32" s="700"/>
      <c r="D32" s="701" t="str">
        <f>'DADOS E-MAIL '!C36</f>
        <v>Standard Brazil</v>
      </c>
      <c r="E32" s="703"/>
      <c r="F32" s="703"/>
      <c r="G32" s="1209">
        <f>'DADOS E-MAIL '!E36</f>
        <v>58996.599078394887</v>
      </c>
      <c r="H32" s="1210"/>
      <c r="I32" s="1210"/>
      <c r="J32" s="1210"/>
      <c r="K32" s="1211">
        <f>'DADOS E-MAIL '!G36</f>
        <v>-3.4009216051126714</v>
      </c>
      <c r="L32" s="1212"/>
      <c r="M32" s="1212"/>
      <c r="N32" s="1213"/>
      <c r="O32" s="1214">
        <f>IFERROR('DADOS E-MAIL '!I36,"")</f>
        <v>-5.7642739069706291E-3</v>
      </c>
      <c r="P32" s="1215"/>
      <c r="Q32" s="1215"/>
      <c r="R32" s="1215"/>
      <c r="S32" s="1206"/>
      <c r="T32" s="1206"/>
      <c r="U32" s="309"/>
      <c r="V32" s="309"/>
    </row>
    <row r="33" spans="1:22" ht="18.75" x14ac:dyDescent="0.3">
      <c r="A33" s="309"/>
      <c r="B33" s="309"/>
      <c r="C33" s="700"/>
      <c r="D33" s="701" t="str">
        <f>'DADOS E-MAIL '!C37</f>
        <v>Comando do navio:</v>
      </c>
      <c r="E33" s="703"/>
      <c r="F33" s="703"/>
      <c r="G33" s="1209">
        <f>'DADOS E-MAIL '!E37</f>
        <v>59018.563999999998</v>
      </c>
      <c r="H33" s="1210"/>
      <c r="I33" s="1210"/>
      <c r="J33" s="1210"/>
      <c r="K33" s="1211">
        <f>'DADOS E-MAIL '!G37</f>
        <v>18.563999999998487</v>
      </c>
      <c r="L33" s="1212"/>
      <c r="M33" s="1212"/>
      <c r="N33" s="1213"/>
      <c r="O33" s="1214">
        <f>IFERROR('DADOS E-MAIL '!I37,"")</f>
        <v>3.1464406779658449E-2</v>
      </c>
      <c r="P33" s="1215"/>
      <c r="Q33" s="1215"/>
      <c r="R33" s="1215"/>
      <c r="S33" s="1206"/>
      <c r="T33" s="1206"/>
      <c r="U33" s="309"/>
      <c r="V33" s="309"/>
    </row>
    <row r="34" spans="1:22" ht="18.75" x14ac:dyDescent="0.3">
      <c r="A34" s="309"/>
      <c r="B34" s="309"/>
      <c r="C34" s="700"/>
      <c r="D34" s="701" t="str">
        <f>'DADOS E-MAIL '!C38</f>
        <v>Receita Federal:</v>
      </c>
      <c r="E34" s="703"/>
      <c r="F34" s="703"/>
      <c r="G34" s="1209">
        <f>'DADOS E-MAIL '!E38</f>
        <v>59023.142</v>
      </c>
      <c r="H34" s="1210"/>
      <c r="I34" s="1210"/>
      <c r="J34" s="1210"/>
      <c r="K34" s="1211">
        <f>'DADOS E-MAIL '!G38</f>
        <v>23.141999999999825</v>
      </c>
      <c r="L34" s="1212"/>
      <c r="M34" s="1212"/>
      <c r="N34" s="1213"/>
      <c r="O34" s="1214">
        <f>IFERROR('DADOS E-MAIL '!I38,"")</f>
        <v>3.9223728813559025E-2</v>
      </c>
      <c r="P34" s="1215"/>
      <c r="Q34" s="1215"/>
      <c r="R34" s="1215"/>
      <c r="S34" s="1206"/>
      <c r="T34" s="1206"/>
      <c r="U34" s="309"/>
      <c r="V34" s="309"/>
    </row>
    <row r="35" spans="1:22" ht="18.75" x14ac:dyDescent="0.3">
      <c r="A35" s="309"/>
      <c r="B35" s="309"/>
      <c r="C35" s="683"/>
      <c r="D35" s="701" t="str">
        <f>'DADOS E-MAIL '!C39</f>
        <v>Comprador:</v>
      </c>
      <c r="E35" s="703"/>
      <c r="F35" s="703"/>
      <c r="G35" s="1209">
        <f>IF(D35="","",'DADOS E-MAIL '!E39)</f>
        <v>59021.83</v>
      </c>
      <c r="H35" s="1210"/>
      <c r="I35" s="1210"/>
      <c r="J35" s="1210"/>
      <c r="K35" s="1211">
        <f>IF(D35="","",'DADOS E-MAIL '!G39)</f>
        <v>21.830000000001746</v>
      </c>
      <c r="L35" s="1212"/>
      <c r="M35" s="1212"/>
      <c r="N35" s="1212"/>
      <c r="O35" s="1214">
        <f>IF(D35="","",'DADOS E-MAIL '!I39)</f>
        <v>3.7000000000002961E-2</v>
      </c>
      <c r="P35" s="1215"/>
      <c r="Q35" s="1215"/>
      <c r="R35" s="1215"/>
      <c r="S35" s="1207"/>
      <c r="T35" s="1207"/>
      <c r="U35" s="309"/>
      <c r="V35" s="309"/>
    </row>
    <row r="36" spans="1:22" x14ac:dyDescent="0.25">
      <c r="A36" s="309"/>
      <c r="B36" s="309"/>
      <c r="C36" s="309"/>
      <c r="D36" s="309"/>
      <c r="E36" s="309"/>
      <c r="F36" s="309"/>
      <c r="G36" s="309"/>
      <c r="H36" s="309"/>
      <c r="I36" s="309"/>
      <c r="J36" s="309"/>
      <c r="K36" s="309"/>
      <c r="L36" s="309"/>
      <c r="M36" s="309"/>
      <c r="N36" s="309"/>
      <c r="O36" s="309"/>
      <c r="P36" s="309"/>
      <c r="Q36" s="309"/>
      <c r="R36" s="309"/>
      <c r="S36" s="309"/>
      <c r="T36" s="309"/>
      <c r="U36" s="309"/>
      <c r="V36" s="309"/>
    </row>
    <row r="37" spans="1:22" x14ac:dyDescent="0.25">
      <c r="A37" s="309"/>
      <c r="B37" s="309"/>
      <c r="C37" s="309"/>
      <c r="D37" s="309"/>
      <c r="E37" s="309"/>
      <c r="F37" s="309"/>
      <c r="G37" s="309"/>
      <c r="H37" s="309"/>
      <c r="I37" s="309"/>
      <c r="J37" s="309"/>
      <c r="K37" s="309"/>
      <c r="L37" s="309"/>
      <c r="M37" s="309"/>
      <c r="N37" s="309"/>
      <c r="O37" s="309"/>
      <c r="P37" s="309"/>
      <c r="Q37" s="309"/>
      <c r="R37" s="309"/>
      <c r="S37" s="309"/>
      <c r="T37" s="309"/>
      <c r="U37" s="309"/>
      <c r="V37" s="309"/>
    </row>
    <row r="38" spans="1:22" x14ac:dyDescent="0.25">
      <c r="A38" s="309"/>
      <c r="B38" s="309"/>
      <c r="C38" s="309"/>
      <c r="D38" s="1220" t="s">
        <v>610</v>
      </c>
      <c r="E38" s="1220"/>
      <c r="F38" s="1220"/>
      <c r="G38" s="1220"/>
      <c r="H38" s="1220"/>
      <c r="I38" s="1220"/>
      <c r="J38" s="1220"/>
      <c r="K38" s="1220"/>
      <c r="L38" s="1220"/>
      <c r="M38" s="1220"/>
      <c r="N38" s="1220"/>
      <c r="O38" s="1220"/>
      <c r="P38" s="1220"/>
      <c r="Q38" s="1220"/>
      <c r="R38" s="1220"/>
      <c r="S38" s="1220"/>
      <c r="T38" s="685"/>
      <c r="U38" s="309"/>
      <c r="V38" s="309"/>
    </row>
    <row r="39" spans="1:22" x14ac:dyDescent="0.25">
      <c r="A39" s="309"/>
      <c r="B39" s="309"/>
      <c r="C39" s="309"/>
      <c r="D39" s="687"/>
      <c r="E39" s="687"/>
      <c r="F39" s="687"/>
      <c r="G39" s="687"/>
      <c r="H39" s="687"/>
      <c r="I39" s="687"/>
      <c r="J39" s="687"/>
      <c r="K39" s="687"/>
      <c r="L39" s="687"/>
      <c r="M39" s="687"/>
      <c r="N39" s="687"/>
      <c r="O39" s="687"/>
      <c r="P39" s="687"/>
      <c r="Q39" s="687"/>
      <c r="R39" s="687"/>
      <c r="S39" s="687"/>
      <c r="T39" s="685"/>
      <c r="U39" s="309"/>
      <c r="V39" s="309"/>
    </row>
    <row r="40" spans="1:22" x14ac:dyDescent="0.25">
      <c r="A40" s="309"/>
      <c r="B40" s="309"/>
      <c r="C40" s="309"/>
      <c r="D40" s="687"/>
      <c r="E40" s="687"/>
      <c r="F40" s="687"/>
      <c r="G40" s="687"/>
      <c r="H40" s="687"/>
      <c r="I40" s="687"/>
      <c r="J40" s="687"/>
      <c r="K40" s="687"/>
      <c r="L40" s="687"/>
      <c r="M40" s="687"/>
      <c r="N40" s="687"/>
      <c r="O40" s="687"/>
      <c r="P40" s="687"/>
      <c r="Q40" s="687"/>
      <c r="R40" s="687"/>
      <c r="S40" s="687"/>
      <c r="T40" s="685"/>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1219"/>
      <c r="D58" s="1219"/>
      <c r="E58" s="1219"/>
      <c r="F58" s="1219"/>
      <c r="G58" s="1219"/>
      <c r="H58" s="1219"/>
      <c r="I58" s="1219"/>
      <c r="J58" s="1219"/>
      <c r="K58" s="685"/>
      <c r="L58" s="685"/>
      <c r="M58" s="1219"/>
      <c r="N58" s="1219"/>
      <c r="O58" s="1219"/>
      <c r="P58" s="1219"/>
      <c r="Q58" s="1219"/>
      <c r="R58" s="1219"/>
      <c r="S58" s="1219"/>
      <c r="T58" s="1219"/>
      <c r="U58" s="309"/>
      <c r="V58" s="309"/>
    </row>
    <row r="59" spans="1:22" x14ac:dyDescent="0.25">
      <c r="A59" s="309"/>
      <c r="B59" s="309"/>
      <c r="C59" s="1218"/>
      <c r="D59" s="1218"/>
      <c r="E59" s="1218"/>
      <c r="F59" s="1218"/>
      <c r="G59" s="1218"/>
      <c r="H59" s="1218"/>
      <c r="I59" s="1218"/>
      <c r="J59" s="1218"/>
      <c r="K59" s="684"/>
      <c r="L59" s="684"/>
      <c r="M59" s="1218"/>
      <c r="N59" s="1218"/>
      <c r="O59" s="1218"/>
      <c r="P59" s="1218"/>
      <c r="Q59" s="1218"/>
      <c r="R59" s="1218"/>
      <c r="S59" s="1218"/>
      <c r="T59" s="1218"/>
      <c r="U59" s="309"/>
      <c r="V59" s="309"/>
    </row>
    <row r="60" spans="1:22" x14ac:dyDescent="0.25">
      <c r="A60" s="309"/>
      <c r="B60" s="309"/>
      <c r="C60" s="1223"/>
      <c r="D60" s="1223"/>
      <c r="E60" s="1223"/>
      <c r="F60" s="1223"/>
      <c r="G60" s="1223"/>
      <c r="H60" s="1223"/>
      <c r="I60" s="1223"/>
      <c r="J60" s="1223"/>
      <c r="K60" s="309"/>
      <c r="L60" s="309"/>
      <c r="M60" s="309"/>
      <c r="N60" s="309"/>
      <c r="O60" s="309"/>
      <c r="P60" s="309"/>
      <c r="Q60" s="309"/>
      <c r="R60" s="309"/>
      <c r="S60" s="309"/>
      <c r="T60" s="309"/>
      <c r="U60" s="309"/>
      <c r="V60" s="309"/>
    </row>
    <row r="61" spans="1:22" x14ac:dyDescent="0.25">
      <c r="A61" s="309"/>
      <c r="B61" s="309"/>
      <c r="C61" s="309"/>
      <c r="D61" s="1220" t="s">
        <v>644</v>
      </c>
      <c r="E61" s="1220"/>
      <c r="F61" s="1220"/>
      <c r="G61" s="1220"/>
      <c r="H61" s="1220"/>
      <c r="I61" s="1220"/>
      <c r="J61" s="1220"/>
      <c r="K61" s="1220"/>
      <c r="L61" s="1220"/>
      <c r="M61" s="1220"/>
      <c r="N61" s="1220"/>
      <c r="O61" s="1220"/>
      <c r="P61" s="1220"/>
      <c r="Q61" s="1220"/>
      <c r="R61" s="1220"/>
      <c r="S61" s="1220"/>
      <c r="T61" s="309"/>
      <c r="U61" s="309"/>
      <c r="V61" s="309"/>
    </row>
    <row r="62" spans="1:22" x14ac:dyDescent="0.25">
      <c r="A62" s="309"/>
      <c r="B62" s="309"/>
      <c r="C62" s="309"/>
      <c r="D62" s="309"/>
      <c r="E62" s="309"/>
      <c r="F62" s="309"/>
      <c r="G62" s="309"/>
      <c r="H62" s="309"/>
      <c r="I62" s="309"/>
      <c r="J62" s="309"/>
      <c r="K62" s="309"/>
      <c r="L62" s="309"/>
      <c r="M62" s="309"/>
      <c r="N62" s="309"/>
      <c r="O62" s="309"/>
      <c r="P62" s="309"/>
      <c r="Q62" s="309"/>
      <c r="R62" s="309"/>
      <c r="S62" s="309"/>
      <c r="T62" s="309"/>
      <c r="U62" s="309"/>
      <c r="V62" s="309"/>
    </row>
    <row r="63" spans="1:22" ht="22.5" customHeight="1" x14ac:dyDescent="0.25">
      <c r="A63" s="309"/>
      <c r="B63" s="309"/>
      <c r="C63" s="309"/>
      <c r="D63" s="309"/>
      <c r="E63" s="309"/>
      <c r="F63" s="1216" t="s">
        <v>674</v>
      </c>
      <c r="G63" s="1216"/>
      <c r="H63" s="1216"/>
      <c r="I63" s="707"/>
      <c r="J63" s="707"/>
      <c r="K63" s="707"/>
      <c r="L63" s="707"/>
      <c r="M63" s="707"/>
      <c r="N63" s="707"/>
      <c r="O63" s="708" t="s">
        <v>675</v>
      </c>
      <c r="P63" s="708"/>
      <c r="Q63" s="708"/>
      <c r="R63" s="309"/>
      <c r="S63" s="309"/>
      <c r="T63" s="309"/>
      <c r="U63" s="309"/>
      <c r="V63" s="309"/>
    </row>
    <row r="64" spans="1:22" ht="18.75" x14ac:dyDescent="0.3">
      <c r="A64" s="309"/>
      <c r="B64" s="309"/>
      <c r="C64" s="309"/>
      <c r="D64" s="309"/>
      <c r="E64" s="309"/>
      <c r="F64" s="1217" t="str">
        <f>Draft!E5</f>
        <v>Paranaguá, Br - Brazil</v>
      </c>
      <c r="G64" s="1217"/>
      <c r="H64" s="1217"/>
      <c r="I64" s="706"/>
      <c r="J64" s="706"/>
      <c r="K64" s="706"/>
      <c r="L64" s="706"/>
      <c r="M64" s="706"/>
      <c r="N64" s="706"/>
      <c r="O64" s="1217" t="str">
        <f>CAPA!B38</f>
        <v>One China Port</v>
      </c>
      <c r="P64" s="1217"/>
      <c r="Q64" s="1217"/>
      <c r="R64" s="309"/>
      <c r="S64" s="309"/>
      <c r="T64" s="309"/>
      <c r="U64" s="309"/>
      <c r="V64" s="309"/>
    </row>
    <row r="65" spans="1:22" ht="15" customHeight="1" x14ac:dyDescent="0.25">
      <c r="A65" s="309"/>
      <c r="B65" s="309"/>
      <c r="C65" s="309"/>
      <c r="D65" s="309"/>
      <c r="E65" s="309"/>
      <c r="F65" s="309"/>
      <c r="G65" s="309"/>
      <c r="H65" s="686"/>
      <c r="I65" s="686"/>
      <c r="J65" s="686"/>
      <c r="K65" s="686"/>
      <c r="L65" s="686"/>
      <c r="M65" s="686"/>
      <c r="N65" s="686"/>
      <c r="O65" s="686"/>
      <c r="P65" s="309"/>
      <c r="Q65" s="309"/>
      <c r="R65" s="309"/>
      <c r="S65" s="309"/>
      <c r="T65" s="309"/>
      <c r="U65" s="309"/>
      <c r="V65" s="309"/>
    </row>
    <row r="66" spans="1:22" ht="15" customHeight="1" x14ac:dyDescent="0.25">
      <c r="A66" s="309"/>
      <c r="B66" s="309"/>
      <c r="C66" s="309"/>
      <c r="D66" s="309"/>
      <c r="E66" s="309"/>
      <c r="F66" s="309"/>
      <c r="G66" s="309"/>
      <c r="H66" s="1222" t="s">
        <v>643</v>
      </c>
      <c r="I66" s="1222"/>
      <c r="J66" s="1222"/>
      <c r="K66" s="1222"/>
      <c r="L66" s="1222"/>
      <c r="M66" s="1222"/>
      <c r="N66" s="1222"/>
      <c r="O66" s="1222"/>
      <c r="P66" s="309"/>
      <c r="Q66" s="309"/>
      <c r="R66" s="309"/>
      <c r="S66" s="309"/>
      <c r="T66" s="309"/>
      <c r="U66" s="309"/>
      <c r="V66" s="309"/>
    </row>
    <row r="67" spans="1:22" x14ac:dyDescent="0.25">
      <c r="A67" s="309"/>
      <c r="B67" s="309"/>
      <c r="C67" s="309"/>
      <c r="D67" s="309"/>
      <c r="E67" s="309"/>
      <c r="F67" s="309"/>
      <c r="G67" s="309"/>
      <c r="H67" s="1221">
        <f>SUM(E75:R76)</f>
        <v>59000</v>
      </c>
      <c r="I67" s="1221"/>
      <c r="J67" s="1221"/>
      <c r="K67" s="1221"/>
      <c r="L67" s="1221"/>
      <c r="M67" s="1221"/>
      <c r="N67" s="1221"/>
      <c r="O67" s="1221"/>
      <c r="P67" s="309"/>
      <c r="Q67" s="309"/>
      <c r="R67" s="309"/>
      <c r="S67" s="309"/>
      <c r="T67" s="309"/>
      <c r="U67" s="309"/>
      <c r="V67" s="309"/>
    </row>
    <row r="68" spans="1:22" ht="15" customHeight="1" x14ac:dyDescent="0.25">
      <c r="A68" s="309"/>
      <c r="B68" s="309"/>
      <c r="C68" s="309"/>
      <c r="D68" s="309"/>
      <c r="E68" s="309"/>
      <c r="F68" s="309"/>
      <c r="G68" s="309"/>
      <c r="H68" s="1221"/>
      <c r="I68" s="1221"/>
      <c r="J68" s="1221"/>
      <c r="K68" s="1221"/>
      <c r="L68" s="1221"/>
      <c r="M68" s="1221"/>
      <c r="N68" s="1221"/>
      <c r="O68" s="1221"/>
      <c r="P68" s="309"/>
      <c r="Q68" s="309"/>
      <c r="R68" s="309"/>
      <c r="S68" s="309"/>
      <c r="T68" s="309"/>
      <c r="U68" s="309"/>
      <c r="V68" s="309"/>
    </row>
    <row r="69" spans="1:22" ht="15" customHeight="1" x14ac:dyDescent="0.25">
      <c r="A69" s="309"/>
      <c r="B69" s="309"/>
      <c r="C69" s="309"/>
      <c r="D69" s="309"/>
      <c r="E69" s="309"/>
      <c r="F69" s="309"/>
      <c r="G69" s="309"/>
      <c r="H69" s="309"/>
      <c r="I69" s="309"/>
      <c r="J69" s="309"/>
      <c r="K69" s="309"/>
      <c r="L69" s="309"/>
      <c r="M69" s="309"/>
      <c r="N69" s="309"/>
      <c r="O69" s="309"/>
      <c r="P69" s="309"/>
      <c r="Q69" s="309"/>
      <c r="R69" s="309"/>
      <c r="S69" s="309"/>
      <c r="T69" s="309"/>
      <c r="U69" s="309"/>
      <c r="V69" s="309"/>
    </row>
    <row r="70" spans="1:22" x14ac:dyDescent="0.25">
      <c r="A70" s="309"/>
      <c r="B70" s="309"/>
      <c r="C70" s="309"/>
      <c r="D70" s="309"/>
      <c r="E70" s="1189" t="str">
        <f>IF(E82=0,"-","PORÃO 7")</f>
        <v>-</v>
      </c>
      <c r="F70" s="1190"/>
      <c r="G70" s="1189" t="str">
        <f>IF(G75=0,"-","PORÃO 6")</f>
        <v>-</v>
      </c>
      <c r="H70" s="1190"/>
      <c r="I70" s="1189" t="str">
        <f>IF(I75=0,"-","PORÃO 5")</f>
        <v>PORÃO 5</v>
      </c>
      <c r="J70" s="1190"/>
      <c r="K70" s="1189" t="str">
        <f>IF(K75=0,"-","PORÃO 4")</f>
        <v>PORÃO 4</v>
      </c>
      <c r="L70" s="1190"/>
      <c r="M70" s="1189" t="str">
        <f>IF(M75=0,"-","PORÃO 3")</f>
        <v>PORÃO 3</v>
      </c>
      <c r="N70" s="1190"/>
      <c r="O70" s="1189" t="str">
        <f>IF(O75=0,"-","PORÃO 2")</f>
        <v>PORÃO 2</v>
      </c>
      <c r="P70" s="1190"/>
      <c r="Q70" s="1189" t="str">
        <f>IF(Q75=0,"-","PORÃO 1")</f>
        <v>PORÃO 1</v>
      </c>
      <c r="R70" s="1190"/>
      <c r="S70" s="309"/>
      <c r="T70" s="309"/>
      <c r="U70" s="309"/>
      <c r="V70" s="309"/>
    </row>
    <row r="71" spans="1:22" x14ac:dyDescent="0.25">
      <c r="A71" s="309"/>
      <c r="B71" s="309"/>
      <c r="C71" s="309"/>
      <c r="D71" s="309"/>
      <c r="E71" s="1187" t="str">
        <f t="shared" ref="E71" si="0">IF(E75=0,"-","PRODUTO")</f>
        <v>-</v>
      </c>
      <c r="F71" s="1188"/>
      <c r="G71" s="1187" t="str">
        <f t="shared" ref="G71" si="1">IF(G75=0,"-","PRODUTO")</f>
        <v>-</v>
      </c>
      <c r="H71" s="1188"/>
      <c r="I71" s="1187" t="str">
        <f t="shared" ref="I71" si="2">IF(I75=0,"-","PRODUTO")</f>
        <v>PRODUTO</v>
      </c>
      <c r="J71" s="1188"/>
      <c r="K71" s="1187" t="str">
        <f t="shared" ref="K71" si="3">IF(K75=0,"-","PRODUTO")</f>
        <v>PRODUTO</v>
      </c>
      <c r="L71" s="1188"/>
      <c r="M71" s="1187" t="str">
        <f t="shared" ref="M71" si="4">IF(M75=0,"-","PRODUTO")</f>
        <v>PRODUTO</v>
      </c>
      <c r="N71" s="1188"/>
      <c r="O71" s="1187" t="str">
        <f t="shared" ref="O71" si="5">IF(O75=0,"-","PRODUTO")</f>
        <v>PRODUTO</v>
      </c>
      <c r="P71" s="1188"/>
      <c r="Q71" s="1187" t="str">
        <f>IF(Q75=0,"-","PRODUTO")</f>
        <v>PRODUTO</v>
      </c>
      <c r="R71" s="1188"/>
      <c r="S71" s="309"/>
      <c r="T71" s="309"/>
      <c r="U71" s="309"/>
      <c r="V71" s="309"/>
    </row>
    <row r="72" spans="1:22" x14ac:dyDescent="0.25">
      <c r="A72" s="309"/>
      <c r="B72" s="309"/>
      <c r="C72" s="309"/>
      <c r="D72" s="309"/>
      <c r="E72" s="1191">
        <f>'DADOS E-MAIL '!J53</f>
        <v>0</v>
      </c>
      <c r="F72" s="1192"/>
      <c r="G72" s="1191">
        <f>'DADOS E-MAIL '!J52</f>
        <v>0</v>
      </c>
      <c r="H72" s="1192"/>
      <c r="I72" s="1191" t="str">
        <f>'DADOS E-MAIL '!J51</f>
        <v>Soybeans</v>
      </c>
      <c r="J72" s="1192"/>
      <c r="K72" s="1191" t="str">
        <f>'DADOS E-MAIL '!J50</f>
        <v>Soybeans</v>
      </c>
      <c r="L72" s="1192"/>
      <c r="M72" s="1191" t="str">
        <f>'DADOS E-MAIL '!J49</f>
        <v>Soybeans</v>
      </c>
      <c r="N72" s="1192"/>
      <c r="O72" s="1191" t="str">
        <f>'DADOS E-MAIL '!J48</f>
        <v>Soybeans</v>
      </c>
      <c r="P72" s="1192"/>
      <c r="Q72" s="1191" t="str">
        <f>'DADOS E-MAIL '!J47</f>
        <v>Soybeans</v>
      </c>
      <c r="R72" s="1192"/>
      <c r="S72" s="309"/>
      <c r="T72" s="309"/>
      <c r="U72" s="309"/>
      <c r="V72" s="309"/>
    </row>
    <row r="73" spans="1:22" x14ac:dyDescent="0.25">
      <c r="A73" s="309"/>
      <c r="B73" s="309"/>
      <c r="C73" s="309"/>
      <c r="D73" s="309"/>
      <c r="E73" s="704"/>
      <c r="F73" s="705"/>
      <c r="G73" s="704"/>
      <c r="H73" s="705"/>
      <c r="I73" s="704"/>
      <c r="J73" s="705"/>
      <c r="K73" s="704"/>
      <c r="L73" s="705"/>
      <c r="M73" s="704"/>
      <c r="N73" s="705"/>
      <c r="O73" s="704"/>
      <c r="P73" s="705"/>
      <c r="Q73" s="704"/>
      <c r="R73" s="705"/>
      <c r="S73" s="309"/>
      <c r="T73" s="309"/>
      <c r="U73" s="309"/>
      <c r="V73" s="309"/>
    </row>
    <row r="74" spans="1:22" x14ac:dyDescent="0.25">
      <c r="A74" s="309"/>
      <c r="B74" s="309"/>
      <c r="C74" s="309"/>
      <c r="D74" s="309"/>
      <c r="E74" s="1197" t="str">
        <f>IF(E75=0,"-","TOTAL")</f>
        <v>-</v>
      </c>
      <c r="F74" s="1198"/>
      <c r="G74" s="1197" t="str">
        <f>IF(G75=0,"-","TOTAL")</f>
        <v>-</v>
      </c>
      <c r="H74" s="1198"/>
      <c r="I74" s="1197" t="str">
        <f>IF(I75=0,"-","TOTAL")</f>
        <v>TOTAL</v>
      </c>
      <c r="J74" s="1198"/>
      <c r="K74" s="1197" t="str">
        <f>IF(K75=0,"-","TOTAL")</f>
        <v>TOTAL</v>
      </c>
      <c r="L74" s="1198"/>
      <c r="M74" s="1197" t="str">
        <f>IF(M75=0,"-","TOTAL")</f>
        <v>TOTAL</v>
      </c>
      <c r="N74" s="1198"/>
      <c r="O74" s="1197" t="str">
        <f>IF(O75=0,"-","TOTAL")</f>
        <v>TOTAL</v>
      </c>
      <c r="P74" s="1198"/>
      <c r="Q74" s="1197" t="str">
        <f>IF(Q75=0,"-","TOTAL")</f>
        <v>TOTAL</v>
      </c>
      <c r="R74" s="1198"/>
      <c r="S74" s="309"/>
      <c r="T74" s="309"/>
      <c r="U74" s="309"/>
      <c r="V74" s="309"/>
    </row>
    <row r="75" spans="1:22" x14ac:dyDescent="0.25">
      <c r="A75" s="309"/>
      <c r="B75" s="309"/>
      <c r="C75" s="309"/>
      <c r="D75" s="309"/>
      <c r="E75" s="1193">
        <f>'DADOS E-MAIL '!D53</f>
        <v>0</v>
      </c>
      <c r="F75" s="1194"/>
      <c r="G75" s="1193">
        <f>'DADOS E-MAIL '!D52</f>
        <v>0</v>
      </c>
      <c r="H75" s="1194"/>
      <c r="I75" s="1193">
        <f>'DADOS E-MAIL '!D51</f>
        <v>11913.715</v>
      </c>
      <c r="J75" s="1194"/>
      <c r="K75" s="1193">
        <f>'DADOS E-MAIL '!D50</f>
        <v>12398.795</v>
      </c>
      <c r="L75" s="1194"/>
      <c r="M75" s="1193">
        <f>'DADOS E-MAIL '!D49</f>
        <v>11720.035</v>
      </c>
      <c r="N75" s="1194"/>
      <c r="O75" s="1193">
        <f>'DADOS E-MAIL '!D48</f>
        <v>12219.365</v>
      </c>
      <c r="P75" s="1194"/>
      <c r="Q75" s="1193">
        <f>'DADOS E-MAIL '!D47</f>
        <v>10748.09</v>
      </c>
      <c r="R75" s="1194"/>
      <c r="S75" s="309"/>
      <c r="T75" s="309"/>
      <c r="U75" s="309"/>
      <c r="V75" s="309"/>
    </row>
    <row r="76" spans="1:22" ht="15.75" customHeight="1" x14ac:dyDescent="0.25">
      <c r="A76" s="309"/>
      <c r="B76" s="309"/>
      <c r="C76" s="309"/>
      <c r="D76" s="309"/>
      <c r="E76" s="1195"/>
      <c r="F76" s="1196"/>
      <c r="G76" s="1195"/>
      <c r="H76" s="1196"/>
      <c r="I76" s="1195"/>
      <c r="J76" s="1196"/>
      <c r="K76" s="1195"/>
      <c r="L76" s="1196"/>
      <c r="M76" s="1195"/>
      <c r="N76" s="1196"/>
      <c r="O76" s="1195"/>
      <c r="P76" s="1196"/>
      <c r="Q76" s="1195"/>
      <c r="R76" s="1196"/>
      <c r="S76" s="309"/>
      <c r="T76" s="309"/>
      <c r="U76" s="309"/>
      <c r="V76" s="309"/>
    </row>
    <row r="77" spans="1:22" x14ac:dyDescent="0.25">
      <c r="A77" s="309"/>
      <c r="B77" s="309"/>
      <c r="C77" s="309"/>
      <c r="D77" s="309"/>
      <c r="E77" s="1205">
        <f>'DADOS E-MAIL '!H53</f>
        <v>0</v>
      </c>
      <c r="F77" s="1202"/>
      <c r="G77" s="1205">
        <f>'DADOS E-MAIL '!H52</f>
        <v>0</v>
      </c>
      <c r="H77" s="1202"/>
      <c r="I77" s="1205" t="str">
        <f>'DADOS E-MAIL '!H51</f>
        <v>FULL</v>
      </c>
      <c r="J77" s="1202"/>
      <c r="K77" s="1205" t="str">
        <f>'DADOS E-MAIL '!H50</f>
        <v>FULL</v>
      </c>
      <c r="L77" s="1202"/>
      <c r="M77" s="1205" t="str">
        <f>'DADOS E-MAIL '!H49</f>
        <v>SLACK</v>
      </c>
      <c r="N77" s="1202"/>
      <c r="O77" s="1205" t="str">
        <f>'DADOS E-MAIL '!H48</f>
        <v>FULL</v>
      </c>
      <c r="P77" s="1202"/>
      <c r="Q77" s="1205" t="str">
        <f>'DADOS E-MAIL '!H47</f>
        <v>FULL</v>
      </c>
      <c r="R77" s="1202"/>
      <c r="S77" s="309"/>
      <c r="T77" s="309"/>
      <c r="U77" s="309"/>
      <c r="V77" s="309"/>
    </row>
    <row r="78" spans="1:22" x14ac:dyDescent="0.25">
      <c r="A78" s="309"/>
      <c r="B78" s="309"/>
      <c r="C78" s="309"/>
      <c r="D78" s="309"/>
      <c r="E78" s="1208" t="str">
        <f>IF(E75=0,"-","FATOR DE ESTIVA")</f>
        <v>-</v>
      </c>
      <c r="F78" s="1202"/>
      <c r="G78" s="1208" t="str">
        <f>IF(G75=0,"-","FATOR DE ESTIVA")</f>
        <v>-</v>
      </c>
      <c r="H78" s="1202"/>
      <c r="I78" s="1208" t="str">
        <f>IF(I75=0,"-","FATOR DE ESTIVA")</f>
        <v>FATOR DE ESTIVA</v>
      </c>
      <c r="J78" s="1202"/>
      <c r="K78" s="1208" t="str">
        <f>IF(K75=0,"-","FATOR DE ESTIVA")</f>
        <v>FATOR DE ESTIVA</v>
      </c>
      <c r="L78" s="1202"/>
      <c r="M78" s="1208" t="str">
        <f>IF(M75=0,"-","FATOR DE ESTIVA")</f>
        <v>FATOR DE ESTIVA</v>
      </c>
      <c r="N78" s="1202"/>
      <c r="O78" s="1208" t="str">
        <f>IF(O75=0,"-","FATOR DE ESTIVA")</f>
        <v>FATOR DE ESTIVA</v>
      </c>
      <c r="P78" s="1202"/>
      <c r="Q78" s="1208" t="str">
        <f>IF(Q75=0,"-","FATOR DE ESTIVA")</f>
        <v>FATOR DE ESTIVA</v>
      </c>
      <c r="R78" s="1202"/>
      <c r="S78" s="309"/>
      <c r="T78" s="309"/>
      <c r="U78" s="309"/>
      <c r="V78" s="309"/>
    </row>
    <row r="79" spans="1:22" x14ac:dyDescent="0.25">
      <c r="A79" s="309"/>
      <c r="B79" s="309"/>
      <c r="C79" s="309"/>
      <c r="D79" s="309"/>
      <c r="E79" s="1201" t="str">
        <f>IFERROR((E82/E75),"")</f>
        <v/>
      </c>
      <c r="F79" s="1202"/>
      <c r="G79" s="1201" t="str">
        <f>IFERROR((G82/G75),"")</f>
        <v/>
      </c>
      <c r="H79" s="1202"/>
      <c r="I79" s="1201">
        <f>IFERROR((I82/I75),"")</f>
        <v>48.021041295683169</v>
      </c>
      <c r="J79" s="1202"/>
      <c r="K79" s="1201">
        <f>IFERROR((K82/K75),"")</f>
        <v>47.733912852015052</v>
      </c>
      <c r="L79" s="1202"/>
      <c r="M79" s="1201">
        <f>IFERROR((M82/M75),"")</f>
        <v>50.419559327254568</v>
      </c>
      <c r="N79" s="1202"/>
      <c r="O79" s="1201">
        <f>IFERROR((O82/O75),"")</f>
        <v>48.40488847006371</v>
      </c>
      <c r="P79" s="1202"/>
      <c r="Q79" s="1201">
        <f>IFERROR((Q82/Q75),"")</f>
        <v>48.506944024473185</v>
      </c>
      <c r="R79" s="1202"/>
      <c r="S79" s="309"/>
      <c r="T79" s="309"/>
      <c r="U79" s="309"/>
      <c r="V79" s="309"/>
    </row>
    <row r="80" spans="1:22" x14ac:dyDescent="0.25">
      <c r="A80" s="309"/>
      <c r="B80" s="309"/>
      <c r="C80" s="309"/>
      <c r="D80" s="309"/>
      <c r="E80" s="704"/>
      <c r="F80" s="705"/>
      <c r="G80" s="704"/>
      <c r="H80" s="705"/>
      <c r="I80" s="704"/>
      <c r="J80" s="705"/>
      <c r="K80" s="704"/>
      <c r="L80" s="705"/>
      <c r="M80" s="704"/>
      <c r="N80" s="705"/>
      <c r="O80" s="704"/>
      <c r="P80" s="705"/>
      <c r="Q80" s="704"/>
      <c r="R80" s="705"/>
      <c r="S80" s="309"/>
      <c r="T80" s="309"/>
      <c r="U80" s="309"/>
      <c r="V80" s="309"/>
    </row>
    <row r="81" spans="1:22" x14ac:dyDescent="0.25">
      <c r="A81" s="309"/>
      <c r="B81" s="309"/>
      <c r="C81" s="309"/>
      <c r="D81" s="309"/>
      <c r="E81" s="1203" t="str">
        <f>IF(E75=0,"-","CUBAGEM")</f>
        <v>-</v>
      </c>
      <c r="F81" s="1204"/>
      <c r="G81" s="1203" t="str">
        <f>IF(G75=0,"-","CUBAGEM")</f>
        <v>-</v>
      </c>
      <c r="H81" s="1204"/>
      <c r="I81" s="1203" t="str">
        <f>IF(I75=0,"-","CUBAGEM")</f>
        <v>CUBAGEM</v>
      </c>
      <c r="J81" s="1204"/>
      <c r="K81" s="1203" t="str">
        <f>IF(K75=0,"-","CUBAGEM")</f>
        <v>CUBAGEM</v>
      </c>
      <c r="L81" s="1204"/>
      <c r="M81" s="1203" t="str">
        <f>IF(M75=0,"-","CUBAGEM")</f>
        <v>CUBAGEM</v>
      </c>
      <c r="N81" s="1204"/>
      <c r="O81" s="1203" t="str">
        <f>IF(O75=0,"-","CUBAGEM")</f>
        <v>CUBAGEM</v>
      </c>
      <c r="P81" s="1204"/>
      <c r="Q81" s="1203" t="str">
        <f>IF(Q75=0,"-","CUBAGEM")</f>
        <v>CUBAGEM</v>
      </c>
      <c r="R81" s="1204"/>
      <c r="S81" s="309"/>
      <c r="T81" s="309"/>
      <c r="U81" s="309"/>
      <c r="V81" s="309"/>
    </row>
    <row r="82" spans="1:22" x14ac:dyDescent="0.25">
      <c r="A82" s="309"/>
      <c r="B82" s="309"/>
      <c r="C82" s="309"/>
      <c r="D82" s="309"/>
      <c r="E82" s="1199">
        <f>'DADOS E-MAIL '!F53</f>
        <v>0</v>
      </c>
      <c r="F82" s="1200"/>
      <c r="G82" s="1199">
        <f>'DADOS E-MAIL '!F52</f>
        <v>0</v>
      </c>
      <c r="H82" s="1200"/>
      <c r="I82" s="1199">
        <f>'DADOS E-MAIL '!F51</f>
        <v>572109</v>
      </c>
      <c r="J82" s="1200"/>
      <c r="K82" s="1199">
        <f>'DADOS E-MAIL '!F50</f>
        <v>591843</v>
      </c>
      <c r="L82" s="1200"/>
      <c r="M82" s="1199">
        <f>'DADOS E-MAIL '!F49</f>
        <v>590919</v>
      </c>
      <c r="N82" s="1200"/>
      <c r="O82" s="1199">
        <f>'DADOS E-MAIL '!F48</f>
        <v>591477</v>
      </c>
      <c r="P82" s="1200"/>
      <c r="Q82" s="1199">
        <f>'DADOS E-MAIL '!F47</f>
        <v>521357</v>
      </c>
      <c r="R82" s="1200"/>
      <c r="S82" s="309"/>
      <c r="T82" s="309"/>
      <c r="U82" s="309"/>
      <c r="V82" s="309"/>
    </row>
    <row r="83" spans="1:22" x14ac:dyDescent="0.25">
      <c r="A83" s="309"/>
      <c r="B83" s="309"/>
      <c r="C83" s="309"/>
      <c r="D83" s="309"/>
      <c r="E83" s="309"/>
      <c r="F83" s="309"/>
      <c r="G83" s="309"/>
      <c r="H83" s="309"/>
      <c r="I83" s="309"/>
      <c r="J83" s="309"/>
      <c r="K83" s="309"/>
      <c r="L83" s="309"/>
      <c r="M83" s="309"/>
      <c r="N83" s="309"/>
      <c r="O83" s="309"/>
      <c r="P83" s="309"/>
      <c r="Q83" s="309"/>
      <c r="R83" s="309"/>
      <c r="S83" s="309"/>
      <c r="T83" s="309"/>
      <c r="U83" s="309"/>
      <c r="V83" s="309"/>
    </row>
    <row r="84" spans="1:22" x14ac:dyDescent="0.25">
      <c r="A84" s="309"/>
      <c r="B84" s="309"/>
      <c r="C84" s="309"/>
      <c r="D84" s="309"/>
      <c r="E84" s="309"/>
      <c r="F84" s="309"/>
      <c r="G84" s="309"/>
      <c r="H84" s="309"/>
      <c r="I84" s="309"/>
      <c r="J84" s="309"/>
      <c r="K84" s="309"/>
      <c r="L84" s="309"/>
      <c r="M84" s="309"/>
      <c r="N84" s="309"/>
      <c r="O84" s="309"/>
      <c r="P84" s="309"/>
      <c r="Q84" s="309"/>
      <c r="R84" s="309"/>
      <c r="S84" s="309"/>
      <c r="T84" s="309"/>
      <c r="U84" s="309"/>
      <c r="V84" s="309"/>
    </row>
  </sheetData>
  <mergeCells count="146">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 ref="B20:C20"/>
    <mergeCell ref="D20:E20"/>
    <mergeCell ref="F20:J20"/>
    <mergeCell ref="M20:N20"/>
    <mergeCell ref="O20:P20"/>
    <mergeCell ref="Q20:U20"/>
    <mergeCell ref="B21:C21"/>
    <mergeCell ref="D21:E21"/>
    <mergeCell ref="F21:J21"/>
    <mergeCell ref="M21:N21"/>
    <mergeCell ref="O21:P21"/>
    <mergeCell ref="Q21:U2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G30:J30"/>
    <mergeCell ref="K30:N30"/>
    <mergeCell ref="O30:R30"/>
    <mergeCell ref="G31:J31"/>
    <mergeCell ref="K31:N31"/>
    <mergeCell ref="O31:R31"/>
    <mergeCell ref="G32:J32"/>
    <mergeCell ref="K32:N32"/>
    <mergeCell ref="O32:R32"/>
    <mergeCell ref="Q77:R77"/>
    <mergeCell ref="Q78:R78"/>
    <mergeCell ref="M59:T59"/>
    <mergeCell ref="C58:J58"/>
    <mergeCell ref="M58:T58"/>
    <mergeCell ref="D38:S38"/>
    <mergeCell ref="H67:O68"/>
    <mergeCell ref="H66:O66"/>
    <mergeCell ref="C60:J60"/>
    <mergeCell ref="C59:J59"/>
    <mergeCell ref="Q72:R72"/>
    <mergeCell ref="Q74:R74"/>
    <mergeCell ref="D61:S61"/>
    <mergeCell ref="E70:F70"/>
    <mergeCell ref="G70:H70"/>
    <mergeCell ref="K71:L71"/>
    <mergeCell ref="Q71:R71"/>
    <mergeCell ref="Q70:R70"/>
    <mergeCell ref="E72:F72"/>
    <mergeCell ref="G72:H72"/>
    <mergeCell ref="I72:J72"/>
    <mergeCell ref="E77:F77"/>
    <mergeCell ref="G77:H77"/>
    <mergeCell ref="I77:J77"/>
    <mergeCell ref="K77:L77"/>
    <mergeCell ref="M77:N77"/>
    <mergeCell ref="O77:P77"/>
    <mergeCell ref="M75:N76"/>
    <mergeCell ref="O75:P76"/>
    <mergeCell ref="S34:T34"/>
    <mergeCell ref="S35:T35"/>
    <mergeCell ref="E78:F78"/>
    <mergeCell ref="G78:H78"/>
    <mergeCell ref="I78:J78"/>
    <mergeCell ref="K78:L78"/>
    <mergeCell ref="M78:N78"/>
    <mergeCell ref="O78:P78"/>
    <mergeCell ref="G34:J34"/>
    <mergeCell ref="K34:N34"/>
    <mergeCell ref="O34:R34"/>
    <mergeCell ref="G35:J35"/>
    <mergeCell ref="K35:N35"/>
    <mergeCell ref="O35:R35"/>
    <mergeCell ref="F63:H63"/>
    <mergeCell ref="F64:H64"/>
    <mergeCell ref="O64:Q64"/>
    <mergeCell ref="E75:F76"/>
    <mergeCell ref="Q82:R82"/>
    <mergeCell ref="E79:F79"/>
    <mergeCell ref="G79:H79"/>
    <mergeCell ref="I79:J79"/>
    <mergeCell ref="K79:L79"/>
    <mergeCell ref="M79:N79"/>
    <mergeCell ref="O79:P79"/>
    <mergeCell ref="K81:L81"/>
    <mergeCell ref="M81:N81"/>
    <mergeCell ref="O81:P81"/>
    <mergeCell ref="E81:F81"/>
    <mergeCell ref="G81:H81"/>
    <mergeCell ref="I81:J81"/>
    <mergeCell ref="Q81:R81"/>
    <mergeCell ref="E82:F82"/>
    <mergeCell ref="G82:H82"/>
    <mergeCell ref="I82:J82"/>
    <mergeCell ref="K82:L82"/>
    <mergeCell ref="M82:N82"/>
    <mergeCell ref="O82:P82"/>
    <mergeCell ref="Q79:R79"/>
    <mergeCell ref="K72:L72"/>
    <mergeCell ref="M72:N72"/>
    <mergeCell ref="O72:P72"/>
    <mergeCell ref="G75:H76"/>
    <mergeCell ref="I75:J76"/>
    <mergeCell ref="K75:L76"/>
    <mergeCell ref="Q75:R76"/>
    <mergeCell ref="E74:F74"/>
    <mergeCell ref="G74:H74"/>
    <mergeCell ref="I74:J74"/>
    <mergeCell ref="K74:L74"/>
    <mergeCell ref="M74:N74"/>
    <mergeCell ref="O74:P74"/>
    <mergeCell ref="E71:F71"/>
    <mergeCell ref="I70:J70"/>
    <mergeCell ref="K70:L70"/>
    <mergeCell ref="M70:N70"/>
    <mergeCell ref="O70:P70"/>
    <mergeCell ref="M71:N71"/>
    <mergeCell ref="O71:P71"/>
    <mergeCell ref="G71:H71"/>
    <mergeCell ref="I71:J71"/>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5 G75 I75 K75 M75 O75 Q75">
    <cfRule type="cellIs" dxfId="4" priority="5" operator="equal">
      <formula>0</formula>
    </cfRule>
  </conditionalFormatting>
  <conditionalFormatting sqref="E82:R82">
    <cfRule type="cellIs" dxfId="3" priority="4" operator="equal">
      <formula>0</formula>
    </cfRule>
  </conditionalFormatting>
  <conditionalFormatting sqref="E72:R72">
    <cfRule type="cellIs" dxfId="2" priority="3" operator="equal">
      <formula>0</formula>
    </cfRule>
  </conditionalFormatting>
  <conditionalFormatting sqref="E77:R77">
    <cfRule type="cellIs" dxfId="1" priority="2" operator="equal">
      <formula>0</formula>
    </cfRule>
  </conditionalFormatting>
  <conditionalFormatting sqref="O64:Q64">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669</v>
      </c>
      <c r="C2" t="s">
        <v>668</v>
      </c>
      <c r="J2" t="s">
        <v>667</v>
      </c>
      <c r="K2" t="s">
        <v>666</v>
      </c>
      <c r="L2" t="s">
        <v>612</v>
      </c>
      <c r="M2" t="s">
        <v>666</v>
      </c>
    </row>
    <row r="3" spans="2:13" x14ac:dyDescent="0.25">
      <c r="B3" t="s">
        <v>665</v>
      </c>
      <c r="C3" s="691">
        <v>0</v>
      </c>
      <c r="J3" t="s">
        <v>339</v>
      </c>
      <c r="K3">
        <f>'DADOS E-MAIL '!E23</f>
        <v>12143.924999999999</v>
      </c>
      <c r="L3" s="689">
        <f>'DADOS E-MAIL '!G23</f>
        <v>20.582923728813558</v>
      </c>
      <c r="M3">
        <f>'DADOS E-MAIL '!E23</f>
        <v>12143.924999999999</v>
      </c>
    </row>
    <row r="4" spans="2:13" x14ac:dyDescent="0.25">
      <c r="B4" t="s">
        <v>664</v>
      </c>
      <c r="C4" s="691">
        <v>0</v>
      </c>
      <c r="D4">
        <v>17.683333000000001</v>
      </c>
      <c r="J4" t="s">
        <v>340</v>
      </c>
      <c r="K4">
        <f>'DADOS E-MAIL '!E24</f>
        <v>7000</v>
      </c>
      <c r="L4" s="689">
        <f>'DADOS E-MAIL '!G24</f>
        <v>11.864406779661017</v>
      </c>
      <c r="M4">
        <f>'DADOS E-MAIL '!E24</f>
        <v>7000</v>
      </c>
    </row>
    <row r="5" spans="2:13" x14ac:dyDescent="0.25">
      <c r="B5" t="s">
        <v>663</v>
      </c>
      <c r="C5" s="691">
        <v>0</v>
      </c>
      <c r="J5" t="s">
        <v>341</v>
      </c>
      <c r="K5">
        <f>'DADOS E-MAIL '!E25</f>
        <v>0</v>
      </c>
      <c r="L5" s="689">
        <f>'DADOS E-MAIL '!G25</f>
        <v>0</v>
      </c>
      <c r="M5">
        <f>'DADOS E-MAIL '!E25</f>
        <v>0</v>
      </c>
    </row>
    <row r="6" spans="2:13" x14ac:dyDescent="0.25">
      <c r="J6" t="s">
        <v>342</v>
      </c>
      <c r="K6">
        <f>'DADOS E-MAIL '!E26</f>
        <v>0</v>
      </c>
      <c r="L6" s="689">
        <f>'DADOS E-MAIL '!G26</f>
        <v>0</v>
      </c>
      <c r="M6">
        <f>'DADOS E-MAIL '!E26</f>
        <v>0</v>
      </c>
    </row>
    <row r="7" spans="2:13" x14ac:dyDescent="0.25">
      <c r="J7" t="s">
        <v>343</v>
      </c>
      <c r="K7">
        <f>'DADOS E-MAIL '!E27</f>
        <v>20000</v>
      </c>
      <c r="L7" s="689">
        <f>'DADOS E-MAIL '!G27</f>
        <v>33.898305084745758</v>
      </c>
      <c r="M7">
        <f>'DADOS E-MAIL '!E27</f>
        <v>20000</v>
      </c>
    </row>
    <row r="8" spans="2:13" x14ac:dyDescent="0.25">
      <c r="J8" t="s">
        <v>344</v>
      </c>
      <c r="K8">
        <f>'DADOS E-MAIL '!E28</f>
        <v>0</v>
      </c>
      <c r="L8" s="689">
        <f>'DADOS E-MAIL '!G28</f>
        <v>0</v>
      </c>
      <c r="M8">
        <f>'DADOS E-MAIL '!E28</f>
        <v>0</v>
      </c>
    </row>
    <row r="9" spans="2:13" x14ac:dyDescent="0.25">
      <c r="J9" t="s">
        <v>345</v>
      </c>
      <c r="K9">
        <f>'DADOS E-MAIL '!E29</f>
        <v>4000</v>
      </c>
      <c r="L9" s="689">
        <f>'DADOS E-MAIL '!G29</f>
        <v>6.7796610169491522</v>
      </c>
      <c r="M9">
        <f>'DADOS E-MAIL '!E29</f>
        <v>4000</v>
      </c>
    </row>
    <row r="10" spans="2:13" x14ac:dyDescent="0.25">
      <c r="J10" t="s">
        <v>346</v>
      </c>
      <c r="K10">
        <f>'DADOS E-MAIL '!E30</f>
        <v>0</v>
      </c>
      <c r="L10" s="689">
        <f>'DADOS E-MAIL '!G30</f>
        <v>0</v>
      </c>
      <c r="M10">
        <f>'DADOS E-MAIL '!E30</f>
        <v>0</v>
      </c>
    </row>
    <row r="11" spans="2:13" x14ac:dyDescent="0.25">
      <c r="J11" t="s">
        <v>347</v>
      </c>
      <c r="K11">
        <f>'DADOS E-MAIL '!E31</f>
        <v>10000</v>
      </c>
      <c r="L11" s="689">
        <f>'DADOS E-MAIL '!G31</f>
        <v>16.949152542372879</v>
      </c>
      <c r="M11">
        <f>'DADOS E-MAIL '!E31</f>
        <v>10000</v>
      </c>
    </row>
    <row r="12" spans="2:13" x14ac:dyDescent="0.25">
      <c r="J12" t="s">
        <v>348</v>
      </c>
      <c r="K12">
        <f>'DADOS E-MAIL '!E32</f>
        <v>0</v>
      </c>
      <c r="L12" s="689">
        <f>'DADOS E-MAIL '!G32</f>
        <v>0</v>
      </c>
      <c r="M12">
        <f>'DADOS E-MAIL '!E32</f>
        <v>0</v>
      </c>
    </row>
    <row r="13" spans="2:13" x14ac:dyDescent="0.25">
      <c r="J13" t="s">
        <v>349</v>
      </c>
      <c r="K13">
        <f>'DADOS E-MAIL '!E33</f>
        <v>5856.0749999999998</v>
      </c>
      <c r="L13" s="689">
        <f>'DADOS E-MAIL '!G33</f>
        <v>9.9255508474576271</v>
      </c>
      <c r="M13">
        <f>'DADOS E-MAIL '!E33</f>
        <v>5856.0749999999998</v>
      </c>
    </row>
    <row r="14" spans="2:13" x14ac:dyDescent="0.25">
      <c r="J14" s="690" t="s">
        <v>609</v>
      </c>
      <c r="K14">
        <f>'DADOS E-MAIL '!E34</f>
        <v>59000</v>
      </c>
      <c r="L14" s="689">
        <f>'DADOS E-MAIL '!G34</f>
        <v>100</v>
      </c>
      <c r="M14">
        <f>'DADOS E-MAIL '!E34</f>
        <v>59000</v>
      </c>
    </row>
    <row r="15" spans="2:13" x14ac:dyDescent="0.25">
      <c r="L15" s="689"/>
    </row>
    <row r="16" spans="2:13" x14ac:dyDescent="0.25">
      <c r="L16" s="689"/>
    </row>
    <row r="17" spans="12:12" x14ac:dyDescent="0.25">
      <c r="L17" s="689"/>
    </row>
    <row r="18" spans="12:12" x14ac:dyDescent="0.25">
      <c r="L18" s="689"/>
    </row>
    <row r="19" spans="12:12" x14ac:dyDescent="0.25">
      <c r="L19" s="689"/>
    </row>
    <row r="20" spans="12:12" x14ac:dyDescent="0.25">
      <c r="L20" s="689"/>
    </row>
    <row r="21" spans="12:12" x14ac:dyDescent="0.25">
      <c r="L21" s="689"/>
    </row>
    <row r="22" spans="12:12" x14ac:dyDescent="0.25">
      <c r="L22" s="689"/>
    </row>
    <row r="23" spans="12:12" x14ac:dyDescent="0.25">
      <c r="L23" s="689"/>
    </row>
    <row r="24" spans="12:12" x14ac:dyDescent="0.25">
      <c r="L24" s="689"/>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2026-03-23T14:28:36Z</cp:lastPrinted>
  <dcterms:created xsi:type="dcterms:W3CDTF">2015-06-05T18:19:34Z</dcterms:created>
  <dcterms:modified xsi:type="dcterms:W3CDTF">2026-03-23T14:28:42Z</dcterms:modified>
</cp:coreProperties>
</file>