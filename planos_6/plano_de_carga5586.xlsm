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5.03.26 - SDM Quanzhou\Miscellaneous\"/>
    </mc:Choice>
  </mc:AlternateContent>
  <xr:revisionPtr revIDLastSave="0" documentId="13_ncr:1_{2967BC6F-7CF6-42AE-8D44-6E4748C8A4E0}"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DCP!$A$1:$I$33</definedName>
    <definedName name="_xlnm.Print_Area" localSheetId="8">Relato!$A$1:$J$291</definedName>
    <definedName name="_xlnm.Print_Area" localSheetId="9">'Relato (WPC)'!$A$1:$J$354</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8" i="6" l="1"/>
  <c r="L19" i="6"/>
  <c r="L20" i="6"/>
  <c r="L21" i="6"/>
  <c r="L22" i="6"/>
  <c r="L23" i="6"/>
  <c r="L17" i="6"/>
  <c r="H289" i="14"/>
  <c r="H251" i="14"/>
  <c r="F53" i="11"/>
  <c r="F52" i="11"/>
  <c r="F51" i="11"/>
  <c r="F50" i="11"/>
  <c r="F49" i="11"/>
  <c r="F48" i="11"/>
  <c r="F47" i="11"/>
  <c r="L107" i="7"/>
  <c r="M107" i="7" s="1"/>
  <c r="L104" i="7"/>
  <c r="L101" i="7"/>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M102" i="7"/>
  <c r="M101" i="7"/>
  <c r="K101" i="7"/>
  <c r="K98" i="7"/>
  <c r="O97" i="7"/>
  <c r="N97" i="7"/>
  <c r="K91" i="7"/>
  <c r="K88" i="7"/>
  <c r="K85" i="7"/>
  <c r="K82" i="7"/>
  <c r="K79" i="7"/>
  <c r="K76"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5" i="3"/>
  <c r="A3" i="3"/>
  <c r="A29" i="3" s="1"/>
  <c r="M64" i="7" l="1"/>
  <c r="M83" i="7"/>
  <c r="N84" i="7" s="1"/>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O103" i="7"/>
  <c r="M105" i="7"/>
  <c r="N81" i="7"/>
  <c r="M108" i="7"/>
  <c r="I244" i="14"/>
  <c r="J244" i="14" s="1"/>
  <c r="H244" i="14"/>
  <c r="G244" i="14"/>
  <c r="N54" i="7" l="1"/>
  <c r="N63" i="7"/>
  <c r="N72" i="7"/>
  <c r="O69" i="7"/>
  <c r="O75" i="7"/>
  <c r="N100" i="7"/>
  <c r="N90" i="7"/>
  <c r="O78" i="7"/>
  <c r="N60" i="7"/>
  <c r="N51" i="7"/>
  <c r="N48" i="7"/>
  <c r="O36" i="7"/>
  <c r="N9" i="7"/>
  <c r="N93" i="7"/>
  <c r="N57" i="7"/>
  <c r="O87" i="7"/>
  <c r="N45" i="7"/>
  <c r="O109" i="7"/>
  <c r="N109" i="7"/>
  <c r="O106" i="7"/>
  <c r="N106" i="7"/>
  <c r="D37" i="24"/>
  <c r="D36" i="24"/>
  <c r="D35" i="24"/>
  <c r="O67"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4" i="24" l="1"/>
  <c r="G73" i="24"/>
  <c r="G82" i="24"/>
  <c r="I82" i="24"/>
  <c r="I74" i="24"/>
  <c r="I81" i="24"/>
  <c r="K73" i="24"/>
  <c r="K84" i="24"/>
  <c r="K81" i="24"/>
  <c r="Q82" i="24"/>
  <c r="G77" i="24"/>
  <c r="G84" i="24"/>
  <c r="K74" i="24"/>
  <c r="K82" i="24"/>
  <c r="Q73" i="24"/>
  <c r="H70" i="24"/>
  <c r="G32" i="24" s="1"/>
  <c r="E84" i="24"/>
  <c r="E74" i="24"/>
  <c r="E82" i="24"/>
  <c r="I73" i="24"/>
  <c r="M73" i="24"/>
  <c r="M84" i="24"/>
  <c r="M77" i="24"/>
  <c r="M74" i="24"/>
  <c r="O77" i="24"/>
  <c r="O73" i="24"/>
  <c r="Q77" i="24"/>
  <c r="I77" i="24"/>
  <c r="O81" i="24"/>
  <c r="M82" i="24"/>
  <c r="E81" i="24"/>
  <c r="Q81" i="24"/>
  <c r="O82" i="24"/>
  <c r="Q74" i="24"/>
  <c r="O84" i="24"/>
  <c r="C275" i="18"/>
  <c r="D276" i="18" s="1"/>
  <c r="C271" i="18"/>
  <c r="D272" i="18" s="1"/>
  <c r="C267" i="18"/>
  <c r="D268" i="18" s="1"/>
  <c r="F70" i="14" s="1"/>
  <c r="C181" i="18"/>
  <c r="D184" i="18" s="1"/>
  <c r="C50" i="18"/>
  <c r="D54" i="18" s="1"/>
  <c r="F57" i="14" s="1"/>
  <c r="G260" i="3"/>
  <c r="G259" i="3"/>
  <c r="G258" i="3"/>
  <c r="G257" i="3"/>
  <c r="G256" i="3"/>
  <c r="G255" i="3"/>
  <c r="G254" i="3"/>
  <c r="G253" i="3"/>
  <c r="G252" i="3"/>
  <c r="G251" i="3"/>
  <c r="G250" i="3"/>
  <c r="G249" i="3"/>
  <c r="G248" i="3"/>
  <c r="G247" i="3"/>
  <c r="G246" i="3"/>
  <c r="G245" i="3"/>
  <c r="G238" i="3"/>
  <c r="G237" i="3"/>
  <c r="G236" i="3"/>
  <c r="G235" i="3"/>
  <c r="G234" i="3"/>
  <c r="G233" i="3"/>
  <c r="G232" i="3"/>
  <c r="G231" i="3"/>
  <c r="G230" i="3"/>
  <c r="G229" i="3"/>
  <c r="G228" i="3"/>
  <c r="G227" i="3"/>
  <c r="G226" i="3"/>
  <c r="G225" i="3"/>
  <c r="G224" i="3"/>
  <c r="G223" i="3"/>
  <c r="G222" i="3"/>
  <c r="A33" i="14"/>
  <c r="I166" i="3"/>
  <c r="G166" i="3"/>
  <c r="D185" i="18" l="1"/>
  <c r="F65" i="14" s="1"/>
  <c r="F64" i="14"/>
  <c r="F80" i="14"/>
  <c r="F75" i="14"/>
  <c r="F62" i="3"/>
  <c r="D183" i="18"/>
  <c r="F63" i="14" s="1"/>
  <c r="D55" i="18"/>
  <c r="F58" i="14" s="1"/>
  <c r="D271" i="18"/>
  <c r="D50" i="18"/>
  <c r="F53" i="14" s="1"/>
  <c r="D51" i="18"/>
  <c r="F54" i="14" s="1"/>
  <c r="D181" i="18"/>
  <c r="F61" i="14" s="1"/>
  <c r="D267" i="18"/>
  <c r="D275" i="18"/>
  <c r="D52" i="18"/>
  <c r="F55" i="14" s="1"/>
  <c r="D182" i="18"/>
  <c r="F62" i="14" s="1"/>
  <c r="D53" i="18"/>
  <c r="F56" i="14" s="1"/>
  <c r="D158" i="3"/>
  <c r="F79" i="14" l="1"/>
  <c r="F74" i="14"/>
  <c r="F69" i="14"/>
  <c r="F61" i="3"/>
  <c r="F57" i="3"/>
  <c r="F58" i="3"/>
  <c r="F54" i="3"/>
  <c r="F53" i="3"/>
  <c r="J122" i="14"/>
  <c r="J102" i="3"/>
  <c r="J121" i="14" s="1"/>
  <c r="J101" i="3"/>
  <c r="J120" i="14" s="1"/>
  <c r="J100" i="3"/>
  <c r="J119" i="14" s="1"/>
  <c r="J99" i="3"/>
  <c r="J118" i="14" s="1"/>
  <c r="J98" i="3"/>
  <c r="J117" i="14" s="1"/>
  <c r="J97" i="3"/>
  <c r="J116" i="14" s="1"/>
  <c r="AN4" i="5" l="1"/>
  <c r="D11" i="5" l="1"/>
  <c r="A62" i="3" l="1"/>
  <c r="A61" i="3"/>
  <c r="A57" i="3"/>
  <c r="A53"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7" i="24" s="1"/>
  <c r="A36" i="3"/>
  <c r="A36" i="14"/>
  <c r="A29" i="14" l="1"/>
  <c r="AO4" i="5"/>
  <c r="L162" i="3"/>
  <c r="A207" i="3" l="1"/>
  <c r="AN8" i="5"/>
  <c r="AN6" i="5"/>
  <c r="AN7" i="5"/>
  <c r="AN5" i="5"/>
  <c r="I161" i="3"/>
  <c r="I185" i="14" s="1"/>
  <c r="G161" i="3"/>
  <c r="G185" i="14" s="1"/>
  <c r="G190" i="14"/>
  <c r="I190" i="14"/>
  <c r="I162" i="3"/>
  <c r="I186" i="14" s="1"/>
  <c r="G163" i="3"/>
  <c r="G187" i="14" s="1"/>
  <c r="G162"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6" i="3"/>
  <c r="E126" i="3"/>
  <c r="E136" i="3"/>
  <c r="E146" i="14" l="1"/>
  <c r="E156" i="14"/>
  <c r="G188" i="14"/>
  <c r="A201" i="3"/>
  <c r="I164" i="3"/>
  <c r="I188" i="14" s="1"/>
  <c r="G164" i="3"/>
  <c r="A1" i="3"/>
  <c r="B116" i="14" l="1"/>
  <c r="H214" i="3"/>
  <c r="E149" i="14" l="1"/>
  <c r="E148" i="14"/>
  <c r="E129" i="3"/>
  <c r="E128" i="3"/>
  <c r="I163" i="3" l="1"/>
  <c r="I187" i="14" s="1"/>
  <c r="G289" i="14"/>
  <c r="G251" i="14"/>
  <c r="G242" i="3"/>
  <c r="G219" i="3"/>
  <c r="C17" i="16" l="1"/>
  <c r="C34" i="16"/>
  <c r="J279" i="3" l="1"/>
  <c r="J278" i="3"/>
  <c r="J277" i="3"/>
  <c r="N34" i="16" l="1"/>
  <c r="N33" i="16"/>
  <c r="N32" i="16"/>
  <c r="N31" i="16"/>
  <c r="N30" i="16"/>
  <c r="N29" i="16"/>
  <c r="N28" i="16"/>
  <c r="N27" i="16"/>
  <c r="N17" i="16"/>
  <c r="N16" i="16"/>
  <c r="N15" i="16"/>
  <c r="N14" i="16"/>
  <c r="V15" i="16" s="1"/>
  <c r="O15" i="16" s="1"/>
  <c r="N13" i="16"/>
  <c r="N12" i="16"/>
  <c r="N11" i="16"/>
  <c r="V17" i="16" s="1"/>
  <c r="N10" i="16"/>
  <c r="P6" i="16"/>
  <c r="P24" i="16"/>
  <c r="O24" i="16"/>
  <c r="P23" i="16"/>
  <c r="O23" i="16"/>
  <c r="V13" i="16"/>
  <c r="O13"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80" i="3"/>
  <c r="J280" i="3"/>
  <c r="E283" i="14"/>
  <c r="E282" i="14"/>
  <c r="E281" i="14"/>
  <c r="G281" i="14" s="1"/>
  <c r="E280" i="14"/>
  <c r="G280" i="14" s="1"/>
  <c r="E279" i="14"/>
  <c r="G279" i="14" s="1"/>
  <c r="E278" i="14"/>
  <c r="E277" i="14"/>
  <c r="E276" i="14"/>
  <c r="E275" i="14"/>
  <c r="G275" i="14" s="1"/>
  <c r="E274" i="14"/>
  <c r="G274" i="14" s="1"/>
  <c r="E273" i="14"/>
  <c r="G273" i="14" s="1"/>
  <c r="E272" i="14"/>
  <c r="E271" i="14"/>
  <c r="E270" i="14"/>
  <c r="E269" i="14"/>
  <c r="G269" i="14" s="1"/>
  <c r="E268" i="14"/>
  <c r="G268" i="14" s="1"/>
  <c r="E267" i="14"/>
  <c r="G267" i="14" s="1"/>
  <c r="E266" i="14"/>
  <c r="E265" i="14"/>
  <c r="E264" i="14"/>
  <c r="E263" i="14"/>
  <c r="G263" i="14" s="1"/>
  <c r="E262" i="14"/>
  <c r="G262" i="14" s="1"/>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301" i="14" l="1"/>
  <c r="G317" i="14"/>
  <c r="G294" i="14"/>
  <c r="G295" i="14"/>
  <c r="G311" i="14"/>
  <c r="G304" i="14"/>
  <c r="G312" i="14"/>
  <c r="G293" i="14"/>
  <c r="G309" i="14"/>
  <c r="G318" i="14"/>
  <c r="G303"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6" i="3"/>
  <c r="B256" i="3"/>
  <c r="C256" i="3"/>
  <c r="I256" i="3"/>
  <c r="A257" i="3"/>
  <c r="B257" i="3"/>
  <c r="C257" i="3"/>
  <c r="I257" i="3"/>
  <c r="A258" i="3"/>
  <c r="B258" i="3"/>
  <c r="C258" i="3"/>
  <c r="A259" i="3"/>
  <c r="B259" i="3"/>
  <c r="C259" i="3"/>
  <c r="A260" i="3"/>
  <c r="B260" i="3"/>
  <c r="C260" i="3"/>
  <c r="I260" i="3"/>
  <c r="I315" i="14" l="1"/>
  <c r="I319" i="14"/>
  <c r="I316" i="14"/>
  <c r="I313" i="14"/>
  <c r="I310" i="14"/>
  <c r="I307" i="14"/>
  <c r="I304" i="14"/>
  <c r="I321" i="14"/>
  <c r="I312" i="14"/>
  <c r="I318" i="14"/>
  <c r="I309" i="14"/>
  <c r="I306" i="14"/>
  <c r="I303" i="14"/>
  <c r="I320" i="14"/>
  <c r="I317" i="14"/>
  <c r="I314" i="14"/>
  <c r="I311" i="14"/>
  <c r="I308" i="14"/>
  <c r="I305" i="14"/>
  <c r="E83" i="3"/>
  <c r="E82" i="3"/>
  <c r="E84" i="3"/>
  <c r="M84" i="3"/>
  <c r="E148"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3" i="3"/>
  <c r="E110" i="3"/>
  <c r="E109" i="3"/>
  <c r="E108" i="3"/>
  <c r="G38" i="24" l="1"/>
  <c r="F70" i="3"/>
  <c r="F65"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7"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7" i="3"/>
  <c r="E157" i="14" s="1"/>
  <c r="I188" i="3"/>
  <c r="I213" i="14"/>
  <c r="G188"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4"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55" i="3"/>
  <c r="C254" i="3"/>
  <c r="C253" i="3"/>
  <c r="C252" i="3"/>
  <c r="C251" i="3"/>
  <c r="C250" i="3"/>
  <c r="C249" i="3"/>
  <c r="C248" i="3"/>
  <c r="C247" i="3"/>
  <c r="C246" i="3"/>
  <c r="C245" i="3"/>
  <c r="B246" i="3"/>
  <c r="B247" i="3"/>
  <c r="B248" i="3"/>
  <c r="B249" i="3"/>
  <c r="B250" i="3"/>
  <c r="B251" i="3"/>
  <c r="B252" i="3"/>
  <c r="B253" i="3"/>
  <c r="B254" i="3"/>
  <c r="B255" i="3"/>
  <c r="B245" i="3"/>
  <c r="A246" i="3"/>
  <c r="A293" i="14" s="1"/>
  <c r="A247" i="3"/>
  <c r="A294" i="14" s="1"/>
  <c r="A248" i="3"/>
  <c r="A295" i="14" s="1"/>
  <c r="A249" i="3"/>
  <c r="A250" i="3"/>
  <c r="A251" i="3"/>
  <c r="A252" i="3"/>
  <c r="A253" i="3"/>
  <c r="A254" i="3"/>
  <c r="A255" i="3"/>
  <c r="A245" i="3"/>
  <c r="A292" i="14" s="1"/>
  <c r="H271" i="3"/>
  <c r="J270" i="3"/>
  <c r="J269" i="3"/>
  <c r="J268" i="3"/>
  <c r="I246" i="3"/>
  <c r="I247" i="3"/>
  <c r="I248" i="3"/>
  <c r="I249" i="3"/>
  <c r="I250" i="3"/>
  <c r="I251" i="3"/>
  <c r="I252" i="3"/>
  <c r="I253" i="3"/>
  <c r="I254" i="3"/>
  <c r="I255" i="3"/>
  <c r="I24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45" i="3"/>
  <c r="I292" i="14"/>
  <c r="J292" i="14" s="1"/>
  <c r="I297" i="14"/>
  <c r="I302" i="14"/>
  <c r="I296" i="14"/>
  <c r="O39" i="5"/>
  <c r="O46" i="5" s="1"/>
  <c r="J47" i="5" s="1"/>
  <c r="Z54" i="5"/>
  <c r="N6" i="16"/>
  <c r="O10" i="16" s="1"/>
  <c r="AG39" i="5"/>
  <c r="AG46" i="5" s="1"/>
  <c r="AB47" i="5" s="1"/>
  <c r="H53" i="5"/>
  <c r="C6" i="16"/>
  <c r="H58" i="5"/>
  <c r="N58" i="5"/>
  <c r="G219" i="14" s="1"/>
  <c r="H212" i="14"/>
  <c r="J251" i="14"/>
  <c r="Z53" i="5"/>
  <c r="H214" i="14"/>
  <c r="AN32" i="5"/>
  <c r="M33" i="5"/>
  <c r="G214" i="14" s="1"/>
  <c r="AQ35" i="5"/>
  <c r="AQ36" i="5"/>
  <c r="J27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7" i="16"/>
  <c r="K16" i="16" s="1"/>
  <c r="K13" i="16"/>
  <c r="D13" i="16" s="1"/>
  <c r="R43" i="7"/>
  <c r="R46" i="7"/>
  <c r="R67" i="7"/>
  <c r="R58" i="7"/>
  <c r="H321" i="14"/>
  <c r="J321" i="14" s="1"/>
  <c r="J260" i="3"/>
  <c r="R13" i="7"/>
  <c r="R52" i="7"/>
  <c r="R34" i="7"/>
  <c r="R28" i="7"/>
  <c r="R22" i="7"/>
  <c r="R55" i="7"/>
  <c r="R31" i="7"/>
  <c r="R19" i="7"/>
  <c r="R88" i="7"/>
  <c r="R82" i="7"/>
  <c r="R76" i="7"/>
  <c r="R49" i="7"/>
  <c r="R7" i="7"/>
  <c r="R73" i="7"/>
  <c r="R16" i="7"/>
  <c r="R64" i="7"/>
  <c r="R85" i="7"/>
  <c r="R79" i="7"/>
  <c r="R40" i="7"/>
  <c r="R10" i="7"/>
  <c r="R61" i="7"/>
  <c r="R25" i="7"/>
  <c r="R70" i="7"/>
  <c r="P110" i="7"/>
  <c r="R98" i="7"/>
  <c r="R91" i="7"/>
  <c r="AG42" i="5"/>
  <c r="AB43" i="5" s="1"/>
  <c r="I192" i="3" s="1"/>
  <c r="O50" i="5"/>
  <c r="AG50" i="5"/>
  <c r="Z57" i="5" s="1"/>
  <c r="O42" i="5"/>
  <c r="J43" i="5" s="1"/>
  <c r="AQ33" i="5"/>
  <c r="AQ32" i="5"/>
  <c r="L230" i="14"/>
  <c r="N230" i="14" s="1"/>
  <c r="G3" i="3"/>
  <c r="D17" i="16" l="1"/>
  <c r="J51" i="5"/>
  <c r="H57" i="5" s="1"/>
  <c r="H59" i="5" s="1"/>
  <c r="H61" i="5" s="1"/>
  <c r="H63" i="5" s="1"/>
  <c r="H318" i="14"/>
  <c r="J318" i="14" s="1"/>
  <c r="H308" i="14"/>
  <c r="J308" i="14" s="1"/>
  <c r="H311" i="14"/>
  <c r="J311" i="14" s="1"/>
  <c r="H293" i="14"/>
  <c r="J246" i="3"/>
  <c r="H309" i="14"/>
  <c r="J309" i="14" s="1"/>
  <c r="H295" i="14"/>
  <c r="J295" i="14" s="1"/>
  <c r="J248" i="3"/>
  <c r="H306" i="14"/>
  <c r="J306" i="14" s="1"/>
  <c r="J259" i="3"/>
  <c r="H294" i="14"/>
  <c r="J294" i="14" s="1"/>
  <c r="J247" i="3"/>
  <c r="H312" i="14"/>
  <c r="J312" i="14" s="1"/>
  <c r="H317" i="14"/>
  <c r="J317" i="14" s="1"/>
  <c r="H315" i="14"/>
  <c r="J315" i="14" s="1"/>
  <c r="H298" i="14"/>
  <c r="J298" i="14" s="1"/>
  <c r="J251" i="3"/>
  <c r="H313" i="14"/>
  <c r="J313" i="14" s="1"/>
  <c r="H319" i="14"/>
  <c r="J319" i="14" s="1"/>
  <c r="H300" i="14"/>
  <c r="J300" i="14" s="1"/>
  <c r="J253" i="3"/>
  <c r="H320" i="14"/>
  <c r="J320" i="14" s="1"/>
  <c r="Z59" i="5"/>
  <c r="Z61" i="5" s="1"/>
  <c r="I193" i="3"/>
  <c r="H307" i="14"/>
  <c r="J307" i="14" s="1"/>
  <c r="H305" i="14"/>
  <c r="J305" i="14" s="1"/>
  <c r="J258" i="3"/>
  <c r="H299" i="14"/>
  <c r="J299" i="14" s="1"/>
  <c r="J252" i="3"/>
  <c r="H314" i="14"/>
  <c r="J314" i="14" s="1"/>
  <c r="H304" i="14"/>
  <c r="J304" i="14" s="1"/>
  <c r="J257" i="3"/>
  <c r="H296" i="14"/>
  <c r="J296" i="14" s="1"/>
  <c r="J249" i="3"/>
  <c r="H301" i="14"/>
  <c r="J301" i="14" s="1"/>
  <c r="J254" i="3"/>
  <c r="H316" i="14"/>
  <c r="J316" i="14" s="1"/>
  <c r="H297" i="14"/>
  <c r="J297" i="14" s="1"/>
  <c r="J250" i="3"/>
  <c r="H302" i="14"/>
  <c r="J302" i="14" s="1"/>
  <c r="J255" i="3"/>
  <c r="H310" i="14"/>
  <c r="J310" i="14" s="1"/>
  <c r="L228" i="14"/>
  <c r="M228" i="14" s="1"/>
  <c r="M230" i="14"/>
  <c r="O230" i="14" s="1"/>
  <c r="J219" i="3"/>
  <c r="J242" i="3"/>
  <c r="I290" i="3"/>
  <c r="I287" i="3"/>
  <c r="I286" i="3"/>
  <c r="I285" i="3"/>
  <c r="F290" i="3"/>
  <c r="F287" i="3"/>
  <c r="F286" i="3"/>
  <c r="F285" i="3"/>
  <c r="A206" i="3"/>
  <c r="A205" i="3"/>
  <c r="J293" i="14" l="1"/>
  <c r="Z63" i="5"/>
  <c r="I197" i="3" s="1"/>
  <c r="I195" i="3"/>
  <c r="N228" i="14"/>
  <c r="O228" i="14" s="1"/>
  <c r="P228" i="14" s="1"/>
  <c r="P230" i="14"/>
  <c r="I202" i="3"/>
  <c r="I196" i="3"/>
  <c r="J189" i="3"/>
  <c r="J188" i="3"/>
  <c r="J187" i="3"/>
  <c r="I189" i="3"/>
  <c r="I185" i="3"/>
  <c r="I183" i="3"/>
  <c r="I182" i="3"/>
  <c r="I180" i="3"/>
  <c r="I179" i="3"/>
  <c r="I178" i="3"/>
  <c r="I177" i="3"/>
  <c r="I175" i="3"/>
  <c r="I174" i="3"/>
  <c r="I173" i="3"/>
  <c r="I172" i="3"/>
  <c r="I170" i="3"/>
  <c r="I169" i="3"/>
  <c r="G202" i="3"/>
  <c r="G200" i="3"/>
  <c r="G196" i="3"/>
  <c r="H188" i="3"/>
  <c r="G184" i="3"/>
  <c r="I184" i="3" s="1"/>
  <c r="G180" i="3"/>
  <c r="G179" i="3"/>
  <c r="G175" i="3"/>
  <c r="G174" i="3"/>
  <c r="G170" i="3"/>
  <c r="G169" i="3"/>
  <c r="G165" i="3"/>
  <c r="I165" i="3"/>
  <c r="I189" i="14" s="1"/>
  <c r="E164" i="3"/>
  <c r="C164" i="3"/>
  <c r="A164" i="3"/>
  <c r="A232" i="14" l="1"/>
  <c r="L229" i="14"/>
  <c r="A237" i="14" s="1"/>
  <c r="I187" i="3"/>
  <c r="G171" i="3"/>
  <c r="I171" i="3"/>
  <c r="G176" i="3"/>
  <c r="G181" i="3"/>
  <c r="I181" i="3"/>
  <c r="I176" i="3"/>
  <c r="H158" i="3"/>
  <c r="A41" i="3"/>
  <c r="I209" i="3"/>
  <c r="H153" i="3" s="1"/>
  <c r="H207" i="3"/>
  <c r="H206" i="3"/>
  <c r="J207" i="3"/>
  <c r="J206" i="3"/>
  <c r="J205" i="3"/>
  <c r="E73" i="3"/>
  <c r="H216" i="3" l="1"/>
  <c r="I216" i="3" s="1"/>
  <c r="J216" i="3" s="1"/>
  <c r="H215" i="3"/>
  <c r="H157" i="3" s="1"/>
  <c r="H156" i="3"/>
  <c r="G216" i="3"/>
  <c r="E150" i="3"/>
  <c r="E149" i="3"/>
  <c r="E147" i="3"/>
  <c r="E146" i="3"/>
  <c r="E141" i="3"/>
  <c r="E140" i="3"/>
  <c r="E139" i="3"/>
  <c r="E138" i="3"/>
  <c r="E131" i="3"/>
  <c r="E130" i="3"/>
  <c r="I121" i="3"/>
  <c r="I120" i="3"/>
  <c r="E86" i="3" s="1"/>
  <c r="I119" i="3"/>
  <c r="I118" i="3"/>
  <c r="I117" i="3"/>
  <c r="F121" i="3"/>
  <c r="F120" i="3"/>
  <c r="F119" i="3"/>
  <c r="F118" i="3"/>
  <c r="F117" i="3"/>
  <c r="E121" i="3"/>
  <c r="E120" i="3"/>
  <c r="E119" i="3"/>
  <c r="E118" i="3"/>
  <c r="E117" i="3"/>
  <c r="E112" i="3"/>
  <c r="B102" i="3"/>
  <c r="B101" i="3"/>
  <c r="B100" i="3"/>
  <c r="B99" i="3"/>
  <c r="B98" i="3"/>
  <c r="B97" i="3"/>
  <c r="E91" i="3"/>
  <c r="E90" i="3"/>
  <c r="E88" i="3"/>
  <c r="E81" i="3"/>
  <c r="E80" i="3"/>
  <c r="E79" i="3"/>
  <c r="E78" i="3"/>
  <c r="E77" i="3"/>
  <c r="E76" i="3"/>
  <c r="E75" i="3"/>
  <c r="E74" i="3"/>
  <c r="A40" i="3"/>
  <c r="L40" i="3"/>
  <c r="A166" i="3"/>
  <c r="A2" i="6" s="1"/>
  <c r="A21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G27" i="6"/>
  <c r="F27" i="6"/>
  <c r="E27" i="6"/>
  <c r="F119" i="14" s="1"/>
  <c r="D27" i="6"/>
  <c r="C27" i="6"/>
  <c r="B27" i="6"/>
  <c r="F116" i="14" s="1"/>
  <c r="H26" i="6"/>
  <c r="H25" i="6"/>
  <c r="H24" i="6"/>
  <c r="H23" i="6"/>
  <c r="H22" i="6"/>
  <c r="H21" i="6"/>
  <c r="H20" i="6"/>
  <c r="H19" i="6"/>
  <c r="H18" i="6"/>
  <c r="H17" i="6"/>
  <c r="H16" i="6"/>
  <c r="D97" i="3"/>
  <c r="S89" i="5"/>
  <c r="AA87" i="5"/>
  <c r="AA86" i="5"/>
  <c r="M11" i="10"/>
  <c r="G121" i="3"/>
  <c r="G120" i="3"/>
  <c r="G119" i="3"/>
  <c r="G118" i="3"/>
  <c r="G117" i="3"/>
  <c r="I98" i="3"/>
  <c r="A34" i="3"/>
  <c r="A48" i="3" s="1"/>
  <c r="E29" i="6" l="1"/>
  <c r="C29" i="6"/>
  <c r="F117" i="14"/>
  <c r="G29" i="6"/>
  <c r="F121" i="14"/>
  <c r="F98" i="3"/>
  <c r="F102" i="3"/>
  <c r="D29" i="6"/>
  <c r="F118" i="14"/>
  <c r="F99" i="3"/>
  <c r="B29" i="6"/>
  <c r="F100" i="3"/>
  <c r="F29" i="6"/>
  <c r="F120" i="14"/>
  <c r="F97" i="3"/>
  <c r="F101" i="3"/>
  <c r="AC86" i="5"/>
  <c r="G41" i="11"/>
  <c r="AC87" i="5"/>
  <c r="G42" i="11"/>
  <c r="Z69" i="5"/>
  <c r="AF69" i="5" s="1"/>
  <c r="I288" i="3"/>
  <c r="F288" i="3"/>
  <c r="H4" i="7"/>
  <c r="C71" i="7"/>
  <c r="E72" i="7" s="1"/>
  <c r="C108" i="7"/>
  <c r="E109" i="7" s="1"/>
  <c r="I214" i="3"/>
  <c r="J214" i="3" s="1"/>
  <c r="I215" i="3"/>
  <c r="J215" i="3" s="1"/>
  <c r="C35" i="7"/>
  <c r="E36" i="7" s="1"/>
  <c r="C53" i="7"/>
  <c r="D54" i="7" s="1"/>
  <c r="C77" i="7"/>
  <c r="E78" i="7" s="1"/>
  <c r="C41" i="7"/>
  <c r="D42" i="7" s="1"/>
  <c r="C89" i="7"/>
  <c r="E90" i="7" s="1"/>
  <c r="C65" i="7"/>
  <c r="E66" i="7" s="1"/>
  <c r="C102" i="7"/>
  <c r="E103" i="7" s="1"/>
  <c r="C59" i="7"/>
  <c r="E60" i="7" s="1"/>
  <c r="C47" i="7"/>
  <c r="E48" i="7" s="1"/>
  <c r="C83" i="7"/>
  <c r="D84" i="7" s="1"/>
  <c r="C99" i="7"/>
  <c r="E100" i="7" s="1"/>
  <c r="A35" i="3"/>
  <c r="A161" i="3"/>
  <c r="E12" i="7"/>
  <c r="D12" i="7"/>
  <c r="H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3" i="3"/>
  <c r="H303" i="14" l="1"/>
  <c r="J256" i="3"/>
  <c r="J261" i="3" s="1"/>
  <c r="H261" i="3"/>
  <c r="R37" i="7"/>
  <c r="R94" i="7" s="1"/>
  <c r="P94" i="7"/>
  <c r="F103" i="3"/>
  <c r="F123" i="14"/>
  <c r="I41" i="11"/>
  <c r="H254" i="14"/>
  <c r="I42" i="11"/>
  <c r="D109" i="7"/>
  <c r="D98" i="3"/>
  <c r="D99" i="3"/>
  <c r="I99" i="3" s="1"/>
  <c r="J222"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303" i="14" l="1"/>
  <c r="J322" i="14" s="1"/>
  <c r="I352" i="14" s="1"/>
  <c r="I354" i="14" s="1"/>
  <c r="H322" i="14"/>
  <c r="Z68" i="5"/>
  <c r="I289" i="3"/>
  <c r="I291" i="3" s="1"/>
  <c r="J254" i="14"/>
  <c r="D101" i="3"/>
  <c r="I101" i="3" s="1"/>
  <c r="G173" i="3"/>
  <c r="G172" i="3"/>
  <c r="G182" i="3"/>
  <c r="G178" i="3"/>
  <c r="G177" i="3"/>
  <c r="E18" i="10"/>
  <c r="G185" i="3"/>
  <c r="AF68" i="5" l="1"/>
  <c r="AF72" i="5"/>
  <c r="Z72" i="5"/>
  <c r="Z74" i="5" s="1"/>
  <c r="I199" i="3" s="1"/>
  <c r="D102" i="3"/>
  <c r="I102" i="3" s="1"/>
  <c r="E20" i="10"/>
  <c r="G183" i="3"/>
  <c r="G187" i="3" s="1"/>
  <c r="I198" i="3" l="1"/>
  <c r="I223" i="14"/>
  <c r="H187" i="3"/>
  <c r="G194" i="3"/>
  <c r="H189" i="3"/>
  <c r="G189" i="3"/>
  <c r="M10" i="10"/>
  <c r="P11" i="10" s="1"/>
  <c r="M19" i="10" s="1"/>
  <c r="P19" i="10" s="1"/>
  <c r="AE39" i="5" s="1"/>
  <c r="G192" i="3"/>
  <c r="H205"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3" i="3"/>
  <c r="AE51" i="5" l="1"/>
  <c r="AF57" i="5" s="1"/>
  <c r="I218" i="14" s="1"/>
  <c r="O34" i="16"/>
  <c r="D27" i="16"/>
  <c r="K34" i="16"/>
  <c r="K33" i="16" s="1"/>
  <c r="K32" i="16"/>
  <c r="D32" i="16" s="1"/>
  <c r="K30" i="16"/>
  <c r="D30" i="16" s="1"/>
  <c r="J223" i="3"/>
  <c r="J224" i="3"/>
  <c r="H256" i="14"/>
  <c r="J256" i="14" s="1"/>
  <c r="J238" i="3"/>
  <c r="H283" i="14"/>
  <c r="J283" i="14" s="1"/>
  <c r="J255" i="14"/>
  <c r="H239" i="3"/>
  <c r="Q46" i="5"/>
  <c r="M47" i="5" s="1"/>
  <c r="H230" i="14" s="1"/>
  <c r="Q42" i="5"/>
  <c r="M43" i="5" s="1"/>
  <c r="G217" i="14" s="1"/>
  <c r="Q50" i="5"/>
  <c r="J225" i="3"/>
  <c r="J228" i="3"/>
  <c r="J234" i="3"/>
  <c r="J227" i="3"/>
  <c r="J232" i="3"/>
  <c r="J235" i="3"/>
  <c r="J236" i="3"/>
  <c r="J237" i="3"/>
  <c r="J231" i="3"/>
  <c r="J230" i="3"/>
  <c r="J226" i="3"/>
  <c r="J233" i="3"/>
  <c r="J229" i="3"/>
  <c r="H94" i="7"/>
  <c r="G195" i="3"/>
  <c r="D34" i="16" l="1"/>
  <c r="M51" i="5"/>
  <c r="N57" i="5" s="1"/>
  <c r="H284" i="14"/>
  <c r="J284" i="14"/>
  <c r="F352" i="14" s="1"/>
  <c r="F354" i="14" s="1"/>
  <c r="AF59" i="5"/>
  <c r="AF61" i="5" s="1"/>
  <c r="I220" i="14" s="1"/>
  <c r="J239" i="3"/>
  <c r="G197" i="3"/>
  <c r="N59" i="5" l="1"/>
  <c r="N61" i="5" s="1"/>
  <c r="G218" i="14"/>
  <c r="AF63" i="5"/>
  <c r="I222" i="14" s="1"/>
  <c r="F289" i="3"/>
  <c r="F291" i="3" s="1"/>
  <c r="H68" i="5"/>
  <c r="N63" i="5" l="1"/>
  <c r="G222" i="14" s="1"/>
  <c r="G220" i="14"/>
  <c r="AF74" i="5"/>
  <c r="H72" i="5"/>
  <c r="G223" i="14" s="1"/>
  <c r="N68" i="5"/>
  <c r="N72" i="5"/>
  <c r="I224" i="14" l="1"/>
  <c r="N74" i="5"/>
  <c r="G224" i="14" s="1"/>
  <c r="H74" i="5"/>
  <c r="G198" i="3"/>
  <c r="A234" i="14" l="1"/>
  <c r="A228" i="14"/>
  <c r="A235" i="14" s="1"/>
  <c r="N77" i="5"/>
  <c r="G226" i="14" s="1"/>
  <c r="AF75" i="5"/>
  <c r="H77" i="5"/>
  <c r="Z75" i="5"/>
  <c r="G199" i="3"/>
  <c r="A203" i="3" l="1"/>
  <c r="A210" i="3" s="1"/>
  <c r="A209" i="3"/>
  <c r="AF77" i="5"/>
  <c r="AF79" i="5" s="1"/>
  <c r="Z77" i="5"/>
  <c r="E36" i="11" s="1"/>
  <c r="G35" i="24" s="1"/>
  <c r="G201" i="3"/>
  <c r="C10" i="13" l="1"/>
  <c r="D10" i="13" s="1"/>
  <c r="E10" i="13" s="1"/>
  <c r="AI79" i="5"/>
  <c r="I228" i="14"/>
  <c r="I235" i="14"/>
  <c r="H175" i="14" s="1"/>
  <c r="B9" i="6"/>
  <c r="B10" i="6" s="1"/>
  <c r="B11" i="6" s="1"/>
  <c r="C16" i="13"/>
  <c r="D16" i="13" s="1"/>
  <c r="E16" i="13" s="1"/>
  <c r="I203" i="3"/>
  <c r="I210" i="3"/>
  <c r="G211" i="3" s="1"/>
  <c r="Z79" i="5"/>
  <c r="G36" i="11" s="1"/>
  <c r="K35" i="24" l="1"/>
  <c r="G236" i="14"/>
  <c r="A236" i="14" s="1"/>
  <c r="AC79" i="5"/>
  <c r="H155" i="3"/>
  <c r="A211" i="3"/>
  <c r="I211" i="3"/>
  <c r="I236"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<sst xmlns="http://schemas.openxmlformats.org/spreadsheetml/2006/main" count="1678" uniqueCount="811">
  <si>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</si>
  <si>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</si>
  <si>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</si>
  <si>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</si>
  <si>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</si>
  <si>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</si>
  <si>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</si>
  <si>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</si>
  <si>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</si>
  <si>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</si>
  <si>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</si>
  <si>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</si>
  <si>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</si>
  <si>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</si>
  <si>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</si>
  <si>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</si>
  <si>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</si>
  <si>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</si>
  <si>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</si>
  <si>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</si>
  <si>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</si>
  <si>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</si>
  <si>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</si>
  <si>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</si>
  <si>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</si>
  <si>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</si>
  <si>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</si>
  <si>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</si>
  <si>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</si>
  <si>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</si>
  <si>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</si>
  <si>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</si>
  <si>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</si>
  <si>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</si>
  <si>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</si>
  <si>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</si>
  <si>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</si>
  <si>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</si>
  <si>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</si>
  <si>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</si>
  <si>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</si>
  <si>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</si>
  <si>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</si>
  <si>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</si>
  <si>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</si>
  <si>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</si>
  <si>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</si>
  <si>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</si>
  <si>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</si>
  <si>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</si>
  <si>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</si>
  <si>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</si>
  <si>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</si>
  <si>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</si>
  <si>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</si>
  <si>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</si>
  <si>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</si>
  <si>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</si>
  <si>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</si>
  <si>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</si>
  <si>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</si>
  <si>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</si>
  <si>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</si>
  <si>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</si>
  <si>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</si>
  <si>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</si>
  <si>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</si>
  <si>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</si>
  <si>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</si>
  <si>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</si>
  <si>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</si>
  <si>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</si>
  <si>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</si>
  <si>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</si>
  <si>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</si>
  <si>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</si>
  <si>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</si>
  <si>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</si>
  <si>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</si>
  <si>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</si>
  <si>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</si>
  <si>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</si>
  <si>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</si>
  <si>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</si>
  <si>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</si>
  <si>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</si>
  <si>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</si>
  <si>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</si>
  <si>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</si>
  <si>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</si>
  <si>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</si>
  <si>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</si>
  <si>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</si>
  <si>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</si>
  <si>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</si>
  <si>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</si>
  <si>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</si>
  <si>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</si>
  <si>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</si>
  <si>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</si>
  <si>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</si>
  <si>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</si>
  <si>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</si>
  <si>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</si>
  <si>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</si>
  <si>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</si>
  <si>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</si>
  <si>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</si>
  <si>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</si>
  <si>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</si>
  <si>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</si>
  <si>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</si>
  <si>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</si>
  <si>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</si>
  <si>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</si>
  <si>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</si>
  <si>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</si>
  <si>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</si>
  <si>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</si>
  <si>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</si>
  <si>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</si>
  <si>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</si>
  <si>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</si>
  <si>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</si>
  <si>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</si>
  <si>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</si>
  <si>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</si>
  <si>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</si>
  <si>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</si>
  <si>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</si>
  <si>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</si>
  <si>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</si>
  <si>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</si>
  <si>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</si>
  <si>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</si>
  <si>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</si>
  <si>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</si>
  <si>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</si>
  <si>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</si>
  <si>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</si>
  <si>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</si>
  <si>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</si>
  <si>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</si>
  <si>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</si>
  <si>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</si>
  <si>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</si>
  <si>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</si>
  <si>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</si>
  <si>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</si>
  <si>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</si>
  <si>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</si>
  <si>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</si>
  <si>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</si>
  <si>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</si>
  <si>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</si>
  <si>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</si>
  <si>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</si>
  <si>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</si>
  <si>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</si>
  <si>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</si>
  <si>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</si>
  <si>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</si>
  <si>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</si>
  <si>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</si>
  <si>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</si>
  <si>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</si>
  <si>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</si>
  <si>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</si>
  <si>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</si>
  <si>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</si>
  <si>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</si>
  <si>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</si>
  <si>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</si>
  <si>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</si>
  <si>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</si>
  <si>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</si>
  <si>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</si>
  <si>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</si>
  <si>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</si>
  <si>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</si>
  <si>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</si>
  <si>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</si>
  <si>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</si>
  <si>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</si>
  <si>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</si>
  <si>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</si>
  <si>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</si>
  <si>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</si>
  <si>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</si>
  <si>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</si>
  <si>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</si>
  <si>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</si>
  <si>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</si>
  <si>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</si>
  <si>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</si>
  <si>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</si>
  <si>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</si>
  <si>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</si>
  <si>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</si>
  <si>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</si>
  <si>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</si>
  <si>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</si>
  <si>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</si>
  <si>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</si>
  <si>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</si>
  <si>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</si>
  <si>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</si>
  <si>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</si>
  <si>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</si>
  <si>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</si>
  <si>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</si>
  <si>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</si>
  <si>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</si>
  <si>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</si>
  <si>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</si>
  <si>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</si>
  <si>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</si>
  <si>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</si>
  <si>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</si>
  <si>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</si>
  <si>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</si>
  <si>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</si>
  <si>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</si>
  <si>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</si>
  <si>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</si>
  <si>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</si>
  <si>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</si>
  <si>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</si>
  <si>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</si>
  <si>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</si>
  <si>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</si>
  <si>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</si>
  <si>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</si>
  <si>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</si>
  <si>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</si>
  <si>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</si>
  <si>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</si>
  <si>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</si>
  <si>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</si>
  <si>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</si>
  <si>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</si>
  <si>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</si>
  <si>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</si>
  <si>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</si>
  <si>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</si>
  <si>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</si>
  <si>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</si>
  <si>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</si>
  <si>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</si>
  <si>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</si>
  <si>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</si>
  <si>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</si>
  <si>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</si>
  <si>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</si>
  <si>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</si>
  <si>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</si>
  <si>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</si>
  <si>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</si>
  <si>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</si>
  <si>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</si>
  <si>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</si>
  <si>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</si>
  <si>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</si>
  <si>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</si>
  <si>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</si>
  <si>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</si>
  <si>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</si>
  <si>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</si>
  <si>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</si>
  <si>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</si>
  <si>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</si>
  <si>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</si>
  <si>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</si>
  <si>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</si>
  <si>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</si>
  <si>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</si>
  <si>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</si>
  <si>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</si>
  <si>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</si>
  <si>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</si>
  <si>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</si>
  <si>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</si>
  <si>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</si>
  <si>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</si>
  <si>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</si>
  <si>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</si>
  <si>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</si>
  <si>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</si>
  <si>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</si>
  <si>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</si>
  <si>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</si>
  <si>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</si>
  <si>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</si>
  <si>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</si>
  <si>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</si>
  <si>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</si>
  <si>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</si>
  <si>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</si>
  <si>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</si>
  <si>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</si>
  <si>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</si>
  <si>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</si>
  <si>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</si>
  <si>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</si>
  <si>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</si>
  <si>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</si>
  <si>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</si>
  <si>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</si>
  <si>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</si>
  <si>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</si>
  <si>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</si>
  <si>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</si>
  <si>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</si>
  <si>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</si>
  <si>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</si>
  <si>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</si>
  <si>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</si>
  <si>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</si>
  <si>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</si>
  <si>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</si>
  <si>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</si>
  <si>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</si>
  <si>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</si>
  <si>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</si>
  <si>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</si>
  <si>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</si>
  <si>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</si>
  <si>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</si>
  <si>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</si>
  <si>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</si>
  <si>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</si>
  <si>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</si>
  <si>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</si>
  <si>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</si>
  <si>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</si>
  <si>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</si>
  <si>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</si>
  <si>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</si>
  <si>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</si>
  <si>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</si>
  <si>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</si>
  <si>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</si>
  <si>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</si>
  <si>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</si>
  <si>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</si>
  <si>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</si>
  <si>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</si>
  <si>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</si>
  <si>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</si>
  <si>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</si>
  <si>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</si>
  <si>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</si>
  <si>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</si>
  <si>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</si>
  <si>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</si>
  <si>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</si>
  <si>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</si>
  <si>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</si>
  <si>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</si>
  <si>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</si>
  <si>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</si>
  <si>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</si>
  <si>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</si>
  <si>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</si>
  <si>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</si>
  <si>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</si>
  <si>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</si>
  <si>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</si>
  <si>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</si>
  <si>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</si>
  <si>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</si>
  <si>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</si>
  <si>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</si>
  <si>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</si>
  <si>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</si>
  <si>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</si>
  <si>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</si>
  <si>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</si>
  <si>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</si>
  <si>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</si>
  <si>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</si>
  <si>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</si>
  <si>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</si>
  <si>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</si>
  <si>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</si>
  <si>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</si>
  <si>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</si>
  <si>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</si>
  <si>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</si>
  <si>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</si>
  <si>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</si>
  <si>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</si>
  <si>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</si>
  <si>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</si>
  <si>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</si>
  <si>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</si>
  <si>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</si>
  <si>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</si>
  <si>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</si>
  <si>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</si>
  <si>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</si>
  <si>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</si>
  <si>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</si>
  <si>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</si>
  <si>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</si>
  <si>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</si>
  <si>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</si>
  <si>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</si>
  <si>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</si>
  <si>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</si>
  <si>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</si>
  <si>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</si>
  <si>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</si>
  <si>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</si>
  <si>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</si>
  <si>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</si>
  <si>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</si>
  <si>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</si>
  <si>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</si>
  <si>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</si>
  <si>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</si>
  <si>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</si>
  <si>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</si>
  <si>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</si>
  <si>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</si>
  <si>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</si>
  <si>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</si>
  <si>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</si>
  <si>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</si>
  <si>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</si>
  <si>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</si>
  <si>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</si>
  <si>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</si>
  <si>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</si>
  <si>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</si>
  <si>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</si>
  <si>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</si>
  <si>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</si>
  <si>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</si>
  <si>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</si>
  <si>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</si>
  <si>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</si>
  <si>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</si>
  <si>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</si>
  <si>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</si>
  <si>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</si>
  <si>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</si>
  <si>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</si>
  <si>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</si>
  <si>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</si>
  <si>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</si>
  <si>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</si>
  <si>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</si>
  <si>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</si>
  <si>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</si>
  <si>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</si>
  <si>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</si>
  <si>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</si>
  <si>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</si>
  <si>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</si>
  <si>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</si>
  <si>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</si>
  <si>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</si>
  <si>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</si>
  <si>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</si>
  <si>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</si>
  <si>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</si>
  <si>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</si>
  <si>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</si>
  <si>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</si>
  <si>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</si>
  <si>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</si>
  <si>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</si>
  <si>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</si>
  <si>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</si>
  <si>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</si>
  <si>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</si>
  <si>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</si>
  <si>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</si>
  <si>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</si>
  <si>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</si>
  <si>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</si>
  <si>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</si>
  <si>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</si>
  <si>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</si>
  <si>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</si>
  <si>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</si>
  <si>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</si>
  <si>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</si>
  <si>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</si>
  <si>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</si>
  <si>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</si>
  <si>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</si>
  <si>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</si>
  <si>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</si>
  <si>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</si>
  <si>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</si>
  <si>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</si>
  <si>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</si>
  <si>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</si>
  <si>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</si>
  <si>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</si>
  <si>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</si>
  <si>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</si>
  <si>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</si>
  <si>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</si>
  <si>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</si>
  <si>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</si>
  <si>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</si>
  <si>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</si>
  <si>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</si>
  <si>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</si>
  <si>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</si>
  <si>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</si>
  <si>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</si>
  <si>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</si>
  <si>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</si>
  <si>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</si>
  <si>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</si>
  <si>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</si>
  <si>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</si>
  <si>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</si>
  <si>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</si>
  <si>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</si>
  <si>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</si>
  <si>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</si>
  <si>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</si>
  <si>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</si>
  <si>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</si>
  <si>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</si>
  <si>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</si>
  <si>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</si>
  <si>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</si>
  <si>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</si>
  <si>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</si>
  <si>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</si>
  <si>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</si>
  <si>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</si>
  <si>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</si>
  <si>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</si>
  <si>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</si>
  <si>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</si>
  <si>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</si>
  <si>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</si>
  <si>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</si>
  <si>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</si>
  <si>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</si>
  <si>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</si>
  <si>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</si>
  <si>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</si>
  <si>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</si>
  <si>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</si>
  <si>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</si>
  <si>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</si>
  <si>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</si>
  <si>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</si>
  <si>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</si>
  <si>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</si>
  <si>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</si>
  <si>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</si>
  <si>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</si>
  <si>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</si>
  <si>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</si>
  <si>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</si>
  <si>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</si>
  <si>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</si>
  <si>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</si>
  <si>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</si>
  <si>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</si>
  <si>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</si>
  <si>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</si>
  <si>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</si>
  <si>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</si>
  <si>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</si>
  <si>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</si>
  <si>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</si>
  <si>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</si>
  <si>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</si>
  <si>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</si>
  <si>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</si>
  <si>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</si>
  <si>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</si>
  <si>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</si>
  <si>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</si>
  <si>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</si>
  <si>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</si>
  <si>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</si>
  <si>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</si>
  <si>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</si>
  <si>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</si>
  <si>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</si>
  <si>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</si>
  <si>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</si>
  <si>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</si>
  <si>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</si>
  <si>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</si>
  <si>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</si>
  <si>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</si>
  <si>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</si>
  <si>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</si>
  <si>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</si>
  <si>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</si>
  <si>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</si>
  <si>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</si>
  <si>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</si>
  <si>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</si>
  <si>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</si>
  <si>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</si>
  <si>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</si>
  <si>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</si>
  <si>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</si>
  <si>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</si>
  <si>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</si>
  <si>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</si>
  <si>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</si>
  <si>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</si>
  <si>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</si>
  <si>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</si>
  <si>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</si>
  <si>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</si>
  <si>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</si>
  <si>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</si>
  <si>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</si>
  <si>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</si>
  <si>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</si>
  <si>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</si>
  <si>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</si>
  <si>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</si>
  <si>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</si>
  <si>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</si>
  <si>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</si>
  <si>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</si>
  <si>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</si>
  <si>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</si>
  <si>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</si>
  <si>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</si>
  <si>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</si>
  <si>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</si>
  <si>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</si>
  <si>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</si>
  <si>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</si>
  <si>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</si>
  <si>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</si>
  <si>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</si>
  <si>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</si>
  <si>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</si>
  <si>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</si>
  <si>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</si>
  <si>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</si>
  <si>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</si>
  <si>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</si>
  <si>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</si>
  <si>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</si>
  <si>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</si>
  <si>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</si>
  <si>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</si>
  <si>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</si>
  <si>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</si>
  <si>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</si>
  <si>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</si>
  <si>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</si>
  <si>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</si>
  <si>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</si>
  <si>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</si>
  <si>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</si>
  <si>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</si>
  <si>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</si>
  <si>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</si>
  <si>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</si>
  <si>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</si>
  <si>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</si>
  <si>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</si>
  <si>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</si>
  <si>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</si>
  <si>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</si>
  <si>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</si>
  <si>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</si>
  <si>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</si>
  <si>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</si>
  <si>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</si>
  <si>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</si>
  <si>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</si>
  <si>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</si>
  <si>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</si>
  <si>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</si>
  <si>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</si>
  <si>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</si>
  <si>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</si>
  <si>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</si>
  <si>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</si>
  <si>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</si>
  <si>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</si>
  <si>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</si>
  <si>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</si>
  <si>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</si>
  <si>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</si>
  <si>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</si>
  <si>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</si>
  <si>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</si>
  <si>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</si>
  <si>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</si>
  <si>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</si>
  <si>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</si>
  <si>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</si>
  <si>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</si>
  <si>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</si>
  <si>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</si>
  <si>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</si>
  <si>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</si>
  <si>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</si>
  <si>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</si>
  <si>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</si>
  <si>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</si>
  <si>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</si>
  <si>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</si>
  <si>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</si>
  <si>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</si>
  <si>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</si>
  <si>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</si>
  <si>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</si>
  <si>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</si>
  <si>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</si>
  <si>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</si>
  <si>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</si>
  <si>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</si>
  <si>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</si>
  <si>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</si>
  <si>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</si>
  <si>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</si>
  <si>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</si>
  <si>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</si>
  <si>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</si>
  <si>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</si>
  <si>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</si>
  <si>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</si>
  <si>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</si>
  <si>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</si>
  <si>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</si>
  <si>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</si>
  <si>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</si>
  <si>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</si>
  <si>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</si>
  <si>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</si>
  <si>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</si>
  <si>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</si>
  <si>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</si>
  <si>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</si>
  <si>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</si>
  <si>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</si>
  <si>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</si>
  <si>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</si>
  <si>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</si>
  <si>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</si>
  <si>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</si>
  <si>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</si>
  <si>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</si>
  <si>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</si>
  <si>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</si>
  <si>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</si>
  <si>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</si>
  <si>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</si>
  <si>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</si>
  <si>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</si>
  <si>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</si>
  <si>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</si>
  <si>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</si>
  <si>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</si>
  <si>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</si>
  <si>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</si>
  <si>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</si>
  <si>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</si>
  <si>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SDM QUANZHOU</t>
  </si>
  <si>
    <t>Chengxi Shipyard Co., Ltd.</t>
  </si>
  <si>
    <t>5LKP7</t>
  </si>
  <si>
    <t>Monrovia</t>
  </si>
  <si>
    <t>Liberian</t>
  </si>
  <si>
    <t>CCS</t>
  </si>
  <si>
    <t>Xiang H33 International Ship Lease Co. Limited</t>
  </si>
  <si>
    <t>Tianjin Cosbulk Ship Management Co., Ltd.</t>
  </si>
  <si>
    <t>Inner roads</t>
  </si>
  <si>
    <t>9.2</t>
  </si>
  <si>
    <t>Fine</t>
  </si>
  <si>
    <t>Flood tide, &lt; 1 knot</t>
  </si>
  <si>
    <t>Palangana</t>
  </si>
  <si>
    <t>FWWTK (P)</t>
  </si>
  <si>
    <t>SLOP (S)</t>
  </si>
  <si>
    <t>CHOLD NO.3</t>
  </si>
  <si>
    <t>ULL</t>
  </si>
  <si>
    <t>k</t>
  </si>
  <si>
    <t>090/26</t>
  </si>
  <si>
    <t>(As Owners P&amp;I surveyors)</t>
  </si>
  <si>
    <t>SDARI</t>
  </si>
  <si>
    <t>07.08.2023</t>
  </si>
  <si>
    <t>SC4814G2-050-02JS</t>
  </si>
  <si>
    <t>17.08.2023</t>
  </si>
  <si>
    <t>01.08.2023</t>
  </si>
  <si>
    <t>SC4814G1-050-09</t>
  </si>
  <si>
    <t>Wood chip in bulk</t>
  </si>
  <si>
    <t>Wharf</t>
  </si>
  <si>
    <t>Ebb tide, &lt; 1 knot</t>
  </si>
  <si>
    <t>K</t>
  </si>
  <si>
    <t>SLACK</t>
  </si>
  <si>
    <t>SBMP</t>
  </si>
  <si>
    <t>Semarang - Indonesia</t>
  </si>
  <si>
    <t>Directly applied on volume</t>
  </si>
  <si>
    <t>GAUGE</t>
  </si>
  <si>
    <t>Chengquan Li</t>
  </si>
  <si>
    <t>Zicheng Zhao</t>
  </si>
  <si>
    <t>Lianpeng Tai</t>
  </si>
  <si>
    <t>Yangpu - China</t>
  </si>
  <si>
    <t>SBM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</si>
</sst>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82" fontId="48" fillId="0" borderId="4" xfId="3" applyNumberFormat="1" applyFont="1" applyBorder="1" applyAlignment="1">
      <alignment horizontal="center"/>
    </xf>
    <xf numFmtId="0" fontId="48" fillId="0" borderId="4" xfId="3" applyFont="1" applyBorder="1"/>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1" xfId="8" applyFont="1" applyFill="1" applyBorder="1" applyAlignment="1">
      <alignment horizontal="center"/>
    </xf>
    <xf numFmtId="0" fontId="128" fillId="22" borderId="65"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2200</c:v>
                </c:pt>
                <c:pt idx="3">
                  <c:v>0</c:v>
                </c:pt>
                <c:pt idx="4">
                  <c:v>0</c:v>
                </c:pt>
                <c:pt idx="5">
                  <c:v>0</c:v>
                </c:pt>
                <c:pt idx="6">
                  <c:v>0</c:v>
                </c:pt>
                <c:pt idx="7">
                  <c:v>0</c:v>
                </c:pt>
                <c:pt idx="8">
                  <c:v>22000</c:v>
                </c:pt>
                <c:pt idx="9">
                  <c:v>0</c:v>
                </c:pt>
                <c:pt idx="10">
                  <c:v>38000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A9CB8F0-991A-4938-A29E-95277BA5DC22}"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E2E20BC1-4B19-4E0E-82EC-FCF082D6592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14894037-6475-465B-9FEB-67133ECC36D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6710637-BBE3-41C8-AA2B-5AD45CDDEA9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4F40DAAC-8501-4F86-B0CB-127A52D0010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7648E901-0A40-43AC-81D3-D7C85415770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E964F51-E400-4ED6-9C99-406A34A8AD6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3.536977491961415</c:v>
                </c:pt>
                <c:pt idx="3">
                  <c:v>0</c:v>
                </c:pt>
                <c:pt idx="4">
                  <c:v>0</c:v>
                </c:pt>
                <c:pt idx="5">
                  <c:v>0</c:v>
                </c:pt>
                <c:pt idx="6">
                  <c:v>0</c:v>
                </c:pt>
                <c:pt idx="7">
                  <c:v>0</c:v>
                </c:pt>
                <c:pt idx="8">
                  <c:v>35.369774919614152</c:v>
                </c:pt>
                <c:pt idx="9">
                  <c:v>0</c:v>
                </c:pt>
                <c:pt idx="10">
                  <c:v>61.09324758842444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7" zoomScale="106" zoomScaleNormal="106" workbookViewId="0">
      <selection activeCell="B38" sqref="B3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0" t="s">
        <v>153</v>
      </c>
      <c r="N3" s="860"/>
      <c r="O3" s="860"/>
      <c r="P3" s="860"/>
      <c r="Q3" s="860"/>
      <c r="R3" s="860"/>
      <c r="S3" s="860"/>
      <c r="T3" s="860"/>
      <c r="U3" s="860"/>
    </row>
    <row r="4" spans="1:21" ht="21" x14ac:dyDescent="0.35">
      <c r="A4" s="22" t="s">
        <v>154</v>
      </c>
      <c r="B4" s="22" t="s">
        <v>155</v>
      </c>
      <c r="C4" s="18"/>
      <c r="D4" s="18"/>
      <c r="E4" s="18"/>
      <c r="F4" s="18"/>
      <c r="G4" s="18"/>
      <c r="H4" s="18"/>
      <c r="I4" s="19"/>
      <c r="J4" s="19"/>
      <c r="K4" s="19"/>
      <c r="L4" s="19"/>
      <c r="M4" s="19"/>
      <c r="N4" s="19"/>
      <c r="O4" s="19"/>
    </row>
    <row r="5" spans="1:21" ht="18.75" x14ac:dyDescent="0.3">
      <c r="A5" s="23" t="s">
        <v>744</v>
      </c>
      <c r="B5" s="24" t="s">
        <v>789</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861" t="s">
        <v>158</v>
      </c>
      <c r="B7" s="859"/>
      <c r="C7" s="29"/>
      <c r="D7" s="29"/>
      <c r="E7" s="29"/>
      <c r="F7" s="29"/>
      <c r="G7" s="29"/>
      <c r="H7" s="29"/>
      <c r="I7" s="30"/>
      <c r="J7" s="30"/>
      <c r="K7" s="30"/>
      <c r="L7" s="30"/>
      <c r="M7" s="30"/>
      <c r="N7" s="30"/>
      <c r="O7" s="27" t="s">
        <v>159</v>
      </c>
      <c r="P7" s="28"/>
    </row>
    <row r="8" spans="1:21" ht="15.75" x14ac:dyDescent="0.25">
      <c r="A8" s="31" t="s">
        <v>58</v>
      </c>
      <c r="B8" s="32" t="s">
        <v>771</v>
      </c>
      <c r="C8" s="29"/>
      <c r="D8" s="29"/>
      <c r="E8" s="29"/>
      <c r="F8" s="29"/>
      <c r="G8" s="29"/>
      <c r="H8" s="29"/>
      <c r="I8" s="30"/>
      <c r="J8" s="30"/>
      <c r="K8" s="30"/>
      <c r="L8" s="30"/>
      <c r="M8" s="30"/>
      <c r="N8" s="30"/>
      <c r="O8" s="27" t="s">
        <v>160</v>
      </c>
    </row>
    <row r="9" spans="1:21" ht="15.75" x14ac:dyDescent="0.25">
      <c r="A9" s="31" t="s">
        <v>161</v>
      </c>
      <c r="B9" s="32">
        <v>2023</v>
      </c>
      <c r="C9" s="33"/>
      <c r="D9" s="33"/>
      <c r="E9" s="33"/>
      <c r="F9" s="29"/>
      <c r="G9" s="29"/>
      <c r="H9" s="29"/>
      <c r="I9" s="30"/>
      <c r="J9" s="30"/>
      <c r="K9" s="30"/>
      <c r="L9" s="30"/>
      <c r="M9" s="30"/>
      <c r="N9" s="30"/>
      <c r="O9" s="27" t="s">
        <v>162</v>
      </c>
    </row>
    <row r="10" spans="1:21" ht="15.75" x14ac:dyDescent="0.25">
      <c r="A10" s="31" t="s">
        <v>62</v>
      </c>
      <c r="B10" s="32">
        <v>9949259</v>
      </c>
      <c r="C10" s="29"/>
      <c r="D10" s="29"/>
      <c r="E10" s="29"/>
      <c r="F10" s="29"/>
      <c r="G10" s="29"/>
      <c r="H10" s="29"/>
      <c r="I10" s="30"/>
      <c r="J10" s="30"/>
      <c r="K10" s="30"/>
      <c r="L10" s="30"/>
      <c r="M10" s="30"/>
      <c r="N10" s="30"/>
      <c r="O10" s="27" t="s">
        <v>163</v>
      </c>
    </row>
    <row r="11" spans="1:21" ht="15.75" x14ac:dyDescent="0.25">
      <c r="A11" s="31" t="s">
        <v>72</v>
      </c>
      <c r="B11" s="32" t="s">
        <v>772</v>
      </c>
      <c r="C11" s="29"/>
      <c r="D11" s="29"/>
      <c r="E11" s="29"/>
      <c r="F11" s="29"/>
      <c r="G11" s="29"/>
      <c r="H11" s="29"/>
      <c r="I11" s="30"/>
      <c r="J11" s="30"/>
      <c r="K11" s="30"/>
      <c r="L11" s="30"/>
      <c r="M11" s="30"/>
      <c r="N11" s="30"/>
      <c r="O11" s="27" t="s">
        <v>164</v>
      </c>
    </row>
    <row r="12" spans="1:21" ht="15.75" x14ac:dyDescent="0.25">
      <c r="A12" s="31" t="s">
        <v>59</v>
      </c>
      <c r="B12" s="32" t="s">
        <v>773</v>
      </c>
      <c r="C12" s="29"/>
      <c r="D12" s="29"/>
      <c r="E12" s="29"/>
      <c r="F12" s="29"/>
      <c r="G12" s="29"/>
      <c r="H12" s="29"/>
      <c r="I12" s="30"/>
      <c r="J12" s="30"/>
      <c r="K12" s="30"/>
      <c r="L12" s="30"/>
      <c r="M12" s="30"/>
      <c r="N12" s="30"/>
      <c r="O12" s="27" t="s">
        <v>165</v>
      </c>
    </row>
    <row r="13" spans="1:21" ht="15.75" x14ac:dyDescent="0.25">
      <c r="A13" s="31" t="s">
        <v>60</v>
      </c>
      <c r="B13" s="32" t="s">
        <v>774</v>
      </c>
      <c r="C13" s="29"/>
      <c r="D13" s="29"/>
      <c r="E13" s="29"/>
      <c r="F13" s="29"/>
      <c r="G13" s="29"/>
      <c r="H13" s="29"/>
      <c r="I13" s="30"/>
      <c r="J13" s="30"/>
      <c r="K13" s="30"/>
      <c r="L13" s="30"/>
      <c r="M13" s="30"/>
      <c r="N13" s="30"/>
      <c r="O13" s="27" t="s">
        <v>166</v>
      </c>
    </row>
    <row r="14" spans="1:21" ht="15.75" x14ac:dyDescent="0.25">
      <c r="A14" s="31" t="s">
        <v>61</v>
      </c>
      <c r="B14" s="32" t="s">
        <v>775</v>
      </c>
      <c r="C14" s="29"/>
      <c r="D14" s="29"/>
      <c r="E14" s="29"/>
      <c r="F14" s="29"/>
      <c r="G14" s="29"/>
      <c r="H14" s="29"/>
      <c r="I14" s="30"/>
      <c r="J14" s="30"/>
      <c r="K14" s="30"/>
      <c r="L14" s="30"/>
      <c r="M14" s="30"/>
      <c r="N14" s="30"/>
      <c r="O14" s="34" t="s">
        <v>167</v>
      </c>
      <c r="P14" s="35" t="s">
        <v>583</v>
      </c>
    </row>
    <row r="15" spans="1:21" ht="15.75" x14ac:dyDescent="0.25">
      <c r="A15" s="31" t="s">
        <v>63</v>
      </c>
      <c r="B15" s="32">
        <v>210</v>
      </c>
      <c r="C15" s="29"/>
      <c r="D15" s="29"/>
      <c r="E15" s="29"/>
      <c r="F15" s="29"/>
      <c r="G15" s="29"/>
      <c r="H15" s="29"/>
      <c r="I15" s="30"/>
      <c r="J15" s="30"/>
      <c r="K15" s="30"/>
      <c r="L15" s="30"/>
      <c r="M15" s="30"/>
      <c r="N15" s="30"/>
      <c r="O15" s="19"/>
    </row>
    <row r="16" spans="1:21" ht="15.75" x14ac:dyDescent="0.25">
      <c r="A16" s="31" t="s">
        <v>64</v>
      </c>
      <c r="B16" s="32">
        <v>206.5</v>
      </c>
      <c r="C16" s="29"/>
      <c r="D16" s="29"/>
      <c r="E16" s="29"/>
      <c r="F16" s="36" t="s">
        <v>168</v>
      </c>
      <c r="G16" s="29"/>
      <c r="H16" s="29"/>
      <c r="I16" s="30"/>
      <c r="J16" s="36" t="s">
        <v>168</v>
      </c>
      <c r="K16" s="30"/>
      <c r="L16" s="30"/>
      <c r="M16" s="30"/>
      <c r="N16" s="30"/>
      <c r="O16" s="19"/>
    </row>
    <row r="17" spans="1:15" ht="15.75" x14ac:dyDescent="0.25">
      <c r="A17" s="31" t="s">
        <v>65</v>
      </c>
      <c r="B17" s="32">
        <v>23.5</v>
      </c>
      <c r="C17" s="29"/>
      <c r="D17" s="29"/>
      <c r="E17" s="29"/>
      <c r="F17" s="36" t="s">
        <v>169</v>
      </c>
      <c r="G17" s="29"/>
      <c r="H17" s="29"/>
      <c r="I17" s="30"/>
      <c r="J17" s="37" t="s">
        <v>170</v>
      </c>
      <c r="K17" s="30"/>
      <c r="L17" s="30"/>
      <c r="M17" s="30"/>
      <c r="N17" s="30"/>
      <c r="O17" s="19"/>
    </row>
    <row r="18" spans="1:15" ht="15.75" x14ac:dyDescent="0.25">
      <c r="A18" s="31" t="s">
        <v>66</v>
      </c>
      <c r="B18" s="32">
        <v>37</v>
      </c>
      <c r="C18" s="29"/>
      <c r="D18" s="29"/>
      <c r="E18" s="29"/>
      <c r="F18" s="36" t="s">
        <v>171</v>
      </c>
      <c r="G18" s="29"/>
      <c r="H18" s="29"/>
      <c r="I18" s="30"/>
      <c r="J18" s="37" t="s">
        <v>172</v>
      </c>
      <c r="K18" s="30"/>
      <c r="L18" s="30"/>
      <c r="M18" s="30"/>
      <c r="N18" s="30"/>
      <c r="O18" s="19"/>
    </row>
    <row r="19" spans="1:15" ht="15.75" x14ac:dyDescent="0.25">
      <c r="A19" s="31" t="s">
        <v>70</v>
      </c>
      <c r="B19" s="32">
        <v>13726.4</v>
      </c>
      <c r="C19" s="29"/>
      <c r="D19" s="29"/>
      <c r="E19" s="29"/>
      <c r="F19" s="36" t="s">
        <v>635</v>
      </c>
      <c r="G19" s="29"/>
      <c r="H19" s="29"/>
      <c r="I19" s="30"/>
      <c r="J19" s="37" t="s">
        <v>646</v>
      </c>
      <c r="K19" s="30"/>
      <c r="L19" s="30"/>
      <c r="M19" s="30"/>
      <c r="N19" s="30"/>
      <c r="O19" s="19"/>
    </row>
    <row r="20" spans="1:15" ht="15.75" x14ac:dyDescent="0.25">
      <c r="A20" s="31" t="s">
        <v>67</v>
      </c>
      <c r="B20" s="32">
        <v>53042</v>
      </c>
      <c r="C20" s="29"/>
      <c r="D20" s="29"/>
      <c r="E20" s="29"/>
      <c r="F20" s="37" t="s">
        <v>170</v>
      </c>
      <c r="G20" s="29"/>
      <c r="H20" s="29"/>
      <c r="I20" s="30"/>
      <c r="J20" s="37" t="s">
        <v>173</v>
      </c>
      <c r="K20" s="30"/>
      <c r="L20" s="30"/>
      <c r="M20" s="30"/>
      <c r="N20" s="30"/>
      <c r="O20" s="19"/>
    </row>
    <row r="21" spans="1:15" ht="15.75" x14ac:dyDescent="0.25">
      <c r="A21" s="31" t="s">
        <v>68</v>
      </c>
      <c r="B21" s="32">
        <v>25178</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776</v>
      </c>
      <c r="C23" s="29"/>
      <c r="D23" s="29"/>
      <c r="E23" s="29"/>
      <c r="F23" s="36" t="s">
        <v>174</v>
      </c>
      <c r="G23" s="29"/>
      <c r="H23" s="29"/>
      <c r="I23" s="30"/>
      <c r="J23" s="36" t="s">
        <v>177</v>
      </c>
      <c r="K23" s="30"/>
      <c r="L23" s="30"/>
      <c r="M23" s="30"/>
      <c r="N23" s="30"/>
      <c r="O23" s="19"/>
    </row>
    <row r="24" spans="1:15" ht="31.5" x14ac:dyDescent="0.25">
      <c r="A24" s="40" t="s">
        <v>73</v>
      </c>
      <c r="B24" s="41" t="s">
        <v>777</v>
      </c>
      <c r="C24" s="29"/>
      <c r="D24" s="29"/>
      <c r="E24" s="29"/>
      <c r="F24" s="36" t="s">
        <v>178</v>
      </c>
      <c r="G24" s="29"/>
      <c r="H24" s="29"/>
      <c r="I24" s="30"/>
      <c r="J24" s="36" t="s">
        <v>179</v>
      </c>
      <c r="K24" s="30"/>
      <c r="L24" s="30"/>
      <c r="M24" s="30"/>
      <c r="N24" s="30"/>
      <c r="O24" s="19"/>
    </row>
    <row r="25" spans="1:15" ht="15.75" x14ac:dyDescent="0.25">
      <c r="A25" s="862" t="s">
        <v>74</v>
      </c>
      <c r="B25" s="864" t="s">
        <v>778</v>
      </c>
      <c r="C25" s="29"/>
      <c r="D25" s="29"/>
      <c r="E25" s="29"/>
      <c r="F25" s="36" t="s">
        <v>178</v>
      </c>
      <c r="G25" s="29"/>
      <c r="H25" s="29"/>
      <c r="I25" s="30"/>
      <c r="J25" s="30" t="s">
        <v>637</v>
      </c>
      <c r="K25" s="30"/>
      <c r="L25" s="30"/>
      <c r="M25" s="30"/>
      <c r="N25" s="30"/>
      <c r="O25" s="19"/>
    </row>
    <row r="26" spans="1:15" ht="15.75" x14ac:dyDescent="0.25">
      <c r="A26" s="862"/>
      <c r="B26" s="865"/>
      <c r="C26" s="29"/>
      <c r="D26" s="29"/>
      <c r="E26" s="29"/>
      <c r="F26" s="36" t="s">
        <v>176</v>
      </c>
      <c r="G26" s="29"/>
      <c r="H26" s="29"/>
      <c r="I26" s="30"/>
      <c r="J26" s="30"/>
      <c r="K26" s="30"/>
      <c r="L26" s="30"/>
      <c r="M26" s="30"/>
      <c r="N26" s="30"/>
      <c r="O26" s="19"/>
    </row>
    <row r="27" spans="1:15" ht="15.75" x14ac:dyDescent="0.25">
      <c r="A27" s="863"/>
      <c r="B27" s="866"/>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59" t="s">
        <v>182</v>
      </c>
      <c r="B29" s="859"/>
      <c r="C29" s="29"/>
      <c r="D29" s="29"/>
      <c r="E29" s="29"/>
      <c r="F29" s="36" t="s">
        <v>183</v>
      </c>
      <c r="G29" s="29"/>
      <c r="H29" s="29"/>
      <c r="I29" s="30"/>
      <c r="J29" s="30"/>
      <c r="K29" s="30"/>
      <c r="L29" s="30"/>
      <c r="M29" s="30"/>
      <c r="N29" s="30"/>
      <c r="O29" s="19"/>
    </row>
    <row r="30" spans="1:15" ht="15.75" x14ac:dyDescent="0.25">
      <c r="A30" s="31" t="s">
        <v>184</v>
      </c>
      <c r="B30" s="43" t="s">
        <v>806</v>
      </c>
      <c r="C30" s="29"/>
      <c r="D30" s="29"/>
      <c r="E30" s="29"/>
      <c r="F30" s="36" t="s">
        <v>179</v>
      </c>
      <c r="G30" s="29"/>
      <c r="H30" s="29"/>
      <c r="I30" s="30"/>
      <c r="J30" s="30"/>
      <c r="K30" s="30"/>
      <c r="L30" s="30"/>
      <c r="M30" s="30"/>
      <c r="N30" s="30"/>
      <c r="O30" s="19"/>
    </row>
    <row r="31" spans="1:15" ht="15.75" x14ac:dyDescent="0.25">
      <c r="A31" s="31" t="s">
        <v>185</v>
      </c>
      <c r="B31" s="43" t="s">
        <v>807</v>
      </c>
      <c r="C31" s="29"/>
      <c r="D31" s="29"/>
      <c r="E31" s="29"/>
      <c r="F31" s="36" t="s">
        <v>186</v>
      </c>
      <c r="G31" s="29"/>
      <c r="H31" s="29"/>
      <c r="I31" s="30"/>
      <c r="J31" s="30"/>
      <c r="K31" s="30"/>
      <c r="L31" s="30"/>
      <c r="M31" s="30"/>
      <c r="N31" s="30"/>
      <c r="O31" s="19"/>
    </row>
    <row r="32" spans="1:15" ht="15.75" x14ac:dyDescent="0.25">
      <c r="A32" s="31" t="s">
        <v>187</v>
      </c>
      <c r="B32" s="579" t="s">
        <v>808</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59" t="s">
        <v>191</v>
      </c>
      <c r="B35" s="859"/>
      <c r="C35" s="29"/>
      <c r="D35" s="29"/>
      <c r="E35" s="29"/>
      <c r="F35" s="46"/>
      <c r="G35" s="29"/>
      <c r="H35" s="29"/>
      <c r="I35" s="30"/>
      <c r="J35" s="30"/>
      <c r="K35" s="30"/>
      <c r="L35" s="30"/>
      <c r="M35" s="30"/>
      <c r="N35" s="30"/>
      <c r="O35" s="19"/>
    </row>
    <row r="36" spans="1:15" ht="15.75" x14ac:dyDescent="0.25">
      <c r="A36" s="31" t="s">
        <v>192</v>
      </c>
      <c r="B36" s="47" t="s">
        <v>797</v>
      </c>
      <c r="C36" s="29"/>
      <c r="D36" s="29"/>
      <c r="E36" s="29"/>
      <c r="F36" s="46"/>
      <c r="G36" s="29"/>
      <c r="H36" s="29"/>
      <c r="I36" s="30"/>
      <c r="J36" s="30"/>
      <c r="K36" s="30"/>
      <c r="L36" s="30"/>
      <c r="M36" s="30"/>
      <c r="N36" s="30"/>
      <c r="O36" s="19"/>
    </row>
    <row r="37" spans="1:15" ht="15.75" x14ac:dyDescent="0.25">
      <c r="A37" s="31" t="s">
        <v>111</v>
      </c>
      <c r="B37" s="47" t="s">
        <v>809</v>
      </c>
      <c r="C37" s="29"/>
      <c r="D37" s="29"/>
      <c r="E37" s="29"/>
      <c r="F37" s="29"/>
      <c r="G37" s="29"/>
      <c r="H37" s="29"/>
      <c r="I37" s="30"/>
      <c r="J37" s="30"/>
      <c r="K37" s="30"/>
      <c r="L37" s="30"/>
      <c r="M37" s="30"/>
      <c r="N37" s="30"/>
      <c r="O37" s="19"/>
    </row>
    <row r="38" spans="1:15" ht="15.75" x14ac:dyDescent="0.25">
      <c r="A38" s="31" t="s">
        <v>193</v>
      </c>
      <c r="B38" s="47" t="s">
        <v>803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9" t="s">
        <v>194</v>
      </c>
      <c r="B40" s="859"/>
      <c r="C40" s="29"/>
      <c r="D40" s="29"/>
      <c r="E40" s="29"/>
      <c r="F40" s="29"/>
      <c r="G40" s="29"/>
      <c r="H40" s="29"/>
      <c r="I40" s="30"/>
      <c r="J40" s="30"/>
      <c r="K40" s="30"/>
      <c r="L40" s="30"/>
      <c r="M40" s="30"/>
      <c r="N40" s="30"/>
      <c r="O40" s="19"/>
    </row>
    <row r="41" spans="1:15" ht="15.75" x14ac:dyDescent="0.25">
      <c r="A41" s="869" t="s">
        <v>169</v>
      </c>
      <c r="B41" s="869"/>
      <c r="C41" s="29"/>
      <c r="D41" s="29"/>
      <c r="E41" s="29"/>
      <c r="F41" s="29"/>
      <c r="G41" s="29"/>
      <c r="H41" s="29"/>
      <c r="I41" s="30"/>
      <c r="J41" s="30"/>
      <c r="K41" s="30"/>
      <c r="L41" s="30"/>
      <c r="M41" s="30"/>
      <c r="N41" s="30"/>
      <c r="O41" s="19"/>
    </row>
    <row r="42" spans="1:15" ht="15.75" x14ac:dyDescent="0.25">
      <c r="A42" s="859" t="s">
        <v>195</v>
      </c>
      <c r="B42" s="859"/>
      <c r="C42" s="29"/>
      <c r="D42" s="29"/>
      <c r="E42" s="29"/>
      <c r="F42" s="29"/>
      <c r="G42" s="29"/>
      <c r="H42" s="29"/>
      <c r="I42" s="30"/>
      <c r="J42" s="30"/>
      <c r="K42" s="30"/>
      <c r="L42" s="30"/>
      <c r="M42" s="30"/>
      <c r="N42" s="30"/>
      <c r="O42" s="19"/>
    </row>
    <row r="43" spans="1:15" ht="15.75" x14ac:dyDescent="0.25">
      <c r="A43" s="870" t="s">
        <v>179</v>
      </c>
      <c r="B43" s="87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9" t="s">
        <v>196</v>
      </c>
      <c r="B45" s="859"/>
      <c r="C45" s="29"/>
      <c r="D45" s="29"/>
      <c r="E45" s="29"/>
      <c r="F45" s="29"/>
      <c r="G45" s="29"/>
      <c r="H45" s="29"/>
      <c r="I45" s="30"/>
      <c r="J45" s="30"/>
      <c r="K45" s="30"/>
      <c r="L45" s="30"/>
      <c r="M45" s="30"/>
      <c r="N45" s="30"/>
      <c r="O45" s="19"/>
    </row>
    <row r="46" spans="1:15" ht="15.75" customHeight="1" x14ac:dyDescent="0.25">
      <c r="A46" s="867" t="s">
        <v>197</v>
      </c>
      <c r="B46" s="868"/>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7" t="s">
        <v>198</v>
      </c>
      <c r="B47" s="868"/>
      <c r="C47" s="19" t="b">
        <v>0</v>
      </c>
      <c r="D47" s="19" t="b">
        <v>1</v>
      </c>
      <c r="E47" s="51" t="str">
        <f t="shared" si="0"/>
        <v/>
      </c>
      <c r="F47" s="29"/>
      <c r="G47" s="29"/>
      <c r="H47" s="29"/>
      <c r="I47" s="30"/>
      <c r="J47" s="30"/>
      <c r="K47" s="30"/>
      <c r="L47" s="30"/>
      <c r="M47" s="30"/>
      <c r="N47" s="30"/>
      <c r="O47" s="19"/>
    </row>
    <row r="48" spans="1:15" ht="15.75" customHeight="1" x14ac:dyDescent="0.25">
      <c r="A48" s="867" t="s">
        <v>199</v>
      </c>
      <c r="B48" s="868"/>
      <c r="C48" s="19" t="b">
        <v>0</v>
      </c>
      <c r="D48" s="19" t="b">
        <v>1</v>
      </c>
      <c r="E48" s="51" t="str">
        <f t="shared" si="0"/>
        <v/>
      </c>
      <c r="F48" s="29"/>
      <c r="G48" s="29"/>
      <c r="H48" s="29"/>
      <c r="I48" s="30"/>
      <c r="J48" s="30"/>
      <c r="K48" s="30"/>
      <c r="L48" s="30"/>
      <c r="M48" s="30"/>
      <c r="N48" s="30"/>
      <c r="O48" s="19"/>
    </row>
    <row r="49" spans="1:20" ht="15.75" customHeight="1" x14ac:dyDescent="0.25">
      <c r="A49" s="867" t="s">
        <v>607</v>
      </c>
      <c r="B49" s="868"/>
      <c r="C49" s="19" t="b">
        <v>0</v>
      </c>
      <c r="D49" s="19" t="b">
        <v>1</v>
      </c>
      <c r="E49" s="51" t="str">
        <f t="shared" si="0"/>
        <v/>
      </c>
      <c r="F49" s="29"/>
      <c r="G49" s="29"/>
      <c r="H49" s="29"/>
      <c r="I49" s="30"/>
      <c r="J49" s="30"/>
      <c r="K49" s="30"/>
      <c r="L49" s="30"/>
      <c r="M49" s="30"/>
      <c r="N49" s="30"/>
      <c r="O49" s="19"/>
    </row>
    <row r="50" spans="1:20" ht="15.75" customHeight="1" x14ac:dyDescent="0.25">
      <c r="A50" s="871" t="s">
        <v>380</v>
      </c>
      <c r="B50" s="872"/>
      <c r="C50" s="19" t="b">
        <v>0</v>
      </c>
      <c r="D50" s="19" t="b">
        <v>1</v>
      </c>
      <c r="E50" s="51" t="str">
        <f t="shared" si="0"/>
        <v/>
      </c>
      <c r="F50" s="29"/>
      <c r="G50" s="29"/>
      <c r="H50" s="29"/>
      <c r="I50" s="30"/>
      <c r="J50" s="30"/>
      <c r="K50" s="30"/>
      <c r="L50" s="30"/>
      <c r="M50" s="30"/>
      <c r="N50" s="30"/>
      <c r="O50" s="19"/>
    </row>
    <row r="51" spans="1:20" ht="15.75" customHeight="1" x14ac:dyDescent="0.25">
      <c r="A51" s="871" t="s">
        <v>381</v>
      </c>
      <c r="B51" s="872"/>
      <c r="C51" s="19" t="b">
        <v>0</v>
      </c>
      <c r="D51" s="19" t="b">
        <v>1</v>
      </c>
      <c r="E51" s="51" t="str">
        <f t="shared" si="0"/>
        <v/>
      </c>
      <c r="F51" s="29"/>
      <c r="G51" s="29"/>
      <c r="H51" s="29"/>
      <c r="I51" s="30"/>
      <c r="J51" s="30"/>
      <c r="K51" s="30"/>
      <c r="L51" s="30"/>
      <c r="M51" s="30"/>
      <c r="N51" s="30"/>
      <c r="O51" s="19"/>
    </row>
    <row r="52" spans="1:20" ht="15.75" customHeight="1" x14ac:dyDescent="0.25">
      <c r="A52" s="871" t="s">
        <v>382</v>
      </c>
      <c r="B52" s="872"/>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1" t="s">
        <v>763</v>
      </c>
      <c r="B53" s="872"/>
      <c r="C53" s="19" t="b">
        <v>0</v>
      </c>
      <c r="D53" s="19" t="b">
        <v>1</v>
      </c>
      <c r="E53" s="51" t="str">
        <f t="shared" si="0"/>
        <v/>
      </c>
      <c r="F53" s="19"/>
      <c r="G53" s="19"/>
      <c r="H53" s="19"/>
      <c r="I53" s="19"/>
      <c r="J53" s="19"/>
      <c r="K53" s="19"/>
      <c r="L53" s="434" t="s">
        <v>581</v>
      </c>
      <c r="M53" s="435"/>
      <c r="N53" s="435"/>
      <c r="O53" s="435"/>
      <c r="P53" s="435"/>
      <c r="Q53" s="435"/>
      <c r="R53" s="435"/>
      <c r="S53" s="435"/>
      <c r="T53" s="433"/>
    </row>
    <row r="54" spans="1:20" ht="15.75" customHeight="1" x14ac:dyDescent="0.25">
      <c r="A54" s="867" t="s">
        <v>608</v>
      </c>
      <c r="B54" s="868"/>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7" t="s">
        <v>764</v>
      </c>
      <c r="B55" s="868"/>
      <c r="C55" s="19" t="b">
        <v>1</v>
      </c>
      <c r="D55" s="19" t="b">
        <v>1</v>
      </c>
      <c r="E55" s="51" t="str">
        <f t="shared" si="0"/>
        <v xml:space="preserve">Messrs. BTG Pactual Commodities Sertranding S.A.; </v>
      </c>
      <c r="F55" s="19"/>
      <c r="G55" s="19"/>
      <c r="H55" s="19"/>
      <c r="I55" s="19"/>
      <c r="J55" s="19"/>
      <c r="K55" s="19"/>
      <c r="L55" s="434" t="s">
        <v>581</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9" t="s">
        <v>200</v>
      </c>
      <c r="B57" s="859"/>
      <c r="C57" s="19"/>
      <c r="D57" s="19"/>
      <c r="E57" s="19"/>
      <c r="F57" s="19"/>
      <c r="G57" s="19"/>
      <c r="H57" s="19"/>
      <c r="I57" s="19"/>
      <c r="J57" s="19"/>
      <c r="K57" s="19"/>
      <c r="L57" s="19"/>
      <c r="M57" s="19"/>
      <c r="N57" s="19"/>
      <c r="O57" s="19"/>
    </row>
    <row r="58" spans="1:20" ht="15.75" customHeight="1" x14ac:dyDescent="0.2">
      <c r="A58" s="412" t="s">
        <v>201</v>
      </c>
      <c r="B58" s="412" t="s">
        <v>765</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202</v>
      </c>
      <c r="B59" s="412" t="s">
        <v>203</v>
      </c>
      <c r="C59" s="19" t="b">
        <v>0</v>
      </c>
      <c r="D59" s="19" t="b">
        <v>1</v>
      </c>
      <c r="E59" s="51" t="str">
        <f t="shared" si="1"/>
        <v/>
      </c>
      <c r="F59" s="19"/>
      <c r="G59" s="19"/>
      <c r="H59" s="19"/>
      <c r="I59" s="19"/>
      <c r="J59" s="19"/>
      <c r="K59" s="19"/>
      <c r="L59" s="19"/>
      <c r="M59" s="19"/>
      <c r="N59" s="19"/>
      <c r="O59" s="19"/>
    </row>
    <row r="60" spans="1:20" ht="15.75" customHeight="1" x14ac:dyDescent="0.2">
      <c r="A60" s="412" t="s">
        <v>204</v>
      </c>
      <c r="B60" s="412" t="s">
        <v>768</v>
      </c>
      <c r="C60" s="19" t="b">
        <v>0</v>
      </c>
      <c r="D60" s="19" t="b">
        <v>1</v>
      </c>
      <c r="E60" s="51" t="str">
        <f t="shared" si="1"/>
        <v/>
      </c>
      <c r="F60" s="19"/>
      <c r="G60" s="19"/>
      <c r="H60" s="19"/>
      <c r="I60" s="19"/>
      <c r="J60" s="19"/>
      <c r="K60" s="19"/>
      <c r="L60" s="19"/>
      <c r="M60" s="19"/>
      <c r="N60" s="19"/>
      <c r="O60" s="19"/>
    </row>
    <row r="61" spans="1:20" ht="15.75" customHeight="1" x14ac:dyDescent="0.2">
      <c r="A61" s="412" t="s">
        <v>205</v>
      </c>
      <c r="B61" s="412" t="s">
        <v>767</v>
      </c>
      <c r="C61" s="19" t="b">
        <v>0</v>
      </c>
      <c r="D61" s="19" t="b">
        <v>1</v>
      </c>
      <c r="E61" s="51" t="str">
        <f t="shared" si="1"/>
        <v/>
      </c>
      <c r="F61" s="19"/>
      <c r="G61" s="19"/>
      <c r="H61" s="19"/>
      <c r="I61" s="19"/>
      <c r="J61" s="19"/>
      <c r="K61" s="19"/>
      <c r="L61" s="19"/>
      <c r="M61" s="19"/>
      <c r="N61" s="19"/>
      <c r="O61" s="19"/>
    </row>
    <row r="62" spans="1:20" ht="15.75" customHeight="1" x14ac:dyDescent="0.25">
      <c r="A62" s="412" t="s">
        <v>766</v>
      </c>
      <c r="B62" s="412" t="s">
        <v>762</v>
      </c>
      <c r="C62" s="19" t="b">
        <v>1</v>
      </c>
      <c r="D62" s="19" t="b">
        <v>1</v>
      </c>
      <c r="E62" s="51" t="str">
        <f t="shared" si="1"/>
        <v xml:space="preserve">BTG 01, </v>
      </c>
      <c r="F62" s="19"/>
      <c r="G62" s="19"/>
      <c r="H62" s="19"/>
      <c r="I62" s="19"/>
      <c r="J62" s="19"/>
      <c r="K62" s="19"/>
      <c r="L62" s="434" t="s">
        <v>582</v>
      </c>
      <c r="M62" s="436"/>
      <c r="N62" s="436"/>
      <c r="O62" s="436"/>
      <c r="P62" s="433"/>
      <c r="Q62" s="433"/>
      <c r="R62" s="433"/>
      <c r="S62" s="433"/>
      <c r="T62" s="433"/>
    </row>
    <row r="63" spans="1:20" ht="15.75" customHeight="1" x14ac:dyDescent="0.25">
      <c r="A63" s="412" t="s">
        <v>206</v>
      </c>
      <c r="B63" s="412" t="s">
        <v>207</v>
      </c>
      <c r="C63" s="19" t="b">
        <v>0</v>
      </c>
      <c r="D63" s="19" t="b">
        <v>1</v>
      </c>
      <c r="E63" s="51" t="str">
        <f t="shared" si="1"/>
        <v/>
      </c>
      <c r="F63" s="19"/>
      <c r="G63" s="19"/>
      <c r="H63" s="19"/>
      <c r="I63" s="19"/>
      <c r="J63" s="19"/>
      <c r="K63" s="19"/>
      <c r="L63" s="434" t="s">
        <v>582</v>
      </c>
      <c r="M63" s="436"/>
      <c r="N63" s="436"/>
      <c r="O63" s="436"/>
      <c r="P63" s="433"/>
      <c r="Q63" s="433"/>
      <c r="R63" s="433"/>
      <c r="S63" s="433"/>
      <c r="T63" s="433"/>
    </row>
    <row r="64" spans="1:20" ht="15.75" customHeight="1" x14ac:dyDescent="0.25">
      <c r="A64" s="412" t="s">
        <v>208</v>
      </c>
      <c r="B64" s="412" t="s">
        <v>209</v>
      </c>
      <c r="C64" s="19" t="b">
        <v>1</v>
      </c>
      <c r="D64" s="19" t="b">
        <v>1</v>
      </c>
      <c r="E64" s="51" t="str">
        <f t="shared" si="1"/>
        <v xml:space="preserve">IT, </v>
      </c>
      <c r="F64" s="19"/>
      <c r="G64" s="19"/>
      <c r="H64" s="19"/>
      <c r="I64" s="19"/>
      <c r="J64" s="19"/>
      <c r="K64" s="19"/>
      <c r="L64" s="434" t="s">
        <v>582</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9" t="s">
        <v>210</v>
      </c>
      <c r="B66" s="859"/>
      <c r="C66" s="19" t="b">
        <v>1</v>
      </c>
      <c r="D66" s="19" t="b">
        <v>1</v>
      </c>
      <c r="E66" s="51" t="str">
        <f t="shared" si="2"/>
        <v xml:space="preserve">RO, </v>
      </c>
      <c r="F66" s="19"/>
      <c r="G66" s="19"/>
      <c r="H66" s="19"/>
      <c r="I66" s="19"/>
      <c r="J66" s="19"/>
      <c r="K66" s="19"/>
      <c r="L66" s="19"/>
      <c r="M66" s="19"/>
      <c r="N66" s="19"/>
      <c r="O66" s="19"/>
    </row>
    <row r="67" spans="1:54" ht="15" x14ac:dyDescent="0.25">
      <c r="A67" s="52" t="s">
        <v>211</v>
      </c>
      <c r="B67" s="53" t="s">
        <v>791</v>
      </c>
      <c r="C67" s="19" t="b">
        <v>0</v>
      </c>
      <c r="D67" s="19" t="b">
        <v>1</v>
      </c>
      <c r="E67" s="51" t="str">
        <f t="shared" si="2"/>
        <v/>
      </c>
      <c r="F67" s="19"/>
      <c r="G67" s="19"/>
      <c r="H67" s="19"/>
      <c r="I67" s="19"/>
      <c r="J67" s="19"/>
      <c r="K67" s="19"/>
      <c r="L67" s="19"/>
      <c r="M67" s="19"/>
      <c r="N67" s="19"/>
      <c r="O67" s="19"/>
    </row>
    <row r="68" spans="1:54" ht="15" x14ac:dyDescent="0.25">
      <c r="A68" s="52" t="s">
        <v>212</v>
      </c>
      <c r="B68" s="53" t="s">
        <v>792</v>
      </c>
      <c r="C68" s="19" t="b">
        <v>0</v>
      </c>
      <c r="D68" s="19" t="b">
        <v>1</v>
      </c>
      <c r="E68" s="51" t="str">
        <f t="shared" si="2"/>
        <v/>
      </c>
      <c r="F68" s="19"/>
      <c r="G68" s="19"/>
      <c r="H68" s="19"/>
      <c r="I68" s="19"/>
      <c r="J68" s="19"/>
      <c r="K68" s="19"/>
      <c r="L68" s="19"/>
      <c r="M68" s="19"/>
      <c r="N68" s="19"/>
      <c r="O68" s="19"/>
    </row>
    <row r="69" spans="1:54" ht="15" x14ac:dyDescent="0.25">
      <c r="A69" s="52" t="s">
        <v>213</v>
      </c>
      <c r="B69" s="54" t="s">
        <v>793</v>
      </c>
      <c r="C69" s="19" t="b">
        <v>0</v>
      </c>
      <c r="D69" s="19" t="b">
        <v>1</v>
      </c>
      <c r="E69" s="51" t="str">
        <f t="shared" si="2"/>
        <v/>
      </c>
      <c r="F69" s="19"/>
      <c r="G69" s="19"/>
      <c r="H69" s="19"/>
      <c r="I69" s="19"/>
      <c r="J69" s="19"/>
      <c r="K69" s="19"/>
      <c r="L69" s="19"/>
      <c r="M69" s="19"/>
      <c r="N69" s="19"/>
      <c r="O69" s="19"/>
    </row>
    <row r="70" spans="1:54" ht="15" x14ac:dyDescent="0.25">
      <c r="A70" s="52" t="s">
        <v>214</v>
      </c>
      <c r="B70" s="54" t="s">
        <v>776</v>
      </c>
      <c r="C70" s="19" t="b">
        <v>0</v>
      </c>
      <c r="D70" s="19" t="b">
        <v>1</v>
      </c>
      <c r="E70" s="51" t="str">
        <f t="shared" si="2"/>
        <v/>
      </c>
      <c r="F70" s="19"/>
      <c r="G70" s="19"/>
      <c r="H70" s="19"/>
      <c r="I70" s="19"/>
      <c r="J70" s="19"/>
      <c r="K70" s="19"/>
      <c r="L70" s="19"/>
      <c r="M70" s="19"/>
      <c r="N70" s="19"/>
      <c r="O70" s="19"/>
    </row>
    <row r="71" spans="1:54" ht="15" x14ac:dyDescent="0.25">
      <c r="A71" s="52" t="s">
        <v>212</v>
      </c>
      <c r="B71" s="53" t="s">
        <v>794</v>
      </c>
      <c r="C71" s="19" t="b">
        <v>0</v>
      </c>
      <c r="D71" s="19" t="b">
        <v>1</v>
      </c>
      <c r="E71" s="51" t="str">
        <f t="shared" si="2"/>
        <v/>
      </c>
      <c r="F71" s="19"/>
      <c r="G71" s="19"/>
      <c r="H71" s="19"/>
      <c r="I71" s="19"/>
      <c r="J71" s="19"/>
      <c r="K71" s="19"/>
      <c r="L71" s="19"/>
      <c r="M71" s="19"/>
      <c r="N71" s="19"/>
      <c r="O71" s="19"/>
    </row>
    <row r="72" spans="1:54" ht="15.75" x14ac:dyDescent="0.25">
      <c r="A72" s="859" t="s">
        <v>215</v>
      </c>
      <c r="B72" s="859"/>
      <c r="C72" s="19"/>
      <c r="D72" s="19"/>
      <c r="E72" s="19"/>
      <c r="F72" s="19"/>
      <c r="G72" s="19"/>
      <c r="H72" s="19"/>
      <c r="I72" s="19"/>
      <c r="J72" s="19"/>
      <c r="K72" s="19"/>
      <c r="L72" s="19"/>
      <c r="M72" s="19"/>
      <c r="N72" s="19"/>
      <c r="O72" s="19"/>
    </row>
    <row r="73" spans="1:54" ht="15" x14ac:dyDescent="0.25">
      <c r="A73" s="52" t="s">
        <v>212</v>
      </c>
      <c r="B73" s="53" t="s">
        <v>795</v>
      </c>
      <c r="C73" s="19"/>
      <c r="D73" s="19"/>
      <c r="E73" s="19"/>
      <c r="F73" s="19"/>
      <c r="G73" s="19"/>
      <c r="H73" s="19"/>
      <c r="I73" s="19"/>
      <c r="J73" s="19"/>
      <c r="K73" s="19"/>
      <c r="L73" s="19"/>
      <c r="M73" s="19"/>
      <c r="N73" s="19"/>
      <c r="O73" s="19"/>
    </row>
    <row r="74" spans="1:54" ht="15" x14ac:dyDescent="0.25">
      <c r="A74" s="52" t="s">
        <v>213</v>
      </c>
      <c r="B74" s="54" t="s">
        <v>796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3" t="s">
        <v>216</v>
      </c>
      <c r="B76" s="873"/>
      <c r="C76" s="873"/>
      <c r="D76" s="873"/>
      <c r="E76" s="873"/>
      <c r="F76" s="873"/>
      <c r="G76" s="873"/>
      <c r="H76" s="873"/>
      <c r="I76" s="873"/>
      <c r="J76" s="873"/>
      <c r="K76" s="873"/>
      <c r="L76" s="873"/>
      <c r="M76" s="873"/>
      <c r="N76" s="873"/>
      <c r="O76" s="873"/>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4"/>
      <c r="B77" s="875"/>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6" t="s">
        <v>96</v>
      </c>
      <c r="B78" s="877"/>
      <c r="C78" s="56"/>
      <c r="D78" s="56"/>
      <c r="E78" s="56"/>
      <c r="F78" s="56"/>
      <c r="G78" s="56"/>
      <c r="H78" s="56"/>
      <c r="I78" s="56"/>
      <c r="J78" s="56"/>
      <c r="K78" s="56"/>
      <c r="L78" s="62">
        <v>11.058999999999999</v>
      </c>
      <c r="M78" s="62">
        <v>12.46</v>
      </c>
      <c r="N78" s="63">
        <f>$O$78+Draft!$H$75</f>
        <v>79826.2</v>
      </c>
      <c r="O78" s="63">
        <v>66099.8</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6" t="s">
        <v>97</v>
      </c>
      <c r="B79" s="877"/>
      <c r="C79" s="56"/>
      <c r="D79" s="56"/>
      <c r="E79" s="56"/>
      <c r="F79" s="56"/>
      <c r="G79" s="56"/>
      <c r="H79" s="56"/>
      <c r="I79" s="56"/>
      <c r="J79" s="56"/>
      <c r="K79" s="56"/>
      <c r="L79" s="62">
        <v>11.308</v>
      </c>
      <c r="M79" s="62">
        <v>12.22</v>
      </c>
      <c r="N79" s="63">
        <f>$O$79+Draft!$H$75</f>
        <v>78038.5</v>
      </c>
      <c r="O79" s="63">
        <v>64312.1</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6" t="s">
        <v>98</v>
      </c>
      <c r="B80" s="877"/>
      <c r="C80" s="56"/>
      <c r="D80" s="56"/>
      <c r="E80" s="56"/>
      <c r="F80" s="56"/>
      <c r="G80" s="56"/>
      <c r="H80" s="56"/>
      <c r="I80" s="56"/>
      <c r="J80" s="56"/>
      <c r="K80" s="56"/>
      <c r="L80" s="62">
        <v>11.324</v>
      </c>
      <c r="M80" s="62">
        <v>12.2</v>
      </c>
      <c r="N80" s="63">
        <f>$O$80+Draft!$H$75</f>
        <v>79864.5</v>
      </c>
      <c r="O80" s="63">
        <v>66138.100000000006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6" t="s">
        <v>99</v>
      </c>
      <c r="B81" s="877"/>
      <c r="C81" s="56"/>
      <c r="D81" s="56"/>
      <c r="E81" s="56"/>
      <c r="F81" s="56"/>
      <c r="G81" s="56"/>
      <c r="H81" s="56"/>
      <c r="I81" s="56"/>
      <c r="J81" s="56"/>
      <c r="K81" s="56"/>
      <c r="L81" s="62">
        <v>11.573</v>
      </c>
      <c r="M81" s="62">
        <v>11.95</v>
      </c>
      <c r="N81" s="63">
        <f>$O$81+Draft!$H$75</f>
        <v>78035.399999999994</v>
      </c>
      <c r="O81" s="63">
        <v>64309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6" t="s">
        <v>100</v>
      </c>
      <c r="B82" s="877"/>
      <c r="C82" s="70"/>
      <c r="D82" s="70"/>
      <c r="E82" s="70"/>
      <c r="F82" s="70"/>
      <c r="G82" s="70"/>
      <c r="H82" s="70"/>
      <c r="I82" s="70"/>
      <c r="J82" s="70"/>
      <c r="K82" s="70"/>
      <c r="L82" s="62">
        <v>11.821999999999999</v>
      </c>
      <c r="M82" s="62">
        <v>11.7</v>
      </c>
      <c r="N82" s="63">
        <f>$O$82+Draft!$H$75</f>
        <v>76209.5</v>
      </c>
      <c r="O82" s="63">
        <v>62483.1</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9" t="s">
        <v>217</v>
      </c>
      <c r="B84" s="859"/>
      <c r="C84" s="19"/>
      <c r="D84" s="37" t="s">
        <v>692</v>
      </c>
      <c r="E84" s="19"/>
      <c r="F84" s="37"/>
      <c r="G84" s="19"/>
      <c r="H84" s="37"/>
      <c r="I84" s="19"/>
      <c r="J84" s="19"/>
      <c r="K84" s="19"/>
      <c r="L84" s="19"/>
      <c r="M84" s="19"/>
      <c r="N84" s="19"/>
      <c r="O84" s="19"/>
    </row>
    <row r="85" spans="1:54" ht="15" x14ac:dyDescent="0.25">
      <c r="A85" s="879" t="s">
        <v>587</v>
      </c>
      <c r="B85" s="879"/>
      <c r="C85" s="19"/>
      <c r="D85" s="37" t="s">
        <v>218</v>
      </c>
      <c r="E85" s="19"/>
      <c r="F85" s="37"/>
      <c r="G85" s="19"/>
      <c r="H85" s="19"/>
      <c r="I85" s="19"/>
      <c r="J85" s="19"/>
      <c r="K85" s="19"/>
      <c r="L85" s="19"/>
      <c r="M85" s="19"/>
      <c r="N85" s="19"/>
      <c r="O85" s="19"/>
    </row>
    <row r="86" spans="1:54" ht="15" x14ac:dyDescent="0.25">
      <c r="A86" s="19"/>
      <c r="B86" s="19"/>
      <c r="C86" s="19"/>
      <c r="D86" s="37" t="s">
        <v>219</v>
      </c>
      <c r="E86" s="19"/>
      <c r="F86" s="19"/>
      <c r="G86" s="19"/>
      <c r="H86" s="19"/>
      <c r="I86" s="19"/>
      <c r="J86" s="19"/>
      <c r="K86" s="19"/>
      <c r="L86" s="19"/>
      <c r="M86" s="19"/>
      <c r="N86" s="19"/>
      <c r="O86" s="19"/>
    </row>
    <row r="87" spans="1:54" ht="15.75" x14ac:dyDescent="0.25">
      <c r="A87" s="859" t="s">
        <v>220</v>
      </c>
      <c r="B87" s="859"/>
      <c r="C87" s="19"/>
      <c r="D87" s="37" t="s">
        <v>693</v>
      </c>
      <c r="E87" s="19"/>
      <c r="F87" s="19"/>
      <c r="G87" s="19"/>
      <c r="H87" s="19"/>
      <c r="I87" s="19"/>
      <c r="J87" s="19"/>
      <c r="K87" s="19"/>
      <c r="L87" s="19"/>
      <c r="M87" s="19"/>
      <c r="N87" s="19"/>
      <c r="O87" s="19"/>
    </row>
    <row r="88" spans="1:54" ht="15" x14ac:dyDescent="0.25">
      <c r="A88" s="880" t="s">
        <v>651</v>
      </c>
      <c r="B88" s="880"/>
      <c r="C88" s="19"/>
      <c r="D88" s="37" t="s">
        <v>694</v>
      </c>
      <c r="E88" s="19"/>
      <c r="F88" s="19"/>
      <c r="G88" s="19"/>
      <c r="H88" s="19"/>
      <c r="I88" s="19"/>
      <c r="J88" s="19"/>
      <c r="K88" s="19"/>
      <c r="L88" s="19"/>
      <c r="M88" s="19"/>
      <c r="N88" s="19"/>
      <c r="O88" s="19"/>
    </row>
    <row r="89" spans="1:54" ht="15" x14ac:dyDescent="0.25">
      <c r="A89" s="881" t="s">
        <v>790</v>
      </c>
      <c r="B89" s="881"/>
      <c r="C89" s="19"/>
      <c r="D89" s="37" t="s">
        <v>695</v>
      </c>
      <c r="E89" s="19"/>
      <c r="F89" s="19"/>
      <c r="G89" s="19"/>
      <c r="H89" s="19"/>
      <c r="I89" s="19"/>
      <c r="J89" s="19"/>
      <c r="K89" s="19"/>
      <c r="L89" s="19"/>
      <c r="M89" s="19"/>
      <c r="N89" s="19"/>
      <c r="O89" s="19"/>
    </row>
    <row r="90" spans="1:54" ht="15.75" x14ac:dyDescent="0.25">
      <c r="A90" s="859" t="s">
        <v>224</v>
      </c>
      <c r="B90" s="859"/>
      <c r="C90" s="19"/>
      <c r="D90" s="37" t="s">
        <v>222</v>
      </c>
      <c r="E90" s="19"/>
      <c r="F90" s="19"/>
      <c r="G90" s="19"/>
      <c r="H90" s="19"/>
      <c r="I90" s="19"/>
      <c r="J90" s="19"/>
      <c r="K90" s="19"/>
      <c r="L90" s="19"/>
      <c r="M90" s="19"/>
      <c r="N90" s="19"/>
      <c r="O90" s="19"/>
    </row>
    <row r="91" spans="1:54" ht="15" x14ac:dyDescent="0.25">
      <c r="A91" s="880"/>
      <c r="B91" s="880"/>
      <c r="C91" s="19"/>
      <c r="D91" s="36" t="s">
        <v>225</v>
      </c>
      <c r="E91" s="19"/>
      <c r="F91" s="19"/>
      <c r="G91" s="19"/>
      <c r="H91" s="19"/>
      <c r="I91" s="19"/>
      <c r="J91" s="19"/>
      <c r="K91" s="19"/>
      <c r="L91" s="19"/>
      <c r="M91" s="19"/>
      <c r="N91" s="19"/>
      <c r="O91" s="19"/>
    </row>
    <row r="92" spans="1:54" ht="15" x14ac:dyDescent="0.25">
      <c r="A92" s="881"/>
      <c r="B92" s="881"/>
      <c r="C92" s="19"/>
      <c r="D92" s="37" t="s">
        <v>613</v>
      </c>
      <c r="E92" s="19"/>
      <c r="F92" s="19"/>
      <c r="G92" s="19"/>
      <c r="H92" s="19"/>
      <c r="I92" s="19"/>
      <c r="J92" s="19"/>
      <c r="K92" s="19"/>
      <c r="L92" s="19"/>
      <c r="M92" s="19"/>
      <c r="N92" s="19"/>
      <c r="O92" s="19"/>
    </row>
    <row r="93" spans="1:54" ht="15.75" x14ac:dyDescent="0.25">
      <c r="A93" s="859" t="s">
        <v>227</v>
      </c>
      <c r="B93" s="859"/>
      <c r="C93" s="19"/>
      <c r="D93" s="37" t="s">
        <v>696</v>
      </c>
      <c r="E93" s="19"/>
      <c r="F93" s="19"/>
      <c r="G93" s="19"/>
      <c r="H93" s="19"/>
      <c r="I93" s="19"/>
      <c r="J93" s="19"/>
      <c r="K93" s="19"/>
      <c r="L93" s="19"/>
      <c r="M93" s="19"/>
      <c r="N93" s="19"/>
      <c r="O93" s="19"/>
    </row>
    <row r="94" spans="1:54" ht="15" x14ac:dyDescent="0.25">
      <c r="A94" s="880"/>
      <c r="B94" s="880"/>
      <c r="C94" s="19"/>
      <c r="D94" s="36" t="s">
        <v>697</v>
      </c>
      <c r="E94" s="19"/>
      <c r="F94" s="19"/>
      <c r="G94" s="19"/>
      <c r="H94" s="19"/>
      <c r="I94" s="19"/>
      <c r="J94" s="19"/>
      <c r="K94" s="19"/>
      <c r="L94" s="19"/>
      <c r="M94" s="19"/>
      <c r="N94" s="19"/>
      <c r="O94" s="19"/>
    </row>
    <row r="95" spans="1:54" ht="15" x14ac:dyDescent="0.25">
      <c r="A95" s="881"/>
      <c r="B95" s="881"/>
      <c r="C95" s="19"/>
      <c r="D95" s="36" t="s">
        <v>228</v>
      </c>
      <c r="E95" s="19"/>
      <c r="F95" s="19"/>
      <c r="G95" s="19"/>
      <c r="H95" s="19"/>
      <c r="I95" s="19"/>
      <c r="J95" s="19"/>
      <c r="K95" s="19"/>
      <c r="L95" s="19"/>
      <c r="M95" s="19"/>
      <c r="N95" s="19"/>
      <c r="O95" s="19"/>
    </row>
    <row r="96" spans="1:54" ht="15.75" x14ac:dyDescent="0.25">
      <c r="A96" s="859" t="s">
        <v>231</v>
      </c>
      <c r="B96" s="859"/>
      <c r="C96" s="19"/>
      <c r="D96" s="37" t="s">
        <v>229</v>
      </c>
      <c r="E96" s="19"/>
      <c r="F96" s="19"/>
      <c r="G96" s="19"/>
      <c r="H96" s="19"/>
      <c r="I96" s="19"/>
      <c r="J96" s="19"/>
      <c r="K96" s="19"/>
      <c r="L96" s="19"/>
      <c r="M96" s="19"/>
      <c r="N96" s="19"/>
      <c r="O96" s="19"/>
    </row>
    <row r="97" spans="1:15" ht="15.75" x14ac:dyDescent="0.25">
      <c r="A97" s="878" t="s">
        <v>743</v>
      </c>
      <c r="B97" s="878"/>
      <c r="C97" s="19"/>
      <c r="D97" s="37" t="s">
        <v>230</v>
      </c>
      <c r="E97" s="19"/>
      <c r="F97" s="19"/>
      <c r="G97" s="19"/>
      <c r="H97" s="19"/>
      <c r="I97" s="19"/>
      <c r="J97" s="19"/>
      <c r="K97" s="19"/>
      <c r="L97" s="19"/>
      <c r="M97" s="19"/>
      <c r="N97" s="19"/>
      <c r="O97" s="19"/>
    </row>
    <row r="98" spans="1:15" ht="15" x14ac:dyDescent="0.25">
      <c r="D98" s="37" t="s">
        <v>452</v>
      </c>
    </row>
    <row r="99" spans="1:15" ht="15" x14ac:dyDescent="0.25">
      <c r="D99" s="37" t="s">
        <v>587</v>
      </c>
    </row>
    <row r="100" spans="1:15" ht="15" x14ac:dyDescent="0.25">
      <c r="D100" s="71" t="s">
        <v>232</v>
      </c>
    </row>
    <row r="101" spans="1:15" ht="15" x14ac:dyDescent="0.25">
      <c r="D101" s="71" t="s">
        <v>233</v>
      </c>
    </row>
    <row r="102" spans="1:15" ht="15" x14ac:dyDescent="0.25">
      <c r="D102" s="37" t="s">
        <v>234</v>
      </c>
    </row>
    <row r="103" spans="1:15" ht="15" x14ac:dyDescent="0.25">
      <c r="D103" s="37" t="s">
        <v>235</v>
      </c>
    </row>
    <row r="104" spans="1:15" ht="15" x14ac:dyDescent="0.25">
      <c r="D104" s="37" t="s">
        <v>698</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236</v>
      </c>
    </row>
    <row r="111" spans="1:15" ht="14.25" x14ac:dyDescent="0.2">
      <c r="D111" s="73" t="s">
        <v>237</v>
      </c>
    </row>
    <row r="112" spans="1:15" ht="14.25" x14ac:dyDescent="0.2">
      <c r="D112" s="73" t="s">
        <v>238</v>
      </c>
    </row>
    <row r="113" spans="4:4" ht="14.25" x14ac:dyDescent="0.2">
      <c r="D113" s="72" t="s">
        <v>589</v>
      </c>
    </row>
    <row r="114" spans="4:4" ht="14.25" x14ac:dyDescent="0.2">
      <c r="D114" s="72" t="s">
        <v>239</v>
      </c>
    </row>
    <row r="115" spans="4:4" ht="14.25" x14ac:dyDescent="0.2">
      <c r="D115" s="74" t="s">
        <v>240</v>
      </c>
    </row>
    <row r="116" spans="4:4" ht="14.25" x14ac:dyDescent="0.2">
      <c r="D116" s="73" t="s">
        <v>241</v>
      </c>
    </row>
    <row r="117" spans="4:4" ht="14.25" x14ac:dyDescent="0.2">
      <c r="D117" s="73" t="s">
        <v>242</v>
      </c>
    </row>
    <row r="118" spans="4:4" ht="14.25" x14ac:dyDescent="0.2">
      <c r="D118" s="73" t="s">
        <v>243</v>
      </c>
    </row>
    <row r="119" spans="4:4" ht="14.25" x14ac:dyDescent="0.2">
      <c r="D119" s="72" t="s">
        <v>244</v>
      </c>
    </row>
    <row r="120" spans="4:4" ht="14.25" x14ac:dyDescent="0.2">
      <c r="D120" s="72" t="s">
        <v>245</v>
      </c>
    </row>
    <row r="121" spans="4:4" ht="14.25" x14ac:dyDescent="0.2">
      <c r="D121" s="73" t="s">
        <v>246</v>
      </c>
    </row>
    <row r="122" spans="4:4" ht="14.25" x14ac:dyDescent="0.2">
      <c r="D122" s="72" t="s">
        <v>247</v>
      </c>
    </row>
    <row r="123" spans="4:4" ht="14.25" x14ac:dyDescent="0.2">
      <c r="D123" s="73" t="s">
        <v>248</v>
      </c>
    </row>
    <row r="124" spans="4:4" ht="14.25" x14ac:dyDescent="0.2">
      <c r="D124" s="73" t="s">
        <v>249</v>
      </c>
    </row>
    <row r="125" spans="4:4" ht="14.25" x14ac:dyDescent="0.2">
      <c r="D125" s="73" t="s">
        <v>250</v>
      </c>
    </row>
    <row r="126" spans="4:4" ht="14.25" x14ac:dyDescent="0.2">
      <c r="D126" s="73" t="s">
        <v>251</v>
      </c>
    </row>
    <row r="127" spans="4:4" x14ac:dyDescent="0.2">
      <c r="D127" s="20" t="s">
        <v>651</v>
      </c>
    </row>
    <row r="128" spans="4:4" x14ac:dyDescent="0.2">
      <c r="D128" s="20" t="s">
        <v>653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B36:B38 A41 A43 B67:B71 L78:O82 A85 A88:B89 A97 B73:B74 A91:B92 A94:B95">
    <cfRule type="cellIs" dxfId="54" priority="2" operator="between">
      <formula>0</formula>
      <formula>0</formula>
    </cfRule>
  </conditionalFormatting>
  <conditionalFormatting sqref="B8:B27">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74"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5" t="s">
        <v>252</v>
      </c>
      <c r="B2" s="896"/>
      <c r="C2" s="896"/>
      <c r="D2" s="896"/>
      <c r="E2" s="896"/>
      <c r="F2" s="896"/>
      <c r="G2" s="896"/>
      <c r="H2" s="896"/>
      <c r="I2" s="896"/>
      <c r="J2" s="896"/>
      <c r="K2" s="896"/>
      <c r="L2" s="896"/>
      <c r="M2" s="896"/>
      <c r="N2" s="896"/>
      <c r="O2" s="896"/>
      <c r="P2" s="896"/>
      <c r="Q2" s="896"/>
      <c r="R2" s="896"/>
      <c r="S2" s="654"/>
      <c r="T2" s="896" t="s">
        <v>253</v>
      </c>
      <c r="U2" s="896"/>
      <c r="V2" s="896"/>
      <c r="W2" s="896"/>
      <c r="X2" s="896"/>
      <c r="Y2" s="896"/>
      <c r="Z2" s="896"/>
      <c r="AA2" s="896"/>
      <c r="AB2" s="896"/>
      <c r="AC2" s="896"/>
      <c r="AD2" s="896"/>
      <c r="AE2" s="896"/>
      <c r="AF2" s="896"/>
      <c r="AG2" s="896"/>
      <c r="AH2" s="896"/>
      <c r="AI2" s="896"/>
      <c r="AJ2" s="896"/>
      <c r="AK2" s="897"/>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573</v>
      </c>
      <c r="AP3" s="631"/>
      <c r="AQ3" s="631" t="s">
        <v>573</v>
      </c>
      <c r="AR3" s="631" t="s">
        <v>574</v>
      </c>
    </row>
    <row r="4" spans="1:44" ht="15" customHeight="1" x14ac:dyDescent="0.25">
      <c r="A4" s="898" t="s">
        <v>212</v>
      </c>
      <c r="B4" s="899"/>
      <c r="C4" s="899"/>
      <c r="D4" s="899"/>
      <c r="E4" s="900">
        <v>46102</v>
      </c>
      <c r="F4" s="900"/>
      <c r="G4" s="900"/>
      <c r="H4" s="900"/>
      <c r="I4" s="900"/>
      <c r="J4" s="900"/>
      <c r="K4" s="900"/>
      <c r="L4" s="899" t="s">
        <v>254</v>
      </c>
      <c r="M4" s="899"/>
      <c r="N4" s="899"/>
      <c r="O4" s="901">
        <v>0.67708333333333337</v>
      </c>
      <c r="P4" s="901"/>
      <c r="Q4" s="901"/>
      <c r="R4" s="901"/>
      <c r="S4" s="643"/>
      <c r="T4" s="899" t="s">
        <v>212</v>
      </c>
      <c r="U4" s="899"/>
      <c r="V4" s="899"/>
      <c r="W4" s="899"/>
      <c r="X4" s="900">
        <v>46106</v>
      </c>
      <c r="Y4" s="900"/>
      <c r="Z4" s="900"/>
      <c r="AA4" s="900"/>
      <c r="AB4" s="900"/>
      <c r="AC4" s="900"/>
      <c r="AD4" s="900"/>
      <c r="AE4" s="899" t="s">
        <v>254</v>
      </c>
      <c r="AF4" s="899"/>
      <c r="AG4" s="899"/>
      <c r="AH4" s="902">
        <v>0.27083333333333331</v>
      </c>
      <c r="AI4" s="902"/>
      <c r="AJ4" s="902"/>
      <c r="AK4" s="903"/>
      <c r="AN4" s="75" t="str">
        <f>IF(E6="Wharf","wharf","inner roads")</f>
        <v>inner roads</v>
      </c>
      <c r="AO4" s="75" t="str">
        <f>IF(X6="Wharf","wharf","inner roads")</f>
        <v>wharf</v>
      </c>
      <c r="AP4" s="631"/>
      <c r="AQ4" s="631" t="s">
        <v>614</v>
      </c>
      <c r="AR4" s="631" t="s">
        <v>575</v>
      </c>
    </row>
    <row r="5" spans="1:44" ht="15" customHeight="1" x14ac:dyDescent="0.25">
      <c r="A5" s="890" t="s">
        <v>255</v>
      </c>
      <c r="B5" s="882"/>
      <c r="C5" s="882"/>
      <c r="D5" s="882"/>
      <c r="E5" s="891" t="str">
        <f>IFERROR(_xlfn.IFS(CAPA!A5=Draft!AQ3,Draft!AR3,CAPA!A5=AQ4,AR4),"Paranaguá, Br - Brazil")</f>
        <v>Paranaguá, Br - Brazil</v>
      </c>
      <c r="F5" s="891"/>
      <c r="G5" s="891"/>
      <c r="H5" s="891"/>
      <c r="I5" s="891"/>
      <c r="J5" s="891"/>
      <c r="K5" s="891"/>
      <c r="L5" s="882" t="s">
        <v>256</v>
      </c>
      <c r="M5" s="882"/>
      <c r="N5" s="882"/>
      <c r="O5" s="883">
        <v>0.69444444444444442</v>
      </c>
      <c r="P5" s="883"/>
      <c r="Q5" s="883"/>
      <c r="R5" s="883"/>
      <c r="S5" s="643"/>
      <c r="T5" s="882" t="s">
        <v>255</v>
      </c>
      <c r="U5" s="882"/>
      <c r="V5" s="882"/>
      <c r="W5" s="882"/>
      <c r="X5" s="891" t="str">
        <f>$E$5</f>
        <v>Paranaguá, Br - Brazil</v>
      </c>
      <c r="Y5" s="891"/>
      <c r="Z5" s="891"/>
      <c r="AA5" s="891"/>
      <c r="AB5" s="891"/>
      <c r="AC5" s="891"/>
      <c r="AD5" s="891"/>
      <c r="AE5" s="882" t="s">
        <v>256</v>
      </c>
      <c r="AF5" s="882"/>
      <c r="AG5" s="882"/>
      <c r="AH5" s="883">
        <v>0.29166666666666669</v>
      </c>
      <c r="AI5" s="883"/>
      <c r="AJ5" s="883"/>
      <c r="AK5" s="884"/>
      <c r="AN5" s="75" t="str">
        <f>IF(AN4="wharf","berthed alongside wharf ","anchored at inner roads area ")</f>
        <v xml:space="preserve">anchored at inner roads area </v>
      </c>
      <c r="AO5" s="75"/>
      <c r="AP5" s="75"/>
      <c r="AQ5" s="75"/>
    </row>
    <row r="6" spans="1:44" ht="15" customHeight="1" x14ac:dyDescent="0.25">
      <c r="A6" s="885" t="s">
        <v>257</v>
      </c>
      <c r="B6" s="886"/>
      <c r="C6" s="886"/>
      <c r="D6" s="886"/>
      <c r="E6" s="887" t="s">
        <v>779</v>
      </c>
      <c r="F6" s="887"/>
      <c r="G6" s="888"/>
      <c r="H6" s="893" t="s">
        <v>780</v>
      </c>
      <c r="I6" s="894"/>
      <c r="J6" s="893" t="str">
        <f>IF(E6="Wharf","berthed","anchored")</f>
        <v>anchored</v>
      </c>
      <c r="K6" s="894"/>
      <c r="L6" s="885" t="s">
        <v>258</v>
      </c>
      <c r="M6" s="886"/>
      <c r="N6" s="886"/>
      <c r="O6" s="889">
        <v>0.80555555555555558</v>
      </c>
      <c r="P6" s="889"/>
      <c r="Q6" s="889"/>
      <c r="R6" s="889"/>
      <c r="S6" s="643"/>
      <c r="T6" s="886" t="s">
        <v>257</v>
      </c>
      <c r="U6" s="886"/>
      <c r="V6" s="886"/>
      <c r="W6" s="886"/>
      <c r="X6" s="887" t="s">
        <v>798</v>
      </c>
      <c r="Y6" s="887"/>
      <c r="Z6" s="888"/>
      <c r="AA6" s="893">
        <v>214</v>
      </c>
      <c r="AB6" s="894"/>
      <c r="AC6" s="893" t="str">
        <f>IF(X6="Wharf","berthed","anchored")</f>
        <v>berthed</v>
      </c>
      <c r="AD6" s="894"/>
      <c r="AE6" s="885" t="s">
        <v>258</v>
      </c>
      <c r="AF6" s="886"/>
      <c r="AG6" s="886"/>
      <c r="AH6" s="889">
        <v>0.35416666666666669</v>
      </c>
      <c r="AI6" s="889"/>
      <c r="AJ6" s="889"/>
      <c r="AK6" s="892"/>
      <c r="AN6" s="75" t="str">
        <f>IF(AO4="wharf","berthed alongside wharf ","anchored at inner roads area ")</f>
        <v xml:space="preserve">berthed alongside wharf </v>
      </c>
    </row>
    <row r="7" spans="1:44" ht="15" customHeight="1" x14ac:dyDescent="0.25">
      <c r="A7" s="932" t="s">
        <v>259</v>
      </c>
      <c r="B7" s="909"/>
      <c r="C7" s="909"/>
      <c r="D7" s="910"/>
      <c r="E7" s="904" t="s">
        <v>781</v>
      </c>
      <c r="F7" s="905"/>
      <c r="G7" s="906"/>
      <c r="H7" s="907"/>
      <c r="I7" s="908"/>
      <c r="J7" s="908"/>
      <c r="K7" s="908"/>
      <c r="L7" s="909" t="s">
        <v>260</v>
      </c>
      <c r="M7" s="909"/>
      <c r="N7" s="909"/>
      <c r="O7" s="921">
        <v>0.45</v>
      </c>
      <c r="P7" s="921"/>
      <c r="Q7" s="921"/>
      <c r="R7" s="921"/>
      <c r="S7" s="644"/>
      <c r="T7" s="909" t="s">
        <v>259</v>
      </c>
      <c r="U7" s="909"/>
      <c r="V7" s="909"/>
      <c r="W7" s="910"/>
      <c r="X7" s="904" t="s">
        <v>781</v>
      </c>
      <c r="Y7" s="905"/>
      <c r="Z7" s="906"/>
      <c r="AA7" s="472"/>
      <c r="AB7" s="472"/>
      <c r="AC7" s="472"/>
      <c r="AD7" s="472"/>
      <c r="AE7" s="909" t="s">
        <v>260</v>
      </c>
      <c r="AF7" s="909"/>
      <c r="AG7" s="909"/>
      <c r="AH7" s="921">
        <v>0.2</v>
      </c>
      <c r="AI7" s="921"/>
      <c r="AJ7" s="921"/>
      <c r="AK7" s="927"/>
      <c r="AN7" s="75" t="str">
        <f>IF(AN4="wharf","Atracado - berço ","Fundeado - área ")</f>
        <v xml:space="preserve">Fundeado - área </v>
      </c>
    </row>
    <row r="8" spans="1:44" ht="15" customHeight="1" x14ac:dyDescent="0.25">
      <c r="A8" s="911" t="s">
        <v>261</v>
      </c>
      <c r="B8" s="912"/>
      <c r="C8" s="912"/>
      <c r="D8" s="912"/>
      <c r="E8" s="915" t="s">
        <v>782</v>
      </c>
      <c r="F8" s="915"/>
      <c r="G8" s="915"/>
      <c r="H8" s="473"/>
      <c r="I8" s="473"/>
      <c r="J8" s="473"/>
      <c r="K8" s="473"/>
      <c r="L8" s="912" t="s">
        <v>262</v>
      </c>
      <c r="M8" s="912"/>
      <c r="N8" s="912"/>
      <c r="O8" s="928">
        <v>3</v>
      </c>
      <c r="P8" s="928"/>
      <c r="Q8" s="928"/>
      <c r="R8" s="928"/>
      <c r="S8" s="644"/>
      <c r="T8" s="912" t="s">
        <v>261</v>
      </c>
      <c r="U8" s="912"/>
      <c r="V8" s="912"/>
      <c r="W8" s="912"/>
      <c r="X8" s="915" t="s">
        <v>799</v>
      </c>
      <c r="Y8" s="915"/>
      <c r="Z8" s="915"/>
      <c r="AA8" s="472"/>
      <c r="AB8" s="472"/>
      <c r="AC8" s="472"/>
      <c r="AD8" s="472"/>
      <c r="AE8" s="912" t="s">
        <v>262</v>
      </c>
      <c r="AF8" s="912"/>
      <c r="AG8" s="912"/>
      <c r="AH8" s="928">
        <v>1</v>
      </c>
      <c r="AI8" s="928"/>
      <c r="AJ8" s="928"/>
      <c r="AK8" s="929"/>
      <c r="AM8" s="76">
        <v>0</v>
      </c>
      <c r="AN8" s="75" t="str">
        <f>IF(AO4="wharf","Atracado - berço ","Fundeado - área ")</f>
        <v xml:space="preserve">Atracado - berço </v>
      </c>
    </row>
    <row r="9" spans="1:44" ht="15" customHeight="1" x14ac:dyDescent="0.25">
      <c r="A9" s="911" t="s">
        <v>263</v>
      </c>
      <c r="B9" s="912"/>
      <c r="C9" s="912"/>
      <c r="D9" s="913"/>
      <c r="E9" s="914" t="s">
        <v>783</v>
      </c>
      <c r="F9" s="915"/>
      <c r="G9" s="916"/>
      <c r="H9" s="473"/>
      <c r="I9" s="473"/>
      <c r="J9" s="473"/>
      <c r="K9" s="473"/>
      <c r="L9" s="437"/>
      <c r="M9" s="437"/>
      <c r="N9" s="437"/>
      <c r="O9" s="437"/>
      <c r="P9" s="474"/>
      <c r="Q9" s="474"/>
      <c r="R9" s="474"/>
      <c r="S9" s="644"/>
      <c r="T9" s="912" t="s">
        <v>263</v>
      </c>
      <c r="U9" s="912"/>
      <c r="V9" s="912"/>
      <c r="W9" s="913"/>
      <c r="X9" s="914" t="s">
        <v>783</v>
      </c>
      <c r="Y9" s="915"/>
      <c r="Z9" s="916"/>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264</v>
      </c>
      <c r="D11" s="918">
        <f>CAPA!$B$16</f>
        <v>206.5</v>
      </c>
      <c r="E11" s="919"/>
      <c r="F11" s="920"/>
      <c r="G11" s="78"/>
      <c r="H11" s="78"/>
      <c r="I11" s="922" t="s">
        <v>265</v>
      </c>
      <c r="J11" s="922"/>
      <c r="K11" s="923"/>
      <c r="L11" s="918">
        <f>CAPA!$B$18</f>
        <v>37</v>
      </c>
      <c r="M11" s="919"/>
      <c r="N11" s="920"/>
      <c r="O11" s="78"/>
      <c r="P11" s="78"/>
      <c r="Q11" s="78"/>
      <c r="R11" s="78"/>
      <c r="S11" s="645"/>
      <c r="T11" s="78"/>
      <c r="U11" s="478" t="s">
        <v>264</v>
      </c>
      <c r="V11" s="924">
        <f>D11</f>
        <v>206.5</v>
      </c>
      <c r="W11" s="925"/>
      <c r="X11" s="926"/>
      <c r="Y11" s="479"/>
      <c r="Z11" s="479"/>
      <c r="AA11" s="930" t="s">
        <v>265</v>
      </c>
      <c r="AB11" s="930"/>
      <c r="AC11" s="931"/>
      <c r="AD11" s="924">
        <f>L11</f>
        <v>37</v>
      </c>
      <c r="AE11" s="925"/>
      <c r="AF11" s="926"/>
      <c r="AG11" s="479"/>
      <c r="AH11" s="479"/>
      <c r="AI11" s="480"/>
      <c r="AJ11" s="480"/>
      <c r="AK11" s="79"/>
    </row>
    <row r="12" spans="1:44" ht="15" customHeight="1" thickTop="1" x14ac:dyDescent="0.2">
      <c r="A12" s="77"/>
      <c r="B12" s="78"/>
      <c r="C12" s="78"/>
      <c r="D12" s="78"/>
      <c r="E12" s="78"/>
      <c r="F12" s="78" t="s">
        <v>266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17" t="s">
        <v>267</v>
      </c>
      <c r="D13" s="917"/>
      <c r="E13" s="917"/>
      <c r="F13" s="917"/>
      <c r="G13" s="917"/>
      <c r="H13" s="917"/>
      <c r="I13" s="917"/>
      <c r="J13" s="917"/>
      <c r="K13" s="917"/>
      <c r="L13" s="917"/>
      <c r="M13" s="917"/>
      <c r="N13" s="917"/>
      <c r="O13" s="917"/>
      <c r="P13" s="917"/>
      <c r="Q13" s="917"/>
      <c r="R13" s="78"/>
      <c r="S13" s="645"/>
      <c r="T13" s="78"/>
      <c r="U13" s="917" t="s">
        <v>267</v>
      </c>
      <c r="V13" s="917"/>
      <c r="W13" s="917"/>
      <c r="X13" s="917"/>
      <c r="Y13" s="917"/>
      <c r="Z13" s="917"/>
      <c r="AA13" s="917"/>
      <c r="AB13" s="917"/>
      <c r="AC13" s="917"/>
      <c r="AD13" s="917"/>
      <c r="AE13" s="917"/>
      <c r="AF13" s="917"/>
      <c r="AG13" s="917"/>
      <c r="AH13" s="917"/>
      <c r="AI13" s="917"/>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268</v>
      </c>
      <c r="D15" s="918">
        <v>7.9</v>
      </c>
      <c r="E15" s="919"/>
      <c r="F15" s="920"/>
      <c r="G15" s="477" t="s">
        <v>269</v>
      </c>
      <c r="H15" s="918">
        <v>1.05</v>
      </c>
      <c r="I15" s="919"/>
      <c r="J15" s="920"/>
      <c r="K15" s="477" t="s">
        <v>270</v>
      </c>
      <c r="L15" s="918">
        <v>-1.4650000000000001</v>
      </c>
      <c r="M15" s="919"/>
      <c r="N15" s="920"/>
      <c r="O15" s="78"/>
      <c r="P15" s="78"/>
      <c r="Q15" s="78"/>
      <c r="R15" s="78"/>
      <c r="S15" s="645"/>
      <c r="T15" s="78"/>
      <c r="U15" s="477" t="s">
        <v>268</v>
      </c>
      <c r="V15" s="918">
        <f>D15</f>
        <v>7.9</v>
      </c>
      <c r="W15" s="919"/>
      <c r="X15" s="920"/>
      <c r="Y15" s="477" t="s">
        <v>269</v>
      </c>
      <c r="Z15" s="918">
        <f>H15</f>
        <v>1.05</v>
      </c>
      <c r="AA15" s="919"/>
      <c r="AB15" s="920"/>
      <c r="AC15" s="477" t="s">
        <v>270</v>
      </c>
      <c r="AD15" s="918">
        <v>11.8</v>
      </c>
      <c r="AE15" s="919"/>
      <c r="AF15" s="920"/>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3" t="s">
        <v>271</v>
      </c>
      <c r="D17" s="943"/>
      <c r="E17" s="943"/>
      <c r="F17" s="943"/>
      <c r="G17" s="943"/>
      <c r="H17" s="943"/>
      <c r="I17" s="943"/>
      <c r="J17" s="943"/>
      <c r="K17" s="943"/>
      <c r="L17" s="943"/>
      <c r="M17" s="943"/>
      <c r="N17" s="943"/>
      <c r="O17" s="943"/>
      <c r="P17" s="943"/>
      <c r="Q17" s="943"/>
      <c r="R17" s="78"/>
      <c r="S17" s="645"/>
      <c r="T17" s="78"/>
      <c r="U17" s="943" t="s">
        <v>271</v>
      </c>
      <c r="V17" s="943"/>
      <c r="W17" s="943"/>
      <c r="X17" s="943"/>
      <c r="Y17" s="943"/>
      <c r="Z17" s="943"/>
      <c r="AA17" s="943"/>
      <c r="AB17" s="943"/>
      <c r="AC17" s="943"/>
      <c r="AD17" s="943"/>
      <c r="AE17" s="943"/>
      <c r="AF17" s="943"/>
      <c r="AG17" s="943"/>
      <c r="AH17" s="943"/>
      <c r="AI17" s="943"/>
      <c r="AJ17" s="480"/>
      <c r="AK17" s="79"/>
    </row>
    <row r="18" spans="1:43" ht="15" customHeight="1" thickTop="1" thickBot="1" x14ac:dyDescent="0.25">
      <c r="A18" s="77"/>
      <c r="B18" s="78"/>
      <c r="C18" s="477" t="s">
        <v>268</v>
      </c>
      <c r="D18" s="944">
        <v>1.7000000000000001E-2</v>
      </c>
      <c r="E18" s="945"/>
      <c r="F18" s="946"/>
      <c r="G18" s="477" t="s">
        <v>269</v>
      </c>
      <c r="H18" s="944">
        <v>1.7000000000000001E-2</v>
      </c>
      <c r="I18" s="945"/>
      <c r="J18" s="946"/>
      <c r="K18" s="477" t="s">
        <v>270</v>
      </c>
      <c r="L18" s="944">
        <v>1.7000000000000001E-2</v>
      </c>
      <c r="M18" s="945"/>
      <c r="N18" s="946"/>
      <c r="O18" s="78"/>
      <c r="P18" s="78"/>
      <c r="Q18" s="78"/>
      <c r="R18" s="78"/>
      <c r="S18" s="645"/>
      <c r="T18" s="78"/>
      <c r="U18" s="477" t="s">
        <v>268</v>
      </c>
      <c r="V18" s="947">
        <f>D18</f>
        <v>1.7000000000000001E-2</v>
      </c>
      <c r="W18" s="948"/>
      <c r="X18" s="949"/>
      <c r="Y18" s="477" t="s">
        <v>269</v>
      </c>
      <c r="Z18" s="947">
        <f>H18</f>
        <v>1.7000000000000001E-2</v>
      </c>
      <c r="AA18" s="948"/>
      <c r="AB18" s="949"/>
      <c r="AC18" s="477" t="s">
        <v>270</v>
      </c>
      <c r="AD18" s="947">
        <f>L18</f>
        <v>1.7000000000000001E-2</v>
      </c>
      <c r="AE18" s="948"/>
      <c r="AF18" s="949"/>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3" t="s">
        <v>272</v>
      </c>
      <c r="D20" s="933"/>
      <c r="E20" s="933"/>
      <c r="F20" s="933"/>
      <c r="G20" s="933"/>
      <c r="H20" s="933"/>
      <c r="I20" s="933"/>
      <c r="J20" s="933"/>
      <c r="K20" s="933"/>
      <c r="L20" s="933"/>
      <c r="M20" s="933"/>
      <c r="N20" s="934"/>
      <c r="O20" s="935"/>
      <c r="P20" s="936"/>
      <c r="Q20" s="937"/>
      <c r="R20" s="483"/>
      <c r="S20" s="643"/>
      <c r="T20" s="483"/>
      <c r="U20" s="938" t="s">
        <v>272</v>
      </c>
      <c r="V20" s="938"/>
      <c r="W20" s="938"/>
      <c r="X20" s="938"/>
      <c r="Y20" s="938"/>
      <c r="Z20" s="938"/>
      <c r="AA20" s="938"/>
      <c r="AB20" s="938"/>
      <c r="AC20" s="938"/>
      <c r="AD20" s="938"/>
      <c r="AE20" s="938"/>
      <c r="AF20" s="939"/>
      <c r="AG20" s="935">
        <f>O20</f>
        <v>0</v>
      </c>
      <c r="AH20" s="936"/>
      <c r="AI20" s="937"/>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273</v>
      </c>
      <c r="D22" s="485"/>
      <c r="E22" s="483"/>
      <c r="F22" s="940">
        <f>D11-D15-L15</f>
        <v>200.065</v>
      </c>
      <c r="G22" s="941"/>
      <c r="H22" s="942"/>
      <c r="I22" s="483"/>
      <c r="J22" s="485"/>
      <c r="K22" s="483"/>
      <c r="L22" s="483"/>
      <c r="M22" s="483"/>
      <c r="N22" s="483"/>
      <c r="O22" s="483"/>
      <c r="P22" s="483"/>
      <c r="Q22" s="483"/>
      <c r="R22" s="483"/>
      <c r="S22" s="643"/>
      <c r="T22" s="483"/>
      <c r="U22" s="485" t="s">
        <v>274</v>
      </c>
      <c r="V22" s="485"/>
      <c r="W22" s="483"/>
      <c r="X22" s="940">
        <f>V11-V15-AD15</f>
        <v>186.79999999999998</v>
      </c>
      <c r="Y22" s="941"/>
      <c r="Z22" s="942"/>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50" t="s">
        <v>275</v>
      </c>
      <c r="D24" s="950"/>
      <c r="E24" s="951"/>
      <c r="F24" s="951"/>
      <c r="G24" s="950" t="s">
        <v>276</v>
      </c>
      <c r="H24" s="950"/>
      <c r="I24" s="488"/>
      <c r="J24" s="952" t="s">
        <v>277</v>
      </c>
      <c r="K24" s="952"/>
      <c r="L24" s="488"/>
      <c r="M24" s="952" t="s">
        <v>278</v>
      </c>
      <c r="N24" s="952"/>
      <c r="O24" s="488"/>
      <c r="P24" s="952" t="s">
        <v>279</v>
      </c>
      <c r="Q24" s="952"/>
      <c r="R24" s="483"/>
      <c r="S24" s="643"/>
      <c r="T24" s="483"/>
      <c r="U24" s="950" t="s">
        <v>275</v>
      </c>
      <c r="V24" s="950"/>
      <c r="W24" s="961"/>
      <c r="X24" s="961"/>
      <c r="Y24" s="950" t="s">
        <v>276</v>
      </c>
      <c r="Z24" s="950"/>
      <c r="AA24" s="484"/>
      <c r="AB24" s="952" t="s">
        <v>277</v>
      </c>
      <c r="AC24" s="952"/>
      <c r="AD24" s="487"/>
      <c r="AE24" s="952" t="s">
        <v>278</v>
      </c>
      <c r="AF24" s="952"/>
      <c r="AG24" s="487"/>
      <c r="AH24" s="952" t="s">
        <v>279</v>
      </c>
      <c r="AI24" s="952"/>
      <c r="AJ24" s="484"/>
      <c r="AK24" s="81"/>
    </row>
    <row r="25" spans="1:43" ht="15" customHeight="1" thickTop="1" thickBot="1" x14ac:dyDescent="0.3">
      <c r="A25" s="80"/>
      <c r="B25" s="483"/>
      <c r="C25" s="953">
        <v>7.84</v>
      </c>
      <c r="D25" s="954"/>
      <c r="E25" s="951"/>
      <c r="F25" s="951"/>
      <c r="G25" s="953">
        <v>7.64</v>
      </c>
      <c r="H25" s="954"/>
      <c r="I25" s="488"/>
      <c r="J25" s="955">
        <f>(C25+G25)/2</f>
        <v>7.74</v>
      </c>
      <c r="K25" s="956"/>
      <c r="L25" s="487">
        <f>G29*D15/F22</f>
        <v>4.343588333791496E-3</v>
      </c>
      <c r="M25" s="957">
        <f>P25-J25</f>
        <v>-2.1300000000000985E-2</v>
      </c>
      <c r="N25" s="958"/>
      <c r="O25" s="488"/>
      <c r="P25" s="959">
        <f>ROUND((J25-L25),4)-D18</f>
        <v>7.7186999999999992</v>
      </c>
      <c r="Q25" s="956"/>
      <c r="R25" s="483"/>
      <c r="S25" s="643"/>
      <c r="T25" s="483"/>
      <c r="U25" s="953">
        <v>11.98</v>
      </c>
      <c r="V25" s="954"/>
      <c r="W25" s="961"/>
      <c r="X25" s="961"/>
      <c r="Y25" s="953">
        <v>11.97</v>
      </c>
      <c r="Z25" s="954"/>
      <c r="AA25" s="484"/>
      <c r="AB25" s="955">
        <f>(U25+Y25)/2</f>
        <v>11.975000000000001</v>
      </c>
      <c r="AC25" s="956"/>
      <c r="AD25" s="487">
        <f>Y29*V15/X22</f>
        <v>5.9207708779442005E-3</v>
      </c>
      <c r="AE25" s="957">
        <f>AH25-AB25</f>
        <v>-2.2900000000001697E-2</v>
      </c>
      <c r="AF25" s="958"/>
      <c r="AG25" s="487"/>
      <c r="AH25" s="960">
        <f>ROUND((AB25-AD25),4)-V18</f>
        <v>11.9521</v>
      </c>
      <c r="AI25" s="956"/>
      <c r="AJ25" s="484"/>
      <c r="AK25" s="81"/>
    </row>
    <row r="26" spans="1:43" ht="15" customHeight="1" thickTop="1" thickBot="1" x14ac:dyDescent="0.3">
      <c r="A26" s="80"/>
      <c r="B26" s="483"/>
      <c r="C26" s="953">
        <v>7.89</v>
      </c>
      <c r="D26" s="954"/>
      <c r="E26" s="951"/>
      <c r="F26" s="951"/>
      <c r="G26" s="953">
        <v>7.61</v>
      </c>
      <c r="H26" s="954"/>
      <c r="I26" s="488"/>
      <c r="J26" s="955">
        <f>(C26+G26)/2</f>
        <v>7.75</v>
      </c>
      <c r="K26" s="956"/>
      <c r="L26" s="487">
        <f>G29*H15/F22</f>
        <v>5.7731237347861649E-4</v>
      </c>
      <c r="M26" s="957">
        <f t="shared" ref="M26:M27" si="0">P26-J26</f>
        <v>-1.7600000000000726E-2</v>
      </c>
      <c r="N26" s="958"/>
      <c r="O26" s="488"/>
      <c r="P26" s="955">
        <f>ROUND((J26-L26),4)-H18</f>
        <v>7.7323999999999993</v>
      </c>
      <c r="Q26" s="956"/>
      <c r="R26" s="483"/>
      <c r="S26" s="643"/>
      <c r="T26" s="483"/>
      <c r="U26" s="953">
        <v>12.09</v>
      </c>
      <c r="V26" s="954"/>
      <c r="W26" s="961"/>
      <c r="X26" s="961"/>
      <c r="Y26" s="953">
        <v>12.08</v>
      </c>
      <c r="Z26" s="954"/>
      <c r="AA26" s="484"/>
      <c r="AB26" s="955">
        <f>(U26+Y26)/2</f>
        <v>12.085000000000001</v>
      </c>
      <c r="AC26" s="956"/>
      <c r="AD26" s="487">
        <f>Y29*Z15/X22</f>
        <v>7.8693790149891277E-4</v>
      </c>
      <c r="AE26" s="957">
        <f t="shared" ref="AE26:AE27" si="1">AH26-AB26</f>
        <v>-1.7800000000001148E-2</v>
      </c>
      <c r="AF26" s="958"/>
      <c r="AG26" s="487"/>
      <c r="AH26" s="960">
        <f>ROUND((AB26-AD26),4)-Z18</f>
        <v>12.0672</v>
      </c>
      <c r="AI26" s="956"/>
      <c r="AJ26" s="484"/>
      <c r="AK26" s="81"/>
    </row>
    <row r="27" spans="1:43" ht="15" customHeight="1" thickTop="1" thickBot="1" x14ac:dyDescent="0.3">
      <c r="A27" s="80"/>
      <c r="B27" s="483"/>
      <c r="C27" s="953">
        <v>7.85</v>
      </c>
      <c r="D27" s="954"/>
      <c r="E27" s="951"/>
      <c r="F27" s="951"/>
      <c r="G27" s="953">
        <v>7.85</v>
      </c>
      <c r="H27" s="954"/>
      <c r="I27" s="488"/>
      <c r="J27" s="955">
        <f>(C27+G27)/2</f>
        <v>7.85</v>
      </c>
      <c r="K27" s="956"/>
      <c r="L27" s="487">
        <f>G29*L15/F22</f>
        <v>-8.0548821632968879E-4</v>
      </c>
      <c r="M27" s="957">
        <f t="shared" si="0"/>
        <v>-1.780000000000026E-2</v>
      </c>
      <c r="N27" s="958"/>
      <c r="O27" s="488"/>
      <c r="P27" s="959">
        <f>ROUND((J27+L27),4)-L18</f>
        <v>7.8321999999999994</v>
      </c>
      <c r="Q27" s="956"/>
      <c r="R27" s="483"/>
      <c r="S27" s="643"/>
      <c r="T27" s="483"/>
      <c r="U27" s="953">
        <v>12.12</v>
      </c>
      <c r="V27" s="954"/>
      <c r="W27" s="961"/>
      <c r="X27" s="961"/>
      <c r="Y27" s="953">
        <v>12.11</v>
      </c>
      <c r="Z27" s="954"/>
      <c r="AA27" s="484"/>
      <c r="AB27" s="955">
        <f>(U27+Y27)/2</f>
        <v>12.114999999999998</v>
      </c>
      <c r="AC27" s="956"/>
      <c r="AD27" s="487">
        <f>Y29*AD15/X22</f>
        <v>8.8436830835115898E-3</v>
      </c>
      <c r="AE27" s="957">
        <f t="shared" si="1"/>
        <v>-8.1999999999986528E-3</v>
      </c>
      <c r="AF27" s="958"/>
      <c r="AG27" s="487"/>
      <c r="AH27" s="960">
        <f>ROUND((AB27+AD27),4)-AD18</f>
        <v>12.1068</v>
      </c>
      <c r="AI27" s="956"/>
      <c r="AJ27" s="484"/>
      <c r="AK27" s="81"/>
    </row>
    <row r="28" spans="1:43" ht="15" customHeight="1" thickTop="1" thickBot="1" x14ac:dyDescent="0.3">
      <c r="A28" s="80"/>
      <c r="B28" s="483"/>
      <c r="C28" s="489"/>
      <c r="D28" s="489"/>
      <c r="E28" s="951"/>
      <c r="F28" s="951"/>
      <c r="G28" s="489"/>
      <c r="H28" s="489"/>
      <c r="I28" s="488"/>
      <c r="J28" s="490"/>
      <c r="K28" s="490"/>
      <c r="L28" s="488"/>
      <c r="M28" s="490"/>
      <c r="N28" s="490"/>
      <c r="O28" s="488"/>
      <c r="P28" s="490"/>
      <c r="Q28" s="490"/>
      <c r="R28" s="483"/>
      <c r="S28" s="643"/>
      <c r="T28" s="483"/>
      <c r="U28" s="491"/>
      <c r="V28" s="491"/>
      <c r="W28" s="961"/>
      <c r="X28" s="961"/>
      <c r="Y28" s="491"/>
      <c r="Z28" s="491"/>
      <c r="AA28" s="484"/>
      <c r="AB28" s="492"/>
      <c r="AC28" s="492"/>
      <c r="AD28" s="487"/>
      <c r="AE28" s="492"/>
      <c r="AF28" s="492"/>
      <c r="AG28" s="487"/>
      <c r="AH28" s="492"/>
      <c r="AI28" s="492"/>
      <c r="AJ28" s="484"/>
      <c r="AK28" s="81"/>
    </row>
    <row r="29" spans="1:43" ht="15" customHeight="1" thickTop="1" thickBot="1" x14ac:dyDescent="0.3">
      <c r="A29" s="80"/>
      <c r="B29" s="488"/>
      <c r="C29" s="962" t="s">
        <v>280</v>
      </c>
      <c r="D29" s="962"/>
      <c r="E29" s="962"/>
      <c r="F29" s="963"/>
      <c r="G29" s="955">
        <f>($J$27-$J$25)</f>
        <v>0.10999999999999943</v>
      </c>
      <c r="H29" s="956"/>
      <c r="I29" s="488"/>
      <c r="J29" s="488"/>
      <c r="K29" s="488"/>
      <c r="L29" s="488"/>
      <c r="M29" s="493" t="s">
        <v>281</v>
      </c>
      <c r="N29" s="488"/>
      <c r="O29" s="488"/>
      <c r="P29" s="955">
        <f>($P$27-$P$25)</f>
        <v>0.11350000000000016</v>
      </c>
      <c r="Q29" s="956"/>
      <c r="R29" s="488"/>
      <c r="S29" s="643"/>
      <c r="T29" s="483"/>
      <c r="U29" s="962" t="s">
        <v>280</v>
      </c>
      <c r="V29" s="962"/>
      <c r="W29" s="962"/>
      <c r="X29" s="963"/>
      <c r="Y29" s="955">
        <f>(AB27-AB25)</f>
        <v>0.13999999999999702</v>
      </c>
      <c r="Z29" s="956"/>
      <c r="AA29" s="487"/>
      <c r="AB29" s="487"/>
      <c r="AC29" s="487"/>
      <c r="AD29" s="487"/>
      <c r="AE29" s="493" t="s">
        <v>281</v>
      </c>
      <c r="AF29" s="487"/>
      <c r="AG29" s="487"/>
      <c r="AH29" s="955">
        <f>(AH27-AH25)</f>
        <v>0.15470000000000006</v>
      </c>
      <c r="AI29" s="956"/>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67" t="s">
        <v>282</v>
      </c>
      <c r="D31" s="967"/>
      <c r="E31" s="967"/>
      <c r="F31" s="967"/>
      <c r="G31" s="967"/>
      <c r="H31" s="967"/>
      <c r="I31" s="967"/>
      <c r="J31" s="968"/>
      <c r="K31" s="969">
        <f>$O$31</f>
        <v>7.7431624999999986</v>
      </c>
      <c r="L31" s="970"/>
      <c r="M31" s="971" t="s">
        <v>283</v>
      </c>
      <c r="N31" s="972"/>
      <c r="O31" s="966">
        <f>(((P25+P27)/2+P26)/2+P26)/2-O20</f>
        <v>7.7431624999999986</v>
      </c>
      <c r="P31" s="966"/>
      <c r="Q31" s="966"/>
      <c r="R31" s="488"/>
      <c r="S31" s="643"/>
      <c r="T31" s="483"/>
      <c r="U31" s="967" t="s">
        <v>282</v>
      </c>
      <c r="V31" s="967"/>
      <c r="W31" s="967"/>
      <c r="X31" s="967"/>
      <c r="Y31" s="967"/>
      <c r="Z31" s="967"/>
      <c r="AA31" s="967"/>
      <c r="AB31" s="968"/>
      <c r="AC31" s="969">
        <f>AG31</f>
        <v>12.057762499999999</v>
      </c>
      <c r="AD31" s="970"/>
      <c r="AE31" s="964" t="s">
        <v>283</v>
      </c>
      <c r="AF31" s="965"/>
      <c r="AG31" s="966">
        <f>(((AH25+AH27)/2+AH26)/2+AH26)/2-AG20</f>
        <v>12.057762499999999</v>
      </c>
      <c r="AH31" s="966"/>
      <c r="AI31" s="966"/>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962" t="s">
        <v>284</v>
      </c>
      <c r="D33" s="962"/>
      <c r="E33" s="962"/>
      <c r="F33" s="488"/>
      <c r="G33" s="955">
        <f>ABS(AVERAGE(P25,P27)-P26)*100</f>
        <v>4.3050000000000033</v>
      </c>
      <c r="H33" s="956"/>
      <c r="I33" s="488"/>
      <c r="J33" s="488" t="s">
        <v>285</v>
      </c>
      <c r="K33" s="493"/>
      <c r="L33" s="488"/>
      <c r="M33" s="955" t="str">
        <f>IF(G33=0,"",IF(AVERAGE(P25,P27)&gt;P26,"HOGGING","SAGGING"))</f>
        <v>HOGGING</v>
      </c>
      <c r="N33" s="956"/>
      <c r="O33" s="488"/>
      <c r="P33" s="488"/>
      <c r="Q33" s="488"/>
      <c r="R33" s="488"/>
      <c r="S33" s="643"/>
      <c r="T33" s="483"/>
      <c r="U33" s="962" t="s">
        <v>286</v>
      </c>
      <c r="V33" s="962"/>
      <c r="W33" s="962"/>
      <c r="X33" s="487"/>
      <c r="Y33" s="955">
        <f>ABS(AVERAGE(AH25,AH27)-AH26)*100</f>
        <v>3.7749999999999062</v>
      </c>
      <c r="Z33" s="956"/>
      <c r="AA33" s="487"/>
      <c r="AB33" s="488" t="s">
        <v>285</v>
      </c>
      <c r="AC33" s="494"/>
      <c r="AD33" s="487"/>
      <c r="AE33" s="955" t="str">
        <f>IF(Y33=0,"",IF(AVERAGE(AH25,AH27)&gt;AH26,"HOGGING","SAGGING"))</f>
        <v>SAGGING</v>
      </c>
      <c r="AF33" s="956"/>
      <c r="AG33" s="487"/>
      <c r="AH33" s="487"/>
      <c r="AI33" s="487"/>
      <c r="AJ33" s="487"/>
      <c r="AK33" s="81"/>
      <c r="AN33" s="75" t="str">
        <f>IFERROR(IF(G33&gt;5,"SAGGING",""),"")</f>
        <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2" t="s">
        <v>287</v>
      </c>
      <c r="D35" s="962"/>
      <c r="E35" s="962"/>
      <c r="F35" s="488"/>
      <c r="G35" s="982">
        <f>ROUND(IF(C18="FORE",ABS(C26-G26)*100,ABS(C26-G26)*12),2)</f>
        <v>28</v>
      </c>
      <c r="H35" s="983"/>
      <c r="I35" s="488"/>
      <c r="J35" s="488"/>
      <c r="K35" s="488" t="s">
        <v>288</v>
      </c>
      <c r="L35" s="488"/>
      <c r="M35" s="984">
        <f>IF(G35=0,"",IF(C18="FORE",ABS(DEGREES(ATAN((C26-G26)/L11))),ABS(DEGREES(ATAN((C26*0.3048-G26*0.3048)/L11)))))</f>
        <v>0.43358140613670759</v>
      </c>
      <c r="N35" s="985"/>
      <c r="O35" s="82" t="s">
        <v>137</v>
      </c>
      <c r="P35" s="83" t="str">
        <f>IF(C26=G26,"N",IF(C26&gt;G26,"P","S"))</f>
        <v>P</v>
      </c>
      <c r="Q35" s="488"/>
      <c r="R35" s="488"/>
      <c r="S35" s="643"/>
      <c r="T35" s="483"/>
      <c r="U35" s="962" t="s">
        <v>287</v>
      </c>
      <c r="V35" s="962"/>
      <c r="W35" s="962"/>
      <c r="X35" s="487"/>
      <c r="Y35" s="982">
        <f>ROUND(IF(U18="FORE",ABS(U26-Y26)*100,ABS(U26-Y26)*12),2)</f>
        <v>1</v>
      </c>
      <c r="Z35" s="983"/>
      <c r="AA35" s="487"/>
      <c r="AB35" s="487"/>
      <c r="AC35" s="488" t="s">
        <v>288</v>
      </c>
      <c r="AD35" s="487"/>
      <c r="AE35" s="984">
        <f>IF(Y35=0,"",IF(U18="FORE",ABS(DEGREES(ATAN((U26-Y26)/AD11))),ABS(DEGREES(ATAN((U26*0.3048-Y26*0.3048)/AD11)))))</f>
        <v>1.5485345437298641E-2</v>
      </c>
      <c r="AF35" s="985"/>
      <c r="AG35" s="82" t="s">
        <v>137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289</v>
      </c>
      <c r="D37" s="488"/>
      <c r="E37" s="488"/>
      <c r="F37" s="488"/>
      <c r="G37" s="488"/>
      <c r="H37" s="488"/>
      <c r="I37" s="488"/>
      <c r="J37" s="488"/>
      <c r="K37" s="488"/>
      <c r="L37" s="488"/>
      <c r="M37" s="973">
        <f>M39-K31</f>
        <v>4.5589103987637714E-3</v>
      </c>
      <c r="N37" s="974"/>
      <c r="O37" s="498"/>
      <c r="P37" s="498"/>
      <c r="Q37" s="488"/>
      <c r="R37" s="488"/>
      <c r="S37" s="643"/>
      <c r="T37" s="483"/>
      <c r="U37" s="493" t="s">
        <v>289</v>
      </c>
      <c r="V37" s="487"/>
      <c r="W37" s="487"/>
      <c r="X37" s="487"/>
      <c r="Y37" s="487"/>
      <c r="Z37" s="487"/>
      <c r="AA37" s="487"/>
      <c r="AB37" s="487"/>
      <c r="AC37" s="487"/>
      <c r="AD37" s="487"/>
      <c r="AE37" s="973">
        <f>AE39-AC31</f>
        <v>-5.2338474530451151E-3</v>
      </c>
      <c r="AF37" s="974"/>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615</v>
      </c>
      <c r="D39" s="497"/>
      <c r="E39" s="497"/>
      <c r="F39" s="488"/>
      <c r="G39" s="497"/>
      <c r="H39" s="497"/>
      <c r="I39" s="497"/>
      <c r="J39" s="497"/>
      <c r="K39" s="488"/>
      <c r="L39" s="488"/>
      <c r="M39" s="975">
        <f>'wpc '!$H$19</f>
        <v>7.7477214103987624</v>
      </c>
      <c r="N39" s="976"/>
      <c r="O39" s="977">
        <f>K31-H41</f>
        <v>4.3162499999998438E-2</v>
      </c>
      <c r="P39" s="978"/>
      <c r="Q39" s="979">
        <f>M39-H41</f>
        <v>4.772141039876221E-2</v>
      </c>
      <c r="R39" s="979"/>
      <c r="S39" s="643"/>
      <c r="T39" s="483"/>
      <c r="U39" s="497" t="s">
        <v>615</v>
      </c>
      <c r="V39" s="500"/>
      <c r="W39" s="500"/>
      <c r="X39" s="500"/>
      <c r="Y39" s="500"/>
      <c r="Z39" s="500"/>
      <c r="AA39" s="500"/>
      <c r="AB39" s="500"/>
      <c r="AC39" s="487"/>
      <c r="AD39" s="487"/>
      <c r="AE39" s="980">
        <f>'wpc '!$P$19</f>
        <v>12.052528652546954</v>
      </c>
      <c r="AF39" s="981"/>
      <c r="AG39" s="977">
        <f>AC31-Z41</f>
        <v>7.7624999999983402E-3</v>
      </c>
      <c r="AH39" s="978"/>
      <c r="AI39" s="979">
        <f>AE39-Z41</f>
        <v>2.5286525469532251E-3</v>
      </c>
      <c r="AJ39" s="979"/>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290</v>
      </c>
      <c r="D41" s="483"/>
      <c r="E41" s="483"/>
      <c r="F41" s="483"/>
      <c r="G41" s="503"/>
      <c r="H41" s="986">
        <v>7.7</v>
      </c>
      <c r="I41" s="987"/>
      <c r="J41" s="988">
        <v>47739.5</v>
      </c>
      <c r="K41" s="989"/>
      <c r="L41" s="990"/>
      <c r="M41" s="991">
        <f>ROUND((J42-J41),2)</f>
        <v>341.5</v>
      </c>
      <c r="N41" s="992"/>
      <c r="O41" s="993">
        <f>ROUND((M41/G42),1)</f>
        <v>6830</v>
      </c>
      <c r="P41" s="993"/>
      <c r="Q41" s="487"/>
      <c r="R41" s="487"/>
      <c r="S41" s="646"/>
      <c r="T41" s="501"/>
      <c r="U41" s="504" t="s">
        <v>290</v>
      </c>
      <c r="V41" s="484"/>
      <c r="W41" s="484"/>
      <c r="X41" s="484"/>
      <c r="Y41" s="505"/>
      <c r="Z41" s="986">
        <v>12.05</v>
      </c>
      <c r="AA41" s="987"/>
      <c r="AB41" s="988">
        <v>78769.600000000006</v>
      </c>
      <c r="AC41" s="989"/>
      <c r="AD41" s="990"/>
      <c r="AE41" s="991">
        <f>ROUND((AB42-AB41),2)</f>
        <v>367.2</v>
      </c>
      <c r="AF41" s="992"/>
      <c r="AG41" s="993">
        <f>ROUND((AE41/Y42),1)</f>
        <v>7344</v>
      </c>
      <c r="AH41" s="993"/>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986">
        <v>7.75</v>
      </c>
      <c r="I42" s="987"/>
      <c r="J42" s="988">
        <v>48081</v>
      </c>
      <c r="K42" s="989"/>
      <c r="L42" s="990"/>
      <c r="M42" s="994" t="s">
        <v>291</v>
      </c>
      <c r="N42" s="995"/>
      <c r="O42" s="996">
        <f>ROUND((O41*O39),2)</f>
        <v>294.8</v>
      </c>
      <c r="P42" s="996"/>
      <c r="Q42" s="997">
        <f>ROUND((O41*Q39),2)</f>
        <v>325.94</v>
      </c>
      <c r="R42" s="997"/>
      <c r="S42" s="646"/>
      <c r="T42" s="501"/>
      <c r="U42" s="507"/>
      <c r="V42" s="484"/>
      <c r="W42" s="484"/>
      <c r="X42" s="484"/>
      <c r="Y42" s="506">
        <f>ROUND((Z42-Z41),3)</f>
        <v>0.05</v>
      </c>
      <c r="Z42" s="986">
        <v>12.1</v>
      </c>
      <c r="AA42" s="987"/>
      <c r="AB42" s="988">
        <v>79136.800000000003</v>
      </c>
      <c r="AC42" s="989"/>
      <c r="AD42" s="990"/>
      <c r="AE42" s="994" t="s">
        <v>291</v>
      </c>
      <c r="AF42" s="995"/>
      <c r="AG42" s="996">
        <f>ROUND((AG41*AG39),2)</f>
        <v>57.01</v>
      </c>
      <c r="AH42" s="996"/>
      <c r="AI42" s="997">
        <f>ROUND((AG41*AI39),2)</f>
        <v>18.57</v>
      </c>
      <c r="AJ42" s="997"/>
      <c r="AK42" s="86"/>
      <c r="AL42" s="84"/>
      <c r="AM42" s="84"/>
      <c r="AN42" s="85"/>
      <c r="AO42" s="615"/>
      <c r="AP42" s="615"/>
      <c r="AQ42" s="615"/>
      <c r="AR42" s="616"/>
      <c r="AS42" s="616"/>
      <c r="AT42" s="616"/>
    </row>
    <row r="43" spans="1:52" ht="15" customHeight="1" thickTop="1" thickBot="1" x14ac:dyDescent="0.3">
      <c r="A43" s="80"/>
      <c r="B43" s="483"/>
      <c r="C43" s="502" t="s">
        <v>292</v>
      </c>
      <c r="D43" s="483"/>
      <c r="E43" s="483"/>
      <c r="F43" s="483"/>
      <c r="G43" s="484"/>
      <c r="H43" s="483"/>
      <c r="I43" s="483"/>
      <c r="J43" s="998">
        <f>$J$41+$O$42</f>
        <v>48034.3</v>
      </c>
      <c r="K43" s="999"/>
      <c r="L43" s="1000"/>
      <c r="M43" s="1001">
        <f>$J$41+$Q$42</f>
        <v>48065.440000000002</v>
      </c>
      <c r="N43" s="1002"/>
      <c r="O43" s="1003"/>
      <c r="P43" s="499"/>
      <c r="Q43" s="499"/>
      <c r="R43" s="499"/>
      <c r="S43" s="646"/>
      <c r="T43" s="501"/>
      <c r="U43" s="504" t="s">
        <v>292</v>
      </c>
      <c r="V43" s="484"/>
      <c r="W43" s="484"/>
      <c r="X43" s="484"/>
      <c r="Y43" s="484"/>
      <c r="Z43" s="484">
        <v>35905.1</v>
      </c>
      <c r="AA43" s="484"/>
      <c r="AB43" s="1004">
        <f>AB41+AG42</f>
        <v>78826.61</v>
      </c>
      <c r="AC43" s="1005"/>
      <c r="AD43" s="1006"/>
      <c r="AE43" s="1007">
        <f>AB41+AI42</f>
        <v>78788.170000000013</v>
      </c>
      <c r="AF43" s="1002"/>
      <c r="AG43" s="1003"/>
      <c r="AH43" s="487"/>
      <c r="AI43" s="487"/>
      <c r="AJ43" s="487"/>
      <c r="AK43" s="86"/>
      <c r="AL43" s="84"/>
      <c r="AM43" s="84" t="s">
        <v>266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1008">
        <f>H41</f>
        <v>7.7</v>
      </c>
      <c r="I45" s="1009"/>
      <c r="J45" s="1010">
        <v>68.2</v>
      </c>
      <c r="K45" s="1011"/>
      <c r="L45" s="1012"/>
      <c r="M45" s="1013">
        <f>ROUND((J46-J45),2)</f>
        <v>0.1</v>
      </c>
      <c r="N45" s="996"/>
      <c r="O45" s="996">
        <f>ROUND((M45/G46),1)</f>
        <v>2</v>
      </c>
      <c r="P45" s="996"/>
      <c r="Q45" s="979">
        <f>M39-H45</f>
        <v>4.772141039876221E-2</v>
      </c>
      <c r="R45" s="979"/>
      <c r="S45" s="646"/>
      <c r="T45" s="501"/>
      <c r="U45" s="504" t="s">
        <v>145</v>
      </c>
      <c r="V45" s="484"/>
      <c r="W45" s="484"/>
      <c r="X45" s="484"/>
      <c r="Y45" s="484"/>
      <c r="Z45" s="1014">
        <f>Z41</f>
        <v>12.05</v>
      </c>
      <c r="AA45" s="1015"/>
      <c r="AB45" s="1010">
        <v>73.400000000000006</v>
      </c>
      <c r="AC45" s="1011"/>
      <c r="AD45" s="1012"/>
      <c r="AE45" s="1013">
        <f>ROUND((AB46-AB45),2)</f>
        <v>0.1</v>
      </c>
      <c r="AF45" s="996"/>
      <c r="AG45" s="996">
        <f>ROUND((AE45/Y46),1)</f>
        <v>2</v>
      </c>
      <c r="AH45" s="996"/>
      <c r="AI45" s="979">
        <f>AE39-Z45</f>
        <v>2.5286525469532251E-3</v>
      </c>
      <c r="AJ45" s="979"/>
      <c r="AK45" s="86"/>
      <c r="AL45" s="84"/>
    </row>
    <row r="46" spans="1:52" ht="16.5" thickTop="1" thickBot="1" x14ac:dyDescent="0.3">
      <c r="A46" s="80"/>
      <c r="B46" s="483"/>
      <c r="C46" s="502"/>
      <c r="D46" s="483"/>
      <c r="E46" s="483"/>
      <c r="F46" s="483"/>
      <c r="G46" s="506">
        <f>ROUND((H46-H45),3)</f>
        <v>0.05</v>
      </c>
      <c r="H46" s="1008">
        <f>H42</f>
        <v>7.75</v>
      </c>
      <c r="I46" s="1009"/>
      <c r="J46" s="1010">
        <v>68.3</v>
      </c>
      <c r="K46" s="1011"/>
      <c r="L46" s="1012"/>
      <c r="M46" s="510"/>
      <c r="N46" s="510"/>
      <c r="O46" s="979">
        <f>ROUND((O45*O39),3)</f>
        <v>8.5999999999999993E-2</v>
      </c>
      <c r="P46" s="979"/>
      <c r="Q46" s="979">
        <f>ROUND((O45*Q39),3)</f>
        <v>9.5000000000000001E-2</v>
      </c>
      <c r="R46" s="979"/>
      <c r="S46" s="646"/>
      <c r="T46" s="501"/>
      <c r="U46" s="507"/>
      <c r="V46" s="484"/>
      <c r="W46" s="484"/>
      <c r="X46" s="484"/>
      <c r="Y46" s="506">
        <f>ROUND((Z46-Z45),3)</f>
        <v>0.05</v>
      </c>
      <c r="Z46" s="1008">
        <f>Z42</f>
        <v>12.1</v>
      </c>
      <c r="AA46" s="1009"/>
      <c r="AB46" s="1010">
        <v>73.5</v>
      </c>
      <c r="AC46" s="1011"/>
      <c r="AD46" s="1012"/>
      <c r="AE46" s="510"/>
      <c r="AF46" s="510"/>
      <c r="AG46" s="979">
        <f>ROUND((AG45*AG39),3)</f>
        <v>1.6E-2</v>
      </c>
      <c r="AH46" s="979"/>
      <c r="AI46" s="979">
        <f>ROUND((AG45*AI39),3)</f>
        <v>5.0000000000000001E-3</v>
      </c>
      <c r="AJ46" s="979"/>
      <c r="AK46" s="86"/>
      <c r="AL46" s="84"/>
    </row>
    <row r="47" spans="1:52" ht="16.5" thickTop="1" thickBot="1" x14ac:dyDescent="0.3">
      <c r="A47" s="80"/>
      <c r="B47" s="483"/>
      <c r="C47" s="502" t="s">
        <v>293</v>
      </c>
      <c r="D47" s="483"/>
      <c r="E47" s="483"/>
      <c r="F47" s="483"/>
      <c r="G47" s="484"/>
      <c r="H47" s="483"/>
      <c r="I47" s="483"/>
      <c r="J47" s="1016">
        <f>$J$45+$O$46</f>
        <v>68.286000000000001</v>
      </c>
      <c r="K47" s="1017"/>
      <c r="L47" s="1018"/>
      <c r="M47" s="1007">
        <f>$J$45+$Q$46</f>
        <v>68.295000000000002</v>
      </c>
      <c r="N47" s="1002"/>
      <c r="O47" s="1003"/>
      <c r="P47" s="511"/>
      <c r="Q47" s="511"/>
      <c r="R47" s="511"/>
      <c r="S47" s="646"/>
      <c r="T47" s="501"/>
      <c r="U47" s="504" t="s">
        <v>293</v>
      </c>
      <c r="V47" s="484"/>
      <c r="W47" s="484"/>
      <c r="X47" s="484"/>
      <c r="Y47" s="484"/>
      <c r="Z47" s="484"/>
      <c r="AA47" s="484"/>
      <c r="AB47" s="1016">
        <f>AB45+AG46</f>
        <v>73.416000000000011</v>
      </c>
      <c r="AC47" s="1017"/>
      <c r="AD47" s="1018"/>
      <c r="AE47" s="1007">
        <f>AB45+AI46</f>
        <v>73.405000000000001</v>
      </c>
      <c r="AF47" s="1002"/>
      <c r="AG47" s="1003"/>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294</v>
      </c>
      <c r="D49" s="483"/>
      <c r="E49" s="483"/>
      <c r="F49" s="483"/>
      <c r="G49" s="484"/>
      <c r="H49" s="1008">
        <f>H41</f>
        <v>7.7</v>
      </c>
      <c r="I49" s="1009"/>
      <c r="J49" s="1019">
        <v>105.946</v>
      </c>
      <c r="K49" s="1020"/>
      <c r="L49" s="1021"/>
      <c r="M49" s="991">
        <f>J50-J49</f>
        <v>-7.8000000000002956E-2</v>
      </c>
      <c r="N49" s="992"/>
      <c r="O49" s="993"/>
      <c r="P49" s="993"/>
      <c r="Q49" s="978"/>
      <c r="R49" s="978"/>
      <c r="S49" s="646"/>
      <c r="T49" s="501"/>
      <c r="U49" s="504" t="s">
        <v>294</v>
      </c>
      <c r="V49" s="484"/>
      <c r="W49" s="484"/>
      <c r="X49" s="484"/>
      <c r="Y49" s="484"/>
      <c r="Z49" s="1008">
        <f>Z41</f>
        <v>12.05</v>
      </c>
      <c r="AA49" s="1009"/>
      <c r="AB49" s="1019">
        <v>100.06100000000001</v>
      </c>
      <c r="AC49" s="1020"/>
      <c r="AD49" s="1021"/>
      <c r="AE49" s="991">
        <f>AB50-AB49</f>
        <v>-2.1000000000000796E-2</v>
      </c>
      <c r="AF49" s="992"/>
      <c r="AG49" s="993"/>
      <c r="AH49" s="993"/>
      <c r="AI49" s="978"/>
      <c r="AJ49" s="978"/>
      <c r="AK49" s="86"/>
      <c r="AL49" s="84"/>
    </row>
    <row r="50" spans="1:47" ht="16.5" thickTop="1" thickBot="1" x14ac:dyDescent="0.3">
      <c r="A50" s="80"/>
      <c r="B50" s="483"/>
      <c r="C50" s="502"/>
      <c r="D50" s="483"/>
      <c r="E50" s="483"/>
      <c r="F50" s="483"/>
      <c r="G50" s="506">
        <f>ROUND((H50-H49),3)</f>
        <v>0.05</v>
      </c>
      <c r="H50" s="1008">
        <f>H42</f>
        <v>7.75</v>
      </c>
      <c r="I50" s="1009"/>
      <c r="J50" s="1019">
        <v>105.86799999999999</v>
      </c>
      <c r="K50" s="1020"/>
      <c r="L50" s="1021"/>
      <c r="M50" s="1022">
        <f>M49/G50</f>
        <v>-1.5600000000000591</v>
      </c>
      <c r="N50" s="1023"/>
      <c r="O50" s="979">
        <f>M50*O39</f>
        <v>-6.7333500000000115E-2</v>
      </c>
      <c r="P50" s="979"/>
      <c r="Q50" s="978">
        <f>M50*Q39</f>
        <v>-7.444540022207187E-2</v>
      </c>
      <c r="R50" s="978"/>
      <c r="S50" s="646"/>
      <c r="T50" s="501"/>
      <c r="U50" s="507"/>
      <c r="V50" s="484"/>
      <c r="W50" s="484"/>
      <c r="X50" s="484"/>
      <c r="Y50" s="506">
        <f>ROUND((Z50-Z49),3)</f>
        <v>0.05</v>
      </c>
      <c r="Z50" s="1008">
        <f>Z42</f>
        <v>12.1</v>
      </c>
      <c r="AA50" s="1009"/>
      <c r="AB50" s="1019">
        <v>100.04</v>
      </c>
      <c r="AC50" s="1020"/>
      <c r="AD50" s="1021"/>
      <c r="AE50" s="1022">
        <f>AE49/Y50</f>
        <v>-0.42000000000001592</v>
      </c>
      <c r="AF50" s="1023"/>
      <c r="AG50" s="979">
        <f>AE50*AG39</f>
        <v>-3.2602499999994264E-3</v>
      </c>
      <c r="AH50" s="979"/>
      <c r="AI50" s="978">
        <f>AE50*AI39</f>
        <v>-1.0620340697203947E-3</v>
      </c>
      <c r="AJ50" s="978"/>
      <c r="AK50" s="86"/>
      <c r="AL50" s="84"/>
    </row>
    <row r="51" spans="1:47" ht="16.5" thickTop="1" thickBot="1" x14ac:dyDescent="0.3">
      <c r="A51" s="80"/>
      <c r="B51" s="483"/>
      <c r="C51" s="502" t="s">
        <v>295</v>
      </c>
      <c r="D51" s="483"/>
      <c r="E51" s="483"/>
      <c r="F51" s="483"/>
      <c r="G51" s="512"/>
      <c r="H51" s="483"/>
      <c r="I51" s="483"/>
      <c r="J51" s="1024">
        <f>Planilha1!$K$16</f>
        <v>-2.6286999999999949</v>
      </c>
      <c r="K51" s="1025"/>
      <c r="L51" s="1026"/>
      <c r="M51" s="1027">
        <f>Planilha1!$K$33</f>
        <v>-2.6216000000000008</v>
      </c>
      <c r="N51" s="1028"/>
      <c r="O51" s="1029"/>
      <c r="P51" s="499"/>
      <c r="Q51" s="499"/>
      <c r="R51" s="499"/>
      <c r="S51" s="646"/>
      <c r="T51" s="501"/>
      <c r="U51" s="504" t="s">
        <v>295</v>
      </c>
      <c r="V51" s="484"/>
      <c r="W51" s="484"/>
      <c r="X51" s="484"/>
      <c r="Y51" s="484"/>
      <c r="Z51" s="484"/>
      <c r="AA51" s="484"/>
      <c r="AB51" s="1024">
        <f>Planilha1!$V$16</f>
        <v>3.192300000000003</v>
      </c>
      <c r="AC51" s="1025"/>
      <c r="AD51" s="1026"/>
      <c r="AE51" s="1027">
        <f>Planilha1!$V$33</f>
        <v>3.190100000000001</v>
      </c>
      <c r="AF51" s="1028"/>
      <c r="AG51" s="1029"/>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296</v>
      </c>
      <c r="D53" s="483"/>
      <c r="E53" s="483"/>
      <c r="F53" s="483"/>
      <c r="G53" s="483"/>
      <c r="H53" s="1008">
        <f>K31+0.5</f>
        <v>8.2431624999999986</v>
      </c>
      <c r="I53" s="1009"/>
      <c r="J53" s="1010">
        <v>943.6</v>
      </c>
      <c r="K53" s="1011"/>
      <c r="L53" s="1041"/>
      <c r="M53" s="88"/>
      <c r="N53" s="513"/>
      <c r="O53" s="499"/>
      <c r="P53" s="499"/>
      <c r="Q53" s="499"/>
      <c r="R53" s="499"/>
      <c r="S53" s="646"/>
      <c r="T53" s="501"/>
      <c r="U53" s="504" t="s">
        <v>296</v>
      </c>
      <c r="V53" s="484"/>
      <c r="W53" s="484"/>
      <c r="X53" s="484"/>
      <c r="Y53" s="484"/>
      <c r="Z53" s="1008">
        <f>AC31+0.5</f>
        <v>12.557762499999999</v>
      </c>
      <c r="AA53" s="1009"/>
      <c r="AB53" s="1010">
        <v>1143</v>
      </c>
      <c r="AC53" s="1011"/>
      <c r="AD53" s="1041"/>
      <c r="AE53" s="89"/>
      <c r="AF53" s="506"/>
      <c r="AG53" s="487"/>
      <c r="AH53" s="487"/>
      <c r="AI53" s="487"/>
      <c r="AJ53" s="487"/>
      <c r="AK53" s="86"/>
      <c r="AL53" s="84"/>
    </row>
    <row r="54" spans="1:47" ht="16.5" thickTop="1" thickBot="1" x14ac:dyDescent="0.3">
      <c r="A54" s="80"/>
      <c r="B54" s="483"/>
      <c r="C54" s="502" t="s">
        <v>297</v>
      </c>
      <c r="D54" s="483"/>
      <c r="E54" s="483"/>
      <c r="F54" s="483"/>
      <c r="G54" s="483"/>
      <c r="H54" s="1008">
        <f>K31-0.5</f>
        <v>7.2431624999999986</v>
      </c>
      <c r="I54" s="1009"/>
      <c r="J54" s="1010">
        <v>888</v>
      </c>
      <c r="K54" s="1011"/>
      <c r="L54" s="1041"/>
      <c r="M54" s="88"/>
      <c r="N54" s="513"/>
      <c r="O54" s="499"/>
      <c r="P54" s="499"/>
      <c r="Q54" s="499"/>
      <c r="R54" s="499"/>
      <c r="S54" s="646"/>
      <c r="T54" s="501"/>
      <c r="U54" s="504" t="s">
        <v>297</v>
      </c>
      <c r="V54" s="484"/>
      <c r="W54" s="484"/>
      <c r="X54" s="484"/>
      <c r="Y54" s="484"/>
      <c r="Z54" s="1008">
        <f>AC31-0.5</f>
        <v>11.557762499999999</v>
      </c>
      <c r="AA54" s="1009"/>
      <c r="AB54" s="1010">
        <v>1121.5</v>
      </c>
      <c r="AC54" s="1011"/>
      <c r="AD54" s="1041"/>
      <c r="AE54" s="89"/>
      <c r="AF54" s="506"/>
      <c r="AG54" s="487"/>
      <c r="AH54" s="487"/>
      <c r="AI54" s="487"/>
      <c r="AJ54" s="487"/>
      <c r="AK54" s="86"/>
      <c r="AL54" s="84"/>
    </row>
    <row r="55" spans="1:47" ht="16.5" thickTop="1" thickBot="1" x14ac:dyDescent="0.3">
      <c r="A55" s="80"/>
      <c r="B55" s="483"/>
      <c r="C55" s="502" t="s">
        <v>298</v>
      </c>
      <c r="D55" s="483"/>
      <c r="E55" s="483"/>
      <c r="F55" s="483"/>
      <c r="G55" s="483"/>
      <c r="H55" s="483"/>
      <c r="I55" s="483"/>
      <c r="J55" s="1016">
        <f>J53-J54</f>
        <v>55.600000000000023</v>
      </c>
      <c r="K55" s="1017"/>
      <c r="L55" s="1030"/>
      <c r="M55" s="88"/>
      <c r="N55" s="513"/>
      <c r="O55" s="499"/>
      <c r="P55" s="499"/>
      <c r="Q55" s="499"/>
      <c r="R55" s="499"/>
      <c r="S55" s="646"/>
      <c r="T55" s="501"/>
      <c r="U55" s="504" t="s">
        <v>298</v>
      </c>
      <c r="V55" s="484"/>
      <c r="W55" s="484"/>
      <c r="X55" s="484"/>
      <c r="Y55" s="484"/>
      <c r="Z55" s="484"/>
      <c r="AA55" s="484"/>
      <c r="AB55" s="1004">
        <f>AB53-AB54</f>
        <v>21.5</v>
      </c>
      <c r="AC55" s="1005"/>
      <c r="AD55" s="1031"/>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2" t="s">
        <v>291</v>
      </c>
      <c r="O56" s="1033"/>
      <c r="P56" s="1033"/>
      <c r="Q56" s="1034"/>
      <c r="R56" s="499"/>
      <c r="S56" s="646"/>
      <c r="T56" s="501"/>
      <c r="U56" s="509"/>
      <c r="V56" s="484"/>
      <c r="W56" s="484"/>
      <c r="X56" s="484"/>
      <c r="Y56" s="484"/>
      <c r="Z56" s="484"/>
      <c r="AA56" s="484"/>
      <c r="AB56" s="484"/>
      <c r="AC56" s="484"/>
      <c r="AD56" s="484"/>
      <c r="AE56" s="487"/>
      <c r="AF56" s="1032" t="s">
        <v>291</v>
      </c>
      <c r="AG56" s="1033"/>
      <c r="AH56" s="1033"/>
      <c r="AI56" s="1034"/>
      <c r="AJ56" s="487"/>
      <c r="AK56" s="81"/>
    </row>
    <row r="57" spans="1:47" ht="16.5" customHeight="1" thickTop="1" thickBot="1" x14ac:dyDescent="0.3">
      <c r="A57" s="80"/>
      <c r="B57" s="483"/>
      <c r="C57" s="502" t="s">
        <v>299</v>
      </c>
      <c r="D57" s="483"/>
      <c r="E57" s="483"/>
      <c r="F57" s="483"/>
      <c r="G57" s="483"/>
      <c r="H57" s="1035">
        <f>(P29*J47)*(J51*100)/D11</f>
        <v>-9.8661679567554437</v>
      </c>
      <c r="I57" s="1036"/>
      <c r="J57" s="1036"/>
      <c r="K57" s="1036"/>
      <c r="L57" s="1037"/>
      <c r="M57" s="513"/>
      <c r="N57" s="1038">
        <f>(P29*M47)*(M51*100)/D11</f>
        <v>-9.8408167176755619</v>
      </c>
      <c r="O57" s="1039"/>
      <c r="P57" s="1039"/>
      <c r="Q57" s="1040"/>
      <c r="R57" s="499"/>
      <c r="S57" s="646"/>
      <c r="T57" s="501"/>
      <c r="U57" s="504" t="s">
        <v>299</v>
      </c>
      <c r="V57" s="484"/>
      <c r="W57" s="484"/>
      <c r="X57" s="484"/>
      <c r="Y57" s="484"/>
      <c r="Z57" s="1035">
        <f>(AH29*AB47)*(AB51*100)/V11</f>
        <v>17.55758074332206</v>
      </c>
      <c r="AA57" s="1036"/>
      <c r="AB57" s="1036"/>
      <c r="AC57" s="1036"/>
      <c r="AD57" s="1037"/>
      <c r="AE57" s="506"/>
      <c r="AF57" s="1038">
        <f>(AH29*AE47)*(AE51*100)/V11</f>
        <v>17.542851932372891</v>
      </c>
      <c r="AG57" s="1039"/>
      <c r="AH57" s="1039"/>
      <c r="AI57" s="1040"/>
      <c r="AJ57" s="487"/>
      <c r="AK57" s="81"/>
    </row>
    <row r="58" spans="1:47" ht="16.5" customHeight="1" thickTop="1" thickBot="1" x14ac:dyDescent="0.3">
      <c r="A58" s="80"/>
      <c r="B58" s="483"/>
      <c r="C58" s="502" t="s">
        <v>300</v>
      </c>
      <c r="D58" s="483"/>
      <c r="E58" s="483"/>
      <c r="F58" s="483"/>
      <c r="G58" s="483"/>
      <c r="H58" s="1051">
        <f>(P29*P29)*(50*J55)/D11</f>
        <v>0.1734269007263928</v>
      </c>
      <c r="I58" s="1052"/>
      <c r="J58" s="1052"/>
      <c r="K58" s="1052"/>
      <c r="L58" s="1053"/>
      <c r="M58" s="513"/>
      <c r="N58" s="1038">
        <f>(P29*P29)*(50*J55)/D11</f>
        <v>0.1734269007263928</v>
      </c>
      <c r="O58" s="1039"/>
      <c r="P58" s="1039"/>
      <c r="Q58" s="1040"/>
      <c r="R58" s="499"/>
      <c r="S58" s="646"/>
      <c r="T58" s="501"/>
      <c r="U58" s="504" t="s">
        <v>300</v>
      </c>
      <c r="V58" s="484"/>
      <c r="W58" s="484"/>
      <c r="X58" s="484"/>
      <c r="Y58" s="484"/>
      <c r="Z58" s="1051">
        <f>(AH29*AH29)*(50*AB55)/V11</f>
        <v>0.12458594067796619</v>
      </c>
      <c r="AA58" s="1052"/>
      <c r="AB58" s="1052"/>
      <c r="AC58" s="1052"/>
      <c r="AD58" s="1053"/>
      <c r="AE58" s="506"/>
      <c r="AF58" s="1038">
        <f>(AH29*AH29)*(50*AB55)/V11</f>
        <v>0.12458594067796619</v>
      </c>
      <c r="AG58" s="1039"/>
      <c r="AH58" s="1039"/>
      <c r="AI58" s="1040"/>
      <c r="AJ58" s="487"/>
      <c r="AK58" s="81"/>
    </row>
    <row r="59" spans="1:47" ht="16.5" customHeight="1" thickTop="1" thickBot="1" x14ac:dyDescent="0.3">
      <c r="A59" s="80"/>
      <c r="B59" s="483"/>
      <c r="C59" s="502" t="s">
        <v>301</v>
      </c>
      <c r="D59" s="483"/>
      <c r="E59" s="483"/>
      <c r="F59" s="483"/>
      <c r="G59" s="483"/>
      <c r="H59" s="1054">
        <f>H57+H58</f>
        <v>-9.6927410560290514</v>
      </c>
      <c r="I59" s="1055"/>
      <c r="J59" s="1055"/>
      <c r="K59" s="1055"/>
      <c r="L59" s="1056"/>
      <c r="M59" s="513"/>
      <c r="N59" s="1057">
        <f>N57+N58</f>
        <v>-9.6673898169491697</v>
      </c>
      <c r="O59" s="1058"/>
      <c r="P59" s="1058"/>
      <c r="Q59" s="1059"/>
      <c r="R59" s="499"/>
      <c r="S59" s="646"/>
      <c r="T59" s="501"/>
      <c r="U59" s="504" t="s">
        <v>301</v>
      </c>
      <c r="V59" s="484"/>
      <c r="W59" s="484"/>
      <c r="X59" s="484"/>
      <c r="Y59" s="484"/>
      <c r="Z59" s="1054">
        <f>Z57+Z58</f>
        <v>17.682166684000027</v>
      </c>
      <c r="AA59" s="1055"/>
      <c r="AB59" s="1055"/>
      <c r="AC59" s="1055"/>
      <c r="AD59" s="1056"/>
      <c r="AE59" s="506"/>
      <c r="AF59" s="1057">
        <f>AF57+AF58</f>
        <v>17.667437873050858</v>
      </c>
      <c r="AG59" s="1058"/>
      <c r="AH59" s="1058"/>
      <c r="AI59" s="1059"/>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302</v>
      </c>
      <c r="D61" s="483"/>
      <c r="E61" s="483"/>
      <c r="F61" s="483"/>
      <c r="G61" s="483"/>
      <c r="H61" s="1035">
        <f>J43+H59</f>
        <v>48024.607258943972</v>
      </c>
      <c r="I61" s="1036"/>
      <c r="J61" s="1036"/>
      <c r="K61" s="1036"/>
      <c r="L61" s="1037"/>
      <c r="M61" s="499"/>
      <c r="N61" s="1042">
        <f>M43+N59</f>
        <v>48055.772610183056</v>
      </c>
      <c r="O61" s="1043"/>
      <c r="P61" s="1043"/>
      <c r="Q61" s="1044"/>
      <c r="R61" s="499"/>
      <c r="S61" s="646"/>
      <c r="T61" s="501"/>
      <c r="U61" s="504" t="s">
        <v>302</v>
      </c>
      <c r="V61" s="484"/>
      <c r="W61" s="484"/>
      <c r="X61" s="484"/>
      <c r="Y61" s="484"/>
      <c r="Z61" s="1035">
        <f>AB43+Z59</f>
        <v>78844.292166683997</v>
      </c>
      <c r="AA61" s="1036"/>
      <c r="AB61" s="1036"/>
      <c r="AC61" s="1036"/>
      <c r="AD61" s="1037"/>
      <c r="AE61" s="487"/>
      <c r="AF61" s="1042">
        <f>AE43+AF59</f>
        <v>78805.837437873066</v>
      </c>
      <c r="AG61" s="1043"/>
      <c r="AH61" s="1043"/>
      <c r="AI61" s="1044"/>
      <c r="AJ61" s="487"/>
      <c r="AK61" s="81"/>
    </row>
    <row r="62" spans="1:47" ht="16.5" thickTop="1" thickBot="1" x14ac:dyDescent="0.3">
      <c r="A62" s="80"/>
      <c r="B62" s="483"/>
      <c r="C62" s="514" t="s">
        <v>303</v>
      </c>
      <c r="D62" s="483"/>
      <c r="E62" s="483"/>
      <c r="F62" s="483"/>
      <c r="G62" s="483"/>
      <c r="H62" s="1045">
        <v>1.0169999999999999</v>
      </c>
      <c r="I62" s="1046"/>
      <c r="J62" s="1046"/>
      <c r="K62" s="1046"/>
      <c r="L62" s="1047"/>
      <c r="M62" s="499"/>
      <c r="N62" s="1048">
        <f>H62</f>
        <v>1.0169999999999999</v>
      </c>
      <c r="O62" s="1049"/>
      <c r="P62" s="1049"/>
      <c r="Q62" s="1050"/>
      <c r="R62" s="499"/>
      <c r="S62" s="646"/>
      <c r="T62" s="501"/>
      <c r="U62" s="504" t="s">
        <v>303</v>
      </c>
      <c r="V62" s="484"/>
      <c r="W62" s="484"/>
      <c r="X62" s="484"/>
      <c r="Y62" s="484"/>
      <c r="Z62" s="1045">
        <v>1.0145</v>
      </c>
      <c r="AA62" s="1046"/>
      <c r="AB62" s="1046"/>
      <c r="AC62" s="1046"/>
      <c r="AD62" s="1047"/>
      <c r="AE62" s="487"/>
      <c r="AF62" s="1048">
        <f>Z62</f>
        <v>1.0145</v>
      </c>
      <c r="AG62" s="1049"/>
      <c r="AH62" s="1049"/>
      <c r="AI62" s="1050"/>
      <c r="AJ62" s="487"/>
      <c r="AK62" s="81"/>
    </row>
    <row r="63" spans="1:47" ht="16.5" thickTop="1" thickBot="1" x14ac:dyDescent="0.3">
      <c r="A63" s="80"/>
      <c r="B63" s="483"/>
      <c r="C63" s="502" t="s">
        <v>304</v>
      </c>
      <c r="D63" s="483"/>
      <c r="E63" s="483"/>
      <c r="F63" s="483"/>
      <c r="G63" s="483"/>
      <c r="H63" s="1054">
        <f>(H61*H62)/1.025</f>
        <v>47649.781055947336</v>
      </c>
      <c r="I63" s="1055"/>
      <c r="J63" s="1055"/>
      <c r="K63" s="1055"/>
      <c r="L63" s="1056"/>
      <c r="M63" s="499"/>
      <c r="N63" s="1060">
        <f>(N61*N62)/1.025</f>
        <v>47680.703165420651</v>
      </c>
      <c r="O63" s="1061"/>
      <c r="P63" s="1061"/>
      <c r="Q63" s="1062"/>
      <c r="R63" s="499"/>
      <c r="S63" s="646"/>
      <c r="T63" s="501"/>
      <c r="U63" s="504" t="s">
        <v>304</v>
      </c>
      <c r="V63" s="484"/>
      <c r="W63" s="484"/>
      <c r="X63" s="484"/>
      <c r="Y63" s="484"/>
      <c r="Z63" s="1054">
        <f>(Z61*Z62)/1.025</f>
        <v>78036.618929854565</v>
      </c>
      <c r="AA63" s="1055"/>
      <c r="AB63" s="1055"/>
      <c r="AC63" s="1055"/>
      <c r="AD63" s="1056"/>
      <c r="AE63" s="487"/>
      <c r="AF63" s="1060">
        <f>(AF61*AF62)/1.025</f>
        <v>77998.558127533877</v>
      </c>
      <c r="AG63" s="1061"/>
      <c r="AH63" s="1061"/>
      <c r="AI63" s="1062"/>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305</v>
      </c>
      <c r="D65" s="483"/>
      <c r="E65" s="483"/>
      <c r="F65" s="483"/>
      <c r="G65" s="483"/>
      <c r="H65" s="1063">
        <v>733.77</v>
      </c>
      <c r="I65" s="1064"/>
      <c r="J65" s="1064"/>
      <c r="K65" s="1064"/>
      <c r="L65" s="1065"/>
      <c r="M65" s="499"/>
      <c r="N65" s="1042">
        <f>H65</f>
        <v>733.77</v>
      </c>
      <c r="O65" s="1043"/>
      <c r="P65" s="1043"/>
      <c r="Q65" s="1044"/>
      <c r="R65" s="499"/>
      <c r="S65" s="646"/>
      <c r="T65" s="501"/>
      <c r="U65" s="504" t="s">
        <v>305</v>
      </c>
      <c r="V65" s="484"/>
      <c r="W65" s="1066" t="str">
        <f>IF(Z65&gt;H65,"PEDIR BDN","")</f>
        <v>PEDIR BDN</v>
      </c>
      <c r="X65" s="1066"/>
      <c r="Y65" s="1066"/>
      <c r="Z65" s="1063">
        <v>1071.3</v>
      </c>
      <c r="AA65" s="1064"/>
      <c r="AB65" s="1064"/>
      <c r="AC65" s="1064"/>
      <c r="AD65" s="1065"/>
      <c r="AE65" s="487"/>
      <c r="AF65" s="1042">
        <f>Z65</f>
        <v>1071.3</v>
      </c>
      <c r="AG65" s="1043"/>
      <c r="AH65" s="1043"/>
      <c r="AI65" s="1044"/>
      <c r="AJ65" s="487"/>
      <c r="AK65" s="81"/>
    </row>
    <row r="66" spans="1:47" ht="16.5" thickTop="1" thickBot="1" x14ac:dyDescent="0.3">
      <c r="A66" s="80"/>
      <c r="B66" s="483"/>
      <c r="C66" s="502" t="s">
        <v>306</v>
      </c>
      <c r="D66" s="483"/>
      <c r="E66" s="483"/>
      <c r="F66" s="483"/>
      <c r="G66" s="483"/>
      <c r="H66" s="1067">
        <v>157.51</v>
      </c>
      <c r="I66" s="1068"/>
      <c r="J66" s="1068"/>
      <c r="K66" s="1068"/>
      <c r="L66" s="1069"/>
      <c r="M66" s="499"/>
      <c r="N66" s="1070">
        <f t="shared" ref="N66:N71" si="2">H66</f>
        <v>157.51</v>
      </c>
      <c r="O66" s="1071"/>
      <c r="P66" s="1071"/>
      <c r="Q66" s="1072"/>
      <c r="R66" s="499"/>
      <c r="S66" s="646"/>
      <c r="T66" s="501"/>
      <c r="U66" s="504" t="s">
        <v>306</v>
      </c>
      <c r="V66" s="484"/>
      <c r="W66" s="1066" t="str">
        <f>IF(Z66&gt;H66,"PEDIR BDN","")</f>
        <v/>
      </c>
      <c r="X66" s="1066"/>
      <c r="Y66" s="1066"/>
      <c r="Z66" s="1067">
        <v>157.11000000000001</v>
      </c>
      <c r="AA66" s="1068"/>
      <c r="AB66" s="1068"/>
      <c r="AC66" s="1068"/>
      <c r="AD66" s="1069"/>
      <c r="AE66" s="487"/>
      <c r="AF66" s="1070">
        <f t="shared" ref="AF66:AF71" si="3">Z66</f>
        <v>157.11000000000001</v>
      </c>
      <c r="AG66" s="1071"/>
      <c r="AH66" s="1071"/>
      <c r="AI66" s="1072"/>
      <c r="AJ66" s="487"/>
      <c r="AK66" s="81"/>
    </row>
    <row r="67" spans="1:47" ht="16.5" thickTop="1" thickBot="1" x14ac:dyDescent="0.3">
      <c r="A67" s="80"/>
      <c r="B67" s="483"/>
      <c r="C67" s="502" t="s">
        <v>307</v>
      </c>
      <c r="D67" s="483"/>
      <c r="E67" s="483"/>
      <c r="F67" s="483"/>
      <c r="G67" s="483"/>
      <c r="H67" s="1073" t="s">
        <v>788</v>
      </c>
      <c r="I67" s="1068"/>
      <c r="J67" s="1068"/>
      <c r="K67" s="1068"/>
      <c r="L67" s="1069"/>
      <c r="M67" s="499"/>
      <c r="N67" s="1070" t="str">
        <f t="shared" si="2"/>
        <v>k</v>
      </c>
      <c r="O67" s="1071"/>
      <c r="P67" s="1071"/>
      <c r="Q67" s="1072"/>
      <c r="R67" s="499"/>
      <c r="S67" s="646"/>
      <c r="T67" s="501"/>
      <c r="U67" s="504" t="s">
        <v>307</v>
      </c>
      <c r="V67" s="484"/>
      <c r="W67" s="484"/>
      <c r="X67" s="484"/>
      <c r="Y67" s="484"/>
      <c r="Z67" s="1073" t="s">
        <v>800</v>
      </c>
      <c r="AA67" s="1068"/>
      <c r="AB67" s="1068"/>
      <c r="AC67" s="1068"/>
      <c r="AD67" s="1069"/>
      <c r="AE67" s="487"/>
      <c r="AF67" s="1070" t="str">
        <f t="shared" si="3"/>
        <v>K</v>
      </c>
      <c r="AG67" s="1071"/>
      <c r="AH67" s="1071"/>
      <c r="AI67" s="1072"/>
      <c r="AJ67" s="487"/>
      <c r="AK67" s="81"/>
    </row>
    <row r="68" spans="1:47" ht="16.5" thickTop="1" thickBot="1" x14ac:dyDescent="0.3">
      <c r="A68" s="80"/>
      <c r="B68" s="483"/>
      <c r="C68" s="502" t="s">
        <v>308</v>
      </c>
      <c r="D68" s="483"/>
      <c r="E68" s="483"/>
      <c r="F68" s="483"/>
      <c r="G68" s="483"/>
      <c r="H68" s="1051">
        <f>Relato!$J$239</f>
        <v>32395.500000000004</v>
      </c>
      <c r="I68" s="1052"/>
      <c r="J68" s="1052"/>
      <c r="K68" s="1052"/>
      <c r="L68" s="1053"/>
      <c r="M68" s="499"/>
      <c r="N68" s="1070">
        <f t="shared" si="2"/>
        <v>32395.500000000004</v>
      </c>
      <c r="O68" s="1071"/>
      <c r="P68" s="1071"/>
      <c r="Q68" s="1072"/>
      <c r="R68" s="499"/>
      <c r="S68" s="646"/>
      <c r="T68" s="501"/>
      <c r="U68" s="504" t="s">
        <v>308</v>
      </c>
      <c r="V68" s="484"/>
      <c r="W68" s="484"/>
      <c r="X68" s="484"/>
      <c r="Y68" s="484"/>
      <c r="Z68" s="1051">
        <f>Relato!$J$261</f>
        <v>219.7</v>
      </c>
      <c r="AA68" s="1052"/>
      <c r="AB68" s="1052"/>
      <c r="AC68" s="1052"/>
      <c r="AD68" s="1053"/>
      <c r="AE68" s="487"/>
      <c r="AF68" s="1070">
        <f t="shared" si="3"/>
        <v>219.7</v>
      </c>
      <c r="AG68" s="1071"/>
      <c r="AH68" s="1071"/>
      <c r="AI68" s="1072"/>
      <c r="AJ68" s="487"/>
      <c r="AK68" s="81"/>
    </row>
    <row r="69" spans="1:47" ht="16.5" thickTop="1" thickBot="1" x14ac:dyDescent="0.3">
      <c r="A69" s="80"/>
      <c r="B69" s="483"/>
      <c r="C69" s="502" t="s">
        <v>309</v>
      </c>
      <c r="D69" s="483"/>
      <c r="E69" s="483"/>
      <c r="F69" s="483"/>
      <c r="G69" s="483"/>
      <c r="H69" s="1051">
        <f>Relato!$J$271</f>
        <v>200</v>
      </c>
      <c r="I69" s="1052"/>
      <c r="J69" s="1052"/>
      <c r="K69" s="1052"/>
      <c r="L69" s="1053"/>
      <c r="M69" s="499"/>
      <c r="N69" s="1070">
        <f t="shared" si="2"/>
        <v>200</v>
      </c>
      <c r="O69" s="1071"/>
      <c r="P69" s="1071"/>
      <c r="Q69" s="1072"/>
      <c r="R69" s="499"/>
      <c r="S69" s="646"/>
      <c r="T69" s="501"/>
      <c r="U69" s="504" t="s">
        <v>309</v>
      </c>
      <c r="V69" s="484"/>
      <c r="W69" s="484"/>
      <c r="X69" s="484"/>
      <c r="Y69" s="484"/>
      <c r="Z69" s="1051">
        <f>Relato!$J$280</f>
        <v>180</v>
      </c>
      <c r="AA69" s="1052"/>
      <c r="AB69" s="1052"/>
      <c r="AC69" s="1052"/>
      <c r="AD69" s="1053"/>
      <c r="AE69" s="487"/>
      <c r="AF69" s="1070">
        <f t="shared" si="3"/>
        <v>180</v>
      </c>
      <c r="AG69" s="1071"/>
      <c r="AH69" s="1071"/>
      <c r="AI69" s="1072"/>
      <c r="AJ69" s="487"/>
      <c r="AK69" s="81"/>
    </row>
    <row r="70" spans="1:47" ht="14.25" hidden="1" customHeight="1" thickTop="1" thickBot="1" x14ac:dyDescent="0.3">
      <c r="A70" s="80"/>
      <c r="B70" s="483"/>
      <c r="C70" s="502" t="s">
        <v>310</v>
      </c>
      <c r="D70" s="483"/>
      <c r="E70" s="483"/>
      <c r="F70" s="483"/>
      <c r="G70" s="483"/>
      <c r="H70" s="1074">
        <v>0</v>
      </c>
      <c r="I70" s="1075"/>
      <c r="J70" s="1075"/>
      <c r="K70" s="1075"/>
      <c r="L70" s="1076"/>
      <c r="M70" s="499"/>
      <c r="N70" s="1070">
        <f>H70</f>
        <v>0</v>
      </c>
      <c r="O70" s="1071"/>
      <c r="P70" s="1071"/>
      <c r="Q70" s="1072"/>
      <c r="R70" s="499"/>
      <c r="S70" s="646"/>
      <c r="T70" s="501"/>
      <c r="U70" s="504" t="s">
        <v>311</v>
      </c>
      <c r="V70" s="484"/>
      <c r="W70" s="484"/>
      <c r="X70" s="484"/>
      <c r="Y70" s="484"/>
      <c r="Z70" s="1074">
        <v>0</v>
      </c>
      <c r="AA70" s="1075"/>
      <c r="AB70" s="1075"/>
      <c r="AC70" s="1075"/>
      <c r="AD70" s="1076"/>
      <c r="AE70" s="487"/>
      <c r="AF70" s="1070">
        <f>Z70</f>
        <v>0</v>
      </c>
      <c r="AG70" s="1071"/>
      <c r="AH70" s="1071"/>
      <c r="AI70" s="1072"/>
      <c r="AJ70" s="487"/>
      <c r="AK70" s="81"/>
    </row>
    <row r="71" spans="1:47" ht="16.5" thickTop="1" thickBot="1" x14ac:dyDescent="0.3">
      <c r="A71" s="80"/>
      <c r="B71" s="483"/>
      <c r="C71" s="502" t="s">
        <v>312</v>
      </c>
      <c r="D71" s="483"/>
      <c r="E71" s="483"/>
      <c r="F71" s="483"/>
      <c r="G71" s="483"/>
      <c r="H71" s="1077">
        <v>0</v>
      </c>
      <c r="I71" s="1078"/>
      <c r="J71" s="1078"/>
      <c r="K71" s="1078"/>
      <c r="L71" s="1079"/>
      <c r="M71" s="499"/>
      <c r="N71" s="1070">
        <f t="shared" si="2"/>
        <v>0</v>
      </c>
      <c r="O71" s="1071"/>
      <c r="P71" s="1071"/>
      <c r="Q71" s="1072"/>
      <c r="R71" s="499"/>
      <c r="S71" s="646"/>
      <c r="T71" s="501"/>
      <c r="U71" s="504" t="s">
        <v>312</v>
      </c>
      <c r="V71" s="484"/>
      <c r="W71" s="484"/>
      <c r="X71" s="484"/>
      <c r="Y71" s="484"/>
      <c r="Z71" s="1077">
        <v>20</v>
      </c>
      <c r="AA71" s="1078"/>
      <c r="AB71" s="1078"/>
      <c r="AC71" s="1078"/>
      <c r="AD71" s="1079"/>
      <c r="AE71" s="487"/>
      <c r="AF71" s="1070">
        <f t="shared" si="3"/>
        <v>20</v>
      </c>
      <c r="AG71" s="1071"/>
      <c r="AH71" s="1071"/>
      <c r="AI71" s="1072"/>
      <c r="AJ71" s="487"/>
      <c r="AK71" s="81"/>
    </row>
    <row r="72" spans="1:47" ht="16.5" customHeight="1" thickTop="1" thickBot="1" x14ac:dyDescent="0.3">
      <c r="A72" s="80"/>
      <c r="B72" s="483"/>
      <c r="C72" s="502" t="s">
        <v>313</v>
      </c>
      <c r="D72" s="483"/>
      <c r="E72" s="483"/>
      <c r="F72" s="483"/>
      <c r="G72" s="483"/>
      <c r="H72" s="1087">
        <f>SUM(H65:L69,H71)</f>
        <v>33486.780000000006</v>
      </c>
      <c r="I72" s="1088"/>
      <c r="J72" s="1088"/>
      <c r="K72" s="1088"/>
      <c r="L72" s="1089"/>
      <c r="M72" s="499"/>
      <c r="N72" s="1060">
        <f>SUM(H65:L71)</f>
        <v>33486.780000000006</v>
      </c>
      <c r="O72" s="1061"/>
      <c r="P72" s="1061"/>
      <c r="Q72" s="1062"/>
      <c r="R72" s="499"/>
      <c r="S72" s="646"/>
      <c r="T72" s="501"/>
      <c r="U72" s="504" t="s">
        <v>313</v>
      </c>
      <c r="V72" s="484"/>
      <c r="W72" s="484"/>
      <c r="X72" s="484"/>
      <c r="Y72" s="484"/>
      <c r="Z72" s="1087">
        <f>SUM(Z65:AD71)</f>
        <v>1648.11</v>
      </c>
      <c r="AA72" s="1088"/>
      <c r="AB72" s="1088"/>
      <c r="AC72" s="1088"/>
      <c r="AD72" s="1089"/>
      <c r="AE72" s="487"/>
      <c r="AF72" s="1060">
        <f>SUM(Z65:AD71)</f>
        <v>1648.11</v>
      </c>
      <c r="AG72" s="1061"/>
      <c r="AH72" s="1061"/>
      <c r="AI72" s="1062"/>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314</v>
      </c>
      <c r="D74" s="483"/>
      <c r="E74" s="483"/>
      <c r="F74" s="483"/>
      <c r="G74" s="483"/>
      <c r="H74" s="1090">
        <f>H63-H72</f>
        <v>14163.00105594733</v>
      </c>
      <c r="I74" s="1091"/>
      <c r="J74" s="1091"/>
      <c r="K74" s="1091"/>
      <c r="L74" s="1092"/>
      <c r="M74" s="499"/>
      <c r="N74" s="1042">
        <f>N63-N72</f>
        <v>14193.923165420645</v>
      </c>
      <c r="O74" s="1043"/>
      <c r="P74" s="1043"/>
      <c r="Q74" s="1044"/>
      <c r="R74" s="499"/>
      <c r="S74" s="646"/>
      <c r="T74" s="501"/>
      <c r="U74" s="504" t="s">
        <v>314</v>
      </c>
      <c r="V74" s="484"/>
      <c r="W74" s="484"/>
      <c r="X74" s="484"/>
      <c r="Y74" s="484"/>
      <c r="Z74" s="1093">
        <f>Z63-Z72</f>
        <v>76388.508929854564</v>
      </c>
      <c r="AA74" s="1094"/>
      <c r="AB74" s="1094"/>
      <c r="AC74" s="1094"/>
      <c r="AD74" s="1095"/>
      <c r="AE74" s="487"/>
      <c r="AF74" s="1042">
        <f>AF63-AF72</f>
        <v>76350.448127533877</v>
      </c>
      <c r="AG74" s="1043"/>
      <c r="AH74" s="1043"/>
      <c r="AI74" s="1044"/>
      <c r="AJ74" s="487"/>
      <c r="AK74" s="81"/>
    </row>
    <row r="75" spans="1:47" ht="16.5" customHeight="1" thickTop="1" thickBot="1" x14ac:dyDescent="0.3">
      <c r="A75" s="80"/>
      <c r="B75" s="483"/>
      <c r="C75" s="502" t="s">
        <v>315</v>
      </c>
      <c r="D75" s="483"/>
      <c r="E75" s="483"/>
      <c r="F75" s="483"/>
      <c r="G75" s="483"/>
      <c r="H75" s="1082">
        <f>CAPA!$B$19</f>
        <v>13726.4</v>
      </c>
      <c r="I75" s="1083"/>
      <c r="J75" s="1083"/>
      <c r="K75" s="1083"/>
      <c r="L75" s="1084"/>
      <c r="M75" s="499"/>
      <c r="N75" s="1070">
        <f>H75</f>
        <v>13726.4</v>
      </c>
      <c r="O75" s="1071"/>
      <c r="P75" s="1071"/>
      <c r="Q75" s="1072"/>
      <c r="R75" s="499"/>
      <c r="S75" s="646"/>
      <c r="T75" s="501"/>
      <c r="U75" s="504" t="s">
        <v>316</v>
      </c>
      <c r="V75" s="484"/>
      <c r="W75" s="484"/>
      <c r="X75" s="484"/>
      <c r="Y75" s="484"/>
      <c r="Z75" s="1080">
        <f>H74</f>
        <v>14163.00105594733</v>
      </c>
      <c r="AA75" s="1017"/>
      <c r="AB75" s="1017"/>
      <c r="AC75" s="1017"/>
      <c r="AD75" s="1081"/>
      <c r="AE75" s="487"/>
      <c r="AF75" s="1070">
        <f>N74</f>
        <v>14193.923165420645</v>
      </c>
      <c r="AG75" s="1071"/>
      <c r="AH75" s="1071"/>
      <c r="AI75" s="1072"/>
      <c r="AJ75" s="487"/>
      <c r="AK75" s="81"/>
    </row>
    <row r="76" spans="1:47" ht="16.5" customHeight="1" thickTop="1" thickBot="1" x14ac:dyDescent="0.3">
      <c r="A76" s="80"/>
      <c r="B76" s="483"/>
      <c r="C76" s="502" t="s">
        <v>310</v>
      </c>
      <c r="D76" s="483"/>
      <c r="E76" s="483"/>
      <c r="F76" s="483"/>
      <c r="G76" s="483"/>
      <c r="H76" s="1082">
        <v>24.4</v>
      </c>
      <c r="I76" s="1083"/>
      <c r="J76" s="1083"/>
      <c r="K76" s="1083"/>
      <c r="L76" s="1084"/>
      <c r="M76" s="499"/>
      <c r="N76" s="1070">
        <f>H76</f>
        <v>24.4</v>
      </c>
      <c r="O76" s="1071"/>
      <c r="P76" s="1071"/>
      <c r="Q76" s="1072"/>
      <c r="R76" s="499"/>
      <c r="S76" s="646"/>
      <c r="T76" s="501"/>
      <c r="U76" s="504" t="s">
        <v>311</v>
      </c>
      <c r="V76" s="484"/>
      <c r="W76" s="484"/>
      <c r="X76" s="484"/>
      <c r="Y76" s="484"/>
      <c r="Z76" s="1085">
        <v>0</v>
      </c>
      <c r="AA76" s="1011"/>
      <c r="AB76" s="1011"/>
      <c r="AC76" s="1011"/>
      <c r="AD76" s="1086"/>
      <c r="AE76" s="487"/>
      <c r="AF76" s="1070">
        <f>Z76</f>
        <v>0</v>
      </c>
      <c r="AG76" s="1071"/>
      <c r="AH76" s="1071"/>
      <c r="AI76" s="1072"/>
      <c r="AJ76" s="487"/>
      <c r="AK76" s="81"/>
    </row>
    <row r="77" spans="1:47" ht="16.5" customHeight="1" thickTop="1" thickBot="1" x14ac:dyDescent="0.3">
      <c r="A77" s="80"/>
      <c r="B77" s="483"/>
      <c r="C77" s="502" t="s">
        <v>317</v>
      </c>
      <c r="D77" s="483"/>
      <c r="E77" s="483"/>
      <c r="F77" s="483"/>
      <c r="G77" s="483"/>
      <c r="H77" s="1109">
        <f>H74-(H75-H76)</f>
        <v>461.00105594733031</v>
      </c>
      <c r="I77" s="1110"/>
      <c r="J77" s="1110"/>
      <c r="K77" s="1110"/>
      <c r="L77" s="1111"/>
      <c r="M77" s="499"/>
      <c r="N77" s="1070">
        <f>N74-(N75-N76)</f>
        <v>491.92316542064509</v>
      </c>
      <c r="O77" s="1071"/>
      <c r="P77" s="1071"/>
      <c r="Q77" s="1072"/>
      <c r="R77" s="499"/>
      <c r="S77" s="646"/>
      <c r="T77" s="501"/>
      <c r="U77" s="504" t="s">
        <v>318</v>
      </c>
      <c r="V77" s="484"/>
      <c r="W77" s="484"/>
      <c r="X77" s="484"/>
      <c r="Y77" s="484"/>
      <c r="Z77" s="1080">
        <f>Z74-Z75-H76+Z76</f>
        <v>62201.107873907233</v>
      </c>
      <c r="AA77" s="1017"/>
      <c r="AB77" s="1017"/>
      <c r="AC77" s="1017"/>
      <c r="AD77" s="1081"/>
      <c r="AE77" s="487"/>
      <c r="AF77" s="1070">
        <f>AF74-AF75-N76+AF76</f>
        <v>62132.12496211323</v>
      </c>
      <c r="AG77" s="1071"/>
      <c r="AH77" s="1071"/>
      <c r="AI77" s="1072"/>
      <c r="AJ77" s="487"/>
      <c r="AK77" s="81"/>
    </row>
    <row r="78" spans="1:47" ht="16.5" thickTop="1" thickBot="1" x14ac:dyDescent="0.3">
      <c r="A78" s="80"/>
      <c r="B78" s="483"/>
      <c r="C78" s="502" t="s">
        <v>319</v>
      </c>
      <c r="D78" s="483"/>
      <c r="E78" s="483"/>
      <c r="F78" s="483"/>
      <c r="G78" s="483"/>
      <c r="H78" s="1112">
        <v>480</v>
      </c>
      <c r="I78" s="1113"/>
      <c r="J78" s="1113"/>
      <c r="K78" s="1113"/>
      <c r="L78" s="1114"/>
      <c r="M78" s="499"/>
      <c r="N78" s="1060">
        <f>H78</f>
        <v>480</v>
      </c>
      <c r="O78" s="1061"/>
      <c r="P78" s="1061"/>
      <c r="Q78" s="1062"/>
      <c r="R78" s="499"/>
      <c r="S78" s="646"/>
      <c r="T78" s="501"/>
      <c r="U78" s="504" t="s">
        <v>320</v>
      </c>
      <c r="V78" s="484"/>
      <c r="W78" s="484"/>
      <c r="X78" s="484"/>
      <c r="Y78" s="484"/>
      <c r="Z78" s="1115">
        <v>62200</v>
      </c>
      <c r="AA78" s="1005"/>
      <c r="AB78" s="1005"/>
      <c r="AC78" s="1005"/>
      <c r="AD78" s="1116"/>
      <c r="AE78" s="487"/>
      <c r="AF78" s="1070">
        <f>Z78</f>
        <v>62200</v>
      </c>
      <c r="AG78" s="1071"/>
      <c r="AH78" s="1071"/>
      <c r="AI78" s="1072"/>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321</v>
      </c>
      <c r="V79" s="484"/>
      <c r="W79" s="484"/>
      <c r="X79" s="484"/>
      <c r="Y79" s="484"/>
      <c r="Z79" s="1127">
        <f>Z77-Z78</f>
        <v>1.1078739072327153</v>
      </c>
      <c r="AA79" s="1128"/>
      <c r="AB79" s="1128"/>
      <c r="AC79" s="1129">
        <f>Z79/Z78*100</f>
        <v>1.781147760824301E-3</v>
      </c>
      <c r="AD79" s="1130"/>
      <c r="AE79" s="487"/>
      <c r="AF79" s="1096">
        <f>AF77-AF78</f>
        <v>-67.87503788676986</v>
      </c>
      <c r="AG79" s="1097"/>
      <c r="AH79" s="1097"/>
      <c r="AI79" s="650">
        <f>AF79/AF78*100</f>
        <v>-0.10912385512342421</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098" t="s">
        <v>322</v>
      </c>
      <c r="AB81" s="1098"/>
      <c r="AC81" s="1098" t="s">
        <v>146</v>
      </c>
      <c r="AD81" s="1098"/>
      <c r="AE81" s="479"/>
      <c r="AF81" s="520"/>
      <c r="AG81" s="520"/>
      <c r="AH81" s="520"/>
      <c r="AI81" s="521"/>
      <c r="AJ81" s="479"/>
      <c r="AK81" s="79"/>
      <c r="AM81" s="90" t="s">
        <v>323</v>
      </c>
    </row>
    <row r="82" spans="1:39" ht="14.25" customHeight="1" x14ac:dyDescent="0.2">
      <c r="A82" s="77"/>
      <c r="B82" s="78"/>
      <c r="C82" s="78"/>
      <c r="D82" s="78"/>
      <c r="E82" s="78"/>
      <c r="F82" s="78"/>
      <c r="G82" s="78"/>
      <c r="H82" s="1099" t="s">
        <v>324</v>
      </c>
      <c r="I82" s="1099"/>
      <c r="J82" s="1099"/>
      <c r="K82" s="1099"/>
      <c r="L82" s="1099"/>
      <c r="M82" s="1099"/>
      <c r="N82" s="1099"/>
      <c r="O82" s="1099"/>
      <c r="P82" s="1099"/>
      <c r="Q82" s="1099"/>
      <c r="R82" s="516"/>
      <c r="S82" s="647"/>
      <c r="T82" s="516"/>
      <c r="U82" s="1100" t="s">
        <v>148</v>
      </c>
      <c r="V82" s="1101"/>
      <c r="W82" s="1101"/>
      <c r="X82" s="1102">
        <v>62247</v>
      </c>
      <c r="Y82" s="1102"/>
      <c r="Z82" s="1102"/>
      <c r="AA82" s="1102">
        <f>X82-Z78</f>
        <v>47</v>
      </c>
      <c r="AB82" s="1102"/>
      <c r="AC82" s="1105">
        <f>AA82/Z78*100</f>
        <v>7.5562700964630219E-2</v>
      </c>
      <c r="AD82" s="1106"/>
      <c r="AE82" s="480"/>
      <c r="AF82" s="518"/>
      <c r="AG82" s="518"/>
      <c r="AH82" s="518"/>
      <c r="AI82" s="519"/>
      <c r="AJ82" s="480"/>
      <c r="AK82" s="79"/>
      <c r="AM82" s="90" t="s">
        <v>325</v>
      </c>
    </row>
    <row r="83" spans="1:39" ht="14.25" customHeight="1" x14ac:dyDescent="0.2">
      <c r="A83" s="77"/>
      <c r="B83" s="78"/>
      <c r="C83" s="78"/>
      <c r="D83" s="78"/>
      <c r="E83" s="78"/>
      <c r="F83" s="78"/>
      <c r="G83" s="78"/>
      <c r="H83" s="1099"/>
      <c r="I83" s="1099"/>
      <c r="J83" s="1099"/>
      <c r="K83" s="1099"/>
      <c r="L83" s="1099"/>
      <c r="M83" s="1099"/>
      <c r="N83" s="1099"/>
      <c r="O83" s="1099"/>
      <c r="P83" s="1099"/>
      <c r="Q83" s="1099"/>
      <c r="R83" s="516"/>
      <c r="S83" s="647"/>
      <c r="T83" s="516"/>
      <c r="U83" s="1103" t="s">
        <v>149</v>
      </c>
      <c r="V83" s="1104"/>
      <c r="W83" s="1104"/>
      <c r="X83" s="1125">
        <v>62172.35</v>
      </c>
      <c r="Y83" s="1125"/>
      <c r="Z83" s="1125"/>
      <c r="AA83" s="1125">
        <f>X83-Z78</f>
        <v>-27.650000000001455</v>
      </c>
      <c r="AB83" s="1125"/>
      <c r="AC83" s="1107">
        <f>AA83/Z78*100</f>
        <v>-4.4453376205790124E-2</v>
      </c>
      <c r="AD83" s="1108"/>
      <c r="AE83" s="480"/>
      <c r="AF83" s="518"/>
      <c r="AG83" s="518"/>
      <c r="AH83" s="518"/>
      <c r="AI83" s="519"/>
      <c r="AJ83" s="480"/>
      <c r="AK83" s="79"/>
      <c r="AM83" s="90" t="s">
        <v>326</v>
      </c>
    </row>
    <row r="84" spans="1:39" ht="16.5" customHeight="1" x14ac:dyDescent="0.2">
      <c r="A84" s="77"/>
      <c r="B84" s="78"/>
      <c r="C84" s="78"/>
      <c r="D84" s="78"/>
      <c r="E84" s="78"/>
      <c r="F84" s="78"/>
      <c r="G84" s="78"/>
      <c r="H84" s="1126" t="s">
        <v>327</v>
      </c>
      <c r="I84" s="1126"/>
      <c r="J84" s="1126"/>
      <c r="K84" s="1126"/>
      <c r="L84" s="1126"/>
      <c r="M84" s="1126"/>
      <c r="N84" s="1126"/>
      <c r="O84" s="1126"/>
      <c r="P84" s="1126"/>
      <c r="Q84" s="1126"/>
      <c r="R84" s="516"/>
      <c r="S84" s="647"/>
      <c r="T84" s="516"/>
      <c r="U84" s="1103" t="s">
        <v>325</v>
      </c>
      <c r="V84" s="1104"/>
      <c r="W84" s="1104"/>
      <c r="X84" s="1125">
        <v>62200.430999999997</v>
      </c>
      <c r="Y84" s="1125"/>
      <c r="Z84" s="1125"/>
      <c r="AA84" s="1125">
        <f>X84-Z78</f>
        <v>0.43099999999685679</v>
      </c>
      <c r="AB84" s="1125"/>
      <c r="AC84" s="1107">
        <f>AA84/Z78*100</f>
        <v>6.9292604501102384E-4</v>
      </c>
      <c r="AD84" s="1108"/>
      <c r="AE84" s="480"/>
      <c r="AF84" s="518"/>
      <c r="AG84" s="518"/>
      <c r="AH84" s="518"/>
      <c r="AI84" s="519"/>
      <c r="AJ84" s="480"/>
      <c r="AK84" s="79"/>
      <c r="AM84" s="90" t="s">
        <v>328</v>
      </c>
    </row>
    <row r="85" spans="1:39" ht="14.25" customHeight="1" x14ac:dyDescent="0.2">
      <c r="A85" s="77"/>
      <c r="B85" s="78"/>
      <c r="C85" s="78"/>
      <c r="D85" s="78"/>
      <c r="E85" s="78"/>
      <c r="F85" s="78"/>
      <c r="G85" s="78"/>
      <c r="H85" s="1126"/>
      <c r="I85" s="1126"/>
      <c r="J85" s="1126"/>
      <c r="K85" s="1126"/>
      <c r="L85" s="1126"/>
      <c r="M85" s="1126"/>
      <c r="N85" s="1126"/>
      <c r="O85" s="1126"/>
      <c r="P85" s="1126"/>
      <c r="Q85" s="1126"/>
      <c r="R85" s="516"/>
      <c r="S85" s="647"/>
      <c r="T85" s="516"/>
      <c r="U85" s="1103"/>
      <c r="V85" s="1104"/>
      <c r="W85" s="1104"/>
      <c r="X85" s="1125"/>
      <c r="Y85" s="1125"/>
      <c r="Z85" s="1125"/>
      <c r="AA85" s="1125">
        <f>X85-Z78</f>
        <v>-62200</v>
      </c>
      <c r="AB85" s="1125"/>
      <c r="AC85" s="1107">
        <f>AA85/Z78*100</f>
        <v>-100</v>
      </c>
      <c r="AD85" s="1108"/>
      <c r="AE85" s="480"/>
      <c r="AF85" s="518"/>
      <c r="AG85" s="518"/>
      <c r="AH85" s="518"/>
      <c r="AI85" s="519"/>
      <c r="AJ85" s="480"/>
      <c r="AK85" s="79"/>
      <c r="AM85" s="90" t="s">
        <v>329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103"/>
      <c r="V86" s="1104"/>
      <c r="W86" s="1104"/>
      <c r="X86" s="1125"/>
      <c r="Y86" s="1125"/>
      <c r="Z86" s="1125"/>
      <c r="AA86" s="1125">
        <f>X86-Z78</f>
        <v>-62200</v>
      </c>
      <c r="AB86" s="1125"/>
      <c r="AC86" s="1107">
        <f>AA86/Z78*100</f>
        <v>-100</v>
      </c>
      <c r="AD86" s="1108"/>
      <c r="AE86" s="480"/>
      <c r="AF86" s="480"/>
      <c r="AG86" s="480"/>
      <c r="AH86" s="480"/>
      <c r="AI86" s="480"/>
      <c r="AJ86" s="480"/>
      <c r="AK86" s="79"/>
      <c r="AM86" s="90" t="s">
        <v>330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103"/>
      <c r="V87" s="1104"/>
      <c r="W87" s="1104"/>
      <c r="X87" s="1125"/>
      <c r="Y87" s="1125"/>
      <c r="Z87" s="1125"/>
      <c r="AA87" s="1125">
        <f>X87-Z78</f>
        <v>-62200</v>
      </c>
      <c r="AB87" s="1125"/>
      <c r="AC87" s="1107">
        <f>AA87/Z78*100</f>
        <v>-100</v>
      </c>
      <c r="AD87" s="1108"/>
      <c r="AE87" s="525"/>
      <c r="AF87" s="525"/>
      <c r="AG87" s="525"/>
      <c r="AH87" s="525"/>
      <c r="AI87" s="525"/>
      <c r="AJ87" s="525"/>
      <c r="AK87" s="94"/>
      <c r="AM87" s="90" t="s">
        <v>331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9" t="s">
        <v>332</v>
      </c>
      <c r="B89" s="1120"/>
      <c r="C89" s="1120"/>
      <c r="D89" s="1120"/>
      <c r="E89" s="1120"/>
      <c r="F89" s="1121"/>
      <c r="G89" s="1122"/>
      <c r="H89" s="1117" t="s">
        <v>333</v>
      </c>
      <c r="I89" s="1117"/>
      <c r="J89" s="1117"/>
      <c r="K89" s="1121"/>
      <c r="L89" s="1122"/>
      <c r="M89" s="1123" t="s">
        <v>334</v>
      </c>
      <c r="N89" s="1124"/>
      <c r="O89" s="1121"/>
      <c r="P89" s="1122"/>
      <c r="Q89" s="1117" t="s">
        <v>335</v>
      </c>
      <c r="R89" s="1117"/>
      <c r="S89" s="1118">
        <f>-ROUND(IF(K89=0,0,(O89*O89*K89*27.5*0.0216)/1000+F89),1)</f>
        <v>0</v>
      </c>
      <c r="T89" s="1118"/>
      <c r="U89" s="1118"/>
      <c r="V89" s="1118"/>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591</v>
      </c>
      <c r="F4" s="583">
        <f>Draft!$D$11/2</f>
        <v>103.25</v>
      </c>
      <c r="G4" s="5"/>
      <c r="H4" s="584"/>
      <c r="I4" s="584"/>
      <c r="J4" s="584"/>
      <c r="K4" s="584"/>
      <c r="M4" s="582"/>
      <c r="N4" s="582"/>
      <c r="O4" s="582"/>
      <c r="P4" s="293" t="s">
        <v>591</v>
      </c>
      <c r="Q4" s="583">
        <f>Draft!$D$11/2</f>
        <v>103.25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7.7431624999999986</v>
      </c>
      <c r="D6" s="585" t="str">
        <f>IF(C7="m","",INT(C6))</f>
        <v/>
      </c>
      <c r="E6" s="587" t="str">
        <f>IF(C7="m","",(C6-INT(C6))*12)</f>
        <v/>
      </c>
      <c r="F6" s="585"/>
      <c r="G6" s="584"/>
      <c r="H6" s="584"/>
      <c r="I6" s="584"/>
      <c r="J6" s="584"/>
      <c r="K6" s="584"/>
      <c r="M6" s="441"/>
      <c r="N6" s="586">
        <f>Draft!$AC$31</f>
        <v>12.057762499999999</v>
      </c>
      <c r="O6" s="585" t="str">
        <f>IF(N7="m","",INT(N6))</f>
        <v/>
      </c>
      <c r="P6" s="587" t="str">
        <f>IF(N7="m","",(N6-INT(N6))*12)</f>
        <v/>
      </c>
      <c r="Q6" s="585"/>
      <c r="R6" s="584"/>
      <c r="S6" s="584"/>
      <c r="T6" s="584"/>
      <c r="U6" s="584"/>
      <c r="V6" s="584"/>
    </row>
    <row r="7" spans="2:22" ht="15.75" x14ac:dyDescent="0.25">
      <c r="B7" s="441"/>
      <c r="C7" s="585" t="s">
        <v>604</v>
      </c>
      <c r="D7" s="585" t="str">
        <f>IF(C7="m","","feet")</f>
        <v/>
      </c>
      <c r="E7" s="585" t="str">
        <f>IF(C7="m","","in")</f>
        <v/>
      </c>
      <c r="F7" s="585"/>
      <c r="G7" s="584"/>
      <c r="H7" s="584"/>
      <c r="I7" s="584"/>
      <c r="J7" s="584"/>
      <c r="K7" s="584"/>
      <c r="M7" s="441"/>
      <c r="N7" s="585" t="s">
        <v>604</v>
      </c>
      <c r="O7" s="585" t="str">
        <f>IF(N7="m","","feet")</f>
        <v/>
      </c>
      <c r="P7" s="585" t="str">
        <f>IF(N7="m","","in")</f>
        <v/>
      </c>
      <c r="Q7" s="585"/>
      <c r="R7" s="584"/>
      <c r="S7" s="584"/>
      <c r="T7" s="584"/>
      <c r="U7" s="584"/>
      <c r="V7" s="584"/>
    </row>
    <row r="8" spans="2:22" ht="19.5" thickBot="1" x14ac:dyDescent="0.3">
      <c r="B8" s="588"/>
      <c r="C8" s="585"/>
      <c r="D8" s="585"/>
      <c r="E8" s="589" t="s">
        <v>9</v>
      </c>
      <c r="F8" s="590">
        <f>Draft!$M$35</f>
        <v>0.43358140613670759</v>
      </c>
      <c r="G8" s="591" t="s">
        <v>592</v>
      </c>
      <c r="H8" s="584"/>
      <c r="I8" s="584"/>
      <c r="J8" s="584"/>
      <c r="K8" s="584"/>
      <c r="M8" s="588"/>
      <c r="N8" s="585"/>
      <c r="O8" s="585"/>
      <c r="P8" s="589" t="s">
        <v>9</v>
      </c>
      <c r="Q8" s="590">
        <f>Draft!$M$35</f>
        <v>0.43358140613670759</v>
      </c>
      <c r="R8" s="591" t="s">
        <v>592</v>
      </c>
      <c r="S8" s="584"/>
      <c r="T8" s="584"/>
      <c r="U8" s="584"/>
      <c r="V8" s="584"/>
    </row>
    <row r="9" spans="2:22" ht="17.25" thickTop="1" thickBot="1" x14ac:dyDescent="0.3">
      <c r="B9" s="592" t="s">
        <v>593</v>
      </c>
      <c r="C9" s="592" t="s">
        <v>373</v>
      </c>
      <c r="D9" s="585"/>
      <c r="E9" s="589" t="str">
        <f>Draft!$P$35</f>
        <v>P</v>
      </c>
      <c r="F9" s="593">
        <f>Draft!$G$35</f>
        <v>28</v>
      </c>
      <c r="G9" s="584" t="s">
        <v>605</v>
      </c>
      <c r="H9" s="584"/>
      <c r="I9" s="584"/>
      <c r="J9" s="584"/>
      <c r="K9" s="584"/>
      <c r="M9" s="592" t="s">
        <v>593</v>
      </c>
      <c r="N9" s="592" t="s">
        <v>373</v>
      </c>
      <c r="O9" s="585"/>
      <c r="P9" s="589" t="str">
        <f>Draft!$P$35</f>
        <v>P</v>
      </c>
      <c r="Q9" s="593">
        <f>Draft!$G$35</f>
        <v>28</v>
      </c>
      <c r="R9" s="584" t="s">
        <v>605</v>
      </c>
      <c r="S9" s="584"/>
      <c r="T9" s="584"/>
      <c r="U9" s="584"/>
      <c r="V9" s="584"/>
    </row>
    <row r="10" spans="2:22" ht="16.5" thickTop="1" x14ac:dyDescent="0.25">
      <c r="B10" s="588" t="s">
        <v>594</v>
      </c>
      <c r="C10" s="594">
        <f>Draft!$H$41</f>
        <v>7.7</v>
      </c>
      <c r="D10" s="595">
        <f>INT(C6*100)</f>
        <v>774</v>
      </c>
      <c r="E10" s="589"/>
      <c r="F10" s="584"/>
      <c r="G10" s="584"/>
      <c r="H10" s="584"/>
      <c r="I10" s="584"/>
      <c r="J10" s="584"/>
      <c r="K10" s="584"/>
      <c r="M10" s="588" t="s">
        <v>594</v>
      </c>
      <c r="N10" s="594">
        <f>Draft!$Z$41</f>
        <v>12.05</v>
      </c>
      <c r="O10" s="595">
        <f>INT(N6*100)</f>
        <v>1205</v>
      </c>
      <c r="P10" s="589"/>
      <c r="Q10" s="584"/>
      <c r="R10" s="584"/>
      <c r="S10" s="584"/>
      <c r="T10" s="584"/>
      <c r="U10" s="584"/>
      <c r="V10" s="584"/>
    </row>
    <row r="11" spans="2:22" ht="15.75" x14ac:dyDescent="0.25">
      <c r="B11" s="588" t="s">
        <v>595</v>
      </c>
      <c r="C11" s="594">
        <f>Draft!$H$42</f>
        <v>7.75</v>
      </c>
      <c r="D11" s="585"/>
      <c r="E11" s="589"/>
      <c r="F11" s="585"/>
      <c r="G11" s="584"/>
      <c r="H11" s="584"/>
      <c r="I11" s="584"/>
      <c r="J11" s="584"/>
      <c r="K11" s="584"/>
      <c r="M11" s="588" t="s">
        <v>595</v>
      </c>
      <c r="N11" s="594">
        <f>Draft!$Z$42</f>
        <v>12.1</v>
      </c>
      <c r="O11" s="585"/>
      <c r="P11" s="589"/>
      <c r="Q11" s="585"/>
      <c r="R11" s="584"/>
      <c r="S11" s="584"/>
      <c r="T11" s="584"/>
      <c r="U11" s="584"/>
      <c r="V11" s="584"/>
    </row>
    <row r="12" spans="2:22" ht="15.75" x14ac:dyDescent="0.25">
      <c r="B12" s="596" t="s">
        <v>596</v>
      </c>
      <c r="C12" s="597">
        <f>Draft!$J$41</f>
        <v>47739.5</v>
      </c>
      <c r="D12" s="598"/>
      <c r="E12" s="599" t="s">
        <v>597</v>
      </c>
      <c r="F12" s="5"/>
      <c r="G12" s="5"/>
      <c r="H12" s="584"/>
      <c r="I12" s="584"/>
      <c r="J12" s="584" t="s">
        <v>598</v>
      </c>
      <c r="K12" s="584"/>
      <c r="M12" s="596" t="s">
        <v>596</v>
      </c>
      <c r="N12" s="597">
        <f>Draft!$AB$41</f>
        <v>78769.600000000006</v>
      </c>
      <c r="O12" s="598"/>
      <c r="P12" s="599" t="s">
        <v>597</v>
      </c>
      <c r="Q12" s="5"/>
      <c r="R12" s="5"/>
      <c r="S12" s="584"/>
      <c r="T12" s="584"/>
      <c r="U12" s="584" t="s">
        <v>598</v>
      </c>
      <c r="V12" s="584"/>
    </row>
    <row r="13" spans="2:22" ht="15.75" x14ac:dyDescent="0.25">
      <c r="B13" s="600" t="s">
        <v>599</v>
      </c>
      <c r="C13" s="601">
        <f>Draft!$J$42</f>
        <v>48081</v>
      </c>
      <c r="D13" s="602">
        <f>IF(E13=0,K13,E13)</f>
        <v>48034.3</v>
      </c>
      <c r="E13" s="603">
        <v>0</v>
      </c>
      <c r="F13" s="5"/>
      <c r="G13" s="5"/>
      <c r="H13" s="584"/>
      <c r="I13" s="584"/>
      <c r="J13" s="584"/>
      <c r="K13" s="604">
        <f>ROUND((IF(E13=0,IF(C11=0,0,IF(C10=0,C13,IF(C7="m",(C6-C10)*(C13-C12)/(C11-C10)+C12,(E6-C10)*(C13-C12)/(C11-C10)+C12))),E13)),1)</f>
        <v>48034.3</v>
      </c>
      <c r="M13" s="600" t="s">
        <v>599</v>
      </c>
      <c r="N13" s="601">
        <f>Draft!$AB$42</f>
        <v>79136.800000000003</v>
      </c>
      <c r="O13" s="602">
        <f>IF(P13=0,V13,P13)</f>
        <v>78826.600000000006</v>
      </c>
      <c r="P13" s="603">
        <v>0</v>
      </c>
      <c r="Q13" s="5"/>
      <c r="R13" s="5"/>
      <c r="S13" s="584"/>
      <c r="T13" s="584"/>
      <c r="U13" s="584"/>
      <c r="V13" s="604">
        <f>ROUND((IF(P13=0,IF(N11=0,0,IF(N10=0,N13,IF(N7="m",(N6-N10)*(N13-N12)/(N11-N10)+N12,(P6-N10)*(N13-N12)/(N11-N10)+N12))),P13)),1)</f>
        <v>78826.600000000006</v>
      </c>
    </row>
    <row r="14" spans="2:22" ht="15.75" x14ac:dyDescent="0.25">
      <c r="B14" s="596" t="s">
        <v>600</v>
      </c>
      <c r="C14" s="605">
        <f>Draft!$J$45</f>
        <v>68.2</v>
      </c>
      <c r="D14" s="606"/>
      <c r="E14" s="293"/>
      <c r="F14" s="5"/>
      <c r="G14" s="5"/>
      <c r="H14" s="584"/>
      <c r="I14" s="584"/>
      <c r="J14" s="584" t="s">
        <v>145</v>
      </c>
      <c r="K14" s="584"/>
      <c r="M14" s="596" t="s">
        <v>600</v>
      </c>
      <c r="N14" s="605">
        <f>Draft!$AB$45</f>
        <v>73.400000000000006</v>
      </c>
      <c r="O14" s="606"/>
      <c r="P14" s="293"/>
      <c r="Q14" s="5"/>
      <c r="R14" s="5"/>
      <c r="S14" s="584"/>
      <c r="T14" s="584"/>
      <c r="U14" s="584" t="s">
        <v>145</v>
      </c>
      <c r="V14" s="584"/>
    </row>
    <row r="15" spans="2:22" ht="15.75" x14ac:dyDescent="0.25">
      <c r="B15" s="588" t="s">
        <v>601</v>
      </c>
      <c r="C15" s="605">
        <f>Draft!$J$46</f>
        <v>68.3</v>
      </c>
      <c r="D15" s="607">
        <f>IF(E15=0,K15,E15)</f>
        <v>68.286299999999997</v>
      </c>
      <c r="E15" s="608">
        <v>0</v>
      </c>
      <c r="F15" s="5"/>
      <c r="G15" s="5"/>
      <c r="H15" s="584"/>
      <c r="I15" s="584"/>
      <c r="J15" s="584"/>
      <c r="K15" s="609">
        <f>ROUND((IF(E15=0,IF(C11=0,0,IF(C10=0,C15,IF(C7="m",(C6-C10)*(C15-C14)/(C11-C10)+C14,(E6-C10)*(C15-C14)/(C11-C10)+C14))),E15)),4)</f>
        <v>68.286299999999997</v>
      </c>
      <c r="M15" s="588" t="s">
        <v>601</v>
      </c>
      <c r="N15" s="605">
        <f>Draft!$AB$46</f>
        <v>73.5</v>
      </c>
      <c r="O15" s="607">
        <f>IF(P15=0,V15,P15)</f>
        <v>73.415499999999994</v>
      </c>
      <c r="P15" s="608">
        <v>0</v>
      </c>
      <c r="Q15" s="5"/>
      <c r="R15" s="5"/>
      <c r="S15" s="584"/>
      <c r="T15" s="584"/>
      <c r="U15" s="584"/>
      <c r="V15" s="609">
        <f>ROUND((IF(P15=0,IF(N11=0,0,IF(N10=0,N15,IF(N7="m",(N6-N10)*(N15-N14)/(N11-N10)+N14,(P6-N10)*(N15-N14)/(N11-N10)+N14))),P15)),4)</f>
        <v>73.415499999999994</v>
      </c>
    </row>
    <row r="16" spans="2:22" ht="15.75" x14ac:dyDescent="0.25">
      <c r="B16" s="610" t="s">
        <v>602</v>
      </c>
      <c r="C16" s="611">
        <f>Draft!$J$49</f>
        <v>105.946</v>
      </c>
      <c r="D16" s="612"/>
      <c r="E16" s="293"/>
      <c r="F16" s="5"/>
      <c r="G16" s="5"/>
      <c r="H16" s="584"/>
      <c r="I16" s="584"/>
      <c r="J16" s="584" t="s">
        <v>294</v>
      </c>
      <c r="K16" s="609">
        <f>IF(F4*0.75&gt;K17,K17,F4-K17)</f>
        <v>-2.6286999999999949</v>
      </c>
      <c r="M16" s="610" t="s">
        <v>602</v>
      </c>
      <c r="N16" s="611">
        <f>Draft!$AB$49</f>
        <v>100.06100000000001</v>
      </c>
      <c r="O16" s="612"/>
      <c r="P16" s="293"/>
      <c r="Q16" s="5"/>
      <c r="R16" s="5"/>
      <c r="S16" s="584"/>
      <c r="T16" s="584"/>
      <c r="U16" s="584" t="s">
        <v>294</v>
      </c>
      <c r="V16" s="609">
        <f>IF(Q4*0.75&gt;V17,V17,Q4-V17)</f>
        <v>3.192300000000003</v>
      </c>
    </row>
    <row r="17" spans="2:22" ht="15.75" x14ac:dyDescent="0.25">
      <c r="B17" s="613" t="s">
        <v>603</v>
      </c>
      <c r="C17" s="614">
        <f>Draft!$J$50</f>
        <v>105.86799999999999</v>
      </c>
      <c r="D17" s="607">
        <f>IF(E17=0,K16,E17)</f>
        <v>-2.6286999999999949</v>
      </c>
      <c r="E17" s="608">
        <v>0</v>
      </c>
      <c r="F17" s="5"/>
      <c r="G17" s="5"/>
      <c r="H17" s="584"/>
      <c r="I17" s="584"/>
      <c r="J17" s="584"/>
      <c r="K17" s="584">
        <f>ROUND((IF(E17=0,IF(C11=0,0,IF(C10=0,C17,IF(C7="m",(C6-C10)*(C17-C16)/(C11-C10)+C16,(E6-C10)*(C17-C16)/(C11-C10)+C16))),E17)),4)</f>
        <v>105.87869999999999</v>
      </c>
      <c r="M17" s="613" t="s">
        <v>603</v>
      </c>
      <c r="N17" s="614">
        <f>Draft!$AB$50</f>
        <v>100.04</v>
      </c>
      <c r="O17" s="607">
        <f>IF(P17=0,V16,P17)</f>
        <v>3.192300000000003</v>
      </c>
      <c r="P17" s="608">
        <v>0</v>
      </c>
      <c r="Q17" s="5"/>
      <c r="R17" s="5"/>
      <c r="S17" s="584"/>
      <c r="T17" s="584"/>
      <c r="U17" s="584"/>
      <c r="V17" s="584">
        <f>ROUND((IF(P17=0,IF(N11=0,0,IF(N10=0,N17,IF(N7="m",(N6-N10)*(N17-N16)/(N11-N10)+N16,(P6-N10)*(N17-N16)/(N11-N10)+N16))),P17)),4)</f>
        <v>100.0577</v>
      </c>
    </row>
    <row r="21" spans="2:22" ht="15.75" x14ac:dyDescent="0.25">
      <c r="B21" s="582"/>
      <c r="C21" s="582"/>
      <c r="D21" s="582"/>
      <c r="E21" s="293" t="s">
        <v>591</v>
      </c>
      <c r="F21" s="583">
        <f>Draft!$D$11/2</f>
        <v>103.25</v>
      </c>
      <c r="G21" s="5"/>
      <c r="H21" s="584"/>
      <c r="I21" s="584"/>
      <c r="J21" s="584"/>
      <c r="K21" s="584"/>
      <c r="M21" s="582"/>
      <c r="N21" s="582"/>
      <c r="O21" s="582"/>
      <c r="P21" s="293" t="s">
        <v>591</v>
      </c>
      <c r="Q21" s="583">
        <f>Draft!$D$11/2</f>
        <v>103.25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7.7477214103987624</v>
      </c>
      <c r="D23" s="585" t="str">
        <f>IF(C24="m","",INT(C23))</f>
        <v/>
      </c>
      <c r="E23" s="587" t="str">
        <f>IF(C24="m","",(C23-INT(C23))*12)</f>
        <v/>
      </c>
      <c r="F23" s="585"/>
      <c r="G23" s="584"/>
      <c r="H23" s="584"/>
      <c r="I23" s="584"/>
      <c r="J23" s="584"/>
      <c r="K23" s="584"/>
      <c r="M23" s="441"/>
      <c r="N23" s="586">
        <f>Draft!$AE$39</f>
        <v>12.052528652546954</v>
      </c>
      <c r="O23" s="585" t="str">
        <f>IF(N24="m","",INT(N23))</f>
        <v/>
      </c>
      <c r="P23" s="587" t="str">
        <f>IF(N24="m","",(N23-INT(N23))*12)</f>
        <v/>
      </c>
      <c r="Q23" s="585"/>
      <c r="R23" s="584"/>
      <c r="S23" s="584"/>
      <c r="T23" s="584"/>
      <c r="U23" s="584"/>
      <c r="V23" s="584"/>
    </row>
    <row r="24" spans="2:22" ht="15.75" x14ac:dyDescent="0.25">
      <c r="B24" s="441"/>
      <c r="C24" s="585" t="s">
        <v>604</v>
      </c>
      <c r="D24" s="585" t="str">
        <f>IF(C24="m","","feet")</f>
        <v/>
      </c>
      <c r="E24" s="585" t="str">
        <f>IF(C24="m","","in")</f>
        <v/>
      </c>
      <c r="F24" s="585"/>
      <c r="G24" s="584"/>
      <c r="H24" s="584"/>
      <c r="I24" s="584"/>
      <c r="J24" s="584"/>
      <c r="K24" s="584"/>
      <c r="M24" s="441"/>
      <c r="N24" s="585" t="s">
        <v>604</v>
      </c>
      <c r="O24" s="585" t="str">
        <f>IF(N24="m","","feet")</f>
        <v/>
      </c>
      <c r="P24" s="585" t="str">
        <f>IF(N24="m","","in")</f>
        <v/>
      </c>
      <c r="Q24" s="585"/>
      <c r="R24" s="584"/>
      <c r="S24" s="584"/>
      <c r="T24" s="584"/>
      <c r="U24" s="584"/>
      <c r="V24" s="584"/>
    </row>
    <row r="25" spans="2:22" ht="19.5" thickBot="1" x14ac:dyDescent="0.3">
      <c r="B25" s="588"/>
      <c r="C25" s="585"/>
      <c r="D25" s="585"/>
      <c r="E25" s="589" t="s">
        <v>9</v>
      </c>
      <c r="F25" s="590">
        <f>Draft!$M$35</f>
        <v>0.43358140613670759</v>
      </c>
      <c r="G25" s="591" t="s">
        <v>592</v>
      </c>
      <c r="H25" s="584"/>
      <c r="I25" s="584"/>
      <c r="J25" s="584"/>
      <c r="K25" s="584"/>
      <c r="M25" s="588"/>
      <c r="N25" s="585"/>
      <c r="O25" s="585"/>
      <c r="P25" s="589" t="s">
        <v>9</v>
      </c>
      <c r="Q25" s="590">
        <f>Draft!$M$35</f>
        <v>0.43358140613670759</v>
      </c>
      <c r="R25" s="591" t="s">
        <v>592</v>
      </c>
      <c r="S25" s="584"/>
      <c r="T25" s="584"/>
      <c r="U25" s="584"/>
      <c r="V25" s="584"/>
    </row>
    <row r="26" spans="2:22" ht="17.25" thickTop="1" thickBot="1" x14ac:dyDescent="0.3">
      <c r="B26" s="592" t="s">
        <v>593</v>
      </c>
      <c r="C26" s="592" t="s">
        <v>373</v>
      </c>
      <c r="D26" s="585"/>
      <c r="E26" s="589" t="str">
        <f>Draft!$P35</f>
        <v>P</v>
      </c>
      <c r="F26" s="593">
        <f>Draft!$G$35</f>
        <v>28</v>
      </c>
      <c r="G26" s="584" t="s">
        <v>605</v>
      </c>
      <c r="H26" s="584"/>
      <c r="I26" s="584"/>
      <c r="J26" s="584"/>
      <c r="K26" s="584"/>
      <c r="M26" s="592" t="s">
        <v>593</v>
      </c>
      <c r="N26" s="592" t="s">
        <v>373</v>
      </c>
      <c r="O26" s="585"/>
      <c r="P26" s="589" t="str">
        <f>Draft!$P35</f>
        <v>P</v>
      </c>
      <c r="Q26" s="593">
        <f>Draft!$G$35</f>
        <v>28</v>
      </c>
      <c r="R26" s="584" t="s">
        <v>605</v>
      </c>
      <c r="S26" s="584"/>
      <c r="T26" s="584"/>
      <c r="U26" s="584"/>
      <c r="V26" s="584"/>
    </row>
    <row r="27" spans="2:22" ht="16.5" thickTop="1" x14ac:dyDescent="0.25">
      <c r="B27" s="588" t="s">
        <v>594</v>
      </c>
      <c r="C27" s="594">
        <f>Draft!$H$41</f>
        <v>7.7</v>
      </c>
      <c r="D27" s="595">
        <f>INT(C23*100)</f>
        <v>774</v>
      </c>
      <c r="E27" s="589"/>
      <c r="F27" s="584"/>
      <c r="G27" s="584"/>
      <c r="H27" s="584"/>
      <c r="I27" s="584"/>
      <c r="J27" s="584"/>
      <c r="K27" s="584"/>
      <c r="M27" s="588" t="s">
        <v>594</v>
      </c>
      <c r="N27" s="594">
        <f>Draft!$Z$41</f>
        <v>12.05</v>
      </c>
      <c r="O27" s="595">
        <f>INT(N23*100)</f>
        <v>1205</v>
      </c>
      <c r="P27" s="589"/>
      <c r="Q27" s="584"/>
      <c r="R27" s="584"/>
      <c r="S27" s="584"/>
      <c r="T27" s="584"/>
      <c r="U27" s="584"/>
      <c r="V27" s="584"/>
    </row>
    <row r="28" spans="2:22" ht="15.75" x14ac:dyDescent="0.25">
      <c r="B28" s="588" t="s">
        <v>595</v>
      </c>
      <c r="C28" s="594">
        <f>Draft!$H$42</f>
        <v>7.75</v>
      </c>
      <c r="D28" s="585"/>
      <c r="E28" s="589"/>
      <c r="F28" s="585"/>
      <c r="G28" s="584"/>
      <c r="H28" s="584"/>
      <c r="I28" s="584"/>
      <c r="J28" s="584"/>
      <c r="K28" s="584"/>
      <c r="M28" s="588" t="s">
        <v>595</v>
      </c>
      <c r="N28" s="594">
        <f>Draft!$Z$42</f>
        <v>12.1</v>
      </c>
      <c r="O28" s="585"/>
      <c r="P28" s="589"/>
      <c r="Q28" s="585"/>
      <c r="R28" s="584"/>
      <c r="S28" s="584"/>
      <c r="T28" s="584"/>
      <c r="U28" s="584"/>
      <c r="V28" s="584"/>
    </row>
    <row r="29" spans="2:22" ht="15.75" x14ac:dyDescent="0.25">
      <c r="B29" s="596" t="s">
        <v>596</v>
      </c>
      <c r="C29" s="597">
        <f>Draft!$J$41</f>
        <v>47739.5</v>
      </c>
      <c r="D29" s="598"/>
      <c r="E29" s="599" t="s">
        <v>597</v>
      </c>
      <c r="F29" s="5"/>
      <c r="G29" s="5"/>
      <c r="H29" s="584"/>
      <c r="I29" s="584"/>
      <c r="J29" s="584" t="s">
        <v>598</v>
      </c>
      <c r="K29" s="584"/>
      <c r="M29" s="596" t="s">
        <v>596</v>
      </c>
      <c r="N29" s="597">
        <f>Draft!$AB$41</f>
        <v>78769.600000000006</v>
      </c>
      <c r="O29" s="598"/>
      <c r="P29" s="599" t="s">
        <v>597</v>
      </c>
      <c r="Q29" s="5"/>
      <c r="R29" s="5"/>
      <c r="S29" s="584"/>
      <c r="T29" s="584"/>
      <c r="U29" s="584" t="s">
        <v>598</v>
      </c>
      <c r="V29" s="584"/>
    </row>
    <row r="30" spans="2:22" ht="15.75" x14ac:dyDescent="0.25">
      <c r="B30" s="600" t="s">
        <v>599</v>
      </c>
      <c r="C30" s="601">
        <f>Draft!$J$42</f>
        <v>48081</v>
      </c>
      <c r="D30" s="602">
        <f>IF(E30=0,K30,E30)</f>
        <v>48065.4</v>
      </c>
      <c r="E30" s="603">
        <v>0</v>
      </c>
      <c r="F30" s="5"/>
      <c r="G30" s="5"/>
      <c r="H30" s="584"/>
      <c r="I30" s="584"/>
      <c r="J30" s="584"/>
      <c r="K30" s="604">
        <f>ROUND((IF(E30=0,IF(C28=0,0,IF(C27=0,C30,IF(C24="m",(C23-C27)*(C30-C29)/(C28-C27)+C29,(E23-C27)*(C30-C29)/(C28-C27)+C29))),E30)),1)</f>
        <v>48065.4</v>
      </c>
      <c r="M30" s="600" t="s">
        <v>599</v>
      </c>
      <c r="N30" s="601">
        <f>Draft!$AB$42</f>
        <v>79136.800000000003</v>
      </c>
      <c r="O30" s="602">
        <f>IF(P30=0,V30,P30)</f>
        <v>78788.2</v>
      </c>
      <c r="P30" s="603">
        <v>0</v>
      </c>
      <c r="Q30" s="5"/>
      <c r="R30" s="5"/>
      <c r="S30" s="584"/>
      <c r="T30" s="584"/>
      <c r="U30" s="584"/>
      <c r="V30" s="604">
        <f>ROUND((IF(P30=0,IF(N28=0,0,IF(N27=0,N30,IF(N24="m",(N23-N27)*(N30-N29)/(N28-N27)+N29,(P23-N27)*(N30-N29)/(N28-N27)+N29))),P30)),1)</f>
        <v>78788.2</v>
      </c>
    </row>
    <row r="31" spans="2:22" ht="15.75" x14ac:dyDescent="0.25">
      <c r="B31" s="596" t="s">
        <v>600</v>
      </c>
      <c r="C31" s="605">
        <f>Draft!$J$45</f>
        <v>68.2</v>
      </c>
      <c r="D31" s="606"/>
      <c r="E31" s="293"/>
      <c r="F31" s="5"/>
      <c r="G31" s="5"/>
      <c r="H31" s="584"/>
      <c r="I31" s="584"/>
      <c r="J31" s="584" t="s">
        <v>145</v>
      </c>
      <c r="K31" s="584"/>
      <c r="M31" s="596" t="s">
        <v>600</v>
      </c>
      <c r="N31" s="605">
        <f>Draft!$AB$45</f>
        <v>73.400000000000006</v>
      </c>
      <c r="O31" s="606"/>
      <c r="P31" s="293"/>
      <c r="Q31" s="5"/>
      <c r="R31" s="5"/>
      <c r="S31" s="584"/>
      <c r="T31" s="584"/>
      <c r="U31" s="584" t="s">
        <v>145</v>
      </c>
      <c r="V31" s="584"/>
    </row>
    <row r="32" spans="2:22" ht="15.75" x14ac:dyDescent="0.25">
      <c r="B32" s="588" t="s">
        <v>601</v>
      </c>
      <c r="C32" s="605">
        <f>Draft!$J$46</f>
        <v>68.3</v>
      </c>
      <c r="D32" s="607">
        <f>IF(E32=0,K32,E32)</f>
        <v>68.295400000000001</v>
      </c>
      <c r="E32" s="608">
        <v>0</v>
      </c>
      <c r="F32" s="5"/>
      <c r="G32" s="5"/>
      <c r="H32" s="584"/>
      <c r="I32" s="584"/>
      <c r="J32" s="584"/>
      <c r="K32" s="609">
        <f>ROUND((IF(E32=0,IF(C28=0,0,IF(C27=0,C32,IF(C24="m",(C23-C27)*(C32-C31)/(C28-C27)+C31,(E23-C27)*(C32-C31)/(C28-C27)+C31))),E32)),4)</f>
        <v>68.295400000000001</v>
      </c>
      <c r="M32" s="588" t="s">
        <v>601</v>
      </c>
      <c r="N32" s="605">
        <f>Draft!$AB$46</f>
        <v>73.5</v>
      </c>
      <c r="O32" s="607">
        <f>IF(P32=0,V32,P32)</f>
        <v>73.405100000000004</v>
      </c>
      <c r="P32" s="608">
        <v>0</v>
      </c>
      <c r="Q32" s="5"/>
      <c r="R32" s="5"/>
      <c r="S32" s="584"/>
      <c r="T32" s="584"/>
      <c r="U32" s="584"/>
      <c r="V32" s="609">
        <f>ROUND((IF(P32=0,IF(N28=0,0,IF(N27=0,N32,IF(N24="m",(N23-N27)*(N32-N31)/(N28-N27)+N31,(P23-N27)*(N32-N31)/(N28-N27)+N31))),P32)),4)</f>
        <v>73.405100000000004</v>
      </c>
    </row>
    <row r="33" spans="2:22" ht="15.75" x14ac:dyDescent="0.25">
      <c r="B33" s="610" t="s">
        <v>602</v>
      </c>
      <c r="C33" s="611">
        <f>Draft!$J$49</f>
        <v>105.946</v>
      </c>
      <c r="D33" s="612"/>
      <c r="E33" s="293"/>
      <c r="F33" s="5"/>
      <c r="G33" s="5"/>
      <c r="H33" s="584"/>
      <c r="I33" s="584"/>
      <c r="J33" s="584" t="s">
        <v>294</v>
      </c>
      <c r="K33" s="609">
        <f>IF(F21*0.75&gt;K34,K34,F21-K34)</f>
        <v>-2.6216000000000008</v>
      </c>
      <c r="M33" s="610" t="s">
        <v>602</v>
      </c>
      <c r="N33" s="611">
        <f>Draft!$AB$49</f>
        <v>100.06100000000001</v>
      </c>
      <c r="O33" s="612"/>
      <c r="P33" s="293"/>
      <c r="Q33" s="5"/>
      <c r="R33" s="5"/>
      <c r="S33" s="584"/>
      <c r="T33" s="584"/>
      <c r="U33" s="584" t="s">
        <v>294</v>
      </c>
      <c r="V33" s="609">
        <f>IF(Q21*0.75&gt;V34,V34,Q21-V34)</f>
        <v>3.190100000000001</v>
      </c>
    </row>
    <row r="34" spans="2:22" ht="15.75" x14ac:dyDescent="0.25">
      <c r="B34" s="613" t="s">
        <v>603</v>
      </c>
      <c r="C34" s="614">
        <f>Draft!$J$50</f>
        <v>105.86799999999999</v>
      </c>
      <c r="D34" s="607">
        <f>IF(E34=0,K33,E34)</f>
        <v>-2.6216000000000008</v>
      </c>
      <c r="E34" s="608">
        <v>0</v>
      </c>
      <c r="F34" s="5"/>
      <c r="G34" s="5"/>
      <c r="H34" s="584"/>
      <c r="I34" s="584"/>
      <c r="J34" s="584"/>
      <c r="K34" s="584">
        <f>ROUND((IF(E34=0,IF(C28=0,0,IF(C27=0,C34,IF(C24="m",(C23-C27)*(C34-C33)/(C28-C27)+C33,(E23-C27)*(C34-C33)/(C28-C27)+C33))),E34)),4)</f>
        <v>105.8716</v>
      </c>
      <c r="M34" s="613" t="s">
        <v>603</v>
      </c>
      <c r="N34" s="614">
        <f>Draft!$AB$50</f>
        <v>100.04</v>
      </c>
      <c r="O34" s="607">
        <f>IF(P34=0,V33,P34)</f>
        <v>3.190100000000001</v>
      </c>
      <c r="P34" s="608">
        <v>0</v>
      </c>
      <c r="Q34" s="5"/>
      <c r="R34" s="5"/>
      <c r="S34" s="584"/>
      <c r="T34" s="584"/>
      <c r="U34" s="584"/>
      <c r="V34" s="584">
        <f>ROUND((IF(P34=0,IF(N28=0,0,IF(N27=0,N34,IF(N24="m",(N23-N27)*(N34-N33)/(N28-N27)+N33,(P23-N27)*(N34-N33)/(N28-N27)+N33))),P34)),4)</f>
        <v>100.0599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M37"/>
  <sheetViews>
    <sheetView zoomScaleNormal="100" workbookViewId="0">
      <selection activeCell="L9" sqref="L9:M10"/>
    </sheetView>
  </sheetViews>
  <sheetFormatPr defaultColWidth="9.140625" defaultRowHeight="12.75" x14ac:dyDescent="0.2"/>
  <cols>
    <col min="1" max="1" width="20" style="95" bestFit="1" customWidth="1"/>
    <col min="2" max="8" width="13.7109375" style="95" customWidth="1"/>
    <col min="9" max="16384" width="9.140625" style="95"/>
  </cols>
  <sheetData>
    <row r="2" spans="1:13" x14ac:dyDescent="0.2">
      <c r="A2" s="95" t="str">
        <f>Relato!A166</f>
        <v>PGUA/DS/090/26</v>
      </c>
    </row>
    <row r="4" spans="1:13" ht="15.75" x14ac:dyDescent="0.25">
      <c r="A4" s="627" t="s">
        <v>336</v>
      </c>
      <c r="B4" s="1133" t="str">
        <f>CAPA!$B$8</f>
        <v>SDM QUANZHOU</v>
      </c>
      <c r="C4" s="1133"/>
      <c r="D4" s="1133"/>
      <c r="E4" s="18"/>
      <c r="F4" s="18"/>
      <c r="G4" s="18"/>
      <c r="H4" s="18"/>
      <c r="I4" s="18"/>
      <c r="J4" s="18"/>
      <c r="K4" s="628"/>
      <c r="L4" s="628"/>
      <c r="M4" s="628"/>
    </row>
    <row r="5" spans="1:13" ht="15.75" x14ac:dyDescent="0.25">
      <c r="A5" s="627" t="s">
        <v>337</v>
      </c>
      <c r="B5" s="1133" t="str">
        <f>CAPA!$A$41</f>
        <v>BRAZILIAN PORT AGENTS</v>
      </c>
      <c r="C5" s="1133"/>
      <c r="D5" s="1133"/>
      <c r="E5" s="18"/>
      <c r="F5" s="18"/>
      <c r="G5" s="18"/>
      <c r="H5" s="18"/>
      <c r="I5" s="18"/>
      <c r="J5" s="18"/>
      <c r="K5" s="628"/>
      <c r="L5" s="628"/>
      <c r="M5" s="628"/>
    </row>
    <row r="6" spans="1:13" ht="15.75" x14ac:dyDescent="0.25">
      <c r="A6" s="627" t="s">
        <v>338</v>
      </c>
      <c r="B6" s="1133" t="str">
        <f>CAPA!$A$43</f>
        <v>TIBAGI SERVIÇOS MARÍTIMOS LTDA.</v>
      </c>
      <c r="C6" s="1133"/>
      <c r="D6" s="1133"/>
      <c r="E6" s="18"/>
      <c r="F6" s="18"/>
      <c r="G6" s="18"/>
      <c r="H6" s="18"/>
      <c r="I6" s="18"/>
      <c r="J6" s="18"/>
      <c r="K6" s="628"/>
      <c r="L6" s="628"/>
      <c r="M6" s="628"/>
    </row>
    <row r="7" spans="1:13" ht="15.75" x14ac:dyDescent="0.25">
      <c r="A7" s="627" t="s">
        <v>339</v>
      </c>
      <c r="B7" s="1134">
        <f>Draft!$X$4</f>
        <v>46106</v>
      </c>
      <c r="C7" s="1134"/>
      <c r="D7" s="1134"/>
      <c r="E7" s="18"/>
      <c r="F7" s="18"/>
      <c r="G7" s="18"/>
      <c r="H7" s="18"/>
      <c r="I7" s="18"/>
      <c r="J7" s="18"/>
      <c r="K7" s="628"/>
      <c r="L7" s="1136" t="s">
        <v>291</v>
      </c>
      <c r="M7" s="1137"/>
    </row>
    <row r="8" spans="1:13" ht="15.75" x14ac:dyDescent="0.25">
      <c r="A8" s="627" t="s">
        <v>340</v>
      </c>
      <c r="B8" s="1135">
        <f>($H$27)</f>
        <v>62200</v>
      </c>
      <c r="C8" s="1135"/>
      <c r="D8" s="1135"/>
      <c r="E8" s="18"/>
      <c r="F8" s="18"/>
      <c r="G8" s="18"/>
      <c r="H8" s="18"/>
      <c r="I8" s="18"/>
      <c r="J8" s="18"/>
      <c r="K8" s="628"/>
      <c r="L8" s="1138"/>
      <c r="M8" s="1139"/>
    </row>
    <row r="9" spans="1:13" ht="15.75" x14ac:dyDescent="0.25">
      <c r="A9" s="627" t="s">
        <v>341</v>
      </c>
      <c r="B9" s="1135">
        <f>IF($L$9="SIM",Draft!$AF$77,Draft!$Z$77)</f>
        <v>62201.107873907233</v>
      </c>
      <c r="C9" s="1135"/>
      <c r="D9" s="1135"/>
      <c r="E9" s="18"/>
      <c r="F9" s="18"/>
      <c r="G9" s="18"/>
      <c r="H9" s="18"/>
      <c r="I9" s="18"/>
      <c r="J9" s="18"/>
      <c r="K9" s="628"/>
      <c r="L9" s="1140" t="s">
        <v>327</v>
      </c>
      <c r="M9" s="1141"/>
    </row>
    <row r="10" spans="1:13" ht="15.75" x14ac:dyDescent="0.25">
      <c r="A10" s="627" t="s">
        <v>342</v>
      </c>
      <c r="B10" s="1135">
        <f>(-$B$8+$B$9)</f>
        <v>1.1078739072327153</v>
      </c>
      <c r="C10" s="1135"/>
      <c r="D10" s="1135"/>
      <c r="E10" s="18"/>
      <c r="F10" s="18"/>
      <c r="G10" s="18"/>
      <c r="H10" s="18"/>
      <c r="I10" s="18"/>
      <c r="J10" s="18"/>
      <c r="K10" s="628"/>
      <c r="L10" s="1142"/>
      <c r="M10" s="1143"/>
    </row>
    <row r="11" spans="1:13" ht="15.75" x14ac:dyDescent="0.25">
      <c r="A11" s="627" t="s">
        <v>343</v>
      </c>
      <c r="B11" s="1144">
        <f>($B$10/$B$8)</f>
        <v>1.781147760824301E-5</v>
      </c>
      <c r="C11" s="1144"/>
      <c r="D11" s="1144"/>
      <c r="E11" s="18"/>
      <c r="F11" s="18"/>
      <c r="G11" s="18"/>
      <c r="H11" s="18"/>
      <c r="I11" s="18"/>
      <c r="J11" s="18"/>
      <c r="K11" s="628"/>
      <c r="L11" s="628"/>
      <c r="M11" s="628"/>
    </row>
    <row r="12" spans="1:13" ht="15.75" x14ac:dyDescent="0.25">
      <c r="A12" s="627" t="s">
        <v>344</v>
      </c>
      <c r="B12" s="1145" t="s">
        <v>345</v>
      </c>
      <c r="C12" s="1145"/>
      <c r="D12" s="1145"/>
      <c r="E12" s="18"/>
      <c r="F12" s="18"/>
      <c r="G12" s="18"/>
      <c r="H12" s="18"/>
      <c r="I12" s="18"/>
      <c r="J12" s="18"/>
      <c r="K12" s="628"/>
      <c r="L12" s="628"/>
      <c r="M12" s="628"/>
    </row>
    <row r="13" spans="1:13" ht="15.75" x14ac:dyDescent="0.25">
      <c r="A13" s="18"/>
      <c r="B13" s="18"/>
      <c r="C13" s="18"/>
      <c r="D13" s="18"/>
      <c r="E13" s="18"/>
      <c r="F13" s="18"/>
      <c r="G13" s="18"/>
      <c r="H13" s="18"/>
      <c r="I13" s="18"/>
      <c r="J13" s="18"/>
      <c r="K13" s="628"/>
      <c r="L13" s="628"/>
      <c r="M13" s="628"/>
    </row>
    <row r="14" spans="1:13" ht="15.75" x14ac:dyDescent="0.25">
      <c r="A14" s="627" t="s">
        <v>346</v>
      </c>
      <c r="B14" s="709">
        <v>1</v>
      </c>
      <c r="C14" s="709">
        <v>2</v>
      </c>
      <c r="D14" s="709">
        <v>3</v>
      </c>
      <c r="E14" s="709">
        <v>4</v>
      </c>
      <c r="F14" s="709">
        <v>5</v>
      </c>
      <c r="G14" s="709">
        <v>6</v>
      </c>
      <c r="H14" s="709" t="s">
        <v>24</v>
      </c>
      <c r="I14" s="18"/>
      <c r="J14" s="18"/>
      <c r="K14" s="1131" t="s">
        <v>752</v>
      </c>
      <c r="L14" s="1131"/>
      <c r="M14" s="628"/>
    </row>
    <row r="15" spans="1:13" ht="15.75" customHeight="1" x14ac:dyDescent="0.25">
      <c r="A15" s="627" t="s">
        <v>347</v>
      </c>
      <c r="B15" s="710" t="s">
        <v>810</v>
      </c>
      <c r="C15" s="710" t="s">
        <v>810</v>
      </c>
      <c r="D15" s="710" t="s">
        <v>810</v>
      </c>
      <c r="E15" s="710" t="s">
        <v>810</v>
      </c>
      <c r="F15" s="710" t="s">
        <v>810</v>
      </c>
      <c r="G15" s="710" t="s">
        <v>810</v>
      </c>
      <c r="H15" s="710"/>
      <c r="I15" s="18"/>
      <c r="J15" s="18"/>
      <c r="K15" s="1132"/>
      <c r="L15" s="1132"/>
      <c r="M15" s="628"/>
    </row>
    <row r="16" spans="1:13" ht="15.75" x14ac:dyDescent="0.25">
      <c r="A16" s="627" t="s">
        <v>348</v>
      </c>
      <c r="B16" s="722"/>
      <c r="C16" s="722"/>
      <c r="D16" s="722"/>
      <c r="E16" s="722"/>
      <c r="F16" s="722"/>
      <c r="G16" s="722"/>
      <c r="H16" s="710">
        <f t="shared" ref="H16:H26" si="0">SUM(B16:G16)</f>
        <v>0</v>
      </c>
      <c r="I16" s="18"/>
      <c r="J16" s="18"/>
      <c r="K16" s="720" t="s">
        <v>756</v>
      </c>
      <c r="L16" s="721" t="s">
        <v>761</v>
      </c>
      <c r="M16" s="628"/>
    </row>
    <row r="17" spans="1:13" ht="15.75" x14ac:dyDescent="0.25">
      <c r="A17" s="627" t="s">
        <v>349</v>
      </c>
      <c r="B17" s="722"/>
      <c r="C17" s="722"/>
      <c r="D17" s="722"/>
      <c r="E17" s="722"/>
      <c r="F17" s="722"/>
      <c r="G17" s="722"/>
      <c r="H17" s="710">
        <f t="shared" si="0"/>
        <v>0</v>
      </c>
      <c r="I17" s="18"/>
      <c r="J17" s="18" t="s">
        <v>753</v>
      </c>
      <c r="K17" s="720"/>
      <c r="L17" s="720">
        <f>K17*35.15</f>
        <v>0</v>
      </c>
      <c r="M17" s="628"/>
    </row>
    <row r="18" spans="1:13" ht="15.75" x14ac:dyDescent="0.25">
      <c r="A18" s="723" t="s">
        <v>766</v>
      </c>
      <c r="B18" s="722">
        <v>556.14</v>
      </c>
      <c r="C18" s="722"/>
      <c r="D18" s="722">
        <v>941.46</v>
      </c>
      <c r="E18" s="722"/>
      <c r="F18" s="722"/>
      <c r="G18" s="722">
        <v>702.4</v>
      </c>
      <c r="H18" s="710">
        <f t="shared" si="0"/>
        <v>2200</v>
      </c>
      <c r="I18" s="18"/>
      <c r="J18" s="18" t="s">
        <v>754</v>
      </c>
      <c r="K18" s="720"/>
      <c r="L18" s="720">
        <f t="shared" ref="L18:L23" si="1">K18*35.15</f>
        <v>0</v>
      </c>
      <c r="M18" s="628"/>
    </row>
    <row r="19" spans="1:13" ht="15.75" x14ac:dyDescent="0.25">
      <c r="A19" s="627" t="s">
        <v>351</v>
      </c>
      <c r="B19" s="722"/>
      <c r="C19" s="722"/>
      <c r="D19" s="722"/>
      <c r="E19" s="722"/>
      <c r="F19" s="722"/>
      <c r="G19" s="722"/>
      <c r="H19" s="710">
        <f t="shared" si="0"/>
        <v>0</v>
      </c>
      <c r="I19" s="18"/>
      <c r="J19" s="18" t="s">
        <v>755</v>
      </c>
      <c r="K19" s="720"/>
      <c r="L19" s="720">
        <f t="shared" si="1"/>
        <v>0</v>
      </c>
      <c r="M19" s="628"/>
    </row>
    <row r="20" spans="1:13" ht="15.75" x14ac:dyDescent="0.25">
      <c r="A20" s="627" t="s">
        <v>352</v>
      </c>
      <c r="B20" s="722"/>
      <c r="C20" s="722"/>
      <c r="D20" s="722"/>
      <c r="E20" s="722"/>
      <c r="F20" s="722"/>
      <c r="G20" s="722"/>
      <c r="H20" s="710">
        <f t="shared" si="0"/>
        <v>0</v>
      </c>
      <c r="I20" s="18"/>
      <c r="J20" s="18" t="s">
        <v>757</v>
      </c>
      <c r="K20" s="720"/>
      <c r="L20" s="720">
        <f t="shared" si="1"/>
        <v>0</v>
      </c>
      <c r="M20" s="628"/>
    </row>
    <row r="21" spans="1:13" ht="15.75" x14ac:dyDescent="0.25">
      <c r="A21" s="627" t="s">
        <v>769</v>
      </c>
      <c r="B21" s="722"/>
      <c r="C21" s="722"/>
      <c r="D21" s="722"/>
      <c r="E21" s="722"/>
      <c r="F21" s="722"/>
      <c r="G21" s="722"/>
      <c r="H21" s="710">
        <f t="shared" si="0"/>
        <v>0</v>
      </c>
      <c r="I21" s="18"/>
      <c r="J21" s="18" t="s">
        <v>758</v>
      </c>
      <c r="K21" s="720"/>
      <c r="L21" s="720">
        <f t="shared" si="1"/>
        <v>0</v>
      </c>
      <c r="M21" s="628"/>
    </row>
    <row r="22" spans="1:13" ht="15.75" x14ac:dyDescent="0.25">
      <c r="A22" s="627" t="s">
        <v>770</v>
      </c>
      <c r="B22" s="722"/>
      <c r="C22" s="722"/>
      <c r="D22" s="722"/>
      <c r="E22" s="722"/>
      <c r="F22" s="722"/>
      <c r="G22" s="722"/>
      <c r="H22" s="710">
        <f t="shared" si="0"/>
        <v>0</v>
      </c>
      <c r="I22" s="18"/>
      <c r="J22" s="18" t="s">
        <v>759</v>
      </c>
      <c r="K22" s="720"/>
      <c r="L22" s="720">
        <f t="shared" si="1"/>
        <v>0</v>
      </c>
      <c r="M22" s="628"/>
    </row>
    <row r="23" spans="1:13" ht="15.75" x14ac:dyDescent="0.25">
      <c r="A23" s="627" t="s">
        <v>355</v>
      </c>
      <c r="B23" s="722"/>
      <c r="C23" s="722"/>
      <c r="D23" s="722"/>
      <c r="E23" s="722"/>
      <c r="F23" s="722"/>
      <c r="G23" s="722"/>
      <c r="H23" s="710">
        <f t="shared" si="0"/>
        <v>0</v>
      </c>
      <c r="I23" s="18"/>
      <c r="J23" s="18" t="s">
        <v>760</v>
      </c>
      <c r="K23" s="720"/>
      <c r="L23" s="720">
        <f t="shared" si="1"/>
        <v>0</v>
      </c>
      <c r="M23" s="628"/>
    </row>
    <row r="24" spans="1:13" ht="15.75" x14ac:dyDescent="0.25">
      <c r="A24" s="723" t="s">
        <v>356</v>
      </c>
      <c r="B24" s="722"/>
      <c r="C24" s="722"/>
      <c r="D24" s="722"/>
      <c r="E24" s="722">
        <v>10603.06</v>
      </c>
      <c r="F24" s="722">
        <v>1692.7850000000001</v>
      </c>
      <c r="G24" s="722">
        <v>9704.1550000000007</v>
      </c>
      <c r="H24" s="710">
        <f t="shared" si="0"/>
        <v>22000</v>
      </c>
      <c r="I24" s="18"/>
      <c r="J24" s="18"/>
      <c r="K24" s="628"/>
      <c r="L24" s="628"/>
      <c r="M24" s="628"/>
    </row>
    <row r="25" spans="1:13" ht="15.75" x14ac:dyDescent="0.25">
      <c r="A25" s="627" t="s">
        <v>765</v>
      </c>
      <c r="B25" s="722"/>
      <c r="C25" s="722"/>
      <c r="D25" s="722"/>
      <c r="E25" s="722"/>
      <c r="F25" s="722"/>
      <c r="G25" s="722"/>
      <c r="H25" s="710">
        <f t="shared" si="0"/>
        <v>0</v>
      </c>
      <c r="I25" s="18"/>
      <c r="J25" s="18"/>
      <c r="K25" s="628"/>
      <c r="L25" s="628"/>
      <c r="M25" s="628"/>
    </row>
    <row r="26" spans="1:13" ht="15.75" x14ac:dyDescent="0.25">
      <c r="A26" s="723" t="s">
        <v>358</v>
      </c>
      <c r="B26" s="722">
        <v>9788.6049999999996</v>
      </c>
      <c r="C26" s="722">
        <v>11849.88</v>
      </c>
      <c r="D26" s="722">
        <v>7661.6149999999998</v>
      </c>
      <c r="E26" s="722"/>
      <c r="F26" s="722">
        <v>8699.9</v>
      </c>
      <c r="G26" s="722"/>
      <c r="H26" s="710">
        <f t="shared" si="0"/>
        <v>38000</v>
      </c>
      <c r="I26" s="18"/>
      <c r="J26" s="18"/>
      <c r="K26" s="628"/>
      <c r="L26" s="628"/>
      <c r="M26" s="628"/>
    </row>
    <row r="27" spans="1:13" ht="15.75" x14ac:dyDescent="0.25">
      <c r="A27" s="627" t="s">
        <v>24</v>
      </c>
      <c r="B27" s="710">
        <f t="shared" ref="B27:G27" si="2">SUM(B16:B26)</f>
        <v>10344.744999999999</v>
      </c>
      <c r="C27" s="710">
        <f t="shared" si="2"/>
        <v>11849.88</v>
      </c>
      <c r="D27" s="710">
        <f t="shared" si="2"/>
        <v>8603.0750000000007</v>
      </c>
      <c r="E27" s="710">
        <f t="shared" si="2"/>
        <v>10603.06</v>
      </c>
      <c r="F27" s="710">
        <f t="shared" si="2"/>
        <v>10392.684999999999</v>
      </c>
      <c r="G27" s="710">
        <f t="shared" si="2"/>
        <v>10406.555</v>
      </c>
      <c r="H27" s="710">
        <f>SUM(H15:H26)</f>
        <v>62200</v>
      </c>
      <c r="I27" s="18"/>
      <c r="J27" s="18"/>
      <c r="K27" s="628"/>
      <c r="L27" s="628"/>
      <c r="M27" s="628"/>
    </row>
    <row r="28" spans="1:13" ht="15.75" x14ac:dyDescent="0.25">
      <c r="A28" s="627" t="s">
        <v>359</v>
      </c>
      <c r="B28" s="711">
        <v>777893</v>
      </c>
      <c r="C28" s="711">
        <v>857277</v>
      </c>
      <c r="D28" s="711">
        <v>635809</v>
      </c>
      <c r="E28" s="711">
        <v>779232</v>
      </c>
      <c r="F28" s="711">
        <v>778204</v>
      </c>
      <c r="G28" s="711">
        <v>805043</v>
      </c>
      <c r="H28" s="709"/>
      <c r="I28" s="18"/>
      <c r="J28" s="18"/>
      <c r="K28" s="628"/>
      <c r="L28" s="628"/>
      <c r="M28" s="628"/>
    </row>
    <row r="29" spans="1:13" ht="15.75" x14ac:dyDescent="0.25">
      <c r="A29" s="627" t="s">
        <v>360</v>
      </c>
      <c r="B29" s="712">
        <f>(B28/B27)</f>
        <v>75.196923655440528</v>
      </c>
      <c r="C29" s="712">
        <f t="shared" ref="C29:G29" si="3">(C28/C27)</f>
        <v>72.34478323831128</v>
      </c>
      <c r="D29" s="712">
        <f t="shared" si="3"/>
        <v>73.904853787744486</v>
      </c>
      <c r="E29" s="712">
        <f t="shared" si="3"/>
        <v>73.491237435230971</v>
      </c>
      <c r="F29" s="712">
        <f t="shared" si="3"/>
        <v>74.879975675198466</v>
      </c>
      <c r="G29" s="712">
        <f t="shared" si="3"/>
        <v>77.359222144119741</v>
      </c>
      <c r="H29" s="709"/>
      <c r="I29" s="18"/>
      <c r="J29" s="18"/>
      <c r="K29" s="628"/>
      <c r="L29" s="628"/>
      <c r="M29" s="628"/>
    </row>
    <row r="30" spans="1:13" ht="15.75" x14ac:dyDescent="0.25">
      <c r="A30" s="713" t="s">
        <v>361</v>
      </c>
      <c r="B30" s="711" t="s">
        <v>801</v>
      </c>
      <c r="C30" s="711" t="s">
        <v>801</v>
      </c>
      <c r="D30" s="711" t="s">
        <v>801</v>
      </c>
      <c r="E30" s="711" t="s">
        <v>801</v>
      </c>
      <c r="F30" s="711" t="s">
        <v>801</v>
      </c>
      <c r="G30" s="711" t="s">
        <v>801</v>
      </c>
      <c r="H30" s="711"/>
      <c r="I30" s="18"/>
      <c r="J30" s="18"/>
      <c r="K30" s="628"/>
      <c r="L30" s="628"/>
      <c r="M30" s="628"/>
    </row>
    <row r="31" spans="1:13" ht="15.75" x14ac:dyDescent="0.25">
      <c r="A31" s="18"/>
      <c r="B31" s="18"/>
      <c r="C31" s="18"/>
      <c r="D31" s="18"/>
      <c r="E31" s="18"/>
      <c r="F31" s="18"/>
      <c r="G31" s="18"/>
      <c r="H31" s="18"/>
      <c r="I31" s="18"/>
      <c r="J31" s="18"/>
      <c r="K31" s="628"/>
      <c r="L31" s="628"/>
      <c r="M31" s="628"/>
    </row>
    <row r="32" spans="1:13" ht="15.75" x14ac:dyDescent="0.25">
      <c r="A32" s="714" t="s">
        <v>362</v>
      </c>
      <c r="B32" s="715"/>
      <c r="C32" s="715"/>
      <c r="D32" s="715"/>
      <c r="E32" s="715"/>
      <c r="F32" s="715"/>
      <c r="G32" s="715"/>
      <c r="H32" s="716"/>
      <c r="I32" s="18"/>
      <c r="J32" s="18"/>
      <c r="K32" s="628"/>
      <c r="L32" s="628"/>
      <c r="M32" s="628"/>
    </row>
    <row r="33" spans="1:13" ht="15.75" x14ac:dyDescent="0.25">
      <c r="A33" s="717"/>
      <c r="B33" s="718"/>
      <c r="C33" s="718"/>
      <c r="D33" s="718"/>
      <c r="E33" s="718"/>
      <c r="F33" s="718"/>
      <c r="G33" s="718"/>
      <c r="H33" s="719"/>
      <c r="I33" s="18"/>
      <c r="J33" s="18"/>
      <c r="K33" s="628"/>
      <c r="L33" s="628"/>
      <c r="M33" s="628"/>
    </row>
    <row r="34" spans="1:13" ht="15.75" x14ac:dyDescent="0.25">
      <c r="A34" s="628"/>
      <c r="B34" s="628"/>
      <c r="C34" s="628"/>
      <c r="D34" s="628"/>
      <c r="E34" s="628"/>
      <c r="F34" s="628"/>
      <c r="G34" s="628"/>
      <c r="H34" s="628"/>
      <c r="I34" s="628"/>
      <c r="J34" s="628"/>
      <c r="K34" s="628"/>
      <c r="L34" s="628"/>
      <c r="M34" s="628"/>
    </row>
    <row r="35" spans="1:13" ht="15.75" x14ac:dyDescent="0.25">
      <c r="A35" s="628"/>
      <c r="B35" s="628"/>
      <c r="C35" s="628"/>
      <c r="D35" s="628"/>
      <c r="E35" s="628"/>
      <c r="F35" s="628"/>
      <c r="G35" s="628"/>
      <c r="H35" s="628"/>
      <c r="I35" s="628"/>
      <c r="J35" s="628"/>
      <c r="K35" s="628"/>
      <c r="L35" s="628"/>
      <c r="M35" s="628"/>
    </row>
    <row r="36" spans="1:13" ht="15.75" x14ac:dyDescent="0.25">
      <c r="A36" s="628"/>
      <c r="B36" s="628"/>
      <c r="C36" s="628"/>
      <c r="D36" s="628"/>
      <c r="E36" s="628"/>
      <c r="F36" s="628"/>
      <c r="G36" s="628"/>
      <c r="H36" s="628"/>
      <c r="I36" s="628"/>
      <c r="J36" s="628"/>
      <c r="K36" s="628"/>
      <c r="L36" s="628"/>
      <c r="M36" s="628"/>
    </row>
    <row r="37" spans="1:13" ht="15.75" x14ac:dyDescent="0.25">
      <c r="A37" s="628"/>
      <c r="B37" s="628"/>
      <c r="C37" s="628"/>
      <c r="D37" s="628"/>
      <c r="E37" s="628"/>
      <c r="F37" s="628"/>
      <c r="G37" s="628"/>
      <c r="H37" s="628"/>
      <c r="I37" s="628"/>
      <c r="J37" s="628"/>
      <c r="K37" s="628"/>
      <c r="L37" s="628"/>
      <c r="M37" s="628"/>
    </row>
  </sheetData>
  <mergeCells count="12">
    <mergeCell ref="K14:L15"/>
    <mergeCell ref="B4:D4"/>
    <mergeCell ref="B5:D5"/>
    <mergeCell ref="B6:D6"/>
    <mergeCell ref="B7:D7"/>
    <mergeCell ref="B8:D8"/>
    <mergeCell ref="L7:M8"/>
    <mergeCell ref="L9:M10"/>
    <mergeCell ref="B10:D10"/>
    <mergeCell ref="B11:D11"/>
    <mergeCell ref="B12:D12"/>
    <mergeCell ref="B9:D9"/>
  </mergeCells>
  <conditionalFormatting sqref="B28:G28 B15:G15 B30:G30">
    <cfRule type="cellIs" dxfId="35" priority="1" operator="equal">
      <formula>0</formula>
    </cfRule>
  </conditionalFormatting>
  <dataValidations count="1">
    <dataValidation type="list" allowBlank="1" showInputMessage="1" showErrorMessage="1" sqref="L9:M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363</v>
      </c>
      <c r="E1" s="96"/>
      <c r="F1" s="96"/>
      <c r="G1" s="97"/>
      <c r="H1" s="96"/>
      <c r="K1" s="96" t="s">
        <v>119</v>
      </c>
      <c r="L1" s="96"/>
      <c r="M1" s="96"/>
      <c r="N1" s="96" t="s">
        <v>363</v>
      </c>
      <c r="O1" s="96"/>
      <c r="P1" s="96"/>
      <c r="Q1" s="97"/>
      <c r="R1" s="96"/>
    </row>
    <row r="2" spans="1:18" s="106" customFormat="1" ht="12.75" customHeight="1" thickBot="1" x14ac:dyDescent="0.3">
      <c r="A2" s="99" t="s">
        <v>364</v>
      </c>
      <c r="B2" s="100" t="s">
        <v>365</v>
      </c>
      <c r="C2" s="101" t="s">
        <v>366</v>
      </c>
      <c r="D2" s="102" t="s">
        <v>367</v>
      </c>
      <c r="E2" s="102"/>
      <c r="F2" s="103" t="s">
        <v>368</v>
      </c>
      <c r="G2" s="104" t="s">
        <v>369</v>
      </c>
      <c r="H2" s="105" t="s">
        <v>370</v>
      </c>
      <c r="K2" s="99" t="s">
        <v>364</v>
      </c>
      <c r="L2" s="100" t="s">
        <v>365</v>
      </c>
      <c r="M2" s="101" t="s">
        <v>366</v>
      </c>
      <c r="N2" s="102" t="s">
        <v>367</v>
      </c>
      <c r="O2" s="102"/>
      <c r="P2" s="103" t="s">
        <v>368</v>
      </c>
      <c r="Q2" s="104" t="s">
        <v>369</v>
      </c>
      <c r="R2" s="105" t="s">
        <v>370</v>
      </c>
    </row>
    <row r="3" spans="1:18" s="106" customFormat="1" ht="12.75" customHeight="1" thickTop="1" thickBot="1" x14ac:dyDescent="0.3">
      <c r="A3" s="107"/>
      <c r="B3" s="108" t="s">
        <v>371</v>
      </c>
      <c r="C3" s="109" t="s">
        <v>372</v>
      </c>
      <c r="D3" s="110">
        <v>1</v>
      </c>
      <c r="E3" s="110">
        <v>2</v>
      </c>
      <c r="F3" s="111">
        <f>Draft!$P$29</f>
        <v>0.11350000000000016</v>
      </c>
      <c r="G3" s="112"/>
      <c r="H3" s="113" t="s">
        <v>373</v>
      </c>
      <c r="I3" s="114"/>
      <c r="K3" s="107"/>
      <c r="L3" s="108" t="s">
        <v>371</v>
      </c>
      <c r="M3" s="109" t="s">
        <v>372</v>
      </c>
      <c r="N3" s="110">
        <v>1</v>
      </c>
      <c r="O3" s="110">
        <v>2</v>
      </c>
      <c r="P3" s="111">
        <f>Draft!$AH$29</f>
        <v>0.15470000000000006</v>
      </c>
      <c r="Q3" s="112"/>
      <c r="R3" s="113" t="s">
        <v>373</v>
      </c>
    </row>
    <row r="4" spans="1:18" ht="12.75" customHeight="1" thickTop="1" thickBot="1" x14ac:dyDescent="0.3">
      <c r="A4" s="115" t="str">
        <f>Relato!$A$222</f>
        <v>F.PK</v>
      </c>
      <c r="B4" s="1146">
        <f>Relato!$G$222</f>
        <v>15.69</v>
      </c>
      <c r="C4" s="116">
        <f>ROUNDDOWN(B4,1)</f>
        <v>15.6</v>
      </c>
      <c r="D4" s="117"/>
      <c r="E4" s="117"/>
      <c r="F4" s="118">
        <f>IF(E4="",D4,ROUND((((E6-D6)/($E$3-$D$3))*($F$3-$D$3))+D6,1))</f>
        <v>0</v>
      </c>
      <c r="G4" s="119">
        <v>1.0249999999999999</v>
      </c>
      <c r="H4" s="120">
        <f>ROUND(F4*G4,1)</f>
        <v>0</v>
      </c>
      <c r="K4" s="115" t="str">
        <f>Relato!$A$222</f>
        <v>F.PK</v>
      </c>
      <c r="L4" s="1146">
        <f>Relato!$D$246</f>
        <v>0</v>
      </c>
      <c r="M4" s="116">
        <f>ROUNDDOWN(L4,1)</f>
        <v>0</v>
      </c>
      <c r="N4" s="117"/>
      <c r="O4" s="117"/>
      <c r="P4" s="118">
        <f>IF(O4="",N4,ROUND((((O6-N6)/($E$3-$D$3))*($F$3-$D$3))+N6,1))</f>
        <v>0</v>
      </c>
      <c r="Q4" s="119">
        <v>1.0249999999999999</v>
      </c>
      <c r="R4" s="120">
        <f>ROUND(P4*Q4,1)</f>
        <v>0</v>
      </c>
    </row>
    <row r="5" spans="1:18" ht="12.75" customHeight="1" thickTop="1" x14ac:dyDescent="0.25">
      <c r="A5" s="115"/>
      <c r="B5" s="1146"/>
      <c r="C5" s="116">
        <f>IF(ROUNDUP(B4,1)=C4,"",ROUNDUP(B4,1))</f>
        <v>15.7</v>
      </c>
      <c r="D5" s="117"/>
      <c r="E5" s="117"/>
      <c r="F5" s="122" t="str">
        <f>IF(E4="","full","slack")</f>
        <v>full</v>
      </c>
      <c r="G5" s="118"/>
      <c r="H5" s="120"/>
      <c r="I5" s="121"/>
      <c r="K5" s="115"/>
      <c r="L5" s="1146"/>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Relato!$A$223</f>
        <v>1 DB (P)</v>
      </c>
      <c r="B7" s="1146">
        <f>Relato!$G$223</f>
        <v>16.38</v>
      </c>
      <c r="C7" s="116">
        <f>ROUNDDOWN(B7,1)</f>
        <v>16.3</v>
      </c>
      <c r="D7" s="130"/>
      <c r="E7" s="130"/>
      <c r="F7" s="131">
        <f>ROUND((((E9-D9)/($E$3-$D$3))*($F$3-$D$3))+D9,1)</f>
        <v>0</v>
      </c>
      <c r="G7" s="132">
        <f>G4</f>
        <v>1.0249999999999999</v>
      </c>
      <c r="H7" s="133">
        <f>ROUND(F7*G7,1)</f>
        <v>0</v>
      </c>
      <c r="I7" s="121"/>
      <c r="K7" s="129" t="str">
        <f>Relato!$A$223</f>
        <v>1 DB (P)</v>
      </c>
      <c r="L7" s="1146">
        <f>Relato!$D$247</f>
        <v>0</v>
      </c>
      <c r="M7" s="116">
        <f>ROUNDDOWN(L7,1)</f>
        <v>0</v>
      </c>
      <c r="N7" s="130"/>
      <c r="O7" s="130"/>
      <c r="P7" s="131" t="e">
        <f>ROUND((((O9-N9)/($E$3-$D$3))*($F$3-$D$3))+N9,1)</f>
        <v>#VALUE!</v>
      </c>
      <c r="Q7" s="132">
        <f>Q4</f>
        <v>1.0249999999999999</v>
      </c>
      <c r="R7" s="133" t="e">
        <f>ROUND(P7*Q7,1)</f>
        <v>#VALUE!</v>
      </c>
    </row>
    <row r="8" spans="1:18" ht="12.75" customHeight="1" x14ac:dyDescent="0.25">
      <c r="A8" s="115"/>
      <c r="B8" s="1146"/>
      <c r="C8" s="116">
        <f>IF(ROUNDUP(B7,1)=C7,"",ROUNDUP(B7,1))</f>
        <v>16.400000000000002</v>
      </c>
      <c r="D8" s="134"/>
      <c r="E8" s="134"/>
      <c r="F8" s="118"/>
      <c r="G8" s="118"/>
      <c r="H8" s="120"/>
      <c r="K8" s="115"/>
      <c r="L8" s="1146"/>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Relato!$A$224</f>
        <v>1 DB (S)</v>
      </c>
      <c r="B10" s="1146">
        <f>Relato!$G$224</f>
        <v>16.04</v>
      </c>
      <c r="C10" s="135">
        <f>ROUNDDOWN(B10,1)</f>
        <v>16</v>
      </c>
      <c r="D10" s="130"/>
      <c r="E10" s="130"/>
      <c r="F10" s="131">
        <f>ROUND((((E12-D12)/($E$3-$D$3))*($F$3-$D$3))+D12,1)</f>
        <v>0</v>
      </c>
      <c r="G10" s="132">
        <f>G7</f>
        <v>1.0249999999999999</v>
      </c>
      <c r="H10" s="133">
        <f>ROUND(F10*G10,1)</f>
        <v>0</v>
      </c>
      <c r="I10" s="121"/>
      <c r="K10" s="129" t="str">
        <f>Relato!$A$224</f>
        <v>1 DB (S)</v>
      </c>
      <c r="L10" s="1146">
        <f>Relato!$D$248</f>
        <v>0.02</v>
      </c>
      <c r="M10" s="135">
        <f>ROUNDDOWN(L10,1)</f>
        <v>0</v>
      </c>
      <c r="N10" s="130"/>
      <c r="O10" s="130"/>
      <c r="P10" s="131">
        <f>ROUND((((O12-N12)/($E$3-$D$3))*($F$3-$D$3))+N12,1)</f>
        <v>0</v>
      </c>
      <c r="Q10" s="132">
        <f>Q7</f>
        <v>1.0249999999999999</v>
      </c>
      <c r="R10" s="133">
        <f>ROUND(P10*Q10,1)</f>
        <v>0</v>
      </c>
    </row>
    <row r="11" spans="1:18" ht="12.75" customHeight="1" x14ac:dyDescent="0.25">
      <c r="A11" s="115"/>
      <c r="B11" s="1146"/>
      <c r="C11" s="116">
        <f>IF(ROUNDUP(B10,1)=C10,"",ROUNDUP(B10,1))</f>
        <v>16.100000000000001</v>
      </c>
      <c r="D11" s="134"/>
      <c r="E11" s="134"/>
      <c r="F11" s="118"/>
      <c r="G11" s="118"/>
      <c r="H11" s="120"/>
      <c r="K11" s="115"/>
      <c r="L11" s="1146"/>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Relato!$A$225</f>
        <v>2 DB (P)</v>
      </c>
      <c r="B13" s="1146">
        <f>Relato!$G$225</f>
        <v>18.59</v>
      </c>
      <c r="C13" s="135">
        <f>ROUNDDOWN(B13,1)</f>
        <v>18.5</v>
      </c>
      <c r="D13" s="130"/>
      <c r="E13" s="130"/>
      <c r="F13" s="131">
        <f>ROUND((((E15-D15)/($E$3-$D$3))*($F$3-$D$3))+D15,1)</f>
        <v>0</v>
      </c>
      <c r="G13" s="132">
        <f>G10</f>
        <v>1.0249999999999999</v>
      </c>
      <c r="H13" s="133">
        <f>ROUND(F13*G13,1)</f>
        <v>0</v>
      </c>
      <c r="I13" s="121"/>
      <c r="K13" s="129" t="str">
        <f>Relato!$A$225</f>
        <v>2 DB (P)</v>
      </c>
      <c r="L13" s="1146">
        <f>Relato!$D$249</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6"/>
      <c r="C14" s="116">
        <f>IF(ROUNDUP(B13,1)=C13,"",ROUNDUP(B13,1))</f>
        <v>18.600000000000001</v>
      </c>
      <c r="D14" s="134"/>
      <c r="E14" s="134"/>
      <c r="F14" s="118"/>
      <c r="G14" s="118"/>
      <c r="H14" s="120"/>
      <c r="K14" s="115"/>
      <c r="L14" s="1146"/>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Relato!$A$226</f>
        <v>2 DB (S)</v>
      </c>
      <c r="B16" s="1146">
        <f>Relato!$G$226</f>
        <v>18.62</v>
      </c>
      <c r="C16" s="135">
        <f>ROUNDDOWN(B16,1)</f>
        <v>18.600000000000001</v>
      </c>
      <c r="D16" s="130"/>
      <c r="E16" s="130"/>
      <c r="F16" s="131">
        <f>ROUND((((E18-D18)/($E$3-$D$3))*($F$3-$D$3))+D18,1)</f>
        <v>0</v>
      </c>
      <c r="G16" s="132">
        <f>G13</f>
        <v>1.0249999999999999</v>
      </c>
      <c r="H16" s="133">
        <f>ROUND(F16*G16,1)</f>
        <v>0</v>
      </c>
      <c r="I16" s="121"/>
      <c r="K16" s="129" t="str">
        <f>Relato!$A$226</f>
        <v>2 DB (S)</v>
      </c>
      <c r="L16" s="1146">
        <f>Relato!$D$250</f>
        <v>0.02</v>
      </c>
      <c r="M16" s="135">
        <f>ROUNDDOWN(L16,1)</f>
        <v>0</v>
      </c>
      <c r="N16" s="130"/>
      <c r="O16" s="130"/>
      <c r="P16" s="131">
        <f>ROUND((((O18-N18)/($E$3-$D$3))*($F$3-$D$3))+N18,1)</f>
        <v>0</v>
      </c>
      <c r="Q16" s="132">
        <f>Q13</f>
        <v>1.0249999999999999</v>
      </c>
      <c r="R16" s="133">
        <f>ROUND(P16*Q16,1)</f>
        <v>0</v>
      </c>
    </row>
    <row r="17" spans="1:18" ht="12.75" customHeight="1" x14ac:dyDescent="0.25">
      <c r="A17" s="115"/>
      <c r="B17" s="1146"/>
      <c r="C17" s="116">
        <f>IF(ROUNDUP(B16,1)=C16,"",ROUNDUP(B16,1))</f>
        <v>18.700000000000003</v>
      </c>
      <c r="D17" s="134"/>
      <c r="E17" s="134"/>
      <c r="F17" s="118"/>
      <c r="G17" s="118"/>
      <c r="H17" s="120"/>
      <c r="K17" s="115"/>
      <c r="L17" s="1146"/>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Relato!$A$227</f>
        <v>3 DB (P)</v>
      </c>
      <c r="B19" s="1146">
        <f>Relato!$G$227</f>
        <v>4.18</v>
      </c>
      <c r="C19" s="135">
        <f>ROUNDDOWN(B19,1)</f>
        <v>4.0999999999999996</v>
      </c>
      <c r="D19" s="130"/>
      <c r="E19" s="130"/>
      <c r="F19" s="131">
        <f>ROUND((((E21-D21)/($E$3-$D$3))*($F$3-$D$3))+D21,1)</f>
        <v>0</v>
      </c>
      <c r="G19" s="132">
        <f>G16</f>
        <v>1.0249999999999999</v>
      </c>
      <c r="H19" s="133">
        <f>ROUND(F19*G19,1)</f>
        <v>0</v>
      </c>
      <c r="I19" s="121"/>
      <c r="K19" s="129" t="str">
        <f>Relato!$A$227</f>
        <v>3 DB (P)</v>
      </c>
      <c r="L19" s="1146">
        <f>Relato!$D$251</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6"/>
      <c r="C20" s="116">
        <f>IF(ROUNDUP(B19,1)=C19,"",ROUNDUP(B19,1))</f>
        <v>4.1999999999999993</v>
      </c>
      <c r="D20" s="134"/>
      <c r="E20" s="134"/>
      <c r="F20" s="118"/>
      <c r="G20" s="118"/>
      <c r="H20" s="120"/>
      <c r="K20" s="115"/>
      <c r="L20" s="1146"/>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Relato!$A$228</f>
        <v>3 DB (S)</v>
      </c>
      <c r="B22" s="1146">
        <f>Relato!$G$228</f>
        <v>6.18</v>
      </c>
      <c r="C22" s="135">
        <f>ROUNDDOWN(B22,1)</f>
        <v>6.1</v>
      </c>
      <c r="D22" s="130"/>
      <c r="E22" s="130"/>
      <c r="F22" s="131">
        <f>ROUND((((E24-D24)/($E$3-$D$3))*($F$3-$D$3))+D24,1)</f>
        <v>0</v>
      </c>
      <c r="G22" s="132">
        <f>G19</f>
        <v>1.0249999999999999</v>
      </c>
      <c r="H22" s="133">
        <f>ROUND(F22*G22,1)</f>
        <v>0</v>
      </c>
      <c r="I22" s="121"/>
      <c r="K22" s="129" t="str">
        <f>Relato!$A$228</f>
        <v>3 DB (S)</v>
      </c>
      <c r="L22" s="1146">
        <f>Relato!$D$252</f>
        <v>0.02</v>
      </c>
      <c r="M22" s="135">
        <f>ROUNDDOWN(L22,1)</f>
        <v>0</v>
      </c>
      <c r="N22" s="130"/>
      <c r="O22" s="130"/>
      <c r="P22" s="131">
        <f>ROUND((((O24-N24)/($E$3-$D$3))*($F$3-$D$3))+N24,1)</f>
        <v>0</v>
      </c>
      <c r="Q22" s="132">
        <f>Q19</f>
        <v>1.0249999999999999</v>
      </c>
      <c r="R22" s="133">
        <f>ROUND(P22*Q22,1)</f>
        <v>0</v>
      </c>
    </row>
    <row r="23" spans="1:18" ht="12.75" customHeight="1" x14ac:dyDescent="0.25">
      <c r="A23" s="115"/>
      <c r="B23" s="1146"/>
      <c r="C23" s="116">
        <f>IF(ROUNDUP(B22,1)=C22,"",ROUNDUP(B22,1))</f>
        <v>6.1999999999999993</v>
      </c>
      <c r="D23" s="134"/>
      <c r="E23" s="134"/>
      <c r="F23" s="118"/>
      <c r="G23" s="118"/>
      <c r="H23" s="120"/>
      <c r="K23" s="115"/>
      <c r="L23" s="1146"/>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Relato!$A$229</f>
        <v>4 DB (P)</v>
      </c>
      <c r="B25" s="1146">
        <f>Relato!$G$229</f>
        <v>10.039999999999999</v>
      </c>
      <c r="C25" s="135">
        <f>ROUNDDOWN(B25,1)</f>
        <v>10</v>
      </c>
      <c r="D25" s="130"/>
      <c r="E25" s="130"/>
      <c r="F25" s="131">
        <f>ROUND((((E27-D27)/($E$3-$D$3))*($F$3-$D$3))+D27,1)</f>
        <v>0</v>
      </c>
      <c r="G25" s="132">
        <f>G22</f>
        <v>1.0249999999999999</v>
      </c>
      <c r="H25" s="133">
        <f>ROUND(F25*G25,1)</f>
        <v>0</v>
      </c>
      <c r="I25" s="121"/>
      <c r="K25" s="129" t="str">
        <f>Relato!$A$229</f>
        <v>4 DB (P)</v>
      </c>
      <c r="L25" s="1146">
        <f>Relato!$D$253</f>
        <v>0.05</v>
      </c>
      <c r="M25" s="135">
        <f>ROUNDDOWN(L25,1)</f>
        <v>0</v>
      </c>
      <c r="N25" s="130"/>
      <c r="O25" s="130"/>
      <c r="P25" s="131">
        <f>ROUND((((O27-N27)/($E$3-$D$3))*($F$3-$D$3))+N27,1)</f>
        <v>0</v>
      </c>
      <c r="Q25" s="132">
        <f>Q22</f>
        <v>1.0249999999999999</v>
      </c>
      <c r="R25" s="133">
        <f>ROUND(P25*Q25,1)</f>
        <v>0</v>
      </c>
    </row>
    <row r="26" spans="1:18" ht="12.75" customHeight="1" x14ac:dyDescent="0.25">
      <c r="A26" s="115"/>
      <c r="B26" s="1146"/>
      <c r="C26" s="116">
        <f>IF(ROUNDUP(B25,1)=C25,"",ROUNDUP(B25,1))</f>
        <v>10.1</v>
      </c>
      <c r="D26" s="134"/>
      <c r="E26" s="134"/>
      <c r="F26" s="118"/>
      <c r="G26" s="118"/>
      <c r="H26" s="120"/>
      <c r="K26" s="115"/>
      <c r="L26" s="1146"/>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Relato!$A$230</f>
        <v>4 DB (S)</v>
      </c>
      <c r="B28" s="1146">
        <f>Relato!$G$230</f>
        <v>9.33</v>
      </c>
      <c r="C28" s="135">
        <f>ROUNDDOWN(B28,1)</f>
        <v>9.3000000000000007</v>
      </c>
      <c r="D28" s="130"/>
      <c r="E28" s="130"/>
      <c r="F28" s="131">
        <f>ROUND((((E30-D30)/($E$3-$D$3))*($F$3-$D$3))+D30,1)</f>
        <v>0</v>
      </c>
      <c r="G28" s="132">
        <f>G25</f>
        <v>1.0249999999999999</v>
      </c>
      <c r="H28" s="133">
        <f>ROUND(F28*G28,1)</f>
        <v>0</v>
      </c>
      <c r="I28" s="121"/>
      <c r="K28" s="129" t="str">
        <f>Relato!$A$230</f>
        <v>4 DB (S)</v>
      </c>
      <c r="L28" s="1146">
        <f>Relato!$D$254</f>
        <v>0.01</v>
      </c>
      <c r="M28" s="135">
        <f>ROUNDDOWN(L28,1)</f>
        <v>0</v>
      </c>
      <c r="N28" s="130"/>
      <c r="O28" s="130"/>
      <c r="P28" s="131">
        <f>ROUND((((O30-N30)/($E$3-$D$3))*($F$3-$D$3))+N30,1)</f>
        <v>0</v>
      </c>
      <c r="Q28" s="132">
        <f>Q25</f>
        <v>1.0249999999999999</v>
      </c>
      <c r="R28" s="133">
        <f>ROUND(P28*Q28,1)</f>
        <v>0</v>
      </c>
    </row>
    <row r="29" spans="1:18" ht="12.75" customHeight="1" x14ac:dyDescent="0.25">
      <c r="A29" s="115"/>
      <c r="B29" s="1146"/>
      <c r="C29" s="116">
        <f>IF(ROUNDUP(B28,1)=C28,"",ROUNDUP(B28,1))</f>
        <v>9.4</v>
      </c>
      <c r="D29" s="134"/>
      <c r="E29" s="134"/>
      <c r="F29" s="118"/>
      <c r="G29" s="118"/>
      <c r="H29" s="120"/>
      <c r="K29" s="115"/>
      <c r="L29" s="1146"/>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Relato!$A$231</f>
        <v>5 DB (P)</v>
      </c>
      <c r="B31" s="1146">
        <f>Relato!$G$231</f>
        <v>2.27</v>
      </c>
      <c r="C31" s="135">
        <f>ROUNDDOWN(B31,1)</f>
        <v>2.2000000000000002</v>
      </c>
      <c r="D31" s="130"/>
      <c r="E31" s="130"/>
      <c r="F31" s="131">
        <f>ROUND((((E33-D33)/($E$3-$D$3))*($F$3-$D$3))+D33,1)</f>
        <v>0</v>
      </c>
      <c r="G31" s="132">
        <f>G28</f>
        <v>1.0249999999999999</v>
      </c>
      <c r="H31" s="133">
        <f>ROUND(F31*G31,1)</f>
        <v>0</v>
      </c>
      <c r="I31" s="121"/>
      <c r="K31" s="129" t="str">
        <f>Relato!$A$231</f>
        <v>5 DB (P)</v>
      </c>
      <c r="L31" s="1146">
        <f>Relato!$D$255</f>
        <v>0.03</v>
      </c>
      <c r="M31" s="135">
        <f>ROUNDDOWN(L31,1)</f>
        <v>0</v>
      </c>
      <c r="N31" s="130"/>
      <c r="O31" s="130"/>
      <c r="P31" s="131">
        <f>ROUND((((O33-N33)/($E$3-$D$3))*($F$3-$D$3))+N33,1)</f>
        <v>0</v>
      </c>
      <c r="Q31" s="132">
        <f>Q28</f>
        <v>1.0249999999999999</v>
      </c>
      <c r="R31" s="133">
        <f>ROUND(P31*Q31,1)</f>
        <v>0</v>
      </c>
    </row>
    <row r="32" spans="1:18" ht="12.75" customHeight="1" x14ac:dyDescent="0.25">
      <c r="A32" s="115"/>
      <c r="B32" s="1146"/>
      <c r="C32" s="116">
        <f>IF(ROUNDUP(B31,1)=C31,"",ROUNDUP(B31,1))</f>
        <v>2.3000000000000003</v>
      </c>
      <c r="D32" s="134"/>
      <c r="E32" s="134"/>
      <c r="F32" s="118"/>
      <c r="G32" s="118"/>
      <c r="H32" s="120"/>
      <c r="K32" s="115"/>
      <c r="L32" s="1146"/>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Relato!$A$232</f>
        <v>5 DB (S)</v>
      </c>
      <c r="B34" s="1146">
        <f>Relato!$G$232</f>
        <v>6.16</v>
      </c>
      <c r="C34" s="135">
        <f>ROUNDDOWN(B34,1)</f>
        <v>6.1</v>
      </c>
      <c r="D34" s="130"/>
      <c r="E34" s="130"/>
      <c r="F34" s="131">
        <f>ROUND((((E36-D36)/($E$3-$D$3))*($F$3-$D$3))+D36,1)</f>
        <v>0</v>
      </c>
      <c r="G34" s="132">
        <f>G31</f>
        <v>1.0249999999999999</v>
      </c>
      <c r="H34" s="133">
        <f>ROUND(F34*G34,1)</f>
        <v>0</v>
      </c>
      <c r="I34" s="121"/>
      <c r="K34" s="129" t="str">
        <f>Relato!$A$232</f>
        <v>5 DB (S)</v>
      </c>
      <c r="L34" s="1146">
        <f>Relato!$D$256</f>
        <v>0.01</v>
      </c>
      <c r="M34" s="135">
        <f>ROUNDDOWN(L34,1)</f>
        <v>0</v>
      </c>
      <c r="N34" s="130"/>
      <c r="O34" s="130"/>
      <c r="P34" s="131">
        <f>ROUND((((O36-N36)/($E$3-$D$3))*($F$3-$D$3))+N36,1)</f>
        <v>0</v>
      </c>
      <c r="Q34" s="132">
        <f>Q31</f>
        <v>1.0249999999999999</v>
      </c>
      <c r="R34" s="133">
        <f>ROUND(P34*Q34,1)</f>
        <v>0</v>
      </c>
    </row>
    <row r="35" spans="1:18" ht="12.75" customHeight="1" x14ac:dyDescent="0.25">
      <c r="A35" s="115"/>
      <c r="B35" s="1146"/>
      <c r="C35" s="136">
        <f>ROUNDUP(B34,1)</f>
        <v>6.1999999999999993</v>
      </c>
      <c r="D35" s="134"/>
      <c r="E35" s="134"/>
      <c r="F35" s="118"/>
      <c r="G35" s="118"/>
      <c r="H35" s="120"/>
      <c r="K35" s="115"/>
      <c r="L35" s="1146"/>
      <c r="M35" s="136">
        <f>ROUNDUP(L34,1)</f>
        <v>0.1</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Relato!$A$233</f>
        <v>6 DB (P)</v>
      </c>
      <c r="B37" s="1146">
        <f>Relato!$G$233</f>
        <v>6.48</v>
      </c>
      <c r="C37" s="135">
        <f>ROUNDDOWN(B37,1)</f>
        <v>6.4</v>
      </c>
      <c r="D37" s="130"/>
      <c r="E37" s="130"/>
      <c r="F37" s="131">
        <f>ROUND((((E39-D39)/($E$3-$D$3))*($F$3-$D$3))+D39,1)</f>
        <v>0</v>
      </c>
      <c r="G37" s="132">
        <f>G34</f>
        <v>1.0249999999999999</v>
      </c>
      <c r="H37" s="133">
        <f>ROUND(F37*G37,1)</f>
        <v>0</v>
      </c>
      <c r="I37" s="121"/>
      <c r="K37" s="129" t="str">
        <f>Relato!$A$233</f>
        <v>6 DB (P)</v>
      </c>
      <c r="L37" s="1146">
        <f>Relato!$D$257</f>
        <v>0.03</v>
      </c>
      <c r="M37" s="135">
        <f>ROUNDDOWN(L37,1)</f>
        <v>0</v>
      </c>
      <c r="N37" s="130"/>
      <c r="O37" s="130"/>
      <c r="P37" s="131">
        <f>ROUND((((O39-N39)/($E$3-$D$3))*($F$3-$D$3))+N39,1)</f>
        <v>0</v>
      </c>
      <c r="Q37" s="132">
        <f>Q34</f>
        <v>1.0249999999999999</v>
      </c>
      <c r="R37" s="133">
        <f>ROUND(P37*Q37,1)</f>
        <v>0</v>
      </c>
    </row>
    <row r="38" spans="1:18" ht="12.75" customHeight="1" x14ac:dyDescent="0.25">
      <c r="A38" s="115"/>
      <c r="B38" s="1146"/>
      <c r="C38" s="116">
        <f>IF(ROUNDUP(B37,1)=C37,"",ROUNDUP(B37,1))</f>
        <v>6.5</v>
      </c>
      <c r="D38" s="134"/>
      <c r="E38" s="134"/>
      <c r="F38" s="118"/>
      <c r="G38" s="118"/>
      <c r="H38" s="120"/>
      <c r="I38" s="137"/>
      <c r="K38" s="115"/>
      <c r="L38" s="1146"/>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Relato!$A$234</f>
        <v>6 DB (S)</v>
      </c>
      <c r="B40" s="1146">
        <f>Relato!$G$234</f>
        <v>6.84</v>
      </c>
      <c r="C40" s="135">
        <f>ROUNDDOWN(B40,1)</f>
        <v>6.8</v>
      </c>
      <c r="D40" s="130"/>
      <c r="E40" s="130"/>
      <c r="F40" s="131">
        <f>ROUND((((E42-D42)/($E$3-$D$3))*($F$3-$D$3))+D42,1)</f>
        <v>0</v>
      </c>
      <c r="G40" s="132">
        <f>G37</f>
        <v>1.0249999999999999</v>
      </c>
      <c r="H40" s="133">
        <f>ROUND(F40*G40,1)</f>
        <v>0</v>
      </c>
      <c r="I40" s="121"/>
      <c r="K40" s="129" t="str">
        <f>Relato!$A$234</f>
        <v>6 DB (S)</v>
      </c>
      <c r="L40" s="1146">
        <f>Relato!$D$258</f>
        <v>3.85</v>
      </c>
      <c r="M40" s="135">
        <f>ROUNDDOWN(L40,1)</f>
        <v>3.8</v>
      </c>
      <c r="N40" s="130"/>
      <c r="O40" s="130"/>
      <c r="P40" s="131">
        <f>ROUND((((O42-N42)/($E$3-$D$3))*($F$3-$D$3))+N42,1)</f>
        <v>0</v>
      </c>
      <c r="Q40" s="132">
        <f>Q37</f>
        <v>1.0249999999999999</v>
      </c>
      <c r="R40" s="133">
        <f>ROUND(P40*Q40,1)</f>
        <v>0</v>
      </c>
    </row>
    <row r="41" spans="1:18" ht="12.75" customHeight="1" x14ac:dyDescent="0.25">
      <c r="A41" s="115"/>
      <c r="B41" s="1146"/>
      <c r="C41" s="116">
        <f>ROUNDUP(B40,1)</f>
        <v>6.8999999999999995</v>
      </c>
      <c r="D41" s="134"/>
      <c r="E41" s="134"/>
      <c r="F41" s="118"/>
      <c r="G41" s="118"/>
      <c r="H41" s="120"/>
      <c r="K41" s="115"/>
      <c r="L41" s="1146"/>
      <c r="M41" s="116">
        <f>ROUNDUP(L40,1)</f>
        <v>3.9</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Relato!$A$235</f>
        <v>FWWTK (P)</v>
      </c>
      <c r="B43" s="1146">
        <f>Relato!$G$235</f>
        <v>3.8</v>
      </c>
      <c r="C43" s="135">
        <f>ROUNDDOWN(B43,1)</f>
        <v>3.8</v>
      </c>
      <c r="D43" s="130"/>
      <c r="E43" s="130"/>
      <c r="F43" s="131" t="e">
        <f>ROUND((((E45-D45)/($E$3-$D$3))*($F$3-$D$3))+D45,1)</f>
        <v>#DIV/0!</v>
      </c>
      <c r="G43" s="132">
        <f>G40</f>
        <v>1.0249999999999999</v>
      </c>
      <c r="H43" s="133" t="e">
        <f>ROUND(F43*G43,1)</f>
        <v>#DIV/0!</v>
      </c>
      <c r="I43" s="121"/>
      <c r="K43" s="129" t="str">
        <f>Relato!$A$235</f>
        <v>FWWTK (P)</v>
      </c>
      <c r="L43" s="1146">
        <f>Relato!$D$259</f>
        <v>0.57999999999999996</v>
      </c>
      <c r="M43" s="135">
        <f>ROUNDDOWN(L43,1)</f>
        <v>0.5</v>
      </c>
      <c r="N43" s="130"/>
      <c r="O43" s="130"/>
      <c r="P43" s="131">
        <f>ROUND((((O45-N45)/($E$3-$D$3))*($F$3-$D$3))+N45,1)</f>
        <v>0</v>
      </c>
      <c r="Q43" s="132">
        <f>Q40</f>
        <v>1.0249999999999999</v>
      </c>
      <c r="R43" s="133">
        <f>ROUND(P43*Q43,1)</f>
        <v>0</v>
      </c>
    </row>
    <row r="44" spans="1:18" ht="12.75" customHeight="1" x14ac:dyDescent="0.25">
      <c r="A44" s="115"/>
      <c r="B44" s="1146"/>
      <c r="C44" s="116">
        <f>ROUNDUP(B43,1)</f>
        <v>3.8</v>
      </c>
      <c r="D44" s="138"/>
      <c r="E44" s="138"/>
      <c r="F44" s="118"/>
      <c r="G44" s="118"/>
      <c r="H44" s="120"/>
      <c r="K44" s="115"/>
      <c r="L44" s="1146"/>
      <c r="M44" s="116">
        <f>ROUNDUP(L43,1)</f>
        <v>0.6</v>
      </c>
      <c r="N44" s="138"/>
      <c r="O44" s="138"/>
      <c r="P44" s="118"/>
      <c r="Q44" s="118"/>
      <c r="R44" s="120"/>
    </row>
    <row r="45" spans="1:18" ht="12.75" customHeight="1" x14ac:dyDescent="0.25">
      <c r="A45" s="123"/>
      <c r="B45" s="124"/>
      <c r="C45" s="125"/>
      <c r="D45" s="126" t="e">
        <f>(((D44-D43)/(100*C44-100*C43))*(100*B43-100*C43))+D43</f>
        <v>#DIV/0!</v>
      </c>
      <c r="E45" s="126" t="e">
        <f>(((E44-E43)/(100*C44-100*C43))*(100*B43-100*C43))+E43</f>
        <v>#DIV/0!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Relato!$A$236</f>
        <v>SLOP (S)</v>
      </c>
      <c r="B46" s="1146">
        <f>Relato!$G$236</f>
        <v>0.57999999999999996</v>
      </c>
      <c r="C46" s="135">
        <f>ROUNDDOWN(B46,1)</f>
        <v>0.5</v>
      </c>
      <c r="D46" s="130"/>
      <c r="E46" s="130"/>
      <c r="F46" s="131">
        <f>ROUND((((E48-D48)/($E$3-$D$3))*($F$3-$D$3))+D48,1)</f>
        <v>0</v>
      </c>
      <c r="G46" s="132">
        <f>G43</f>
        <v>1.0249999999999999</v>
      </c>
      <c r="H46" s="133">
        <f>ROUND(F46*G46,1)</f>
        <v>0</v>
      </c>
      <c r="I46" s="121"/>
      <c r="K46" s="129" t="str">
        <f>Relato!$A$236</f>
        <v>SLOP (S)</v>
      </c>
      <c r="L46" s="1146"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6"/>
      <c r="C47" s="116">
        <f>ROUNDUP(B46,1)</f>
        <v>0.6</v>
      </c>
      <c r="D47" s="134"/>
      <c r="E47" s="134"/>
      <c r="F47" s="118"/>
      <c r="G47" s="118"/>
      <c r="H47" s="120"/>
      <c r="K47" s="115"/>
      <c r="L47" s="1146"/>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str">
        <f>Relato!$A$237</f>
        <v>CHOLD NO.3</v>
      </c>
      <c r="B49" s="1146">
        <f>Relato!$G$237</f>
        <v>3.55</v>
      </c>
      <c r="C49" s="135">
        <f>ROUNDDOWN(B49,1)</f>
        <v>3.5</v>
      </c>
      <c r="D49" s="130"/>
      <c r="E49" s="130"/>
      <c r="F49" s="131">
        <f>ROUND((((E51-D51)/($E$3-$D$3))*($F$3-$D$3))+D51,1)</f>
        <v>0</v>
      </c>
      <c r="G49" s="132">
        <f>G46</f>
        <v>1.0249999999999999</v>
      </c>
      <c r="H49" s="133">
        <f>ROUND(F49*G49,1)</f>
        <v>0</v>
      </c>
      <c r="I49" s="121"/>
      <c r="K49" s="129" t="str">
        <f>Relato!$A$237</f>
        <v>CHOLD NO.3</v>
      </c>
      <c r="L49" s="1146"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6"/>
      <c r="C50" s="116">
        <f>ROUNDUP(B49,1)</f>
        <v>3.6</v>
      </c>
      <c r="D50" s="134"/>
      <c r="E50" s="134"/>
      <c r="F50" s="118"/>
      <c r="G50" s="118"/>
      <c r="H50" s="120"/>
      <c r="K50" s="115"/>
      <c r="L50" s="1146"/>
      <c r="M50" s="116" t="e">
        <f>ROUNDUP(L49,1)</f>
        <v>#REF!</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6" t="e">
        <f>Relato!#REF!</f>
        <v>#REF!</v>
      </c>
      <c r="C52" s="135" t="e">
        <f>ROUNDDOWN(B52,1)</f>
        <v>#REF!</v>
      </c>
      <c r="D52" s="130"/>
      <c r="E52" s="130"/>
      <c r="F52" s="131" t="e">
        <f>ROUND((((E54-D54)/($E$3-$D$3))*($F$3-$D$3))+D54,1)</f>
        <v>#REF!</v>
      </c>
      <c r="G52" s="132">
        <f>G49</f>
        <v>1.0249999999999999</v>
      </c>
      <c r="H52" s="133" t="e">
        <f>ROUND(F52*G52,1)</f>
        <v>#REF!</v>
      </c>
      <c r="I52" s="121"/>
      <c r="K52" s="129" t="e">
        <f>Relato!#REF!</f>
        <v>#REF!</v>
      </c>
      <c r="L52" s="1146"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6"/>
      <c r="C53" s="116" t="e">
        <f>ROUNDUP(B52,1)</f>
        <v>#REF!</v>
      </c>
      <c r="D53" s="134"/>
      <c r="E53" s="134"/>
      <c r="F53" s="118"/>
      <c r="G53" s="118"/>
      <c r="H53" s="120"/>
      <c r="K53" s="115"/>
      <c r="L53" s="1146"/>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6" t="e">
        <f>Relato!#REF!</f>
        <v>#REF!</v>
      </c>
      <c r="C55" s="135" t="e">
        <f>ROUNDDOWN(B55,1)</f>
        <v>#REF!</v>
      </c>
      <c r="D55" s="130"/>
      <c r="E55" s="130"/>
      <c r="F55" s="131" t="e">
        <f>ROUND((((E57-D57)/($E$3-$D$3))*($F$3-$D$3))+D57,1)</f>
        <v>#REF!</v>
      </c>
      <c r="G55" s="132">
        <f>G52</f>
        <v>1.0249999999999999</v>
      </c>
      <c r="H55" s="133" t="e">
        <f>ROUND(F55*G55,1)</f>
        <v>#REF!</v>
      </c>
      <c r="I55" s="121"/>
      <c r="K55" s="129" t="e">
        <f>Relato!#REF!</f>
        <v>#REF!</v>
      </c>
      <c r="L55" s="1146"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6"/>
      <c r="C56" s="116" t="e">
        <f>ROUNDUP(B55,1)</f>
        <v>#REF!</v>
      </c>
      <c r="D56" s="134"/>
      <c r="E56" s="134"/>
      <c r="F56" s="118"/>
      <c r="G56" s="139"/>
      <c r="H56" s="120"/>
      <c r="K56" s="115"/>
      <c r="L56" s="1146"/>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6" t="e">
        <f>Relato!#REF!</f>
        <v>#REF!</v>
      </c>
      <c r="C58" s="135" t="e">
        <f>ROUNDDOWN(B58,1)</f>
        <v>#REF!</v>
      </c>
      <c r="D58" s="130"/>
      <c r="E58" s="130"/>
      <c r="F58" s="131" t="e">
        <f>ROUND((((E60-D60)/($E$3-$D$3))*($F$3-$D$3))+D60,1)</f>
        <v>#REF!</v>
      </c>
      <c r="G58" s="132">
        <f>G55</f>
        <v>1.0249999999999999</v>
      </c>
      <c r="H58" s="133" t="e">
        <f>ROUND(F58*G58,1)</f>
        <v>#REF!</v>
      </c>
      <c r="I58" s="121"/>
      <c r="K58" s="129" t="e">
        <f>Relato!#REF!</f>
        <v>#REF!</v>
      </c>
      <c r="L58" s="1146"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6"/>
      <c r="C59" s="116" t="e">
        <f>ROUNDUP(B58,1)</f>
        <v>#REF!</v>
      </c>
      <c r="D59" s="134"/>
      <c r="E59" s="134"/>
      <c r="F59" s="118"/>
      <c r="G59" s="118"/>
      <c r="H59" s="120"/>
      <c r="K59" s="115"/>
      <c r="L59" s="1146"/>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6" t="e">
        <f>Relato!#REF!</f>
        <v>#REF!</v>
      </c>
      <c r="C61" s="135" t="e">
        <f>ROUNDDOWN(B61,1)</f>
        <v>#REF!</v>
      </c>
      <c r="D61" s="130"/>
      <c r="E61" s="130"/>
      <c r="F61" s="131" t="e">
        <f>ROUND((((E63-D63)/($E$3-$D$3))*($F$3-$D$3))+D63,1)</f>
        <v>#REF!</v>
      </c>
      <c r="G61" s="132">
        <f>G58</f>
        <v>1.0249999999999999</v>
      </c>
      <c r="H61" s="133" t="e">
        <f>ROUND(F61*G61,1)</f>
        <v>#REF!</v>
      </c>
      <c r="I61" s="121"/>
      <c r="K61" s="129" t="e">
        <f>Relato!#REF!</f>
        <v>#REF!</v>
      </c>
      <c r="L61" s="1146"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6"/>
      <c r="C62" s="116" t="e">
        <f>ROUNDUP(B61,1)</f>
        <v>#REF!</v>
      </c>
      <c r="D62" s="134"/>
      <c r="E62" s="134"/>
      <c r="F62" s="118"/>
      <c r="G62" s="118"/>
      <c r="H62" s="120"/>
      <c r="K62" s="115"/>
      <c r="L62" s="1146"/>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6" t="e">
        <f>Relato!#REF!</f>
        <v>#REF!</v>
      </c>
      <c r="C64" s="135" t="e">
        <f>ROUNDDOWN(B64,1)</f>
        <v>#REF!</v>
      </c>
      <c r="D64" s="130"/>
      <c r="E64" s="130"/>
      <c r="F64" s="131" t="e">
        <f>ROUND((((E66-D66)/($E$3-$D$3))*($F$3-$D$3))+D66,1)</f>
        <v>#REF!</v>
      </c>
      <c r="G64" s="132">
        <f>G61</f>
        <v>1.0249999999999999</v>
      </c>
      <c r="H64" s="133" t="e">
        <f>ROUND(F64*G64,1)</f>
        <v>#REF!</v>
      </c>
      <c r="I64" s="121"/>
      <c r="K64" s="129" t="e">
        <f>Relato!#REF!</f>
        <v>#REF!</v>
      </c>
      <c r="L64" s="1146"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6"/>
      <c r="C65" s="116" t="e">
        <f>ROUNDUP(B64,1)</f>
        <v>#REF!</v>
      </c>
      <c r="D65" s="134"/>
      <c r="E65" s="134"/>
      <c r="F65" s="118"/>
      <c r="G65" s="118"/>
      <c r="H65" s="120"/>
      <c r="K65" s="115"/>
      <c r="L65" s="1146"/>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6" t="e">
        <f>Relato!#REF!</f>
        <v>#REF!</v>
      </c>
      <c r="C67" s="135" t="e">
        <f>ROUNDDOWN(B67,1)</f>
        <v>#REF!</v>
      </c>
      <c r="D67" s="130"/>
      <c r="E67" s="130"/>
      <c r="F67" s="131" t="e">
        <f>ROUND((((E69-D69)/($E$3-$D$3))*($F$3-$D$3))+D69,1)</f>
        <v>#REF!</v>
      </c>
      <c r="G67" s="132">
        <f>G64</f>
        <v>1.0249999999999999</v>
      </c>
      <c r="H67" s="133" t="e">
        <f>ROUND(F67*G67,1)</f>
        <v>#REF!</v>
      </c>
      <c r="I67" s="121"/>
      <c r="K67" s="129" t="e">
        <f>Relato!#REF!</f>
        <v>#REF!</v>
      </c>
      <c r="L67" s="1146"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6"/>
      <c r="C68" s="116" t="e">
        <f>ROUNDUP(B67,1)</f>
        <v>#REF!</v>
      </c>
      <c r="D68" s="134"/>
      <c r="E68" s="134"/>
      <c r="F68" s="118"/>
      <c r="G68" s="118"/>
      <c r="H68" s="120"/>
      <c r="K68" s="115"/>
      <c r="L68" s="1146"/>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6" t="e">
        <f>Relato!#REF!</f>
        <v>#REF!</v>
      </c>
      <c r="C70" s="135" t="e">
        <f>ROUNDDOWN(B70,1)</f>
        <v>#REF!</v>
      </c>
      <c r="D70" s="130"/>
      <c r="E70" s="130"/>
      <c r="F70" s="131" t="e">
        <f>ROUND((((E72-D72)/($E$3-$D$3))*($F$3-$D$3))+D72,1)</f>
        <v>#REF!</v>
      </c>
      <c r="G70" s="132">
        <f>G67</f>
        <v>1.0249999999999999</v>
      </c>
      <c r="H70" s="133" t="e">
        <f>ROUND(F70*G70,1)</f>
        <v>#REF!</v>
      </c>
      <c r="I70" s="121"/>
      <c r="K70" s="129" t="e">
        <f>Relato!#REF!</f>
        <v>#REF!</v>
      </c>
      <c r="L70" s="1146"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6"/>
      <c r="C71" s="116" t="e">
        <f>ROUNDUP(B70,1)</f>
        <v>#REF!</v>
      </c>
      <c r="D71" s="134"/>
      <c r="E71" s="134"/>
      <c r="F71" s="118"/>
      <c r="G71" s="118"/>
      <c r="H71" s="120"/>
      <c r="K71" s="115"/>
      <c r="L71" s="1146"/>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6" t="e">
        <f>Relato!#REF!</f>
        <v>#REF!</v>
      </c>
      <c r="C73" s="135" t="e">
        <f>ROUNDDOWN(B73,1)</f>
        <v>#REF!</v>
      </c>
      <c r="D73" s="130"/>
      <c r="E73" s="130"/>
      <c r="F73" s="131" t="e">
        <f>ROUND((((E75-D75)/($E$3-$D$3))*($F$3-$D$3))+D75,1)</f>
        <v>#REF!</v>
      </c>
      <c r="G73" s="132">
        <f>G70</f>
        <v>1.0249999999999999</v>
      </c>
      <c r="H73" s="133" t="e">
        <f>ROUND(F73*G73,1)</f>
        <v>#REF!</v>
      </c>
      <c r="I73" s="121"/>
      <c r="K73" s="129" t="e">
        <f>Relato!#REF!</f>
        <v>#REF!</v>
      </c>
      <c r="L73" s="1146"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6"/>
      <c r="C74" s="116" t="e">
        <f>ROUNDUP(B73,1)</f>
        <v>#REF!</v>
      </c>
      <c r="D74" s="134"/>
      <c r="E74" s="134"/>
      <c r="F74" s="118"/>
      <c r="G74" s="139"/>
      <c r="H74" s="120"/>
      <c r="K74" s="115"/>
      <c r="L74" s="1146"/>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6" t="e">
        <f>Relato!#REF!</f>
        <v>#REF!</v>
      </c>
      <c r="C76" s="135" t="e">
        <f>ROUNDDOWN(B76,1)</f>
        <v>#REF!</v>
      </c>
      <c r="D76" s="130"/>
      <c r="E76" s="130"/>
      <c r="F76" s="131" t="e">
        <f>ROUND((((E78-D78)/($E$3-$D$3))*($F$3-$D$3))+D78,1)</f>
        <v>#REF!</v>
      </c>
      <c r="G76" s="132">
        <f>G73</f>
        <v>1.0249999999999999</v>
      </c>
      <c r="H76" s="133" t="e">
        <f>ROUND(F76*G76,1)</f>
        <v>#REF!</v>
      </c>
      <c r="I76" s="121"/>
      <c r="K76" s="129" t="e">
        <f>Relato!#REF!</f>
        <v>#REF!</v>
      </c>
      <c r="L76" s="1146"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6"/>
      <c r="C77" s="116" t="e">
        <f>ROUNDUP(B76,1)</f>
        <v>#REF!</v>
      </c>
      <c r="D77" s="134"/>
      <c r="E77" s="134"/>
      <c r="F77" s="118"/>
      <c r="G77" s="118"/>
      <c r="H77" s="120"/>
      <c r="K77" s="115"/>
      <c r="L77" s="1146"/>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6" t="e">
        <f>Relato!#REF!</f>
        <v>#REF!</v>
      </c>
      <c r="C79" s="135" t="e">
        <f>ROUNDDOWN(B79,1)</f>
        <v>#REF!</v>
      </c>
      <c r="D79" s="130"/>
      <c r="E79" s="130"/>
      <c r="F79" s="131" t="e">
        <f>ROUND((((E81-D81)/($E$3-$D$3))*($F$3-$D$3))+D81,1)</f>
        <v>#REF!</v>
      </c>
      <c r="G79" s="132">
        <f>G76</f>
        <v>1.0249999999999999</v>
      </c>
      <c r="H79" s="133" t="e">
        <f>ROUND(F79*G79,1)</f>
        <v>#REF!</v>
      </c>
      <c r="I79" s="121"/>
      <c r="K79" s="129" t="e">
        <f>Relato!#REF!</f>
        <v>#REF!</v>
      </c>
      <c r="L79" s="1146"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6"/>
      <c r="C80" s="116" t="e">
        <f>ROUNDUP(B79,1)</f>
        <v>#REF!</v>
      </c>
      <c r="D80" s="134"/>
      <c r="E80" s="134"/>
      <c r="F80" s="118"/>
      <c r="G80" s="118"/>
      <c r="H80" s="120"/>
      <c r="K80" s="115"/>
      <c r="L80" s="1146"/>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6" t="e">
        <f>Relato!#REF!</f>
        <v>#REF!</v>
      </c>
      <c r="C82" s="135" t="e">
        <f>ROUNDDOWN(B82,1)</f>
        <v>#REF!</v>
      </c>
      <c r="D82" s="130"/>
      <c r="E82" s="130"/>
      <c r="F82" s="131" t="e">
        <f>ROUND((((E84-D84)/($E$3-$D$3))*($F$3-$D$3))+D84,1)</f>
        <v>#REF!</v>
      </c>
      <c r="G82" s="132">
        <f>G79</f>
        <v>1.0249999999999999</v>
      </c>
      <c r="H82" s="133" t="e">
        <f>ROUND(F82*G82,1)</f>
        <v>#REF!</v>
      </c>
      <c r="I82" s="121"/>
      <c r="K82" s="129" t="e">
        <f>Relato!#REF!</f>
        <v>#REF!</v>
      </c>
      <c r="L82" s="1146"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6"/>
      <c r="C83" s="116" t="e">
        <f>ROUNDUP(B82,1)</f>
        <v>#REF!</v>
      </c>
      <c r="D83" s="134"/>
      <c r="E83" s="134"/>
      <c r="F83" s="118"/>
      <c r="G83" s="118"/>
      <c r="H83" s="120"/>
      <c r="K83" s="115"/>
      <c r="L83" s="1146"/>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6" t="e">
        <f>Relato!#REF!</f>
        <v>#REF!</v>
      </c>
      <c r="C85" s="135" t="e">
        <f>ROUNDDOWN(B85,1)</f>
        <v>#REF!</v>
      </c>
      <c r="D85" s="130"/>
      <c r="E85" s="130"/>
      <c r="F85" s="131" t="e">
        <f>ROUND((((E87-D87)/($E$3-$D$3))*($F$3-$D$3))+D87,1)</f>
        <v>#REF!</v>
      </c>
      <c r="G85" s="132">
        <f>G82</f>
        <v>1.0249999999999999</v>
      </c>
      <c r="H85" s="133" t="e">
        <f>ROUND(F85*G85,1)</f>
        <v>#REF!</v>
      </c>
      <c r="I85" s="121"/>
      <c r="K85" s="129" t="e">
        <f>Relato!#REF!</f>
        <v>#REF!</v>
      </c>
      <c r="L85" s="1146"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6"/>
      <c r="C86" s="116" t="e">
        <f>ROUNDUP(B85,1)</f>
        <v>#REF!</v>
      </c>
      <c r="D86" s="134"/>
      <c r="E86" s="134"/>
      <c r="F86" s="118"/>
      <c r="G86" s="118"/>
      <c r="H86" s="120"/>
      <c r="K86" s="115"/>
      <c r="L86" s="1146"/>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6" t="e">
        <f>Relato!#REF!</f>
        <v>#REF!</v>
      </c>
      <c r="C88" s="135" t="e">
        <f>ROUNDDOWN(B88,1)</f>
        <v>#REF!</v>
      </c>
      <c r="D88" s="130"/>
      <c r="E88" s="130"/>
      <c r="F88" s="131" t="e">
        <f>ROUND((((E90-D90)/($E$3-$D$3))*($F$3-$D$3))+D90,1)</f>
        <v>#REF!</v>
      </c>
      <c r="G88" s="132">
        <f>G85</f>
        <v>1.0249999999999999</v>
      </c>
      <c r="H88" s="133" t="e">
        <f>ROUND(F88*G88,1)</f>
        <v>#REF!</v>
      </c>
      <c r="I88" s="121"/>
      <c r="K88" s="129" t="e">
        <f>Relato!#REF!</f>
        <v>#REF!</v>
      </c>
      <c r="L88" s="1146">
        <f>Relato!$D$260</f>
        <v>0.1</v>
      </c>
      <c r="M88" s="135">
        <f>ROUNDDOWN(L88,1)</f>
        <v>0.1</v>
      </c>
      <c r="N88" s="130"/>
      <c r="O88" s="130"/>
      <c r="P88" s="131" t="e">
        <f>ROUND((((O90-N90)/($E$3-$D$3))*($F$3-$D$3))+N90,1)</f>
        <v>#DIV/0!</v>
      </c>
      <c r="Q88" s="132">
        <f>Q85</f>
        <v>1.0249999999999999</v>
      </c>
      <c r="R88" s="133" t="e">
        <f>ROUND(P88*Q88,1)</f>
        <v>#DIV/0!</v>
      </c>
    </row>
    <row r="89" spans="1:18" ht="12.75" customHeight="1" x14ac:dyDescent="0.25">
      <c r="A89" s="115"/>
      <c r="B89" s="1146"/>
      <c r="C89" s="116" t="e">
        <f>ROUNDUP(B88,1)</f>
        <v>#REF!</v>
      </c>
      <c r="D89" s="134"/>
      <c r="E89" s="134"/>
      <c r="F89" s="118"/>
      <c r="G89" s="118"/>
      <c r="H89" s="120"/>
      <c r="K89" s="115"/>
      <c r="L89" s="1146"/>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Relato!$A$238</f>
        <v>A.PK</v>
      </c>
      <c r="B91" s="1146">
        <f>Relato!$G$238</f>
        <v>6.89</v>
      </c>
      <c r="C91" s="135">
        <f>ROUNDDOWN(B91,1)</f>
        <v>6.8</v>
      </c>
      <c r="D91" s="130"/>
      <c r="E91" s="130"/>
      <c r="F91" s="131">
        <f>ROUND((((E93-D93)/($E$3-$D$3))*($F$3-$D$3))+D93,1)</f>
        <v>0</v>
      </c>
      <c r="G91" s="132">
        <f>G88</f>
        <v>1.0249999999999999</v>
      </c>
      <c r="H91" s="133">
        <f>ROUND(F91*G91,1)</f>
        <v>0</v>
      </c>
      <c r="I91" s="121"/>
      <c r="K91" s="129" t="str">
        <f>Relato!$A$238</f>
        <v>A.PK</v>
      </c>
      <c r="L91" s="1146">
        <f>Relato!$D$261</f>
        <v>0</v>
      </c>
      <c r="M91" s="135">
        <f>ROUNDDOWN(L91,1)</f>
        <v>0</v>
      </c>
      <c r="N91" s="130"/>
      <c r="O91" s="130"/>
      <c r="P91" s="131" t="e">
        <f>ROUND((((O93-N93)/($E$3-$D$3))*($F$3-$D$3))+N93,1)</f>
        <v>#DIV/0!</v>
      </c>
      <c r="Q91" s="132">
        <f>Q88</f>
        <v>1.0249999999999999</v>
      </c>
      <c r="R91" s="133" t="e">
        <f>ROUND(P91*Q91,1)</f>
        <v>#DIV/0!</v>
      </c>
    </row>
    <row r="92" spans="1:18" ht="12.75" customHeight="1" x14ac:dyDescent="0.25">
      <c r="A92" s="115"/>
      <c r="B92" s="1146"/>
      <c r="C92" s="116">
        <f>ROUNDUP(B91,1)</f>
        <v>6.8999999999999995</v>
      </c>
      <c r="D92" s="134"/>
      <c r="E92" s="134"/>
      <c r="F92" s="118"/>
      <c r="G92" s="118"/>
      <c r="H92" s="120"/>
      <c r="K92" s="115"/>
      <c r="L92" s="1146"/>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374</v>
      </c>
      <c r="E95" s="150"/>
      <c r="F95" s="151"/>
      <c r="G95" s="151"/>
      <c r="H95" s="151"/>
      <c r="K95" s="149"/>
      <c r="L95" s="150"/>
      <c r="M95" s="150"/>
      <c r="N95" s="150" t="s">
        <v>374</v>
      </c>
      <c r="O95" s="150"/>
      <c r="P95" s="151"/>
      <c r="Q95" s="151"/>
      <c r="R95" s="151"/>
    </row>
    <row r="96" spans="1:18" ht="12.75" customHeight="1" x14ac:dyDescent="0.25">
      <c r="A96" s="152" t="s">
        <v>364</v>
      </c>
      <c r="B96" s="153" t="s">
        <v>365</v>
      </c>
      <c r="C96" s="152" t="s">
        <v>366</v>
      </c>
      <c r="D96" s="154" t="s">
        <v>367</v>
      </c>
      <c r="E96" s="152"/>
      <c r="F96" s="152" t="s">
        <v>368</v>
      </c>
      <c r="G96" s="155" t="s">
        <v>369</v>
      </c>
      <c r="H96" s="152" t="s">
        <v>370</v>
      </c>
      <c r="K96" s="152" t="s">
        <v>364</v>
      </c>
      <c r="L96" s="153" t="s">
        <v>365</v>
      </c>
      <c r="M96" s="152" t="s">
        <v>366</v>
      </c>
      <c r="N96" s="154" t="s">
        <v>367</v>
      </c>
      <c r="O96" s="152"/>
      <c r="P96" s="152" t="s">
        <v>368</v>
      </c>
      <c r="Q96" s="155" t="s">
        <v>369</v>
      </c>
      <c r="R96" s="152" t="s">
        <v>370</v>
      </c>
    </row>
    <row r="97" spans="1:18" ht="12.75" customHeight="1" x14ac:dyDescent="0.25">
      <c r="A97" s="152"/>
      <c r="B97" s="153" t="s">
        <v>371</v>
      </c>
      <c r="C97" s="152" t="s">
        <v>372</v>
      </c>
      <c r="D97" s="156">
        <f>D3</f>
        <v>1</v>
      </c>
      <c r="E97" s="156">
        <f>E3</f>
        <v>2</v>
      </c>
      <c r="F97" s="157">
        <f>F3</f>
        <v>0.11350000000000016</v>
      </c>
      <c r="G97" s="158"/>
      <c r="H97" s="152" t="s">
        <v>373</v>
      </c>
      <c r="K97" s="152"/>
      <c r="L97" s="153" t="s">
        <v>371</v>
      </c>
      <c r="M97" s="152" t="s">
        <v>372</v>
      </c>
      <c r="N97" s="156">
        <f>N3</f>
        <v>1</v>
      </c>
      <c r="O97" s="156">
        <f>O3</f>
        <v>2</v>
      </c>
      <c r="P97" s="157">
        <f>P3</f>
        <v>0.15470000000000006</v>
      </c>
      <c r="Q97" s="158"/>
      <c r="R97" s="152" t="s">
        <v>373</v>
      </c>
    </row>
    <row r="98" spans="1:18" ht="12.75" customHeight="1" x14ac:dyDescent="0.25">
      <c r="A98" s="159" t="str">
        <f>Relato!$A$268</f>
        <v>FWT (P)</v>
      </c>
      <c r="B98" s="1147" t="str">
        <f>Relato!$B$268</f>
        <v>GAUGE</v>
      </c>
      <c r="C98" s="135" t="e">
        <f>ROUNDDOWN(B98,1)</f>
        <v>#VALUE!</v>
      </c>
      <c r="D98" s="160"/>
      <c r="E98" s="160"/>
      <c r="F98" s="161" t="e">
        <f>ROUND((((E100-D100)/($E$3-$D$3))*($F$3-$D$3))+D100,1)</f>
        <v>#VALUE!</v>
      </c>
      <c r="G98" s="162">
        <v>1</v>
      </c>
      <c r="H98" s="163" t="e">
        <f>F98*G98</f>
        <v>#VALUE!</v>
      </c>
      <c r="K98" s="159" t="str">
        <f>Relato!$A$268</f>
        <v>FWT (P)</v>
      </c>
      <c r="L98" s="1147">
        <f>Relato!D277</f>
        <v>0</v>
      </c>
      <c r="M98" s="135">
        <f>ROUNDDOWN(L98,1)</f>
        <v>0</v>
      </c>
      <c r="N98" s="160"/>
      <c r="O98" s="160"/>
      <c r="P98" s="161" t="e">
        <f>ROUND((((O100-N100)/($E$3-$D$3))*($F$3-$D$3))+N100,1)</f>
        <v>#DIV/0!</v>
      </c>
      <c r="Q98" s="162">
        <v>1</v>
      </c>
      <c r="R98" s="163" t="e">
        <f>P98*Q98</f>
        <v>#DIV/0!</v>
      </c>
    </row>
    <row r="99" spans="1:18" ht="12.75" customHeight="1" x14ac:dyDescent="0.25">
      <c r="A99" s="164"/>
      <c r="B99" s="1148"/>
      <c r="C99" s="116" t="e">
        <f>ROUNDUP(B98,1)</f>
        <v>#VALUE!</v>
      </c>
      <c r="D99" s="165"/>
      <c r="E99" s="165"/>
      <c r="F99" s="166"/>
      <c r="G99" s="166"/>
      <c r="H99" s="167"/>
      <c r="K99" s="164"/>
      <c r="L99" s="1148"/>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Relato!$A$269</f>
        <v>FWT (S)</v>
      </c>
      <c r="B101" s="1147">
        <f>Relato!$G$269</f>
        <v>0</v>
      </c>
      <c r="C101" s="135">
        <f>ROUNDDOWN(B101,1)</f>
        <v>0</v>
      </c>
      <c r="D101" s="160"/>
      <c r="E101" s="160"/>
      <c r="F101" s="161" t="e">
        <f>ROUND((((E103-D103)/($E$3-$D$3))*($F$3-$D$3))+D103,1)</f>
        <v>#DIV/0!</v>
      </c>
      <c r="G101" s="162">
        <v>1</v>
      </c>
      <c r="H101" s="163" t="e">
        <f>F101*G101</f>
        <v>#DIV/0!</v>
      </c>
      <c r="K101" s="159" t="str">
        <f>Relato!$A$269</f>
        <v>FWT (S)</v>
      </c>
      <c r="L101" s="1147">
        <f>Relato!D278</f>
        <v>0</v>
      </c>
      <c r="M101" s="135">
        <f>ROUNDDOWN(L101,1)</f>
        <v>0</v>
      </c>
      <c r="N101" s="160"/>
      <c r="O101" s="160"/>
      <c r="P101" s="161" t="e">
        <f>ROUND((((O103-N103)/($E$3-$D$3))*($F$3-$D$3))+N103,1)</f>
        <v>#DIV/0!</v>
      </c>
      <c r="Q101" s="162">
        <v>1</v>
      </c>
      <c r="R101" s="163" t="e">
        <f>P101*Q101</f>
        <v>#DIV/0!</v>
      </c>
    </row>
    <row r="102" spans="1:18" ht="12.75" customHeight="1" x14ac:dyDescent="0.25">
      <c r="A102" s="164"/>
      <c r="B102" s="1148"/>
      <c r="C102" s="116">
        <f>ROUNDUP(B101,1)</f>
        <v>0</v>
      </c>
      <c r="D102" s="165"/>
      <c r="E102" s="165"/>
      <c r="F102" s="166"/>
      <c r="G102" s="166"/>
      <c r="H102" s="167"/>
      <c r="K102" s="164"/>
      <c r="L102" s="1148"/>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Relato!$A$270</f>
        <v>DWT (P)</v>
      </c>
      <c r="B104" s="1147">
        <f>Relato!$G$270</f>
        <v>0</v>
      </c>
      <c r="C104" s="135">
        <f>ROUNDDOWN(B104,1)</f>
        <v>0</v>
      </c>
      <c r="D104" s="160"/>
      <c r="E104" s="160"/>
      <c r="F104" s="161" t="e">
        <f>ROUND((((E106-D106)/($E$3-$D$3))*($F$3-$D$3))+D106,1)</f>
        <v>#DIV/0!</v>
      </c>
      <c r="G104" s="162">
        <v>1</v>
      </c>
      <c r="H104" s="163" t="e">
        <f>F104*G104</f>
        <v>#DIV/0!</v>
      </c>
      <c r="K104" s="159" t="str">
        <f>Relato!$A$270</f>
        <v>DWT (P)</v>
      </c>
      <c r="L104" s="1147">
        <f>Relato!D279</f>
        <v>0</v>
      </c>
      <c r="M104" s="135">
        <f>ROUNDDOWN(L104,1)</f>
        <v>0</v>
      </c>
      <c r="N104" s="160"/>
      <c r="O104" s="160"/>
      <c r="P104" s="161" t="e">
        <f>ROUND((((O106-N106)/($E$3-$D$3))*($F$3-$D$3))+N106,1)</f>
        <v>#DIV/0!</v>
      </c>
      <c r="Q104" s="162">
        <v>1</v>
      </c>
      <c r="R104" s="163" t="e">
        <f>P104*Q104</f>
        <v>#DIV/0!</v>
      </c>
    </row>
    <row r="105" spans="1:18" ht="12.75" customHeight="1" x14ac:dyDescent="0.25">
      <c r="A105" s="164"/>
      <c r="B105" s="1148"/>
      <c r="C105" s="116">
        <f>ROUNDUP(B104,1)</f>
        <v>0</v>
      </c>
      <c r="D105" s="165"/>
      <c r="E105" s="165"/>
      <c r="F105" s="166"/>
      <c r="G105" s="166"/>
      <c r="H105" s="167"/>
      <c r="K105" s="164"/>
      <c r="L105" s="1148"/>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47" t="e">
        <f>Relato!#REF!</f>
        <v>#REF!</v>
      </c>
      <c r="C107" s="135" t="e">
        <f>ROUNDDOWN(B107,1)</f>
        <v>#REF!</v>
      </c>
      <c r="D107" s="160"/>
      <c r="E107" s="160"/>
      <c r="F107" s="161" t="e">
        <f>ROUND((((E109-D109)/($E$3-$D$3))*($F$3-$D$3))+D109,1)</f>
        <v>#REF!</v>
      </c>
      <c r="G107" s="162">
        <v>1</v>
      </c>
      <c r="H107" s="163" t="e">
        <f>F107*G107</f>
        <v>#REF!</v>
      </c>
      <c r="K107" s="159" t="e">
        <f>Relato!#REF!</f>
        <v>#REF!</v>
      </c>
      <c r="L107" s="1147"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8"/>
      <c r="C108" s="116" t="e">
        <f>ROUNDUP(B107,1)</f>
        <v>#REF!</v>
      </c>
      <c r="D108" s="165"/>
      <c r="E108" s="165"/>
      <c r="F108" s="166"/>
      <c r="G108" s="166"/>
      <c r="H108" s="167"/>
      <c r="K108" s="174"/>
      <c r="L108" s="1148"/>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89</v>
      </c>
      <c r="F110" s="178" t="e">
        <f>SUM(F98:F109)</f>
        <v>#VALUE!</v>
      </c>
      <c r="G110" s="179" t="s">
        <v>375</v>
      </c>
      <c r="H110" s="176"/>
      <c r="K110" s="176"/>
      <c r="L110" s="176"/>
      <c r="M110" s="176"/>
      <c r="N110" s="176"/>
      <c r="O110" s="177" t="s">
        <v>89</v>
      </c>
      <c r="P110" s="178" t="e">
        <f>SUM(P98:P109)</f>
        <v>#DIV/0!</v>
      </c>
      <c r="Q110" s="179" t="s">
        <v>375</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460</v>
      </c>
    </row>
    <row r="2" spans="1:59" x14ac:dyDescent="0.2">
      <c r="A2" s="69" t="s">
        <v>461</v>
      </c>
    </row>
    <row r="3" spans="1:59" x14ac:dyDescent="0.2">
      <c r="A3" s="69" t="s">
        <v>462</v>
      </c>
    </row>
    <row r="4" spans="1:59" x14ac:dyDescent="0.2">
      <c r="A4" s="69" t="s">
        <v>463</v>
      </c>
    </row>
    <row r="5" spans="1:59" x14ac:dyDescent="0.2">
      <c r="A5" s="69" t="s">
        <v>464</v>
      </c>
    </row>
    <row r="6" spans="1:59" x14ac:dyDescent="0.2">
      <c r="A6" s="203" t="s">
        <v>465</v>
      </c>
    </row>
    <row r="9" spans="1:59" x14ac:dyDescent="0.2">
      <c r="A9" s="188" t="s">
        <v>466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0" t="s">
        <v>469</v>
      </c>
      <c r="B13" s="1150"/>
      <c r="C13" s="1150"/>
      <c r="D13" s="1150"/>
      <c r="E13" s="1150"/>
      <c r="F13" s="1150"/>
      <c r="G13" s="1150"/>
      <c r="H13" s="1150"/>
      <c r="I13" s="1150"/>
      <c r="J13" s="1150"/>
      <c r="K13" s="115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1" t="s">
        <v>470</v>
      </c>
      <c r="B15" s="1150"/>
      <c r="C15" s="1150"/>
      <c r="D15" s="1150"/>
      <c r="E15" s="1150"/>
      <c r="F15" s="1150"/>
      <c r="G15" s="1150"/>
      <c r="H15" s="1150"/>
      <c r="I15" s="1150"/>
      <c r="J15" s="1150"/>
      <c r="K15" s="1150"/>
    </row>
    <row r="16" spans="1:59" x14ac:dyDescent="0.2">
      <c r="A16" s="188"/>
    </row>
    <row r="17" spans="1:54" x14ac:dyDescent="0.2">
      <c r="A17" s="188"/>
    </row>
    <row r="20" spans="1:54" x14ac:dyDescent="0.2">
      <c r="A20" s="205" t="s">
        <v>471</v>
      </c>
    </row>
    <row r="22" spans="1:54" x14ac:dyDescent="0.2">
      <c r="A22" s="205" t="s">
        <v>472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2" t="s">
        <v>473</v>
      </c>
      <c r="B23" s="1153"/>
      <c r="C23" s="1153"/>
      <c r="D23" s="1153"/>
      <c r="E23" s="1153"/>
      <c r="F23" s="1153"/>
      <c r="G23" s="1153"/>
      <c r="H23" s="1153"/>
      <c r="I23" s="1153"/>
      <c r="J23" s="1153"/>
      <c r="K23" s="1153"/>
      <c r="L23" s="1153"/>
      <c r="M23" s="1153"/>
      <c r="N23" s="1153"/>
      <c r="O23" s="1153"/>
      <c r="P23" s="1153"/>
      <c r="Q23" s="1153"/>
      <c r="R23" s="1153"/>
      <c r="S23" s="1153"/>
      <c r="T23" s="1153"/>
      <c r="U23" s="1153"/>
      <c r="V23" s="1153"/>
      <c r="W23" s="1153"/>
      <c r="X23" s="1153"/>
      <c r="Y23" s="1153"/>
      <c r="Z23" s="1153"/>
      <c r="AA23" s="1153"/>
      <c r="AB23" s="1153"/>
      <c r="AC23" s="1153"/>
      <c r="AD23" s="1153"/>
      <c r="AE23" s="1153"/>
      <c r="AF23" s="1153"/>
      <c r="AG23" s="1153"/>
      <c r="AH23" s="1153"/>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row>
    <row r="24" spans="1:54" x14ac:dyDescent="0.2">
      <c r="A24" s="69"/>
    </row>
    <row r="25" spans="1:54" ht="13.5" thickBot="1" x14ac:dyDescent="0.25"/>
    <row r="26" spans="1:54" ht="54" customHeight="1" thickTop="1" x14ac:dyDescent="0.2">
      <c r="A26" s="1151" t="s">
        <v>474</v>
      </c>
      <c r="B26" s="1150"/>
      <c r="C26" s="1150"/>
      <c r="D26" s="1150"/>
      <c r="E26" s="1150"/>
      <c r="F26" s="1150"/>
      <c r="G26" s="1150"/>
      <c r="H26" s="1150"/>
      <c r="I26" s="1150"/>
      <c r="J26" s="1150"/>
      <c r="K26" s="115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4" t="s">
        <v>475</v>
      </c>
      <c r="B28" s="1154"/>
      <c r="C28" s="1154"/>
      <c r="D28" s="1154"/>
      <c r="E28" s="1154"/>
      <c r="F28" s="1154"/>
      <c r="G28" s="1154"/>
      <c r="H28" s="1154"/>
      <c r="I28" s="1154"/>
      <c r="J28" s="1154"/>
      <c r="K28" s="1154"/>
      <c r="L28" s="1154"/>
      <c r="M28" s="1154"/>
      <c r="N28" s="1154"/>
      <c r="O28" s="1154"/>
      <c r="P28" s="1154"/>
      <c r="Q28" s="1154"/>
      <c r="R28" s="1154"/>
      <c r="S28" s="1154"/>
      <c r="T28" s="1154"/>
      <c r="U28" s="1154"/>
      <c r="V28" s="1154"/>
      <c r="W28" s="1154"/>
      <c r="X28" s="1154"/>
      <c r="Y28" s="1154"/>
      <c r="Z28" s="1154"/>
      <c r="AA28" s="1154"/>
      <c r="AB28" s="1154"/>
      <c r="AC28" s="1154"/>
      <c r="AD28" s="1154"/>
      <c r="AE28" s="1154"/>
      <c r="AF28" s="1154"/>
      <c r="AG28" s="1154"/>
      <c r="AH28" s="1154"/>
      <c r="AI28" s="1154"/>
      <c r="AJ28" s="1154"/>
      <c r="AK28" s="1154"/>
      <c r="AL28" s="1154"/>
      <c r="AM28" s="1154"/>
      <c r="AN28" s="1154"/>
      <c r="AO28" s="1154"/>
      <c r="AP28" s="1154"/>
      <c r="AQ28" s="1154"/>
      <c r="AR28" s="1154"/>
      <c r="AS28" s="1154"/>
      <c r="AT28" s="1154"/>
      <c r="AU28" s="1154"/>
      <c r="AV28" s="1154"/>
      <c r="AW28" s="1154"/>
      <c r="AX28" s="1154"/>
      <c r="AY28" s="1154"/>
      <c r="AZ28" s="1154"/>
      <c r="BA28" s="1154"/>
      <c r="BB28" s="1154"/>
    </row>
    <row r="30" spans="1:54" x14ac:dyDescent="0.2">
      <c r="A30" s="69" t="s">
        <v>476</v>
      </c>
    </row>
    <row r="31" spans="1:54" x14ac:dyDescent="0.2">
      <c r="A31" s="69" t="s">
        <v>477</v>
      </c>
    </row>
    <row r="32" spans="1:54" x14ac:dyDescent="0.2">
      <c r="A32" s="69" t="s">
        <v>478</v>
      </c>
    </row>
    <row r="33" spans="1:7" x14ac:dyDescent="0.2">
      <c r="A33" s="69"/>
    </row>
    <row r="34" spans="1:7" x14ac:dyDescent="0.2">
      <c r="A34" s="69" t="s">
        <v>479</v>
      </c>
    </row>
    <row r="36" spans="1:7" x14ac:dyDescent="0.2">
      <c r="A36" s="20" t="s">
        <v>480</v>
      </c>
    </row>
    <row r="37" spans="1:7" x14ac:dyDescent="0.2">
      <c r="A37" s="20" t="s">
        <v>481</v>
      </c>
    </row>
    <row r="39" spans="1:7" x14ac:dyDescent="0.2">
      <c r="A39" s="69" t="s">
        <v>482</v>
      </c>
    </row>
    <row r="40" spans="1:7" x14ac:dyDescent="0.2">
      <c r="A40" s="69" t="s">
        <v>483</v>
      </c>
    </row>
    <row r="41" spans="1:7" x14ac:dyDescent="0.2">
      <c r="A41" s="69" t="s">
        <v>484</v>
      </c>
    </row>
    <row r="44" spans="1:7" x14ac:dyDescent="0.2">
      <c r="A44" s="69" t="s">
        <v>485</v>
      </c>
      <c r="B44" s="210"/>
      <c r="C44" s="210"/>
      <c r="D44" s="210"/>
      <c r="E44" s="210"/>
      <c r="F44" s="210"/>
      <c r="G44" s="210"/>
    </row>
    <row r="45" spans="1:7" x14ac:dyDescent="0.2">
      <c r="A45" s="210"/>
      <c r="B45" s="69" t="s">
        <v>486</v>
      </c>
      <c r="C45" s="210"/>
      <c r="D45" s="210"/>
      <c r="E45" s="210"/>
      <c r="G45" s="210"/>
    </row>
    <row r="48" spans="1:7" ht="15" x14ac:dyDescent="0.2">
      <c r="A48" s="55" t="s">
        <v>487</v>
      </c>
    </row>
    <row r="51" spans="1:1" x14ac:dyDescent="0.2">
      <c r="A51" s="20" t="s">
        <v>488</v>
      </c>
    </row>
    <row r="53" spans="1:1" x14ac:dyDescent="0.2">
      <c r="A53" s="188" t="s">
        <v>489</v>
      </c>
    </row>
    <row r="55" spans="1:1" x14ac:dyDescent="0.2">
      <c r="A55" s="69" t="s">
        <v>490</v>
      </c>
    </row>
    <row r="58" spans="1:1" x14ac:dyDescent="0.2">
      <c r="A58" s="20" t="s">
        <v>490</v>
      </c>
    </row>
    <row r="61" spans="1:1" ht="15.75" x14ac:dyDescent="0.25">
      <c r="A61" s="211" t="s">
        <v>491</v>
      </c>
    </row>
    <row r="62" spans="1:1" ht="15.75" x14ac:dyDescent="0.25">
      <c r="A62" s="212" t="s">
        <v>492</v>
      </c>
    </row>
    <row r="63" spans="1:1" ht="15.75" x14ac:dyDescent="0.25">
      <c r="A63" s="212" t="s">
        <v>493</v>
      </c>
    </row>
    <row r="66" spans="1:10" x14ac:dyDescent="0.2">
      <c r="A66" s="20" t="s">
        <v>494</v>
      </c>
    </row>
    <row r="70" spans="1:10" x14ac:dyDescent="0.2">
      <c r="A70" s="69" t="s">
        <v>495</v>
      </c>
    </row>
    <row r="73" spans="1:10" x14ac:dyDescent="0.2">
      <c r="A73" s="69" t="s">
        <v>496</v>
      </c>
    </row>
    <row r="74" spans="1:10" x14ac:dyDescent="0.2">
      <c r="A74" s="69" t="s">
        <v>497</v>
      </c>
    </row>
    <row r="78" spans="1:10" ht="16.5" x14ac:dyDescent="0.3">
      <c r="A78" s="1149" t="s">
        <v>498</v>
      </c>
      <c r="B78" s="1149"/>
      <c r="C78" s="1149"/>
      <c r="D78" s="1149"/>
      <c r="E78" s="1149"/>
      <c r="F78" s="1149"/>
      <c r="G78" s="1149"/>
      <c r="H78" s="1149"/>
      <c r="I78" s="1149"/>
      <c r="J78" s="1149"/>
    </row>
    <row r="82" spans="1:1" x14ac:dyDescent="0.2">
      <c r="A82" s="20" t="s">
        <v>499</v>
      </c>
    </row>
    <row r="86" spans="1:1" x14ac:dyDescent="0.2">
      <c r="A86" s="20" t="s">
        <v>500</v>
      </c>
    </row>
    <row r="89" spans="1:1" x14ac:dyDescent="0.2">
      <c r="A89" s="20" t="s">
        <v>501</v>
      </c>
    </row>
    <row r="90" spans="1:1" x14ac:dyDescent="0.2">
      <c r="A90" s="20" t="s">
        <v>502</v>
      </c>
    </row>
    <row r="91" spans="1:1" x14ac:dyDescent="0.2">
      <c r="A91" s="20" t="s">
        <v>503</v>
      </c>
    </row>
    <row r="94" spans="1:1" ht="14.25" x14ac:dyDescent="0.2">
      <c r="A94" s="69" t="s">
        <v>504</v>
      </c>
    </row>
    <row r="97" spans="1:11" ht="55.5" customHeight="1" x14ac:dyDescent="0.2">
      <c r="A97" s="1151" t="s">
        <v>505</v>
      </c>
      <c r="B97" s="1151"/>
      <c r="C97" s="1151"/>
      <c r="D97" s="1151"/>
      <c r="E97" s="1151"/>
      <c r="F97" s="1151"/>
      <c r="G97" s="1151"/>
      <c r="H97" s="1151"/>
      <c r="I97" s="1151"/>
      <c r="J97" s="1151"/>
      <c r="K97" s="1151"/>
    </row>
    <row r="98" spans="1:11" x14ac:dyDescent="0.2">
      <c r="A98" s="205"/>
      <c r="B98" s="205"/>
    </row>
    <row r="99" spans="1:11" x14ac:dyDescent="0.2">
      <c r="A99" s="205"/>
      <c r="B99" s="205"/>
    </row>
    <row r="102" spans="1:11" ht="28.5" customHeight="1" x14ac:dyDescent="0.2">
      <c r="A102" s="1150" t="s">
        <v>506</v>
      </c>
      <c r="B102" s="1150"/>
      <c r="C102" s="1150"/>
      <c r="D102" s="1150"/>
      <c r="E102" s="1150"/>
      <c r="F102" s="1150"/>
      <c r="G102" s="1150"/>
      <c r="H102" s="1150"/>
      <c r="I102" s="1150"/>
      <c r="J102" s="1150"/>
      <c r="K102" s="1150"/>
    </row>
    <row r="106" spans="1:11" x14ac:dyDescent="0.2">
      <c r="A106" s="202" t="s">
        <v>460</v>
      </c>
    </row>
    <row r="107" spans="1:11" x14ac:dyDescent="0.2">
      <c r="A107" s="69" t="s">
        <v>461</v>
      </c>
    </row>
    <row r="108" spans="1:11" x14ac:dyDescent="0.2">
      <c r="A108" s="69" t="s">
        <v>462</v>
      </c>
    </row>
    <row r="109" spans="1:11" x14ac:dyDescent="0.2">
      <c r="A109" s="69" t="s">
        <v>463</v>
      </c>
    </row>
    <row r="110" spans="1:11" x14ac:dyDescent="0.2">
      <c r="A110" s="69" t="s">
        <v>464</v>
      </c>
    </row>
    <row r="111" spans="1:11" x14ac:dyDescent="0.2">
      <c r="A111" s="203" t="s">
        <v>465</v>
      </c>
    </row>
    <row r="113" spans="1:11" x14ac:dyDescent="0.2">
      <c r="A113" s="20" t="s">
        <v>507</v>
      </c>
    </row>
    <row r="114" spans="1:11" x14ac:dyDescent="0.2">
      <c r="A114" s="20" t="s">
        <v>508</v>
      </c>
    </row>
    <row r="116" spans="1:11" x14ac:dyDescent="0.2">
      <c r="A116" s="1155" t="s">
        <v>509</v>
      </c>
      <c r="B116" s="1155"/>
      <c r="C116" s="1155"/>
      <c r="D116" s="1155"/>
      <c r="E116" s="1155"/>
      <c r="F116" s="1155"/>
      <c r="G116" s="1155"/>
      <c r="H116" s="1155"/>
      <c r="I116" s="1155"/>
      <c r="J116" s="1155"/>
      <c r="K116" s="1155"/>
    </row>
    <row r="117" spans="1:11" x14ac:dyDescent="0.2">
      <c r="A117" s="1155"/>
      <c r="B117" s="1155"/>
      <c r="C117" s="1155"/>
      <c r="D117" s="1155"/>
      <c r="E117" s="1155"/>
      <c r="F117" s="1155"/>
      <c r="G117" s="1155"/>
      <c r="H117" s="1155"/>
      <c r="I117" s="1155"/>
      <c r="J117" s="1155"/>
      <c r="K117" s="1155"/>
    </row>
    <row r="120" spans="1:11" x14ac:dyDescent="0.2">
      <c r="A120" s="1150" t="s">
        <v>469</v>
      </c>
      <c r="B120" s="1150"/>
      <c r="C120" s="1150"/>
      <c r="D120" s="1150"/>
      <c r="E120" s="1150"/>
      <c r="F120" s="1150"/>
      <c r="G120" s="1150"/>
      <c r="H120" s="1150"/>
      <c r="I120" s="1150"/>
      <c r="J120" s="1150"/>
      <c r="K120" s="1150"/>
    </row>
    <row r="121" spans="1:11" ht="19.5" customHeight="1" x14ac:dyDescent="0.2">
      <c r="A121" s="1150"/>
      <c r="B121" s="1150"/>
      <c r="C121" s="1150"/>
      <c r="D121" s="1150"/>
      <c r="E121" s="1150"/>
      <c r="F121" s="1150"/>
      <c r="G121" s="1150"/>
      <c r="H121" s="1150"/>
      <c r="I121" s="1150"/>
      <c r="J121" s="1150"/>
      <c r="K121" s="1150"/>
    </row>
    <row r="122" spans="1:11" ht="18.75" customHeight="1" x14ac:dyDescent="0.2">
      <c r="A122" s="1150"/>
      <c r="B122" s="1150"/>
      <c r="C122" s="1150"/>
      <c r="D122" s="1150"/>
      <c r="E122" s="1150"/>
      <c r="F122" s="1150"/>
      <c r="G122" s="1150"/>
      <c r="H122" s="1150"/>
      <c r="I122" s="1150"/>
      <c r="J122" s="1150"/>
      <c r="K122" s="1150"/>
    </row>
    <row r="124" spans="1:11" ht="51" customHeight="1" x14ac:dyDescent="0.2">
      <c r="A124" s="1156" t="s">
        <v>510</v>
      </c>
      <c r="B124" s="1156"/>
      <c r="C124" s="1156"/>
      <c r="D124" s="1156"/>
      <c r="E124" s="1156"/>
      <c r="F124" s="1156"/>
      <c r="G124" s="1156"/>
      <c r="H124" s="1156"/>
      <c r="I124" s="1156"/>
      <c r="J124" s="1156"/>
      <c r="K124" s="1156"/>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511</v>
      </c>
      <c r="B1" s="214"/>
      <c r="C1" s="214"/>
      <c r="D1" s="214"/>
      <c r="E1" s="214"/>
      <c r="F1" s="214"/>
      <c r="G1" s="214"/>
      <c r="H1" s="214"/>
      <c r="I1" s="214"/>
      <c r="J1" s="215"/>
    </row>
    <row r="2" spans="1:16" x14ac:dyDescent="0.2">
      <c r="A2" s="216"/>
      <c r="J2" s="217"/>
    </row>
    <row r="3" spans="1:16" ht="15" x14ac:dyDescent="0.25">
      <c r="A3" s="218" t="s">
        <v>512</v>
      </c>
      <c r="B3" s="20" t="s">
        <v>291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513</v>
      </c>
      <c r="E8" s="224"/>
      <c r="F8" s="224"/>
      <c r="G8" s="224"/>
      <c r="H8" s="224"/>
      <c r="J8" s="217"/>
      <c r="L8" s="223" t="s">
        <v>513</v>
      </c>
      <c r="M8" s="224"/>
      <c r="N8" s="224"/>
      <c r="O8" s="224"/>
      <c r="P8" s="224"/>
    </row>
    <row r="9" spans="1:16" ht="15" x14ac:dyDescent="0.25">
      <c r="A9" s="222">
        <f t="shared" si="0"/>
        <v>0.755</v>
      </c>
      <c r="B9" s="221">
        <v>0.65</v>
      </c>
      <c r="J9" s="217"/>
    </row>
    <row r="10" spans="1:16" ht="15" x14ac:dyDescent="0.25">
      <c r="A10" s="222">
        <f t="shared" si="0"/>
        <v>0.75</v>
      </c>
      <c r="B10" s="221">
        <v>0.66</v>
      </c>
      <c r="D10" s="20" t="s">
        <v>514</v>
      </c>
      <c r="E10" s="225">
        <f>Draft!J$47</f>
        <v>68.286000000000001</v>
      </c>
      <c r="J10" s="217"/>
      <c r="L10" s="20" t="s">
        <v>514</v>
      </c>
      <c r="M10" s="225">
        <f>Draft!AB$47</f>
        <v>73.416000000000011</v>
      </c>
    </row>
    <row r="11" spans="1:16" ht="15" x14ac:dyDescent="0.25">
      <c r="A11" s="222">
        <f t="shared" si="0"/>
        <v>0.745</v>
      </c>
      <c r="B11" s="221">
        <v>0.67</v>
      </c>
      <c r="D11" s="20" t="s">
        <v>515</v>
      </c>
      <c r="E11" s="225">
        <f>Draft!D$11</f>
        <v>206.5</v>
      </c>
      <c r="G11" s="224" t="s">
        <v>516</v>
      </c>
      <c r="H11" s="224">
        <f>E10*97.545/(E11*E12)</f>
        <v>0.87179606962895095</v>
      </c>
      <c r="J11" s="217"/>
      <c r="L11" s="20" t="s">
        <v>515</v>
      </c>
      <c r="M11" s="225">
        <f>Draft!V$11</f>
        <v>206.5</v>
      </c>
      <c r="O11" s="224" t="s">
        <v>516</v>
      </c>
      <c r="P11" s="224">
        <f>M10*97.545/(M11*M12)</f>
        <v>0.9372899312872196</v>
      </c>
    </row>
    <row r="12" spans="1:16" ht="15" x14ac:dyDescent="0.25">
      <c r="A12" s="222">
        <f t="shared" si="0"/>
        <v>0.74</v>
      </c>
      <c r="B12" s="221">
        <v>0.68</v>
      </c>
      <c r="D12" s="20" t="s">
        <v>517</v>
      </c>
      <c r="E12" s="225">
        <f>Draft!L$11</f>
        <v>37</v>
      </c>
      <c r="J12" s="217"/>
      <c r="L12" s="20" t="s">
        <v>517</v>
      </c>
      <c r="M12" s="225">
        <f>E$12</f>
        <v>37</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518</v>
      </c>
      <c r="E15" s="224"/>
      <c r="F15" s="224"/>
      <c r="G15" s="224"/>
      <c r="H15" s="224"/>
      <c r="J15" s="217"/>
      <c r="L15" s="223" t="s">
        <v>518</v>
      </c>
      <c r="M15" s="224"/>
      <c r="N15" s="224"/>
      <c r="O15" s="224"/>
      <c r="P15" s="224"/>
    </row>
    <row r="16" spans="1:16" ht="15" x14ac:dyDescent="0.25">
      <c r="A16" s="222">
        <f t="shared" si="0"/>
        <v>0.72</v>
      </c>
      <c r="B16" s="226">
        <v>0.72</v>
      </c>
      <c r="D16" s="20" t="s">
        <v>519</v>
      </c>
      <c r="J16" s="217"/>
      <c r="L16" s="20" t="s">
        <v>519</v>
      </c>
    </row>
    <row r="17" spans="1:16" ht="15" x14ac:dyDescent="0.25">
      <c r="A17" s="222">
        <f t="shared" si="0"/>
        <v>0.71499999999999997</v>
      </c>
      <c r="B17" s="226">
        <v>0.73</v>
      </c>
      <c r="J17" s="217"/>
    </row>
    <row r="18" spans="1:16" ht="15.75" thickBot="1" x14ac:dyDescent="0.3">
      <c r="A18" s="222">
        <f t="shared" si="0"/>
        <v>0.71</v>
      </c>
      <c r="B18" s="226">
        <v>0.74</v>
      </c>
      <c r="D18" s="20" t="s">
        <v>520</v>
      </c>
      <c r="E18" s="20">
        <f>(Draft!$P$25+Draft!$P$27)/2</f>
        <v>7.7754499999999993</v>
      </c>
      <c r="J18" s="217"/>
      <c r="L18" s="20" t="s">
        <v>520</v>
      </c>
      <c r="M18" s="20">
        <f>(Draft!$AH$25+Draft!$AH$27)/2</f>
        <v>12.029450000000001</v>
      </c>
    </row>
    <row r="19" spans="1:16" ht="19.5" thickBot="1" x14ac:dyDescent="0.35">
      <c r="A19" s="222">
        <f t="shared" si="0"/>
        <v>0.70499999999999996</v>
      </c>
      <c r="B19" s="226">
        <v>0.75</v>
      </c>
      <c r="D19" s="227" t="s">
        <v>521</v>
      </c>
      <c r="E19" s="221">
        <f>(($H$11-$B$4)*(0.15)/(0.3))-0.78</f>
        <v>-0.64410196518552454</v>
      </c>
      <c r="G19" s="228" t="s">
        <v>522</v>
      </c>
      <c r="H19" s="229">
        <f>$E$18+($E$19*$E$20)</f>
        <v>7.7477214103987624</v>
      </c>
      <c r="J19" s="217"/>
      <c r="L19" s="227" t="s">
        <v>521</v>
      </c>
      <c r="M19" s="221">
        <f>(($P$11-$B$4)*(0.15)/(0.3))-0.78</f>
        <v>-0.61135503435639027</v>
      </c>
      <c r="O19" s="228" t="s">
        <v>522</v>
      </c>
      <c r="P19" s="229">
        <f>$M$18+($M$19*$M$20)</f>
        <v>12.052528652546954</v>
      </c>
    </row>
    <row r="20" spans="1:16" ht="15" x14ac:dyDescent="0.25">
      <c r="A20" s="222">
        <f t="shared" si="0"/>
        <v>0.7</v>
      </c>
      <c r="B20" s="226">
        <v>0.76</v>
      </c>
      <c r="D20" s="20" t="s">
        <v>523</v>
      </c>
      <c r="E20" s="20">
        <f>((Draft!$P$25+Draft!$P$27))/2-Draft!$P$26</f>
        <v>4.3050000000000033E-2</v>
      </c>
      <c r="J20" s="217"/>
      <c r="L20" s="20" t="s">
        <v>523</v>
      </c>
      <c r="M20" s="20">
        <f>(Draft!$AH$25+Draft!$AH$27)/2-(Draft!$AH$26)</f>
        <v>-3.7749999999999062E-2</v>
      </c>
    </row>
    <row r="21" spans="1:16" ht="15" x14ac:dyDescent="0.25">
      <c r="A21" s="222">
        <f t="shared" si="0"/>
        <v>0.69499999999999995</v>
      </c>
      <c r="B21" s="226">
        <v>0.77</v>
      </c>
      <c r="J21" s="217"/>
    </row>
    <row r="22" spans="1:16" ht="15" x14ac:dyDescent="0.25">
      <c r="A22" s="222">
        <f t="shared" si="0"/>
        <v>0.69</v>
      </c>
      <c r="B22" s="226">
        <v>0.78</v>
      </c>
      <c r="D22" s="1157" t="s">
        <v>590</v>
      </c>
      <c r="E22" s="1158"/>
      <c r="F22" s="1158"/>
      <c r="G22" s="1158"/>
      <c r="H22" s="1158"/>
      <c r="I22" s="1158"/>
      <c r="J22" s="1158"/>
      <c r="K22" s="1158"/>
      <c r="L22" s="1158"/>
      <c r="M22" s="1158"/>
      <c r="N22" s="1158"/>
      <c r="O22" s="1158"/>
      <c r="P22" s="1159"/>
    </row>
    <row r="23" spans="1:16" ht="15" x14ac:dyDescent="0.25">
      <c r="A23" s="222">
        <f t="shared" si="0"/>
        <v>0.68499999999999994</v>
      </c>
      <c r="B23" s="226">
        <v>0.79</v>
      </c>
      <c r="D23" s="1160"/>
      <c r="E23" s="1161"/>
      <c r="F23" s="1161"/>
      <c r="G23" s="1161"/>
      <c r="H23" s="1161"/>
      <c r="I23" s="1161"/>
      <c r="J23" s="1161"/>
      <c r="K23" s="1161"/>
      <c r="L23" s="1161"/>
      <c r="M23" s="1161"/>
      <c r="N23" s="1161"/>
      <c r="O23" s="1161"/>
      <c r="P23" s="1162"/>
    </row>
    <row r="24" spans="1:16" ht="15" x14ac:dyDescent="0.25">
      <c r="A24" s="219">
        <f t="shared" si="0"/>
        <v>0.67999999999999994</v>
      </c>
      <c r="B24" s="220">
        <v>0.8</v>
      </c>
      <c r="D24" s="1160"/>
      <c r="E24" s="1161"/>
      <c r="F24" s="1161"/>
      <c r="G24" s="1161"/>
      <c r="H24" s="1161"/>
      <c r="I24" s="1161"/>
      <c r="J24" s="1161"/>
      <c r="K24" s="1161"/>
      <c r="L24" s="1161"/>
      <c r="M24" s="1161"/>
      <c r="N24" s="1161"/>
      <c r="O24" s="1161"/>
      <c r="P24" s="1162"/>
    </row>
    <row r="25" spans="1:16" ht="15" x14ac:dyDescent="0.25">
      <c r="A25" s="222">
        <f t="shared" si="0"/>
        <v>0.67499999999999993</v>
      </c>
      <c r="B25" s="226">
        <v>0.81</v>
      </c>
      <c r="D25" s="1163"/>
      <c r="E25" s="1164"/>
      <c r="F25" s="1164"/>
      <c r="G25" s="1164"/>
      <c r="H25" s="1164"/>
      <c r="I25" s="1164"/>
      <c r="J25" s="1164"/>
      <c r="K25" s="1164"/>
      <c r="L25" s="1164"/>
      <c r="M25" s="1164"/>
      <c r="N25" s="1164"/>
      <c r="O25" s="1164"/>
      <c r="P25" s="116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6"/>
      <c r="AI19" s="116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627</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628</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629</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BRAZILIAN PORT AGENTS</v>
      </c>
      <c r="D50" s="37" t="str">
        <f>IFERROR(_xlfn.IFS(C50=F55,AH55,C50=F61,AH61,C50=F68,AH68,C50=F76,AH76,C50=F84,AH84,C50=F93,AH93,C50=F99,AH99,C50=F106,AH106,C50=F112,AH112,C50=F118,AH118,C50=F126,AH126,C50=F132,AH132,C50=F142,AH142,C50=F148,AH148,C50=F154,AH154,C50=F160,AH160,C50=F166,AH166,C50=F172,AH172,C50=F88,AH88)," ")</f>
        <v>Mr. Eduardo da Silva marques</v>
      </c>
      <c r="E50" s="37"/>
      <c r="F50" s="182" t="s">
        <v>402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Vitor Mendes belo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725</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727</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728</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634</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729</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730</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731</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636</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750</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732</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719</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720</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642</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643</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644</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721</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722</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734</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735</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736</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737</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723</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738</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749</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748</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746</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747</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731</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690</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691</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739</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645</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442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724</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740</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651</v>
      </c>
      <c r="AH324" s="20" t="s">
        <v>652</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741</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653</v>
      </c>
      <c r="AH327" s="20" t="s">
        <v>654</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7"/>
      <c r="BN350" s="1168"/>
      <c r="BO350" s="1168"/>
      <c r="BP350" s="1168"/>
      <c r="BQ350" s="1168"/>
      <c r="BR350" s="1168"/>
      <c r="BS350" s="1168"/>
      <c r="BT350" s="1168"/>
      <c r="BU350" s="1168"/>
      <c r="BV350" s="1168"/>
      <c r="BW350" s="1168"/>
      <c r="BX350" s="1168"/>
      <c r="BY350" s="1168"/>
      <c r="BZ350" s="1168"/>
      <c r="CA350" s="1168"/>
      <c r="CB350" s="1168"/>
      <c r="CC350" s="1168"/>
      <c r="CD350" s="1168"/>
      <c r="CE350" s="1168"/>
      <c r="CF350" s="1168"/>
      <c r="CG350" s="1168"/>
      <c r="CH350" s="1168"/>
      <c r="CI350" s="1168"/>
      <c r="CJ350" s="1168"/>
      <c r="CK350" s="1168"/>
      <c r="CL350" s="1168"/>
      <c r="CM350" s="1168"/>
      <c r="CN350" s="1168"/>
      <c r="CO350" s="1168"/>
      <c r="CP350" s="1168"/>
      <c r="CQ350" s="1168"/>
      <c r="CR350" s="1168"/>
      <c r="CS350" s="1168"/>
      <c r="CT350" s="1168"/>
      <c r="CU350" s="1168"/>
      <c r="CV350" s="1168"/>
      <c r="CW350" s="1168"/>
      <c r="CX350" s="1168"/>
      <c r="CY350" s="1168"/>
      <c r="CZ350" s="1168"/>
      <c r="DA350" s="1168"/>
      <c r="DB350" s="1168"/>
      <c r="DC350" s="1168"/>
      <c r="DD350" s="1168"/>
      <c r="DE350" s="1168"/>
      <c r="DF350" s="1168"/>
      <c r="DG350" s="1168"/>
      <c r="DH350" s="1168"/>
      <c r="DI350" s="1168"/>
      <c r="DJ350" s="1168"/>
      <c r="DK350" s="1168"/>
      <c r="DL350" s="1168"/>
      <c r="DM350" s="1168"/>
      <c r="DN350" s="116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2"/>
  <sheetViews>
    <sheetView tabSelected="1" view="pageBreakPreview" topLeftCell="A267" zoomScaleNormal="93" zoomScaleSheetLayoutView="100" workbookViewId="0">
      <selection activeCell="H273" sqref="H27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9" t="str">
        <f>_xlfn.CONCAT("M/V"," """,CAPA!B8,""" ")</f>
        <v xml:space="preserve">M/V "SDM QUANZHOU" </v>
      </c>
      <c r="B1" s="759"/>
      <c r="C1" s="759"/>
      <c r="D1" s="759"/>
      <c r="E1" s="759"/>
      <c r="F1" s="759"/>
      <c r="G1" s="759"/>
      <c r="H1" s="759"/>
      <c r="I1" s="759"/>
      <c r="J1" s="75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7" t="str">
        <f>_xlfn.CONCAT(CAPA!A5,CAPA!B5)</f>
        <v>PGUA/DS/090/26</v>
      </c>
      <c r="H3" s="767"/>
      <c r="I3" s="76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701</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703</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707</v>
      </c>
      <c r="B14" s="259"/>
      <c r="C14" s="259"/>
      <c r="D14" s="259"/>
      <c r="E14" s="259"/>
      <c r="F14" s="259"/>
      <c r="G14" s="259"/>
      <c r="H14" s="261"/>
      <c r="I14" s="578" t="s">
        <v>32</v>
      </c>
    </row>
    <row r="15" spans="1:10" ht="19.5" x14ac:dyDescent="0.4">
      <c r="A15" s="260" t="s">
        <v>708</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699</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6</v>
      </c>
      <c r="L19" s="432" t="s">
        <v>586</v>
      </c>
    </row>
    <row r="20" spans="1:16" ht="19.5" x14ac:dyDescent="0.4">
      <c r="A20" s="260" t="s">
        <v>38</v>
      </c>
      <c r="B20" s="259"/>
      <c r="C20" s="259"/>
      <c r="D20" s="259"/>
      <c r="E20" s="259"/>
      <c r="F20" s="259"/>
      <c r="G20" s="259"/>
      <c r="H20" s="261"/>
      <c r="I20" s="578">
        <f>I19+1</f>
        <v>7</v>
      </c>
    </row>
    <row r="21" spans="1:16" ht="19.5" x14ac:dyDescent="0.4">
      <c r="A21" s="260" t="s">
        <v>39</v>
      </c>
      <c r="B21" s="259"/>
      <c r="C21" s="259"/>
      <c r="D21" s="259"/>
      <c r="E21" s="259"/>
      <c r="F21" s="259"/>
      <c r="G21" s="259"/>
      <c r="H21" s="261"/>
      <c r="I21" s="578">
        <f>$I$20</f>
        <v>7</v>
      </c>
    </row>
    <row r="22" spans="1:16" ht="19.5" x14ac:dyDescent="0.4">
      <c r="A22" s="260" t="s">
        <v>700</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625</v>
      </c>
      <c r="B33" s="260"/>
      <c r="C33" s="260"/>
      <c r="D33" s="260"/>
      <c r="E33" s="260"/>
      <c r="F33" s="260"/>
      <c r="G33" s="260"/>
      <c r="H33" s="260"/>
      <c r="I33" s="260"/>
      <c r="L33" s="461"/>
      <c r="M33" s="461"/>
      <c r="N33" s="461"/>
      <c r="O33" s="461"/>
      <c r="P33" s="461"/>
    </row>
    <row r="34" spans="1:16" ht="23.25" x14ac:dyDescent="0.35">
      <c r="A34" s="766" t="str">
        <f>$A$1</f>
        <v xml:space="preserve">M/V "SDM QUANZHOU" </v>
      </c>
      <c r="B34" s="766"/>
      <c r="C34" s="766"/>
      <c r="D34" s="766"/>
      <c r="E34" s="766"/>
      <c r="F34" s="766"/>
      <c r="G34" s="766"/>
      <c r="H34" s="766"/>
      <c r="I34" s="766"/>
      <c r="J34" s="766"/>
      <c r="L34" s="461"/>
      <c r="M34" s="461"/>
      <c r="N34" s="461"/>
      <c r="O34" s="461"/>
      <c r="P34" s="461"/>
    </row>
    <row r="35" spans="1:16" ht="15.75" x14ac:dyDescent="0.25">
      <c r="A35" s="727" t="str">
        <f>$G$3</f>
        <v>PGUA/DS/090/26</v>
      </c>
      <c r="B35" s="727"/>
      <c r="C35" s="727"/>
      <c r="D35" s="727"/>
      <c r="E35" s="727"/>
      <c r="F35" s="727"/>
      <c r="G35" s="727"/>
      <c r="H35" s="727"/>
      <c r="I35" s="727"/>
      <c r="J35" s="727"/>
      <c r="L35" s="461"/>
      <c r="M35" s="461"/>
      <c r="N35" s="461"/>
      <c r="O35" s="461"/>
      <c r="P35" s="461"/>
    </row>
    <row r="36" spans="1:16" ht="15.75" x14ac:dyDescent="0.25">
      <c r="A36" s="727" t="str">
        <f>A3</f>
        <v>DRAUGHT SURVEY REPORT</v>
      </c>
      <c r="B36" s="727"/>
      <c r="C36" s="727"/>
      <c r="D36" s="727"/>
      <c r="E36" s="727"/>
      <c r="F36" s="727"/>
      <c r="G36" s="727"/>
      <c r="H36" s="727"/>
      <c r="I36" s="727"/>
      <c r="J36" s="727"/>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4" t="s">
        <v>49</v>
      </c>
      <c r="B38" s="724"/>
      <c r="C38" s="724"/>
      <c r="D38" s="724"/>
      <c r="E38" s="724"/>
      <c r="F38" s="724"/>
      <c r="G38" s="724"/>
      <c r="H38" s="724"/>
      <c r="I38" s="724"/>
      <c r="J38" s="724"/>
      <c r="L38" s="461"/>
      <c r="M38" s="461"/>
      <c r="N38" s="461"/>
      <c r="O38" s="461"/>
      <c r="P38" s="461"/>
    </row>
    <row r="39" spans="1:16" ht="15" customHeight="1" x14ac:dyDescent="0.25">
      <c r="A39" s="724"/>
      <c r="B39" s="724"/>
      <c r="C39" s="724"/>
      <c r="D39" s="724"/>
      <c r="E39" s="724"/>
      <c r="F39" s="724"/>
      <c r="G39" s="724"/>
      <c r="H39" s="724"/>
      <c r="I39" s="724"/>
      <c r="J39" s="724"/>
      <c r="L39" s="461"/>
      <c r="M39" s="461"/>
      <c r="N39" s="461"/>
      <c r="O39" s="461"/>
      <c r="P39" s="461"/>
    </row>
    <row r="40" spans="1:16" ht="37.5" customHeight="1" x14ac:dyDescent="0.25">
      <c r="A40" s="725" t="str">
        <f>_xlfn.CONCAT(CAPA!$E$46:$E$55,".")</f>
        <v>Messrs. Interalli Administração e Participações S.A.,  Messrs. Rocha Terminais Portuários e Logística Messrs. BTG Pactual Commodities Sertranding S.A.; .</v>
      </c>
      <c r="B40" s="725"/>
      <c r="C40" s="725"/>
      <c r="D40" s="725"/>
      <c r="E40" s="725"/>
      <c r="F40" s="725"/>
      <c r="G40" s="725"/>
      <c r="H40" s="725"/>
      <c r="I40" s="725"/>
      <c r="J40" s="725"/>
      <c r="L40" s="629" t="str">
        <f>_xlfn.CONCAT(CAPA!$E$46:$E$55,".")</f>
        <v>Messrs. Interalli Administração e Participações S.A.,  Messrs. Rocha Terminais Portuários e Logística Messrs. BTG Pactual Commodities Sertranding S.A.; .</v>
      </c>
      <c r="M40" s="461"/>
      <c r="N40" s="461"/>
      <c r="O40" s="461"/>
      <c r="P40" s="461"/>
    </row>
    <row r="41" spans="1:16" ht="60" x14ac:dyDescent="0.25">
      <c r="A41" s="726" t="str">
        <f>$L$41</f>
        <v>Attend on board the referenced vessel on  March 21st, 2026 from 16:15 until 19:20 hours, whilst she was anchored at inner roads area 9.2, and on  March 25th, 2026 from 6:30 until 8:30 hours, whilst she was berthed alongside wharf 214 at port of Paranaguá, Br - Brazil, with views to perform the initial and final draft surveys, ascertaining the following figures:</v>
      </c>
      <c r="B41" s="726"/>
      <c r="C41" s="726"/>
      <c r="D41" s="726"/>
      <c r="E41" s="726"/>
      <c r="F41" s="726"/>
      <c r="G41" s="726"/>
      <c r="H41" s="726"/>
      <c r="I41" s="726"/>
      <c r="J41" s="726"/>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21st, 2026 from 16:15 until 19:20 hours, whilst she was anchored at inner roads area 9.2, and on  March 25th, 2026 from 6:30 until 8:30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701</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"SDM QUANZHOU" </v>
      </c>
      <c r="B48" s="13"/>
      <c r="C48" s="13"/>
      <c r="D48" s="13"/>
      <c r="E48" s="13"/>
      <c r="F48" s="14" t="str">
        <f>_xlfn.CONCAT("Mr. ",CAPA!$B$30,", ",$L$48)</f>
        <v>Mr. Chengquan Li, the Master</v>
      </c>
      <c r="H48" s="14"/>
      <c r="I48" s="14"/>
      <c r="J48" s="13"/>
      <c r="K48" s="13"/>
      <c r="L48" s="462" t="s">
        <v>564</v>
      </c>
      <c r="M48" s="462"/>
      <c r="N48" s="461"/>
      <c r="O48" s="461"/>
      <c r="P48" s="461"/>
    </row>
    <row r="49" spans="1:16" ht="15.75" x14ac:dyDescent="0.25">
      <c r="A49" s="13"/>
      <c r="B49" s="13"/>
      <c r="C49" s="13"/>
      <c r="D49" s="13"/>
      <c r="E49" s="13"/>
      <c r="F49" s="14" t="str">
        <f>_xlfn.CONCAT("Mr. ",CAPA!$B$31,", ",$L$49)</f>
        <v>Mr. Zicheng Zhao, the Chief Officer</v>
      </c>
      <c r="H49" s="13"/>
      <c r="I49" s="13"/>
      <c r="J49" s="13"/>
      <c r="K49" s="13"/>
      <c r="L49" s="462" t="s">
        <v>565</v>
      </c>
      <c r="M49" s="462"/>
      <c r="N49" s="461"/>
      <c r="O49" s="461"/>
      <c r="P49" s="461"/>
    </row>
    <row r="50" spans="1:16" ht="15.75" x14ac:dyDescent="0.25">
      <c r="A50" s="13"/>
      <c r="B50" s="13"/>
      <c r="C50" s="13"/>
      <c r="D50" s="13"/>
      <c r="E50" s="13"/>
      <c r="F50" s="14" t="str">
        <f>_xlfn.CONCAT("Mr. ",CAPA!$B$32,", ",$L$50)</f>
        <v>Mr. Lianpeng Tai, the Chief Engineer</v>
      </c>
      <c r="H50" s="13"/>
      <c r="I50" s="13"/>
      <c r="J50" s="13"/>
      <c r="K50" s="13"/>
      <c r="L50" s="463" t="s">
        <v>566</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BRAZILIAN PORT AGENTS</v>
      </c>
      <c r="B53" s="6"/>
      <c r="C53" s="6"/>
      <c r="D53" s="6"/>
      <c r="E53" s="6"/>
      <c r="F53" s="442" t="str">
        <f>Clients!$D$50</f>
        <v>Mr. Eduardo da Silva marques</v>
      </c>
      <c r="H53" s="13"/>
      <c r="I53" s="13"/>
      <c r="J53" s="13"/>
      <c r="L53" s="461"/>
      <c r="M53" s="461"/>
      <c r="N53" s="461"/>
      <c r="O53" s="461"/>
      <c r="P53" s="461"/>
    </row>
    <row r="54" spans="1:16" ht="15.75" x14ac:dyDescent="0.25">
      <c r="A54" s="6" t="s">
        <v>52</v>
      </c>
      <c r="B54" s="6"/>
      <c r="C54" s="6"/>
      <c r="D54" s="6"/>
      <c r="E54" s="6"/>
      <c r="F54" s="442" t="str">
        <f>Clients!$D$51</f>
        <v>Mr. Vitor Mendes belo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51</v>
      </c>
      <c r="B58" s="5"/>
      <c r="C58" s="5"/>
      <c r="D58" s="5"/>
      <c r="E58" s="5"/>
      <c r="F58" s="285" t="str">
        <f>Clients!$D$182</f>
        <v>Mr. João Victor Lacerda</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BRAZIL SOUTH SURVEY LTDA</v>
      </c>
      <c r="B61" s="5"/>
      <c r="C61" s="5"/>
      <c r="D61" s="5"/>
      <c r="E61" s="5"/>
      <c r="F61" s="441" t="str">
        <f>Clients!$D$267</f>
        <v>Mr. Fabricio G. Cardoso</v>
      </c>
      <c r="H61" s="6"/>
      <c r="I61" s="6"/>
      <c r="J61" s="443"/>
      <c r="L61" s="461"/>
      <c r="M61" s="461"/>
      <c r="N61" s="461"/>
      <c r="O61" s="461"/>
      <c r="P61" s="461"/>
    </row>
    <row r="62" spans="1:16" ht="15.75" x14ac:dyDescent="0.25">
      <c r="A62" s="5" t="str">
        <f>IF(CAPA!$A$89=0,"",CAPA!$A$89)</f>
        <v>(As Owners P&amp;I surveyors)</v>
      </c>
      <c r="B62" s="5"/>
      <c r="C62" s="5"/>
      <c r="D62" s="5"/>
      <c r="E62" s="5"/>
      <c r="F62" s="441" t="str">
        <f>Clients!$D$268</f>
        <v xml:space="preserve"> </v>
      </c>
      <c r="H62" s="6"/>
      <c r="I62" s="6"/>
      <c r="J62" s="443"/>
      <c r="L62" s="461"/>
      <c r="M62" s="461"/>
      <c r="N62" s="461"/>
      <c r="O62" s="461"/>
      <c r="P62" s="461"/>
    </row>
    <row r="63" spans="1:16" ht="15.75" x14ac:dyDescent="0.25">
      <c r="A63" s="6"/>
      <c r="B63" s="6"/>
      <c r="C63" s="6"/>
      <c r="D63" s="6"/>
      <c r="E63" s="6"/>
      <c r="F63" s="441"/>
      <c r="H63" s="6"/>
      <c r="I63" s="13"/>
      <c r="J63" s="443"/>
      <c r="L63" s="461"/>
      <c r="M63" s="461"/>
      <c r="N63" s="461"/>
      <c r="O63" s="461"/>
      <c r="P63" s="461"/>
    </row>
    <row r="64" spans="1:16" ht="15.75" x14ac:dyDescent="0.25">
      <c r="A64" s="5"/>
      <c r="B64" s="5"/>
      <c r="C64" s="5"/>
      <c r="D64" s="5"/>
      <c r="E64" s="5"/>
      <c r="F64" s="441"/>
      <c r="H64" s="13"/>
      <c r="I64" s="13"/>
      <c r="J64" s="443"/>
      <c r="L64" s="461"/>
      <c r="M64" s="461"/>
      <c r="N64" s="461"/>
      <c r="O64" s="461"/>
      <c r="P64" s="461"/>
    </row>
    <row r="65" spans="1:16" ht="15.75" x14ac:dyDescent="0.25">
      <c r="A65" s="5" t="s">
        <v>53</v>
      </c>
      <c r="B65" s="5"/>
      <c r="C65" s="5"/>
      <c r="D65" s="5"/>
      <c r="E65" s="5"/>
      <c r="F65" s="442" t="str">
        <f>CAPA!$A$85</f>
        <v>Mr. Percy Jacobs Filho</v>
      </c>
      <c r="H65" s="13"/>
      <c r="I65" s="13"/>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54</v>
      </c>
      <c r="B68" s="13"/>
      <c r="C68" s="13"/>
      <c r="D68" s="13"/>
      <c r="E68" s="13"/>
      <c r="F68" s="266" t="s">
        <v>577</v>
      </c>
      <c r="H68" s="266"/>
      <c r="I68" s="13"/>
      <c r="J68" s="443"/>
      <c r="L68" s="461"/>
      <c r="M68" s="461"/>
      <c r="N68" s="461"/>
      <c r="O68" s="461"/>
      <c r="P68" s="461"/>
    </row>
    <row r="69" spans="1:16" ht="15.75" x14ac:dyDescent="0.25">
      <c r="A69" s="266" t="s">
        <v>55</v>
      </c>
      <c r="B69" s="13"/>
      <c r="C69" s="13"/>
      <c r="D69" s="13"/>
      <c r="E69" s="13"/>
      <c r="F69" s="13" t="s">
        <v>56</v>
      </c>
      <c r="H69" s="13"/>
      <c r="I69" s="13"/>
      <c r="J69" s="13"/>
      <c r="L69" s="461"/>
      <c r="M69" s="461"/>
      <c r="N69" s="461"/>
      <c r="O69" s="461"/>
      <c r="P69" s="461"/>
    </row>
    <row r="70" spans="1:16" ht="15.75" x14ac:dyDescent="0.25">
      <c r="A70" s="13"/>
      <c r="B70" s="13"/>
      <c r="C70" s="13"/>
      <c r="D70" s="13"/>
      <c r="E70" s="13"/>
      <c r="F70" s="857" t="str">
        <f>_xlfn.CONCAT("Mr. ",CAPA!$A$97)</f>
        <v>Mr. Thiago Henrique Barbosa Verhagen</v>
      </c>
      <c r="G70" s="857"/>
      <c r="H70" s="857"/>
      <c r="I70" s="857"/>
      <c r="J70" s="857"/>
      <c r="L70" s="461"/>
      <c r="M70" s="461"/>
      <c r="N70" s="461"/>
      <c r="O70" s="461"/>
      <c r="P70" s="461"/>
    </row>
    <row r="71" spans="1:16" ht="15.75" x14ac:dyDescent="0.25">
      <c r="A71" s="267" t="s">
        <v>57</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58</v>
      </c>
      <c r="B73" s="13"/>
      <c r="C73" s="13"/>
      <c r="D73" s="13"/>
      <c r="E73" s="858" t="str">
        <f>CAPA!$B$8</f>
        <v>SDM QUANZHOU</v>
      </c>
      <c r="F73" s="858"/>
      <c r="G73" s="858"/>
      <c r="H73" s="858"/>
      <c r="I73" s="858"/>
      <c r="J73" s="858"/>
      <c r="L73" s="461"/>
      <c r="M73" s="461"/>
      <c r="N73" s="461"/>
      <c r="O73" s="461"/>
      <c r="P73" s="461"/>
    </row>
    <row r="74" spans="1:16" ht="15.75" x14ac:dyDescent="0.25">
      <c r="A74" s="266" t="s">
        <v>59</v>
      </c>
      <c r="B74" s="13"/>
      <c r="C74" s="13"/>
      <c r="D74" s="13"/>
      <c r="E74" s="858" t="str">
        <f>CAPA!$B$12</f>
        <v>5LKP7</v>
      </c>
      <c r="F74" s="858"/>
      <c r="G74" s="5"/>
      <c r="H74" s="5"/>
      <c r="I74" s="13"/>
      <c r="L74" s="461"/>
      <c r="M74" s="461"/>
      <c r="N74" s="461"/>
      <c r="O74" s="461"/>
      <c r="P74" s="461"/>
    </row>
    <row r="75" spans="1:16" ht="15.75" x14ac:dyDescent="0.25">
      <c r="A75" s="266" t="s">
        <v>60</v>
      </c>
      <c r="B75" s="13"/>
      <c r="C75" s="13"/>
      <c r="D75" s="13"/>
      <c r="E75" s="858" t="str">
        <f>CAPA!$B$13</f>
        <v>Monrovia</v>
      </c>
      <c r="F75" s="858"/>
      <c r="G75" s="858"/>
      <c r="H75" s="5"/>
      <c r="I75" s="13"/>
      <c r="L75" s="461"/>
      <c r="M75" s="461"/>
      <c r="N75" s="461"/>
      <c r="O75" s="461"/>
      <c r="P75" s="461"/>
    </row>
    <row r="76" spans="1:16" ht="15.75" x14ac:dyDescent="0.25">
      <c r="A76" s="266" t="s">
        <v>61</v>
      </c>
      <c r="B76" s="13"/>
      <c r="C76" s="13"/>
      <c r="D76" s="13"/>
      <c r="E76" s="858" t="str">
        <f>CAPA!$B$14</f>
        <v>Liberian</v>
      </c>
      <c r="F76" s="858"/>
      <c r="G76" s="858"/>
      <c r="H76" s="858"/>
      <c r="I76" s="858"/>
      <c r="J76" s="858"/>
      <c r="L76" s="461"/>
      <c r="M76" s="461"/>
      <c r="N76" s="461"/>
      <c r="O76" s="461"/>
      <c r="P76" s="461"/>
    </row>
    <row r="77" spans="1:16" ht="15.75" x14ac:dyDescent="0.25">
      <c r="A77" s="266" t="s">
        <v>62</v>
      </c>
      <c r="B77" s="13"/>
      <c r="C77" s="13"/>
      <c r="D77" s="13"/>
      <c r="E77" s="858">
        <f>CAPA!$B$10</f>
        <v>9949259</v>
      </c>
      <c r="F77" s="858"/>
      <c r="G77" s="5"/>
      <c r="H77" s="5"/>
      <c r="I77" s="13"/>
      <c r="L77" s="461"/>
      <c r="M77" s="461"/>
      <c r="N77" s="461"/>
      <c r="O77" s="461"/>
      <c r="P77" s="461"/>
    </row>
    <row r="78" spans="1:16" ht="15.75" x14ac:dyDescent="0.25">
      <c r="A78" s="266" t="s">
        <v>63</v>
      </c>
      <c r="B78" s="13"/>
      <c r="C78" s="13"/>
      <c r="D78" s="13"/>
      <c r="E78" s="268">
        <f>CAPA!$B$15</f>
        <v>210</v>
      </c>
      <c r="F78" s="268"/>
      <c r="G78" s="5"/>
      <c r="H78" s="5"/>
      <c r="I78" s="13"/>
      <c r="L78" s="461"/>
      <c r="M78" s="461"/>
      <c r="N78" s="461"/>
      <c r="O78" s="461"/>
      <c r="P78" s="461"/>
    </row>
    <row r="79" spans="1:16" ht="15.75" x14ac:dyDescent="0.25">
      <c r="A79" s="266" t="s">
        <v>64</v>
      </c>
      <c r="B79" s="13"/>
      <c r="C79" s="13"/>
      <c r="D79" s="13"/>
      <c r="E79" s="268">
        <f>CAPA!$B$16</f>
        <v>206.5</v>
      </c>
      <c r="F79" s="268"/>
      <c r="G79" s="5"/>
      <c r="H79" s="5"/>
      <c r="I79" s="13"/>
      <c r="L79" s="461"/>
      <c r="M79" s="461"/>
      <c r="N79" s="461"/>
      <c r="O79" s="461"/>
      <c r="P79" s="461"/>
    </row>
    <row r="80" spans="1:16" ht="15.75" x14ac:dyDescent="0.25">
      <c r="A80" s="266" t="s">
        <v>65</v>
      </c>
      <c r="B80" s="13"/>
      <c r="C80" s="13"/>
      <c r="D80" s="13"/>
      <c r="E80" s="268">
        <f>CAPA!$B$17</f>
        <v>23.5</v>
      </c>
      <c r="F80" s="268"/>
      <c r="G80" s="5"/>
      <c r="H80" s="5"/>
      <c r="I80" s="13"/>
      <c r="L80" s="461"/>
      <c r="M80" s="461"/>
      <c r="N80" s="461"/>
      <c r="O80" s="461"/>
      <c r="P80" s="461"/>
    </row>
    <row r="81" spans="1:16" ht="15.75" x14ac:dyDescent="0.25">
      <c r="A81" s="266" t="s">
        <v>66</v>
      </c>
      <c r="B81" s="13"/>
      <c r="C81" s="13"/>
      <c r="D81" s="13"/>
      <c r="E81" s="268">
        <f>CAPA!$B$18</f>
        <v>37</v>
      </c>
      <c r="F81" s="268"/>
      <c r="G81" s="5"/>
      <c r="H81" s="5"/>
      <c r="I81" s="13"/>
      <c r="L81" s="461"/>
      <c r="M81" s="461"/>
      <c r="N81" s="461"/>
      <c r="O81" s="461"/>
      <c r="P81" s="461"/>
    </row>
    <row r="82" spans="1:16" ht="15.75" x14ac:dyDescent="0.25">
      <c r="A82" s="266" t="s">
        <v>67</v>
      </c>
      <c r="B82" s="13"/>
      <c r="C82" s="13"/>
      <c r="D82" s="13"/>
      <c r="E82" s="728">
        <f>CAPA!$B$20</f>
        <v>53042</v>
      </c>
      <c r="F82" s="728"/>
      <c r="G82" s="728"/>
      <c r="H82" s="728"/>
      <c r="I82" s="728"/>
      <c r="J82" s="728"/>
      <c r="L82" s="461"/>
      <c r="M82" s="461"/>
      <c r="N82" s="461"/>
      <c r="O82" s="461"/>
      <c r="P82" s="461"/>
    </row>
    <row r="83" spans="1:16" ht="15.75" x14ac:dyDescent="0.25">
      <c r="A83" s="266" t="s">
        <v>68</v>
      </c>
      <c r="B83" s="13"/>
      <c r="C83" s="13"/>
      <c r="D83" s="13"/>
      <c r="E83" s="728">
        <f>CAPA!$B$21</f>
        <v>25178</v>
      </c>
      <c r="F83" s="728"/>
      <c r="G83" s="728"/>
      <c r="H83" s="728"/>
      <c r="I83" s="728"/>
      <c r="J83" s="728"/>
      <c r="L83" s="461"/>
      <c r="M83" s="461"/>
      <c r="N83" s="461"/>
      <c r="O83" s="461"/>
      <c r="P83" s="461"/>
    </row>
    <row r="84" spans="1:16" ht="15.75" x14ac:dyDescent="0.25">
      <c r="A84" s="440" t="s">
        <v>69</v>
      </c>
      <c r="B84" s="13"/>
      <c r="C84" s="13"/>
      <c r="D84" s="13"/>
      <c r="E84" s="729" t="str">
        <f>CAPA!$B$23</f>
        <v>CCS</v>
      </c>
      <c r="F84" s="729"/>
      <c r="G84" s="729"/>
      <c r="H84" s="729"/>
      <c r="I84" s="729"/>
      <c r="J84" s="729"/>
      <c r="L84" s="461"/>
      <c r="M84" s="464" t="str">
        <f>CAPA!$B$23</f>
        <v>CCS</v>
      </c>
      <c r="N84" s="461"/>
      <c r="O84" s="461"/>
      <c r="P84" s="461"/>
    </row>
    <row r="85" spans="1:16" ht="15.75" x14ac:dyDescent="0.25">
      <c r="A85" s="266" t="s">
        <v>70</v>
      </c>
      <c r="B85" s="13"/>
      <c r="C85" s="13"/>
      <c r="D85" s="13"/>
      <c r="E85" s="728">
        <f>CAPA!$B$19</f>
        <v>13726.4</v>
      </c>
      <c r="F85" s="728"/>
      <c r="G85" s="5"/>
      <c r="H85" s="5"/>
      <c r="I85" s="13"/>
      <c r="L85" s="461"/>
      <c r="M85" s="465"/>
      <c r="N85" s="461"/>
      <c r="O85" s="461"/>
      <c r="P85" s="461"/>
    </row>
    <row r="86" spans="1:16" ht="15.75" x14ac:dyDescent="0.25">
      <c r="A86" s="266" t="s">
        <v>71</v>
      </c>
      <c r="B86" s="13"/>
      <c r="C86" s="13"/>
      <c r="D86" s="13"/>
      <c r="E86" s="728" t="str">
        <f>_xlfn.CONCAT(TEXT($I$120,"#,##0.0")," on ",TEXT(F120,"#,##0.00")," m")</f>
        <v>64309,00 on 11,95000 m</v>
      </c>
      <c r="F86" s="728"/>
      <c r="G86" s="728"/>
      <c r="H86" s="728"/>
      <c r="I86" s="728"/>
      <c r="J86" s="728"/>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72</v>
      </c>
      <c r="B88" s="13"/>
      <c r="C88" s="13"/>
      <c r="D88" s="13"/>
      <c r="E88" s="14" t="str">
        <f>CAPA!$B$11</f>
        <v>Chengxi Shipyard Co., Ltd.</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73</v>
      </c>
      <c r="B90" s="13"/>
      <c r="C90" s="13"/>
      <c r="D90" s="13"/>
      <c r="E90" s="857" t="str">
        <f>CAPA!$B$24</f>
        <v>Xiang H33 International Ship Lease Co. Limited</v>
      </c>
      <c r="F90" s="857"/>
      <c r="G90" s="857"/>
      <c r="H90" s="857"/>
      <c r="I90" s="857"/>
      <c r="J90" s="857"/>
      <c r="L90" s="461"/>
      <c r="M90" s="461"/>
      <c r="N90" s="461"/>
      <c r="O90" s="461"/>
      <c r="P90" s="461"/>
    </row>
    <row r="91" spans="1:16" ht="15.75" x14ac:dyDescent="0.25">
      <c r="A91" s="266" t="s">
        <v>74</v>
      </c>
      <c r="B91" s="13"/>
      <c r="C91" s="13"/>
      <c r="D91" s="13"/>
      <c r="E91" s="857" t="str">
        <f>CAPA!$B$25</f>
        <v>Tianjin Cosbulk Ship Management Co., Ltd.</v>
      </c>
      <c r="F91" s="857"/>
      <c r="G91" s="857"/>
      <c r="H91" s="857"/>
      <c r="I91" s="857"/>
      <c r="J91" s="857"/>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30</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75</v>
      </c>
      <c r="B95" s="772" t="s">
        <v>76</v>
      </c>
      <c r="C95" s="772"/>
      <c r="D95" s="773" t="s">
        <v>77</v>
      </c>
      <c r="E95" s="773"/>
      <c r="F95" s="727" t="s">
        <v>78</v>
      </c>
      <c r="G95" s="727"/>
      <c r="H95" s="727"/>
      <c r="I95" s="727"/>
      <c r="J95" s="270" t="s">
        <v>79</v>
      </c>
      <c r="L95" s="461"/>
      <c r="M95" s="461"/>
      <c r="N95" s="461"/>
      <c r="O95" s="461"/>
      <c r="P95" s="461"/>
    </row>
    <row r="96" spans="1:16" ht="15.75" x14ac:dyDescent="0.25">
      <c r="A96" s="3"/>
      <c r="B96" s="772" t="s">
        <v>80</v>
      </c>
      <c r="C96" s="772"/>
      <c r="D96" s="271"/>
      <c r="F96" s="727" t="s">
        <v>81</v>
      </c>
      <c r="G96" s="727"/>
      <c r="H96" s="727"/>
      <c r="I96" s="727"/>
      <c r="J96" s="13"/>
      <c r="L96" s="461"/>
      <c r="M96" s="461"/>
      <c r="N96" s="461"/>
      <c r="O96" s="461"/>
      <c r="P96" s="461"/>
    </row>
    <row r="97" spans="1:16" ht="15.75" x14ac:dyDescent="0.25">
      <c r="A97" s="265" t="s">
        <v>82</v>
      </c>
      <c r="B97" s="755">
        <f>DCP!$B$28</f>
        <v>777893</v>
      </c>
      <c r="C97" s="755"/>
      <c r="D97" s="774" t="str">
        <f>DCP!$B$15</f>
        <v>SBM</v>
      </c>
      <c r="E97" s="774"/>
      <c r="F97" s="765">
        <f>DCP!$B$27</f>
        <v>10344.744999999999</v>
      </c>
      <c r="G97" s="765"/>
      <c r="H97" s="765"/>
      <c r="I97" s="765"/>
      <c r="J97" s="272" t="str">
        <f>IF(DCP!$B$30="FULL",DCP!$B$29,"SLACK")</f>
        <v>SLACK</v>
      </c>
      <c r="L97" s="461"/>
      <c r="M97" s="461"/>
      <c r="N97" s="461"/>
      <c r="O97" s="461"/>
      <c r="P97" s="461"/>
    </row>
    <row r="98" spans="1:16" ht="15.75" x14ac:dyDescent="0.25">
      <c r="A98" s="265" t="s">
        <v>83</v>
      </c>
      <c r="B98" s="755">
        <f>DCP!$C$28</f>
        <v>857277</v>
      </c>
      <c r="C98" s="755"/>
      <c r="D98" s="774" t="str">
        <f>DCP!$C$15</f>
        <v>SBM</v>
      </c>
      <c r="E98" s="774"/>
      <c r="F98" s="765">
        <f>DCP!$C$27</f>
        <v>11849.88</v>
      </c>
      <c r="G98" s="765"/>
      <c r="H98" s="765"/>
      <c r="I98" s="765" t="e">
        <f>C98/H98</f>
        <v>#DIV/0!</v>
      </c>
      <c r="J98" s="272" t="str">
        <f>IF(DCP!$C$30="FULL",DCP!$C$29,"SLACK")</f>
        <v>SLACK</v>
      </c>
      <c r="L98" s="461"/>
      <c r="M98" s="461"/>
      <c r="N98" s="461"/>
      <c r="O98" s="461"/>
      <c r="P98" s="461"/>
    </row>
    <row r="99" spans="1:16" ht="15.75" x14ac:dyDescent="0.25">
      <c r="A99" s="265" t="s">
        <v>84</v>
      </c>
      <c r="B99" s="755">
        <f>DCP!$D$28</f>
        <v>635809</v>
      </c>
      <c r="C99" s="755"/>
      <c r="D99" s="774" t="str">
        <f>DCP!$D$15</f>
        <v>SBM</v>
      </c>
      <c r="E99" s="774"/>
      <c r="F99" s="765">
        <f>DCP!$D$27</f>
        <v>8603.0750000000007</v>
      </c>
      <c r="G99" s="765"/>
      <c r="H99" s="765"/>
      <c r="I99" s="765" t="e">
        <f>D99/H99</f>
        <v>#VALUE!</v>
      </c>
      <c r="J99" s="272" t="str">
        <f>IF(DCP!$D$30="FULL",DCP!$D$29,"SLACK")</f>
        <v>SLACK</v>
      </c>
      <c r="L99" s="461"/>
      <c r="M99" s="461"/>
      <c r="N99" s="461"/>
      <c r="O99" s="461"/>
      <c r="P99" s="461"/>
    </row>
    <row r="100" spans="1:16" ht="15.75" x14ac:dyDescent="0.25">
      <c r="A100" s="265" t="s">
        <v>85</v>
      </c>
      <c r="B100" s="755">
        <f>DCP!$E$28</f>
        <v>779232</v>
      </c>
      <c r="C100" s="755"/>
      <c r="D100" s="774" t="str">
        <f>DCP!$E$15</f>
        <v>SBM</v>
      </c>
      <c r="E100" s="774"/>
      <c r="F100" s="765">
        <f>DCP!$E$27</f>
        <v>10603.06</v>
      </c>
      <c r="G100" s="765"/>
      <c r="H100" s="765"/>
      <c r="I100" s="765" t="e">
        <f>D100/H100</f>
        <v>#VALUE!</v>
      </c>
      <c r="J100" s="272" t="str">
        <f>IF(DCP!$E$30="FULL",DCP!$E$29,"SLACK")</f>
        <v>SLACK</v>
      </c>
      <c r="L100" s="461"/>
      <c r="M100" s="461"/>
      <c r="N100" s="461"/>
      <c r="O100" s="461"/>
      <c r="P100" s="461"/>
    </row>
    <row r="101" spans="1:16" ht="15.75" x14ac:dyDescent="0.25">
      <c r="A101" s="265" t="s">
        <v>86</v>
      </c>
      <c r="B101" s="755">
        <f>DCP!$F$28</f>
        <v>778204</v>
      </c>
      <c r="C101" s="755"/>
      <c r="D101" s="774" t="str">
        <f>DCP!$F$15</f>
        <v>SBM</v>
      </c>
      <c r="E101" s="774"/>
      <c r="F101" s="765">
        <f>DCP!$F$27</f>
        <v>10392.684999999999</v>
      </c>
      <c r="G101" s="765"/>
      <c r="H101" s="765"/>
      <c r="I101" s="765" t="e">
        <f>D101/H101</f>
        <v>#VALUE!</v>
      </c>
      <c r="J101" s="272" t="str">
        <f>IF(DCP!$F$30="FULL",DCP!$F$29,"SLACK")</f>
        <v>SLACK</v>
      </c>
      <c r="L101" s="461"/>
      <c r="M101" s="461"/>
      <c r="N101" s="461"/>
      <c r="O101" s="461"/>
      <c r="P101" s="461"/>
    </row>
    <row r="102" spans="1:16" ht="15.75" x14ac:dyDescent="0.25">
      <c r="A102" s="265" t="s">
        <v>87</v>
      </c>
      <c r="B102" s="755">
        <f>DCP!$G$28</f>
        <v>805043</v>
      </c>
      <c r="C102" s="755"/>
      <c r="D102" s="774" t="str">
        <f>DCP!$G$15</f>
        <v>SBM</v>
      </c>
      <c r="E102" s="774"/>
      <c r="F102" s="765">
        <f>DCP!$G$27</f>
        <v>10406.555</v>
      </c>
      <c r="G102" s="765"/>
      <c r="H102" s="765"/>
      <c r="I102" s="765" t="e">
        <f>D102/H102</f>
        <v>#VALUE!</v>
      </c>
      <c r="J102" s="272" t="str">
        <f>IF(DCP!$G$30="FULL",DCP!$G$29,"SLACK")</f>
        <v>SLACK</v>
      </c>
      <c r="L102" s="461"/>
      <c r="M102" s="461"/>
      <c r="N102" s="461"/>
      <c r="O102" s="461"/>
      <c r="P102" s="461"/>
    </row>
    <row r="103" spans="1:16" ht="15.75" x14ac:dyDescent="0.25">
      <c r="A103" s="3" t="s">
        <v>89</v>
      </c>
      <c r="B103" s="756">
        <f>SUM(B97:B102)</f>
        <v>4633458</v>
      </c>
      <c r="C103" s="756"/>
      <c r="D103" s="13"/>
      <c r="F103" s="788">
        <f>SUM(F97:F102)</f>
        <v>62200</v>
      </c>
      <c r="G103" s="788"/>
      <c r="H103" s="788"/>
      <c r="I103" s="788"/>
      <c r="L103" s="461"/>
      <c r="M103" s="461"/>
      <c r="N103" s="461"/>
      <c r="O103" s="461"/>
      <c r="P103" s="461"/>
    </row>
    <row r="104" spans="1:16" ht="15.75" x14ac:dyDescent="0.25">
      <c r="A104" s="3"/>
      <c r="B104" s="273"/>
      <c r="C104" s="13"/>
      <c r="D104" s="13"/>
      <c r="E104" s="274"/>
      <c r="F104" s="275"/>
      <c r="G104" s="13"/>
      <c r="H104" s="13"/>
      <c r="I104" s="13"/>
      <c r="L104" s="461"/>
      <c r="M104" s="461"/>
      <c r="N104" s="461"/>
      <c r="O104" s="461"/>
      <c r="P104" s="461"/>
    </row>
    <row r="105" spans="1:16" ht="15.75" x14ac:dyDescent="0.25">
      <c r="A105" s="266"/>
      <c r="B105" s="13"/>
      <c r="C105" s="13"/>
      <c r="D105" s="13"/>
      <c r="E105" s="13"/>
      <c r="F105" s="13"/>
      <c r="G105" s="13"/>
      <c r="H105" s="13"/>
      <c r="I105" s="13"/>
      <c r="L105" s="461"/>
      <c r="M105" s="461"/>
      <c r="N105" s="461"/>
      <c r="O105" s="461"/>
      <c r="P105" s="461"/>
    </row>
    <row r="106" spans="1:16" ht="15.75" x14ac:dyDescent="0.25">
      <c r="A106" s="267" t="s">
        <v>702</v>
      </c>
      <c r="B106" s="13"/>
      <c r="C106" s="13"/>
      <c r="D106" s="13"/>
      <c r="E106" s="13"/>
      <c r="F106" s="13"/>
      <c r="G106" s="13"/>
      <c r="H106" s="13"/>
      <c r="I106" s="13"/>
      <c r="L106" s="461"/>
      <c r="M106" s="461"/>
      <c r="N106" s="461"/>
      <c r="O106" s="461"/>
      <c r="P106" s="461"/>
    </row>
    <row r="107" spans="1:16" ht="15.75" x14ac:dyDescent="0.25">
      <c r="A107" s="267"/>
      <c r="B107" s="13"/>
      <c r="C107" s="13"/>
      <c r="D107" s="13"/>
      <c r="E107" s="13"/>
      <c r="F107" s="13"/>
      <c r="G107" s="13"/>
      <c r="H107" s="13"/>
      <c r="I107" s="13"/>
      <c r="L107" s="461"/>
      <c r="M107" s="461"/>
      <c r="N107" s="461"/>
      <c r="O107" s="461"/>
      <c r="P107" s="461"/>
    </row>
    <row r="108" spans="1:16" ht="15.75" x14ac:dyDescent="0.25">
      <c r="A108" s="266" t="s">
        <v>90</v>
      </c>
      <c r="B108" s="13"/>
      <c r="C108" s="13"/>
      <c r="D108" s="13"/>
      <c r="E108" s="13" t="str">
        <f>_xlfn.CONCAT("Issued by ",CAPA!$B$67)</f>
        <v>Issued by SDARI</v>
      </c>
      <c r="G108" s="13"/>
      <c r="H108" s="13"/>
      <c r="I108" s="13"/>
      <c r="L108" s="461"/>
      <c r="M108" s="461"/>
      <c r="N108" s="461"/>
      <c r="O108" s="461"/>
      <c r="P108" s="461"/>
    </row>
    <row r="109" spans="1:16" ht="15.75" x14ac:dyDescent="0.25">
      <c r="A109" s="266"/>
      <c r="B109" s="13"/>
      <c r="C109" s="13"/>
      <c r="D109" s="13"/>
      <c r="E109" s="13" t="str">
        <f>_xlfn.CONCAT("on ",CAPA!$B$68,", Dwg. No. ",CAPA!$B$69)</f>
        <v>on 07.08.2023, Dwg. No. SC4814G2-050-02JS</v>
      </c>
      <c r="G109" s="13"/>
      <c r="H109" s="13"/>
      <c r="I109" s="13"/>
      <c r="L109" s="461"/>
      <c r="M109" s="461"/>
      <c r="N109" s="461"/>
      <c r="O109" s="461"/>
      <c r="P109" s="461"/>
    </row>
    <row r="110" spans="1:16" ht="15.75" x14ac:dyDescent="0.25">
      <c r="A110" s="266"/>
      <c r="B110" s="13"/>
      <c r="C110" s="13"/>
      <c r="D110" s="13"/>
      <c r="E110" s="13" t="str">
        <f>_xlfn.CONCAT("Approved by  ",CAPA!$B$70," on  ",CAPA!$B$71)</f>
        <v>Approved by  CCS on  17.08.2023</v>
      </c>
      <c r="G110" s="13"/>
      <c r="H110" s="13"/>
      <c r="I110" s="13"/>
      <c r="L110" s="461"/>
      <c r="M110" s="461"/>
      <c r="N110" s="461"/>
      <c r="O110" s="461"/>
      <c r="P110" s="461"/>
    </row>
    <row r="111" spans="1:16" ht="15.75" x14ac:dyDescent="0.25">
      <c r="A111" s="266"/>
      <c r="B111" s="13"/>
      <c r="C111" s="13"/>
      <c r="D111" s="13"/>
      <c r="E111" s="14"/>
      <c r="G111" s="14"/>
      <c r="H111" s="14"/>
      <c r="I111" s="13"/>
      <c r="L111" s="461"/>
      <c r="M111" s="461"/>
      <c r="N111" s="461"/>
      <c r="O111" s="461"/>
      <c r="P111" s="461"/>
    </row>
    <row r="112" spans="1:16" ht="15.75" x14ac:dyDescent="0.25">
      <c r="A112" s="266" t="s">
        <v>91</v>
      </c>
      <c r="B112" s="13"/>
      <c r="C112" s="13"/>
      <c r="D112" s="13"/>
      <c r="E112" s="13" t="str">
        <f>$E$108</f>
        <v>Issued by SDARI</v>
      </c>
      <c r="G112" s="13"/>
      <c r="H112" s="13"/>
      <c r="I112" s="13"/>
      <c r="L112" s="461"/>
      <c r="M112" s="461"/>
      <c r="N112" s="461"/>
      <c r="O112" s="461"/>
      <c r="P112" s="461"/>
    </row>
    <row r="113" spans="1:16" ht="15.75" x14ac:dyDescent="0.25">
      <c r="A113" s="13"/>
      <c r="B113" s="13"/>
      <c r="C113" s="13"/>
      <c r="D113" s="13"/>
      <c r="E113" s="13" t="str">
        <f>_xlfn.CONCAT("on ",CAPA!$B$73," Dwg. no. ",CAPA!$B$74)</f>
        <v>on 01.08.2023 Dwg. no. SC4814G1-050-09</v>
      </c>
      <c r="G113" s="13"/>
      <c r="H113" s="13"/>
      <c r="I113" s="13"/>
      <c r="L113" s="461"/>
      <c r="M113" s="461"/>
      <c r="N113" s="461"/>
      <c r="O113" s="461"/>
      <c r="P113" s="461"/>
    </row>
    <row r="114" spans="1:16" ht="15.75" x14ac:dyDescent="0.25">
      <c r="A114" s="13"/>
      <c r="B114" s="13"/>
      <c r="C114" s="13"/>
      <c r="D114" s="13"/>
      <c r="E114" s="13"/>
      <c r="F114" s="13"/>
      <c r="G114" s="13"/>
      <c r="H114" s="13"/>
      <c r="I114" s="13"/>
      <c r="L114" s="461"/>
      <c r="M114" s="461"/>
      <c r="N114" s="461"/>
      <c r="O114" s="461"/>
      <c r="P114" s="461"/>
    </row>
    <row r="115" spans="1:16" ht="15.75" x14ac:dyDescent="0.25">
      <c r="A115" s="267" t="s">
        <v>31</v>
      </c>
      <c r="B115" s="13"/>
      <c r="C115" s="13"/>
      <c r="D115" s="13"/>
      <c r="E115" s="13"/>
      <c r="F115" s="13"/>
      <c r="G115" s="13"/>
      <c r="H115" s="13"/>
      <c r="I115" s="13"/>
      <c r="L115" s="461"/>
      <c r="M115" s="461"/>
      <c r="N115" s="461"/>
      <c r="O115" s="461"/>
      <c r="P115" s="461"/>
    </row>
    <row r="116" spans="1:16" ht="15.75" x14ac:dyDescent="0.25">
      <c r="A116" s="266"/>
      <c r="B116" s="13"/>
      <c r="E116" s="707" t="s">
        <v>92</v>
      </c>
      <c r="F116" s="708" t="s">
        <v>704</v>
      </c>
      <c r="G116" s="757" t="s">
        <v>94</v>
      </c>
      <c r="H116" s="757"/>
      <c r="I116" s="757" t="s">
        <v>95</v>
      </c>
      <c r="J116" s="757"/>
      <c r="K116" s="276"/>
      <c r="L116" s="466"/>
      <c r="M116" s="467"/>
      <c r="N116" s="461"/>
      <c r="O116" s="461"/>
      <c r="P116" s="461"/>
    </row>
    <row r="117" spans="1:16" ht="15.75" x14ac:dyDescent="0.25">
      <c r="A117" s="266" t="s">
        <v>96</v>
      </c>
      <c r="B117" s="10"/>
      <c r="E117" s="277">
        <f>CAPA!$L$78</f>
        <v>11.058999999999999</v>
      </c>
      <c r="F117" s="277">
        <f>CAPA!$M$78</f>
        <v>12.46</v>
      </c>
      <c r="G117" s="754">
        <f>CAPA!$N$78</f>
        <v>79826.2</v>
      </c>
      <c r="H117" s="754"/>
      <c r="I117" s="754">
        <f>CAPA!$O$78</f>
        <v>66099.8</v>
      </c>
      <c r="J117" s="754"/>
      <c r="K117" s="278"/>
      <c r="L117" s="468"/>
      <c r="M117" s="469"/>
      <c r="N117" s="461"/>
      <c r="O117" s="461"/>
      <c r="P117" s="461"/>
    </row>
    <row r="118" spans="1:16" ht="15.75" x14ac:dyDescent="0.25">
      <c r="A118" s="266" t="s">
        <v>97</v>
      </c>
      <c r="B118" s="10"/>
      <c r="E118" s="277">
        <f>CAPA!$L$79</f>
        <v>11.308</v>
      </c>
      <c r="F118" s="277">
        <f>CAPA!$M$79</f>
        <v>12.22</v>
      </c>
      <c r="G118" s="754">
        <f>CAPA!$N$79</f>
        <v>78038.5</v>
      </c>
      <c r="H118" s="754"/>
      <c r="I118" s="754">
        <f>CAPA!$O$79</f>
        <v>64312.1</v>
      </c>
      <c r="J118" s="754"/>
      <c r="K118" s="278"/>
      <c r="L118" s="468"/>
      <c r="M118" s="469"/>
      <c r="N118" s="461"/>
      <c r="O118" s="461"/>
      <c r="P118" s="461"/>
    </row>
    <row r="119" spans="1:16" ht="15.75" x14ac:dyDescent="0.25">
      <c r="A119" s="266" t="s">
        <v>98</v>
      </c>
      <c r="B119" s="10"/>
      <c r="E119" s="277">
        <f>CAPA!$L$80</f>
        <v>11.324</v>
      </c>
      <c r="F119" s="277">
        <f>CAPA!$M$80</f>
        <v>12.2</v>
      </c>
      <c r="G119" s="754">
        <f>CAPA!$N$80</f>
        <v>79864.5</v>
      </c>
      <c r="H119" s="754"/>
      <c r="I119" s="754">
        <f>CAPA!$O$80</f>
        <v>66138.100000000006</v>
      </c>
      <c r="J119" s="754"/>
      <c r="K119" s="278"/>
      <c r="L119" s="468"/>
      <c r="M119" s="469"/>
      <c r="N119" s="461"/>
      <c r="O119" s="461"/>
      <c r="P119" s="461"/>
    </row>
    <row r="120" spans="1:16" ht="15.75" x14ac:dyDescent="0.25">
      <c r="A120" s="266" t="s">
        <v>99</v>
      </c>
      <c r="B120" s="10"/>
      <c r="E120" s="277">
        <f>CAPA!$L$81</f>
        <v>11.573</v>
      </c>
      <c r="F120" s="277">
        <f>CAPA!$M$81</f>
        <v>11.95</v>
      </c>
      <c r="G120" s="754">
        <f>CAPA!$N$81</f>
        <v>78035.399999999994</v>
      </c>
      <c r="H120" s="754"/>
      <c r="I120" s="754">
        <f>CAPA!$O$81</f>
        <v>64309</v>
      </c>
      <c r="J120" s="754"/>
      <c r="K120" s="278"/>
      <c r="L120" s="468"/>
      <c r="M120" s="469"/>
      <c r="N120" s="461"/>
      <c r="O120" s="461"/>
      <c r="P120" s="461"/>
    </row>
    <row r="121" spans="1:16" ht="15.75" x14ac:dyDescent="0.25">
      <c r="A121" s="266" t="s">
        <v>100</v>
      </c>
      <c r="B121" s="10"/>
      <c r="E121" s="277">
        <f>CAPA!$L$82</f>
        <v>11.821999999999999</v>
      </c>
      <c r="F121" s="277">
        <f>CAPA!$M$82</f>
        <v>11.7</v>
      </c>
      <c r="G121" s="754">
        <f>CAPA!$N$82</f>
        <v>76209.5</v>
      </c>
      <c r="H121" s="754"/>
      <c r="I121" s="754">
        <f>CAPA!$O$82</f>
        <v>62483.1</v>
      </c>
      <c r="J121" s="754"/>
      <c r="K121" s="278"/>
      <c r="L121" s="468"/>
      <c r="M121" s="469"/>
      <c r="N121" s="461"/>
      <c r="O121" s="461"/>
      <c r="P121" s="461"/>
    </row>
    <row r="122" spans="1:16" ht="15.75" x14ac:dyDescent="0.25">
      <c r="A122" s="266"/>
      <c r="B122" s="10"/>
      <c r="C122" s="10"/>
      <c r="D122" s="10"/>
      <c r="E122" s="10"/>
      <c r="F122" s="10"/>
      <c r="G122" s="10"/>
      <c r="H122" s="10"/>
      <c r="I122" s="10"/>
      <c r="L122" s="461"/>
      <c r="M122" s="461"/>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7" t="s">
        <v>705</v>
      </c>
      <c r="B124" s="10"/>
      <c r="C124" s="10"/>
      <c r="D124" s="10"/>
      <c r="E124" s="10"/>
      <c r="F124" s="10"/>
      <c r="G124" s="10"/>
      <c r="H124" s="10"/>
      <c r="I124" s="10"/>
      <c r="L124" s="461"/>
      <c r="M124" s="461"/>
      <c r="N124" s="461"/>
      <c r="O124" s="461"/>
      <c r="P124" s="461"/>
    </row>
    <row r="125" spans="1:16" x14ac:dyDescent="0.25">
      <c r="A125" s="279"/>
      <c r="B125" s="10"/>
      <c r="C125" s="10"/>
      <c r="D125" s="10"/>
      <c r="E125" s="10"/>
      <c r="F125" s="10"/>
      <c r="G125" s="10"/>
      <c r="H125" s="10"/>
      <c r="I125" s="10"/>
      <c r="L125" s="461"/>
      <c r="M125" s="461"/>
      <c r="N125" s="461"/>
      <c r="O125" s="461"/>
      <c r="P125" s="461"/>
    </row>
    <row r="126" spans="1:16" ht="15.75" x14ac:dyDescent="0.25">
      <c r="A126" s="266" t="s">
        <v>101</v>
      </c>
      <c r="B126" s="10"/>
      <c r="C126" s="10"/>
      <c r="D126" s="10"/>
      <c r="E126" s="395" t="str">
        <f>_xlfn.CONCAT(OrdinalDate(Draft!$E$4),", ",YEAR(Draft!$E$4)," from ",TEXT(Draft!$O$4,"h:mm;@")," until ",TEXT(Draft!$O$6,"h:mm;@")," hrs")</f>
        <v xml:space="preserve"> March 21st, 2026 from 16:15 until 19:20 hrs</v>
      </c>
      <c r="G126" s="280"/>
      <c r="H126" s="280"/>
      <c r="I126" s="10"/>
      <c r="L126" s="461" t="str">
        <f>_xlfn.CONCAT(TEXT(Draft!$E$4,"[$-en-US]mmmm d, aaaa;@")," from ",TEXT(Draft!$O$4,"h:mm;@")," until ",TEXT(Draft!$O$6,"h:mm;@")," hrs")</f>
        <v>March 21, 2026 from 16:15 until 19:20 hrs</v>
      </c>
      <c r="M126" s="461"/>
      <c r="N126" s="461"/>
      <c r="O126" s="461"/>
      <c r="P126" s="461"/>
    </row>
    <row r="127" spans="1:16" ht="15.75" x14ac:dyDescent="0.25">
      <c r="A127" s="266" t="s">
        <v>102</v>
      </c>
      <c r="B127" s="10"/>
      <c r="C127" s="10"/>
      <c r="D127" s="10"/>
      <c r="E127" s="14" t="str">
        <f>CONCATENATE(Draft!$E$5," (",Draft!$AN$4," ",Draft!H6,")")</f>
        <v>Paranaguá, Br - Brazil (inner roads 9.2)</v>
      </c>
      <c r="G127" s="13"/>
      <c r="H127" s="13"/>
      <c r="I127" s="10"/>
      <c r="L127" s="461"/>
      <c r="M127" s="461"/>
      <c r="N127" s="461"/>
      <c r="O127" s="461"/>
      <c r="P127" s="461"/>
    </row>
    <row r="128" spans="1:16" ht="15.75" x14ac:dyDescent="0.25">
      <c r="A128" s="266" t="s">
        <v>103</v>
      </c>
      <c r="B128" s="10"/>
      <c r="C128" s="10"/>
      <c r="D128" s="10"/>
      <c r="E128" s="396">
        <f>Draft!$O$7</f>
        <v>0.45</v>
      </c>
      <c r="G128" s="13"/>
      <c r="H128" s="13"/>
      <c r="I128" s="10"/>
      <c r="L128" s="461"/>
      <c r="M128" s="461"/>
      <c r="N128" s="461"/>
      <c r="O128" s="461"/>
      <c r="P128" s="461"/>
    </row>
    <row r="129" spans="1:16" ht="15.75" x14ac:dyDescent="0.25">
      <c r="A129" s="266" t="s">
        <v>606</v>
      </c>
      <c r="B129" s="10"/>
      <c r="C129" s="10"/>
      <c r="D129" s="10"/>
      <c r="E129" s="624">
        <f>Draft!$O$8</f>
        <v>3</v>
      </c>
      <c r="F129" s="394"/>
      <c r="G129" s="281"/>
      <c r="H129" s="281"/>
      <c r="I129" s="281"/>
      <c r="L129" s="461"/>
      <c r="M129" s="461"/>
      <c r="N129" s="461"/>
      <c r="O129" s="461"/>
      <c r="P129" s="461"/>
    </row>
    <row r="130" spans="1:16" ht="15.75" x14ac:dyDescent="0.25">
      <c r="A130" s="266" t="s">
        <v>104</v>
      </c>
      <c r="B130" s="10"/>
      <c r="C130" s="10"/>
      <c r="D130" s="10"/>
      <c r="E130" s="14" t="str">
        <f>Draft!$E$8</f>
        <v>Flood tide, &lt; 1 knot</v>
      </c>
      <c r="G130" s="13"/>
      <c r="H130" s="13"/>
      <c r="I130" s="10"/>
      <c r="L130" s="461"/>
      <c r="M130" s="461"/>
      <c r="N130" s="461"/>
      <c r="O130" s="461"/>
      <c r="P130" s="461"/>
    </row>
    <row r="131" spans="1:16" ht="15.75" x14ac:dyDescent="0.25">
      <c r="A131" s="266" t="s">
        <v>105</v>
      </c>
      <c r="B131" s="10"/>
      <c r="C131" s="10"/>
      <c r="D131" s="10"/>
      <c r="E131" s="14" t="str">
        <f>Draft!$E$7</f>
        <v>Fine</v>
      </c>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7" t="s">
        <v>706</v>
      </c>
      <c r="B134" s="10"/>
      <c r="C134" s="10"/>
      <c r="D134" s="10"/>
      <c r="E134" s="10"/>
      <c r="F134" s="13"/>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6" t="s">
        <v>101</v>
      </c>
      <c r="B136" s="10"/>
      <c r="C136" s="10"/>
      <c r="D136" s="10"/>
      <c r="E136" s="775" t="str">
        <f>_xlfn.CONCAT(OrdinalDate(Draft!$X$4),", ",YEAR(Draft!$X$4)," from ",TEXT(Draft!$AH$4,"h:mm;@")," until ",TEXT(Draft!$AH$6,"h:mm;@")," hrs")</f>
        <v xml:space="preserve"> March 25th, 2026 from 6:30 until 8:30 hrs</v>
      </c>
      <c r="F136" s="775"/>
      <c r="G136" s="775"/>
      <c r="H136" s="775"/>
      <c r="I136" s="775"/>
      <c r="J136" s="775"/>
      <c r="L136" s="461"/>
      <c r="M136" s="461"/>
      <c r="N136" s="461"/>
      <c r="O136" s="461"/>
      <c r="P136" s="461"/>
    </row>
    <row r="137" spans="1:16" ht="15.75" x14ac:dyDescent="0.25">
      <c r="A137" s="266" t="s">
        <v>102</v>
      </c>
      <c r="B137" s="10"/>
      <c r="C137" s="10"/>
      <c r="D137" s="10"/>
      <c r="E137" s="14" t="str">
        <f>CONCATENATE(Draft!$X$5," (",Draft!$AO$4," ",Draft!$AA$6,")")</f>
        <v>Paranaguá, Br - Brazil (wharf 214)</v>
      </c>
      <c r="G137" s="13"/>
      <c r="H137" s="13"/>
      <c r="I137" s="10"/>
      <c r="L137" s="461"/>
      <c r="M137" s="461"/>
      <c r="N137" s="461"/>
      <c r="O137" s="461"/>
      <c r="P137" s="461"/>
    </row>
    <row r="138" spans="1:16" ht="15.75" x14ac:dyDescent="0.25">
      <c r="A138" s="266" t="s">
        <v>103</v>
      </c>
      <c r="B138" s="10"/>
      <c r="C138" s="10"/>
      <c r="D138" s="10"/>
      <c r="E138" s="396">
        <f>Draft!$AH$7</f>
        <v>0.2</v>
      </c>
      <c r="G138" s="13"/>
      <c r="H138" s="13"/>
      <c r="I138" s="10"/>
      <c r="L138" s="461"/>
      <c r="M138" s="461"/>
      <c r="N138" s="461"/>
      <c r="O138" s="461"/>
      <c r="P138" s="461"/>
    </row>
    <row r="139" spans="1:16" ht="15.75" x14ac:dyDescent="0.25">
      <c r="A139" s="266" t="s">
        <v>606</v>
      </c>
      <c r="B139" s="10"/>
      <c r="C139" s="10"/>
      <c r="D139" s="10"/>
      <c r="E139" s="624">
        <f>Draft!$AH$8</f>
        <v>1</v>
      </c>
      <c r="G139" s="282"/>
      <c r="H139" s="282"/>
      <c r="I139" s="10"/>
      <c r="L139" s="457"/>
      <c r="M139" s="457"/>
      <c r="N139" s="457"/>
      <c r="O139" s="457"/>
      <c r="P139" s="457"/>
    </row>
    <row r="140" spans="1:16" ht="15.75" x14ac:dyDescent="0.25">
      <c r="A140" s="266" t="s">
        <v>104</v>
      </c>
      <c r="B140" s="10"/>
      <c r="C140" s="10"/>
      <c r="D140" s="10"/>
      <c r="E140" s="14" t="str">
        <f>Draft!$X$8</f>
        <v>Ebb tide, &lt; 1 knot</v>
      </c>
      <c r="G140" s="13"/>
      <c r="H140" s="13"/>
      <c r="I140" s="10"/>
      <c r="L140" s="457"/>
      <c r="M140" s="457"/>
      <c r="N140" s="457"/>
      <c r="O140" s="457"/>
      <c r="P140" s="457"/>
    </row>
    <row r="141" spans="1:16" ht="15.75" x14ac:dyDescent="0.25">
      <c r="A141" s="266" t="s">
        <v>105</v>
      </c>
      <c r="B141" s="10"/>
      <c r="C141" s="10"/>
      <c r="D141" s="10"/>
      <c r="E141" s="14" t="str">
        <f>Draft!$X$7</f>
        <v>Fine</v>
      </c>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7" t="s">
        <v>106</v>
      </c>
      <c r="B144" s="10"/>
      <c r="C144" s="10"/>
      <c r="D144" s="10"/>
      <c r="E144" s="10"/>
      <c r="F144" s="13"/>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6" t="s">
        <v>107</v>
      </c>
      <c r="B146" s="10"/>
      <c r="C146" s="10"/>
      <c r="D146" s="10"/>
      <c r="E146" s="14" t="str">
        <f>CAPA!$B$6</f>
        <v>Soybean meal in bulk</v>
      </c>
      <c r="G146" s="13"/>
      <c r="H146" s="13"/>
      <c r="I146" s="10"/>
      <c r="L146" s="457"/>
      <c r="M146" s="457"/>
      <c r="N146" s="457"/>
      <c r="O146" s="457"/>
      <c r="P146" s="457"/>
    </row>
    <row r="147" spans="1:21" ht="15.75" x14ac:dyDescent="0.25">
      <c r="A147" s="266" t="s">
        <v>108</v>
      </c>
      <c r="B147" s="10"/>
      <c r="C147" s="10"/>
      <c r="D147" s="10"/>
      <c r="E147" s="14" t="str">
        <f>_xlfn.CONCAT("Port of ",Draft!$E$5)</f>
        <v>Port of Paranaguá, Br - Brazil</v>
      </c>
      <c r="G147" s="13"/>
      <c r="H147" s="13"/>
      <c r="I147" s="10"/>
      <c r="L147" s="457"/>
      <c r="M147" s="457"/>
      <c r="N147" s="457"/>
      <c r="O147" s="457"/>
      <c r="P147" s="457"/>
    </row>
    <row r="148" spans="1:21" ht="15.75" x14ac:dyDescent="0.25">
      <c r="A148" s="266" t="s">
        <v>109</v>
      </c>
      <c r="B148" s="10"/>
      <c r="C148" s="10"/>
      <c r="D148" s="10"/>
      <c r="E148" s="14" t="str">
        <f>CAPA!$B$38</f>
        <v>Semarang - Indonesia</v>
      </c>
      <c r="G148" s="13"/>
      <c r="H148" s="13"/>
      <c r="I148" s="10"/>
      <c r="L148" s="457"/>
      <c r="M148" s="457"/>
      <c r="N148" s="457"/>
      <c r="O148" s="457"/>
      <c r="P148" s="457"/>
    </row>
    <row r="149" spans="1:21" ht="15.75" x14ac:dyDescent="0.25">
      <c r="A149" s="266" t="s">
        <v>110</v>
      </c>
      <c r="B149" s="10"/>
      <c r="C149" s="10"/>
      <c r="D149" s="10"/>
      <c r="E149" s="14" t="str">
        <f>CAPA!$B$36</f>
        <v>Wood chip in bulk</v>
      </c>
      <c r="G149" s="13"/>
      <c r="H149" s="13"/>
      <c r="I149" s="10"/>
      <c r="L149" s="457"/>
      <c r="M149" s="458" t="s">
        <v>567</v>
      </c>
      <c r="N149" s="459" t="s">
        <v>323</v>
      </c>
      <c r="O149" s="460"/>
      <c r="P149" s="460"/>
      <c r="Q149" s="10"/>
      <c r="R149" s="10"/>
      <c r="S149" s="10"/>
      <c r="T149" s="10"/>
      <c r="U149" s="10"/>
    </row>
    <row r="150" spans="1:21" ht="15.75" x14ac:dyDescent="0.25">
      <c r="A150" s="266" t="s">
        <v>111</v>
      </c>
      <c r="B150" s="10"/>
      <c r="C150" s="10"/>
      <c r="D150" s="10"/>
      <c r="E150" s="14" t="str">
        <f>CAPA!$B$37</f>
        <v>Yangpu - China</v>
      </c>
      <c r="G150" s="13"/>
      <c r="H150" s="13"/>
      <c r="I150" s="10"/>
      <c r="L150" s="457"/>
      <c r="M150" s="458" t="s">
        <v>568</v>
      </c>
      <c r="N150" s="459" t="s">
        <v>325</v>
      </c>
      <c r="O150" s="460"/>
      <c r="P150" s="460"/>
      <c r="Q150" s="10"/>
      <c r="R150" s="10"/>
      <c r="S150" s="10"/>
      <c r="T150" s="10"/>
      <c r="U150" s="10"/>
    </row>
    <row r="151" spans="1:21" ht="15.75" x14ac:dyDescent="0.25">
      <c r="A151" s="266"/>
      <c r="B151" s="10"/>
      <c r="C151" s="10"/>
      <c r="D151" s="10"/>
      <c r="E151" s="10"/>
      <c r="F151" s="13"/>
      <c r="G151" s="13"/>
      <c r="H151" s="13"/>
      <c r="I151" s="10"/>
      <c r="L151" s="457"/>
      <c r="M151" s="458" t="s">
        <v>569</v>
      </c>
      <c r="N151" s="459" t="s">
        <v>326</v>
      </c>
      <c r="O151" s="460"/>
      <c r="P151" s="460"/>
      <c r="Q151" s="10"/>
      <c r="R151" s="10"/>
      <c r="S151" s="10"/>
      <c r="T151" s="10"/>
      <c r="U151" s="10"/>
    </row>
    <row r="152" spans="1:21" ht="15.75" x14ac:dyDescent="0.25">
      <c r="A152" s="266"/>
      <c r="B152" s="10"/>
      <c r="C152" s="10"/>
      <c r="D152" s="10"/>
      <c r="E152" s="10"/>
      <c r="F152" s="10"/>
      <c r="G152" s="10"/>
      <c r="H152" s="10"/>
      <c r="I152" s="10"/>
      <c r="L152" s="457"/>
      <c r="M152" s="458" t="s">
        <v>570</v>
      </c>
      <c r="N152" s="459" t="s">
        <v>328</v>
      </c>
      <c r="O152" s="460"/>
      <c r="P152" s="460"/>
      <c r="Q152" s="10"/>
      <c r="R152" s="10"/>
      <c r="S152" s="10"/>
      <c r="T152" s="10"/>
      <c r="U152" s="10"/>
    </row>
    <row r="153" spans="1:21" ht="15.75" x14ac:dyDescent="0.25">
      <c r="A153" s="283" t="s">
        <v>112</v>
      </c>
      <c r="B153" s="283"/>
      <c r="C153" s="10"/>
      <c r="D153" s="10"/>
      <c r="E153" s="10"/>
      <c r="F153" s="10"/>
      <c r="G153" s="17"/>
      <c r="H153" s="764">
        <f>$I$209</f>
        <v>62200</v>
      </c>
      <c r="I153" s="764"/>
      <c r="J153" s="10" t="s">
        <v>113</v>
      </c>
      <c r="L153" s="457"/>
      <c r="M153" s="458" t="s">
        <v>571</v>
      </c>
      <c r="N153" s="459" t="s">
        <v>329</v>
      </c>
      <c r="O153" s="460"/>
      <c r="P153" s="460"/>
      <c r="Q153" s="10"/>
      <c r="R153" s="10"/>
      <c r="S153" s="10"/>
      <c r="T153" s="10"/>
      <c r="U153" s="10"/>
    </row>
    <row r="154" spans="1:21" ht="15.75" x14ac:dyDescent="0.25">
      <c r="A154" s="266"/>
      <c r="B154" s="10"/>
      <c r="C154" s="10"/>
      <c r="D154" s="10"/>
      <c r="E154" s="10"/>
      <c r="F154" s="10"/>
      <c r="G154" s="12"/>
      <c r="H154" s="10"/>
      <c r="I154" s="10"/>
      <c r="J154" s="10"/>
      <c r="L154" s="457"/>
      <c r="M154" s="458" t="s">
        <v>569</v>
      </c>
      <c r="N154" s="459" t="s">
        <v>330</v>
      </c>
      <c r="O154" s="460"/>
      <c r="P154" s="460"/>
      <c r="Q154" s="10"/>
      <c r="R154" s="10"/>
      <c r="S154" s="10"/>
      <c r="T154" s="10"/>
      <c r="U154" s="10"/>
    </row>
    <row r="155" spans="1:21" ht="15.75" x14ac:dyDescent="0.25">
      <c r="A155" s="283" t="s">
        <v>709</v>
      </c>
      <c r="B155" s="283"/>
      <c r="C155" s="13"/>
      <c r="D155" s="13" t="s">
        <v>114</v>
      </c>
      <c r="E155" s="10"/>
      <c r="G155" s="17"/>
      <c r="H155" s="764">
        <f>$I$210</f>
        <v>62201.107873907233</v>
      </c>
      <c r="I155" s="764"/>
      <c r="J155" s="10" t="s">
        <v>113</v>
      </c>
      <c r="L155" s="457"/>
      <c r="M155" s="458" t="s">
        <v>572</v>
      </c>
      <c r="N155" s="459" t="s">
        <v>331</v>
      </c>
      <c r="O155" s="460"/>
      <c r="P155" s="460"/>
      <c r="Q155" s="10"/>
      <c r="R155" s="10"/>
      <c r="S155" s="10"/>
      <c r="T155" s="10"/>
      <c r="U155" s="10"/>
    </row>
    <row r="156" spans="1:21" ht="15.75" x14ac:dyDescent="0.25">
      <c r="A156" s="284"/>
      <c r="B156" s="284"/>
      <c r="C156" s="14"/>
      <c r="D156" s="14" t="s">
        <v>115</v>
      </c>
      <c r="E156" s="10"/>
      <c r="G156" s="17"/>
      <c r="H156" s="764">
        <f>$H$214</f>
        <v>62247</v>
      </c>
      <c r="I156" s="764"/>
      <c r="J156" s="10" t="s">
        <v>113</v>
      </c>
      <c r="L156" s="457"/>
      <c r="M156" s="457" t="s">
        <v>617</v>
      </c>
      <c r="N156" s="75" t="s">
        <v>73</v>
      </c>
      <c r="O156" s="457"/>
      <c r="P156" s="457"/>
    </row>
    <row r="157" spans="1:21" ht="15.75" x14ac:dyDescent="0.25">
      <c r="A157" s="284"/>
      <c r="B157" s="284"/>
      <c r="C157" s="13"/>
      <c r="D157" s="13" t="s">
        <v>116</v>
      </c>
      <c r="E157" s="13"/>
      <c r="G157" s="17"/>
      <c r="H157" s="764">
        <f>$H$215</f>
        <v>62172.35</v>
      </c>
      <c r="I157" s="764"/>
      <c r="J157" s="10" t="s">
        <v>113</v>
      </c>
      <c r="L157" s="457"/>
      <c r="M157" s="457" t="s">
        <v>618</v>
      </c>
      <c r="N157" s="75" t="s">
        <v>616</v>
      </c>
      <c r="O157" s="457"/>
      <c r="P157" s="457"/>
    </row>
    <row r="158" spans="1:21" ht="15.75" x14ac:dyDescent="0.25">
      <c r="A158" s="284"/>
      <c r="B158" s="284"/>
      <c r="C158" s="15"/>
      <c r="D158" s="15" t="str">
        <f>IFERROR(_xlfn.IFS(Draft!U84=N149,M149,Draft!U84=N150,M150,Draft!U84=N151,M151,Draft!U84=N152,M152,Draft!U84=N153,M153,Draft!U84=N154,M154,Draft!U84=N155,M155,Draft!U84=N156,M156,Draft!U84=N157,M157),"")</f>
        <v>OWNERS P&amp;I SURVEYOR:</v>
      </c>
      <c r="E158" s="15"/>
      <c r="G158" s="17"/>
      <c r="H158" s="764">
        <f>Draft!$X$84</f>
        <v>62200.430999999997</v>
      </c>
      <c r="I158" s="764"/>
      <c r="J158" s="10" t="s">
        <v>113</v>
      </c>
      <c r="L158" s="457"/>
      <c r="M158" s="457"/>
      <c r="N158" s="457"/>
      <c r="O158" s="457"/>
      <c r="P158" s="457"/>
    </row>
    <row r="159" spans="1:21" ht="7.5" customHeight="1" thickBot="1" x14ac:dyDescent="0.3">
      <c r="A159" s="294"/>
      <c r="B159" s="294"/>
      <c r="C159" s="295"/>
      <c r="D159" s="295"/>
      <c r="E159" s="295"/>
      <c r="F159" s="295"/>
      <c r="G159" s="296"/>
      <c r="H159" s="297"/>
      <c r="I159" s="298"/>
      <c r="J159" s="299"/>
      <c r="L159" s="457"/>
      <c r="M159" s="457"/>
      <c r="N159" s="457"/>
      <c r="O159" s="457"/>
      <c r="P159" s="457"/>
    </row>
    <row r="160" spans="1:21" ht="21" customHeight="1" thickBot="1" x14ac:dyDescent="0.45">
      <c r="A160" s="300"/>
      <c r="B160" s="297"/>
      <c r="C160" s="297"/>
      <c r="D160" s="297"/>
      <c r="E160" s="297"/>
      <c r="F160" s="301"/>
      <c r="G160" s="760" t="s">
        <v>117</v>
      </c>
      <c r="H160" s="761"/>
      <c r="I160" s="762" t="s">
        <v>118</v>
      </c>
      <c r="J160" s="763"/>
      <c r="L160" s="457"/>
      <c r="M160" s="457"/>
      <c r="N160" s="457"/>
      <c r="O160" s="457"/>
      <c r="P160" s="457"/>
    </row>
    <row r="161" spans="1:16" ht="14.1" customHeight="1" x14ac:dyDescent="0.25">
      <c r="A161" s="789" t="str">
        <f>$A$1</f>
        <v xml:space="preserve">M/V "SDM QUANZHOU" </v>
      </c>
      <c r="B161" s="790"/>
      <c r="C161" s="790"/>
      <c r="D161" s="790"/>
      <c r="E161" s="790"/>
      <c r="F161" s="791"/>
      <c r="G161" s="798" t="str">
        <f>_xlfn.CONCAT(Draft!$E$6," ",Draft!$H$6)</f>
        <v>Inner roads 9.2</v>
      </c>
      <c r="H161" s="798"/>
      <c r="I161" s="799" t="str">
        <f>_xlfn.CONCAT(Draft!$X$6," ",Draft!$AA$6)</f>
        <v>Wharf 214</v>
      </c>
      <c r="J161" s="800"/>
      <c r="L161" s="457"/>
      <c r="M161" s="457"/>
      <c r="N161" s="457"/>
      <c r="O161" s="457"/>
      <c r="P161" s="457"/>
    </row>
    <row r="162" spans="1:16" ht="14.1" customHeight="1" x14ac:dyDescent="0.25">
      <c r="A162" s="792"/>
      <c r="B162" s="793"/>
      <c r="C162" s="793"/>
      <c r="D162" s="793"/>
      <c r="E162" s="793"/>
      <c r="F162" s="794"/>
      <c r="G162" s="782" t="str">
        <f>_xlfn.CONCAT(TEXT(Draft!$E$4,"dd.mm.aaaa")," - ",TEXT(Draft!$O$5,"hh:mm")," h")</f>
        <v>21.03.2026 - 16:40 h</v>
      </c>
      <c r="H162" s="783"/>
      <c r="I162" s="782" t="str">
        <f>_xlfn.CONCAT(TEXT(Draft!$X$4,"dd.mm.aaaa")," - ",TEXT(Draft!$AH$5,"hh:mm")," h")</f>
        <v>25.03.2026 - 07:00 h</v>
      </c>
      <c r="J162" s="784"/>
      <c r="L162" s="457" t="str">
        <f>_xlfn.CONCAT(OrdinalDate(Draft!$X$4),", ",YEAR(Draft!$X$4))</f>
        <v xml:space="preserve"> March 25th, 2026</v>
      </c>
      <c r="M162" s="457"/>
      <c r="N162" s="457"/>
      <c r="O162" s="457"/>
      <c r="P162" s="457"/>
    </row>
    <row r="163" spans="1:16" ht="14.1" customHeight="1" x14ac:dyDescent="0.25">
      <c r="A163" s="795"/>
      <c r="B163" s="796"/>
      <c r="C163" s="796"/>
      <c r="D163" s="796"/>
      <c r="E163" s="796"/>
      <c r="F163" s="797"/>
      <c r="G163" s="801">
        <f>Draft!$O$7</f>
        <v>0.45</v>
      </c>
      <c r="H163" s="802"/>
      <c r="I163" s="801">
        <f>Draft!$AH$7</f>
        <v>0.2</v>
      </c>
      <c r="J163" s="803"/>
      <c r="L163" s="457"/>
      <c r="M163" s="457"/>
      <c r="N163" s="457"/>
      <c r="O163" s="457"/>
      <c r="P163" s="457"/>
    </row>
    <row r="164" spans="1:16" ht="14.1" customHeight="1" x14ac:dyDescent="0.25">
      <c r="A164" s="817" t="str">
        <f>_xlfn.CONCAT("IMO NO.  ",CAPA!$B$10)</f>
        <v>IMO NO.  9949259</v>
      </c>
      <c r="B164" s="804"/>
      <c r="C164" s="804" t="str">
        <f>_xlfn.CONCAT("FLAG:  ",CAPA!$B$14)</f>
        <v>FLAG:  Liberian</v>
      </c>
      <c r="D164" s="804"/>
      <c r="E164" s="804" t="str">
        <f>_xlfn.CONCAT("BUILD:  ",CAPA!$B$9)</f>
        <v>BUILD:  2023</v>
      </c>
      <c r="F164" s="805"/>
      <c r="G164" s="810" t="str">
        <f>CONCATENATE("Wind force ",TEXT(Draft!$O$8,"00"))</f>
        <v>Wind force 03</v>
      </c>
      <c r="H164" s="811"/>
      <c r="I164" s="810" t="str">
        <f>CONCATENATE("Wind force ",TEXT(Draft!$AH$8,"00"))</f>
        <v>Wind force 01</v>
      </c>
      <c r="J164" s="811"/>
      <c r="L164" s="457"/>
      <c r="M164" s="457"/>
      <c r="N164" s="457"/>
      <c r="O164" s="457"/>
      <c r="P164" s="457"/>
    </row>
    <row r="165" spans="1:16" ht="14.1" customHeight="1" x14ac:dyDescent="0.25">
      <c r="A165" s="444" t="str">
        <f>IF(Draft!H84="NÃO","DRAUGHT SURVEY CERTIFICATE","FULL DISPLACEMENT SURVEY CERTIFICATE")</f>
        <v>DRAUGHT SURVEY CERTIFICATE</v>
      </c>
      <c r="B165" s="302"/>
      <c r="C165" s="302"/>
      <c r="D165" s="302"/>
      <c r="E165" s="302"/>
      <c r="F165" s="303"/>
      <c r="G165" s="810" t="str">
        <f>Draft!$E$8</f>
        <v>Flood tide, &lt; 1 knot</v>
      </c>
      <c r="H165" s="811"/>
      <c r="I165" s="810" t="str">
        <f>Draft!$X$8</f>
        <v>Ebb tide, &lt; 1 knot</v>
      </c>
      <c r="J165" s="812"/>
      <c r="L165" s="457"/>
      <c r="M165" s="457"/>
      <c r="N165" s="457"/>
      <c r="O165" s="457"/>
      <c r="P165" s="457"/>
    </row>
    <row r="166" spans="1:16" ht="14.1" customHeight="1" thickBot="1" x14ac:dyDescent="0.3">
      <c r="A166" s="445" t="str">
        <f>$G$3</f>
        <v>PGUA/DS/090/26</v>
      </c>
      <c r="B166" s="304"/>
      <c r="C166" s="304"/>
      <c r="D166" s="304"/>
      <c r="E166" s="304"/>
      <c r="F166" s="305"/>
      <c r="G166" s="785" t="str">
        <f>_xlfn.CONCAT("Weather:   ",Draft!$E$7)</f>
        <v>Weather:   Fine</v>
      </c>
      <c r="H166" s="786"/>
      <c r="I166" s="785" t="str">
        <f>_xlfn.CONCAT("Weather:   ",Draft!$X$7)</f>
        <v>Weather:   Fine</v>
      </c>
      <c r="J166" s="787"/>
      <c r="L166" s="457"/>
      <c r="M166" s="457"/>
      <c r="N166" s="457"/>
      <c r="O166" s="457"/>
      <c r="P166" s="457"/>
    </row>
    <row r="167" spans="1:16" ht="3.75" customHeight="1" thickBot="1" x14ac:dyDescent="0.3">
      <c r="A167" s="306"/>
      <c r="B167" s="306"/>
      <c r="C167" s="306"/>
      <c r="D167" s="306"/>
      <c r="E167" s="306"/>
      <c r="F167" s="307"/>
      <c r="G167" s="306"/>
      <c r="H167" s="306"/>
      <c r="I167" s="308"/>
      <c r="J167" s="309"/>
      <c r="L167" s="457"/>
      <c r="M167" s="457"/>
      <c r="N167" s="457"/>
      <c r="O167" s="457"/>
      <c r="P167" s="457"/>
    </row>
    <row r="168" spans="1:16" ht="12.95" customHeight="1" x14ac:dyDescent="0.25">
      <c r="A168" s="326" t="s">
        <v>710</v>
      </c>
      <c r="B168" s="336"/>
      <c r="C168" s="336"/>
      <c r="D168" s="336"/>
      <c r="E168" s="336"/>
      <c r="F168" s="337"/>
      <c r="G168" s="778" t="s">
        <v>119</v>
      </c>
      <c r="H168" s="779"/>
      <c r="I168" s="780" t="s">
        <v>120</v>
      </c>
      <c r="J168" s="781"/>
      <c r="L168" s="457"/>
      <c r="M168" s="457"/>
      <c r="N168" s="457"/>
      <c r="O168" s="457"/>
      <c r="P168" s="457"/>
    </row>
    <row r="169" spans="1:16" ht="12.95" customHeight="1" x14ac:dyDescent="0.25">
      <c r="A169" s="338" t="s">
        <v>121</v>
      </c>
      <c r="B169" s="312"/>
      <c r="C169" s="312"/>
      <c r="D169" s="312"/>
      <c r="E169" s="312"/>
      <c r="F169" s="313"/>
      <c r="G169" s="750">
        <f>Draft!$C$25</f>
        <v>7.84</v>
      </c>
      <c r="H169" s="751"/>
      <c r="I169" s="806">
        <f>Draft!$U$25</f>
        <v>11.98</v>
      </c>
      <c r="J169" s="807"/>
      <c r="L169" s="457"/>
      <c r="M169" s="457"/>
      <c r="N169" s="457"/>
      <c r="O169" s="457"/>
      <c r="P169" s="457"/>
    </row>
    <row r="170" spans="1:16" ht="12.95" customHeight="1" x14ac:dyDescent="0.25">
      <c r="A170" s="449" t="s">
        <v>122</v>
      </c>
      <c r="B170" s="315"/>
      <c r="C170" s="315"/>
      <c r="D170" s="315"/>
      <c r="E170" s="315"/>
      <c r="F170" s="316"/>
      <c r="G170" s="752">
        <f>Draft!$G$25</f>
        <v>7.64</v>
      </c>
      <c r="H170" s="753"/>
      <c r="I170" s="808">
        <f>Draft!$Y$25</f>
        <v>11.97</v>
      </c>
      <c r="J170" s="809"/>
      <c r="L170" s="457"/>
      <c r="M170" s="457"/>
      <c r="N170" s="457"/>
      <c r="O170" s="457"/>
      <c r="P170" s="457"/>
    </row>
    <row r="171" spans="1:16" ht="12.95" customHeight="1" x14ac:dyDescent="0.25">
      <c r="A171" s="339" t="s">
        <v>123</v>
      </c>
      <c r="B171" s="315"/>
      <c r="C171" s="315"/>
      <c r="D171" s="315"/>
      <c r="E171" s="315"/>
      <c r="F171" s="316"/>
      <c r="G171" s="752">
        <f>($G$169+$G$170)/2</f>
        <v>7.74</v>
      </c>
      <c r="H171" s="753"/>
      <c r="I171" s="752">
        <f>($I$169+$I$170)/2</f>
        <v>11.975000000000001</v>
      </c>
      <c r="J171" s="809"/>
      <c r="L171" s="457"/>
      <c r="M171" s="457"/>
      <c r="N171" s="457"/>
      <c r="O171" s="457"/>
      <c r="P171" s="457"/>
    </row>
    <row r="172" spans="1:16" ht="12.95" customHeight="1" x14ac:dyDescent="0.25">
      <c r="A172" s="449" t="s">
        <v>124</v>
      </c>
      <c r="B172" s="314"/>
      <c r="C172" s="314"/>
      <c r="D172" s="314"/>
      <c r="E172" s="314"/>
      <c r="F172" s="317"/>
      <c r="G172" s="776">
        <f>Draft!$M$25</f>
        <v>-2.1300000000000985E-2</v>
      </c>
      <c r="H172" s="777"/>
      <c r="I172" s="813">
        <f>Draft!$AE$25</f>
        <v>-2.2900000000001697E-2</v>
      </c>
      <c r="J172" s="814"/>
      <c r="L172" s="457"/>
      <c r="M172" s="457"/>
      <c r="N172" s="457"/>
      <c r="O172" s="457"/>
      <c r="P172" s="457"/>
    </row>
    <row r="173" spans="1:16" ht="12.95" customHeight="1" x14ac:dyDescent="0.25">
      <c r="A173" s="330" t="s">
        <v>711</v>
      </c>
      <c r="B173" s="310"/>
      <c r="C173" s="310"/>
      <c r="D173" s="310"/>
      <c r="E173" s="310"/>
      <c r="F173" s="311"/>
      <c r="G173" s="829">
        <f>Draft!$P$25</f>
        <v>7.7186999999999992</v>
      </c>
      <c r="H173" s="830"/>
      <c r="I173" s="815">
        <f>Draft!$AH$25</f>
        <v>11.9521</v>
      </c>
      <c r="J173" s="816"/>
      <c r="L173" s="457"/>
      <c r="M173" s="457"/>
      <c r="N173" s="457"/>
      <c r="O173" s="457"/>
      <c r="P173" s="457"/>
    </row>
    <row r="174" spans="1:16" ht="12.95" customHeight="1" x14ac:dyDescent="0.25">
      <c r="A174" s="338" t="s">
        <v>125</v>
      </c>
      <c r="B174" s="312"/>
      <c r="C174" s="312"/>
      <c r="D174" s="312"/>
      <c r="E174" s="312"/>
      <c r="F174" s="313"/>
      <c r="G174" s="750">
        <f>Draft!$C$26</f>
        <v>7.89</v>
      </c>
      <c r="H174" s="751"/>
      <c r="I174" s="806">
        <f>Draft!$U$26</f>
        <v>12.09</v>
      </c>
      <c r="J174" s="807"/>
      <c r="L174" s="457"/>
      <c r="M174" s="457"/>
      <c r="N174" s="457"/>
      <c r="O174" s="457"/>
      <c r="P174" s="457"/>
    </row>
    <row r="175" spans="1:16" ht="12.95" customHeight="1" x14ac:dyDescent="0.25">
      <c r="A175" s="449" t="s">
        <v>126</v>
      </c>
      <c r="B175" s="315"/>
      <c r="C175" s="315"/>
      <c r="D175" s="315"/>
      <c r="E175" s="315"/>
      <c r="F175" s="316"/>
      <c r="G175" s="752">
        <f>Draft!$G$26</f>
        <v>7.61</v>
      </c>
      <c r="H175" s="753"/>
      <c r="I175" s="808">
        <f>Draft!$Y$26</f>
        <v>12.08</v>
      </c>
      <c r="J175" s="809"/>
      <c r="L175" s="457"/>
      <c r="M175" s="457"/>
      <c r="N175" s="457"/>
      <c r="O175" s="457"/>
      <c r="P175" s="457"/>
    </row>
    <row r="176" spans="1:16" ht="12.95" customHeight="1" x14ac:dyDescent="0.25">
      <c r="A176" s="339" t="s">
        <v>127</v>
      </c>
      <c r="B176" s="315"/>
      <c r="C176" s="315"/>
      <c r="D176" s="315"/>
      <c r="E176" s="315"/>
      <c r="F176" s="316"/>
      <c r="G176" s="752">
        <f>($G$174+$G$175)/2</f>
        <v>7.75</v>
      </c>
      <c r="H176" s="753"/>
      <c r="I176" s="752">
        <f>($I$174+$I$175)/2</f>
        <v>12.085000000000001</v>
      </c>
      <c r="J176" s="809"/>
      <c r="L176" s="457"/>
      <c r="M176" s="457"/>
      <c r="N176" s="457"/>
      <c r="O176" s="457"/>
      <c r="P176" s="457"/>
    </row>
    <row r="177" spans="1:16" ht="12.95" customHeight="1" x14ac:dyDescent="0.25">
      <c r="A177" s="449" t="s">
        <v>128</v>
      </c>
      <c r="B177" s="314"/>
      <c r="C177" s="314"/>
      <c r="D177" s="314"/>
      <c r="E177" s="314"/>
      <c r="F177" s="317"/>
      <c r="G177" s="776">
        <f>Draft!$M$26</f>
        <v>-1.7600000000000726E-2</v>
      </c>
      <c r="H177" s="777"/>
      <c r="I177" s="813">
        <f>Draft!$AE$26</f>
        <v>-1.7800000000001148E-2</v>
      </c>
      <c r="J177" s="814"/>
      <c r="L177" s="457"/>
      <c r="M177" s="457"/>
      <c r="N177" s="457"/>
      <c r="O177" s="457"/>
      <c r="P177" s="457"/>
    </row>
    <row r="178" spans="1:16" ht="12.95" customHeight="1" x14ac:dyDescent="0.25">
      <c r="A178" s="330" t="s">
        <v>712</v>
      </c>
      <c r="B178" s="310"/>
      <c r="C178" s="310"/>
      <c r="D178" s="310"/>
      <c r="E178" s="310"/>
      <c r="F178" s="311"/>
      <c r="G178" s="829">
        <f>Draft!$P$26</f>
        <v>7.7323999999999993</v>
      </c>
      <c r="H178" s="830"/>
      <c r="I178" s="815">
        <f>Draft!$AH$26</f>
        <v>12.0672</v>
      </c>
      <c r="J178" s="816"/>
      <c r="L178" s="457"/>
      <c r="M178" s="457"/>
      <c r="N178" s="457"/>
      <c r="O178" s="457"/>
      <c r="P178" s="457"/>
    </row>
    <row r="179" spans="1:16" ht="12.95" customHeight="1" x14ac:dyDescent="0.25">
      <c r="A179" s="338" t="s">
        <v>129</v>
      </c>
      <c r="B179" s="312"/>
      <c r="C179" s="312"/>
      <c r="D179" s="312"/>
      <c r="E179" s="312"/>
      <c r="F179" s="313"/>
      <c r="G179" s="750">
        <f>Draft!$C$27</f>
        <v>7.85</v>
      </c>
      <c r="H179" s="751"/>
      <c r="I179" s="806">
        <f>Draft!$U$27</f>
        <v>12.12</v>
      </c>
      <c r="J179" s="807"/>
      <c r="L179" s="457"/>
      <c r="M179" s="457"/>
      <c r="N179" s="457"/>
      <c r="O179" s="457"/>
      <c r="P179" s="457"/>
    </row>
    <row r="180" spans="1:16" ht="12.95" customHeight="1" x14ac:dyDescent="0.25">
      <c r="A180" s="339" t="s">
        <v>130</v>
      </c>
      <c r="B180" s="315"/>
      <c r="C180" s="315"/>
      <c r="D180" s="315"/>
      <c r="E180" s="315"/>
      <c r="F180" s="316"/>
      <c r="G180" s="752">
        <f>Draft!$G$27</f>
        <v>7.85</v>
      </c>
      <c r="H180" s="753"/>
      <c r="I180" s="808">
        <f>Draft!$Y$27</f>
        <v>12.11</v>
      </c>
      <c r="J180" s="809"/>
      <c r="L180" s="457"/>
      <c r="M180" s="457"/>
      <c r="N180" s="457"/>
      <c r="O180" s="457"/>
      <c r="P180" s="457"/>
    </row>
    <row r="181" spans="1:16" ht="12.95" customHeight="1" x14ac:dyDescent="0.25">
      <c r="A181" s="339" t="s">
        <v>131</v>
      </c>
      <c r="B181" s="315"/>
      <c r="C181" s="315"/>
      <c r="D181" s="315"/>
      <c r="E181" s="315"/>
      <c r="F181" s="316"/>
      <c r="G181" s="752">
        <f>($G$179+$G$180)/2</f>
        <v>7.85</v>
      </c>
      <c r="H181" s="753"/>
      <c r="I181" s="752">
        <f>($I$179+$I$180)/2</f>
        <v>12.114999999999998</v>
      </c>
      <c r="J181" s="809"/>
      <c r="L181" s="457"/>
      <c r="M181" s="457"/>
      <c r="N181" s="457"/>
      <c r="O181" s="457"/>
      <c r="P181" s="457"/>
    </row>
    <row r="182" spans="1:16" ht="12.95" customHeight="1" x14ac:dyDescent="0.25">
      <c r="A182" s="449" t="s">
        <v>132</v>
      </c>
      <c r="B182" s="314"/>
      <c r="C182" s="314"/>
      <c r="D182" s="314"/>
      <c r="E182" s="314"/>
      <c r="F182" s="317"/>
      <c r="G182" s="776">
        <f>Draft!$M$27</f>
        <v>-1.780000000000026E-2</v>
      </c>
      <c r="H182" s="777"/>
      <c r="I182" s="813">
        <f>Draft!$AE$27</f>
        <v>-8.1999999999986528E-3</v>
      </c>
      <c r="J182" s="814"/>
      <c r="L182" s="457"/>
      <c r="M182" s="457"/>
      <c r="N182" s="457"/>
      <c r="O182" s="457"/>
      <c r="P182" s="457"/>
    </row>
    <row r="183" spans="1:16" ht="12.95" customHeight="1" x14ac:dyDescent="0.25">
      <c r="A183" s="330" t="s">
        <v>713</v>
      </c>
      <c r="B183" s="310"/>
      <c r="C183" s="310"/>
      <c r="D183" s="310"/>
      <c r="E183" s="310"/>
      <c r="F183" s="311"/>
      <c r="G183" s="829">
        <f>Draft!$P$27</f>
        <v>7.8321999999999994</v>
      </c>
      <c r="H183" s="830"/>
      <c r="I183" s="815">
        <f>Draft!$AH$27</f>
        <v>12.1068</v>
      </c>
      <c r="J183" s="816"/>
      <c r="L183" s="457"/>
      <c r="M183" s="457"/>
      <c r="N183" s="457"/>
      <c r="O183" s="457"/>
      <c r="P183" s="457"/>
    </row>
    <row r="184" spans="1:16" ht="12.95" customHeight="1" thickBot="1" x14ac:dyDescent="0.3">
      <c r="A184" s="450" t="s">
        <v>133</v>
      </c>
      <c r="B184" s="318"/>
      <c r="C184" s="318"/>
      <c r="D184" s="318"/>
      <c r="E184" s="318"/>
      <c r="F184" s="319"/>
      <c r="G184" s="831">
        <f>Draft!$O$20+Draft!$H$18</f>
        <v>1.7000000000000001E-2</v>
      </c>
      <c r="H184" s="832"/>
      <c r="I184" s="823">
        <f>$G$184</f>
        <v>1.7000000000000001E-2</v>
      </c>
      <c r="J184" s="824"/>
      <c r="L184" s="457"/>
      <c r="M184" s="457"/>
      <c r="N184" s="457"/>
      <c r="O184" s="457"/>
      <c r="P184" s="457"/>
    </row>
    <row r="185" spans="1:16" ht="12.95" customHeight="1" thickBot="1" x14ac:dyDescent="0.3">
      <c r="A185" s="451" t="s">
        <v>134</v>
      </c>
      <c r="B185" s="320"/>
      <c r="C185" s="320"/>
      <c r="D185" s="320"/>
      <c r="E185" s="320"/>
      <c r="F185" s="321"/>
      <c r="G185" s="825">
        <f>Draft!$K$31</f>
        <v>7.7431624999999986</v>
      </c>
      <c r="H185" s="833"/>
      <c r="I185" s="825">
        <f>Draft!$AC$31</f>
        <v>12.057762499999999</v>
      </c>
      <c r="J185" s="826"/>
      <c r="L185" s="457"/>
      <c r="M185" s="457"/>
      <c r="N185" s="457"/>
      <c r="O185" s="457"/>
      <c r="P185" s="457"/>
    </row>
    <row r="186" spans="1:16" ht="3.75" customHeight="1" thickBot="1" x14ac:dyDescent="0.3">
      <c r="A186" s="456"/>
      <c r="B186" s="322"/>
      <c r="C186" s="322"/>
      <c r="D186" s="322"/>
      <c r="E186" s="322"/>
      <c r="F186" s="322"/>
      <c r="G186" s="323"/>
      <c r="H186" s="324"/>
      <c r="I186" s="325"/>
      <c r="J186" s="351"/>
      <c r="L186" s="457"/>
      <c r="M186" s="457"/>
      <c r="N186" s="457"/>
      <c r="O186" s="457"/>
      <c r="P186" s="457"/>
    </row>
    <row r="187" spans="1:16" ht="12.95" customHeight="1" x14ac:dyDescent="0.25">
      <c r="A187" s="326" t="s">
        <v>135</v>
      </c>
      <c r="B187" s="327"/>
      <c r="C187" s="327"/>
      <c r="D187" s="327"/>
      <c r="E187" s="327"/>
      <c r="F187" s="328"/>
      <c r="G187" s="329" t="str">
        <f>IF(G183=0,"",IF(G183&gt;G173,"BY STERN","BY HEAD"))</f>
        <v>BY STERN</v>
      </c>
      <c r="H187" s="397">
        <f>Draft!$P$29</f>
        <v>0.11350000000000016</v>
      </c>
      <c r="I187" s="329" t="str">
        <f>IF(I183=0,"",IF(I183&gt;I173,"BY STERN","BY HEAD"))</f>
        <v>BY STERN</v>
      </c>
      <c r="J187" s="446">
        <f>Draft!$AH$29</f>
        <v>0.15470000000000006</v>
      </c>
      <c r="L187" s="457"/>
      <c r="M187" s="457"/>
      <c r="N187" s="457"/>
      <c r="O187" s="457"/>
      <c r="P187" s="457"/>
    </row>
    <row r="188" spans="1:16" ht="12.95" customHeight="1" x14ac:dyDescent="0.25">
      <c r="A188" s="330" t="s">
        <v>136</v>
      </c>
      <c r="B188" s="331"/>
      <c r="C188" s="331"/>
      <c r="D188" s="331"/>
      <c r="E188" s="331"/>
      <c r="F188" s="332"/>
      <c r="G188" s="333" t="str">
        <f>_xlfn.CONCAT(Draft!$P$35," ",TEXT(Draft!$M$35,"0.00")," º")</f>
        <v>P 000 º</v>
      </c>
      <c r="H188" s="398">
        <f>Draft!$G$35</f>
        <v>28</v>
      </c>
      <c r="I188" s="333" t="str">
        <f>_xlfn.CONCAT(Draft!$AH$35," ",TEXT(Draft!$AE$35,"0.00")," º")</f>
        <v>P 000 º</v>
      </c>
      <c r="J188" s="447">
        <f>Draft!$Y$35</f>
        <v>1</v>
      </c>
      <c r="L188" s="457"/>
      <c r="M188" s="457"/>
      <c r="N188" s="457"/>
      <c r="O188" s="457"/>
      <c r="P188" s="457"/>
    </row>
    <row r="189" spans="1:16" ht="12.95" customHeight="1" thickBot="1" x14ac:dyDescent="0.3">
      <c r="A189" s="334" t="s">
        <v>138</v>
      </c>
      <c r="B189" s="299"/>
      <c r="C189" s="299"/>
      <c r="D189" s="299"/>
      <c r="E189" s="299"/>
      <c r="F189" s="335"/>
      <c r="G189" s="400" t="str">
        <f>Draft!$M$33</f>
        <v>HOGGING</v>
      </c>
      <c r="H189" s="399">
        <f>Draft!$G$33</f>
        <v>4.3050000000000033</v>
      </c>
      <c r="I189" s="400" t="str">
        <f>Draft!$AE$33</f>
        <v>SAGGING</v>
      </c>
      <c r="J189" s="448">
        <f>Draft!$Y$33</f>
        <v>3.7749999999999062</v>
      </c>
      <c r="L189" s="457"/>
      <c r="M189" s="457"/>
      <c r="N189" s="457"/>
      <c r="O189" s="457"/>
      <c r="P189" s="457"/>
    </row>
    <row r="190" spans="1:16" ht="3.75" customHeight="1" thickBot="1" x14ac:dyDescent="0.3">
      <c r="A190" s="314"/>
      <c r="B190" s="314"/>
      <c r="C190" s="314"/>
      <c r="D190" s="314"/>
      <c r="E190" s="314"/>
      <c r="F190" s="314"/>
      <c r="G190" s="314"/>
      <c r="H190" s="314"/>
      <c r="I190" s="325"/>
      <c r="J190" s="309"/>
      <c r="L190" s="457"/>
      <c r="M190" s="457"/>
      <c r="N190" s="457"/>
      <c r="O190" s="457"/>
      <c r="P190" s="457"/>
    </row>
    <row r="191" spans="1:16" ht="12.95" customHeight="1" x14ac:dyDescent="0.25">
      <c r="A191" s="326" t="s">
        <v>139</v>
      </c>
      <c r="B191" s="336"/>
      <c r="C191" s="336"/>
      <c r="D191" s="336"/>
      <c r="E191" s="336"/>
      <c r="F191" s="337"/>
      <c r="G191" s="778" t="s">
        <v>119</v>
      </c>
      <c r="H191" s="779"/>
      <c r="I191" s="827" t="s">
        <v>120</v>
      </c>
      <c r="J191" s="828"/>
      <c r="L191" s="457"/>
      <c r="M191" s="457"/>
      <c r="N191" s="457"/>
      <c r="O191" s="457"/>
      <c r="P191" s="457"/>
    </row>
    <row r="192" spans="1:16" ht="12.95" customHeight="1" x14ac:dyDescent="0.25">
      <c r="A192" s="338" t="s">
        <v>140</v>
      </c>
      <c r="B192" s="312"/>
      <c r="C192" s="312"/>
      <c r="D192" s="312"/>
      <c r="E192" s="312"/>
      <c r="F192" s="313"/>
      <c r="G192" s="736">
        <f>Draft!$J$43</f>
        <v>48034.3</v>
      </c>
      <c r="H192" s="768"/>
      <c r="I192" s="736">
        <f>Draft!$AB$43</f>
        <v>78826.61</v>
      </c>
      <c r="J192" s="737"/>
      <c r="L192" s="457"/>
      <c r="M192" s="457"/>
      <c r="N192" s="457"/>
      <c r="O192" s="457"/>
      <c r="P192" s="457"/>
    </row>
    <row r="193" spans="1:16" ht="12.95" customHeight="1" x14ac:dyDescent="0.25">
      <c r="A193" s="339" t="s">
        <v>141</v>
      </c>
      <c r="B193" s="315"/>
      <c r="C193" s="315"/>
      <c r="D193" s="315"/>
      <c r="E193" s="315"/>
      <c r="F193" s="316"/>
      <c r="G193" s="738">
        <f>Draft!$H$57</f>
        <v>-9.8661679567554437</v>
      </c>
      <c r="H193" s="769"/>
      <c r="I193" s="738">
        <f>Draft!$Z$57</f>
        <v>17.55758074332206</v>
      </c>
      <c r="J193" s="739"/>
      <c r="L193" s="457"/>
      <c r="M193" s="457"/>
      <c r="N193" s="457"/>
      <c r="O193" s="457"/>
      <c r="P193" s="457"/>
    </row>
    <row r="194" spans="1:16" ht="12.95" customHeight="1" x14ac:dyDescent="0.25">
      <c r="A194" s="339" t="s">
        <v>142</v>
      </c>
      <c r="B194" s="315"/>
      <c r="C194" s="315"/>
      <c r="D194" s="315"/>
      <c r="E194" s="315"/>
      <c r="F194" s="316"/>
      <c r="G194" s="738">
        <f>Draft!$H$58</f>
        <v>0.1734269007263928</v>
      </c>
      <c r="H194" s="769"/>
      <c r="I194" s="738">
        <f>Draft!$Z$58</f>
        <v>0.12458594067796619</v>
      </c>
      <c r="J194" s="739"/>
      <c r="L194" s="457"/>
      <c r="M194" s="457"/>
      <c r="N194" s="457"/>
      <c r="O194" s="457"/>
      <c r="P194" s="457"/>
    </row>
    <row r="195" spans="1:16" ht="12.95" customHeight="1" x14ac:dyDescent="0.25">
      <c r="A195" s="339" t="s">
        <v>143</v>
      </c>
      <c r="B195" s="315"/>
      <c r="C195" s="315"/>
      <c r="D195" s="315"/>
      <c r="E195" s="315"/>
      <c r="F195" s="316"/>
      <c r="G195" s="740">
        <f>Draft!$H$61</f>
        <v>48024.607258943972</v>
      </c>
      <c r="H195" s="770"/>
      <c r="I195" s="740">
        <f>Draft!$Z$61</f>
        <v>78844.292166683997</v>
      </c>
      <c r="J195" s="741"/>
      <c r="L195" s="457"/>
      <c r="M195" s="457"/>
      <c r="N195" s="457"/>
      <c r="O195" s="457"/>
      <c r="P195" s="457"/>
    </row>
    <row r="196" spans="1:16" ht="12.95" customHeight="1" x14ac:dyDescent="0.25">
      <c r="A196" s="339" t="s">
        <v>144</v>
      </c>
      <c r="B196" s="315"/>
      <c r="C196" s="315"/>
      <c r="D196" s="315"/>
      <c r="E196" s="315"/>
      <c r="F196" s="316"/>
      <c r="G196" s="734">
        <f>Draft!$H$62</f>
        <v>1.0169999999999999</v>
      </c>
      <c r="H196" s="771"/>
      <c r="I196" s="734">
        <f>Draft!$Z$62</f>
        <v>1.0145</v>
      </c>
      <c r="J196" s="735"/>
      <c r="L196" s="457"/>
      <c r="M196" s="457"/>
      <c r="N196" s="457"/>
      <c r="O196" s="457"/>
      <c r="P196" s="457"/>
    </row>
    <row r="197" spans="1:16" ht="12.95" customHeight="1" x14ac:dyDescent="0.25">
      <c r="A197" s="339" t="s">
        <v>714</v>
      </c>
      <c r="B197" s="315"/>
      <c r="C197" s="315"/>
      <c r="D197" s="315"/>
      <c r="E197" s="315"/>
      <c r="F197" s="316"/>
      <c r="G197" s="740">
        <f>Draft!$H$63</f>
        <v>47649.781055947336</v>
      </c>
      <c r="H197" s="770"/>
      <c r="I197" s="740">
        <f>Draft!$Z$63</f>
        <v>78036.618929854565</v>
      </c>
      <c r="J197" s="741"/>
      <c r="L197" s="457"/>
      <c r="M197" s="457"/>
      <c r="N197" s="457"/>
      <c r="O197" s="457"/>
      <c r="P197" s="457"/>
    </row>
    <row r="198" spans="1:16" ht="12.95" customHeight="1" thickBot="1" x14ac:dyDescent="0.3">
      <c r="A198" s="340" t="s">
        <v>715</v>
      </c>
      <c r="B198" s="341"/>
      <c r="C198" s="341"/>
      <c r="D198" s="341"/>
      <c r="E198" s="341"/>
      <c r="F198" s="342"/>
      <c r="G198" s="732">
        <f>Draft!$H$72</f>
        <v>33486.780000000006</v>
      </c>
      <c r="H198" s="733"/>
      <c r="I198" s="732">
        <f>Draft!$AF$72</f>
        <v>1648.11</v>
      </c>
      <c r="J198" s="742"/>
      <c r="L198" s="457"/>
      <c r="M198" s="457"/>
      <c r="N198" s="457"/>
      <c r="O198" s="457"/>
      <c r="P198" s="457"/>
    </row>
    <row r="199" spans="1:16" ht="12.95" customHeight="1" thickBot="1" x14ac:dyDescent="0.3">
      <c r="A199" s="617" t="s">
        <v>716</v>
      </c>
      <c r="B199" s="618"/>
      <c r="C199" s="618"/>
      <c r="D199" s="618"/>
      <c r="E199" s="618"/>
      <c r="F199" s="618"/>
      <c r="G199" s="854">
        <f>Draft!$H$74</f>
        <v>14163.00105594733</v>
      </c>
      <c r="H199" s="855"/>
      <c r="I199" s="854">
        <f>Draft!$Z$74</f>
        <v>76388.508929854564</v>
      </c>
      <c r="J199" s="856"/>
      <c r="K199" s="452"/>
      <c r="L199" s="457"/>
      <c r="M199" s="457"/>
      <c r="N199" s="457"/>
      <c r="O199" s="457"/>
      <c r="P199" s="457"/>
    </row>
    <row r="200" spans="1:16" ht="12.95" customHeight="1" x14ac:dyDescent="0.25">
      <c r="A200" s="343" t="s">
        <v>620</v>
      </c>
      <c r="B200" s="344"/>
      <c r="C200" s="344"/>
      <c r="D200" s="344"/>
      <c r="E200" s="344"/>
      <c r="F200" s="345"/>
      <c r="G200" s="746">
        <f>Draft!$H$75</f>
        <v>13726.4</v>
      </c>
      <c r="H200" s="747"/>
      <c r="I200" s="346"/>
      <c r="J200" s="347"/>
      <c r="L200" s="457"/>
      <c r="M200" s="457"/>
      <c r="N200" s="457"/>
      <c r="O200" s="457"/>
      <c r="P200" s="457"/>
    </row>
    <row r="201" spans="1:16" ht="12.95" customHeight="1" x14ac:dyDescent="0.25">
      <c r="A201" s="348" t="str">
        <f>IF(Draft!H84="NÃO","Calculated constant","Declared constant")</f>
        <v>Calculated constant</v>
      </c>
      <c r="B201" s="349"/>
      <c r="C201" s="349"/>
      <c r="D201" s="349"/>
      <c r="E201" s="349"/>
      <c r="F201" s="350"/>
      <c r="G201" s="748">
        <f>Draft!$H$77</f>
        <v>461.00105594733031</v>
      </c>
      <c r="H201" s="749"/>
      <c r="I201" s="325"/>
      <c r="J201" s="351"/>
      <c r="L201" s="457"/>
      <c r="M201" s="457"/>
      <c r="N201" s="457"/>
      <c r="O201" s="457"/>
      <c r="P201" s="457"/>
    </row>
    <row r="202" spans="1:16" ht="12.95" customHeight="1" x14ac:dyDescent="0.25">
      <c r="A202" s="352" t="s">
        <v>717</v>
      </c>
      <c r="B202" s="353"/>
      <c r="C202" s="353"/>
      <c r="D202" s="353"/>
      <c r="E202" s="353"/>
      <c r="F202" s="354"/>
      <c r="G202" s="743">
        <f>Draft!$H$76</f>
        <v>24.4</v>
      </c>
      <c r="H202" s="745"/>
      <c r="I202" s="743">
        <f>Draft!$Z$76</f>
        <v>0</v>
      </c>
      <c r="J202" s="744"/>
      <c r="L202" s="457"/>
      <c r="M202" s="457"/>
      <c r="N202" s="457"/>
      <c r="O202" s="457"/>
      <c r="P202" s="457"/>
    </row>
    <row r="203" spans="1:16" ht="12.95" customHeight="1" thickBot="1" x14ac:dyDescent="0.3">
      <c r="A203" s="355" t="str">
        <f>IF(I199=0,"",IF(I199&gt;G199,"Total cargo loaded on board as per draught survey","Total cargo discharged as per draught survey"))</f>
        <v>Total cargo loaded on board as per draught survey</v>
      </c>
      <c r="B203" s="356"/>
      <c r="C203" s="356"/>
      <c r="D203" s="356"/>
      <c r="E203" s="356"/>
      <c r="F203" s="356"/>
      <c r="G203" s="357"/>
      <c r="H203" s="358"/>
      <c r="I203" s="730">
        <f>Draft!$Z$77</f>
        <v>62201.107873907233</v>
      </c>
      <c r="J203" s="731"/>
      <c r="L203" s="457"/>
      <c r="M203" s="457"/>
      <c r="N203" s="457"/>
      <c r="O203" s="457"/>
      <c r="P203" s="457"/>
    </row>
    <row r="204" spans="1:16" ht="3.75" customHeight="1" thickBot="1" x14ac:dyDescent="0.3">
      <c r="A204" s="306"/>
      <c r="B204" s="306"/>
      <c r="C204" s="306"/>
      <c r="D204" s="306"/>
      <c r="E204" s="306"/>
      <c r="F204" s="306"/>
      <c r="G204" s="306"/>
      <c r="H204" s="306"/>
      <c r="I204" s="308"/>
      <c r="J204" s="309"/>
      <c r="L204" s="457"/>
      <c r="M204" s="457"/>
      <c r="N204" s="457"/>
      <c r="O204" s="457"/>
      <c r="P204" s="457"/>
    </row>
    <row r="205" spans="1:16" ht="12.95" customHeight="1" x14ac:dyDescent="0.25">
      <c r="A205" s="359" t="str">
        <f>_xlfn.CONCAT("Loading terminals: ",CAPA!E58,CAPA!E59,CAPA!E60,CAPA!E61,CAPA!E62,CAPA!E63,CAPA!E64,CAPA!E65,CAPA!E66,CAPA!E67,CAPA!E68,CAPA!E69,CAPA!E70,CAPA!E71,".")</f>
        <v>Loading terminals: BTG 01, IT, RO, .</v>
      </c>
      <c r="B205" s="360"/>
      <c r="C205" s="360"/>
      <c r="D205" s="360"/>
      <c r="E205" s="360"/>
      <c r="F205" s="630"/>
      <c r="G205" s="9" t="s">
        <v>145</v>
      </c>
      <c r="H205" s="404">
        <f>Draft!$J$47</f>
        <v>68.286000000000001</v>
      </c>
      <c r="I205" s="9" t="s">
        <v>145</v>
      </c>
      <c r="J205" s="453">
        <f>Draft!$AB$47</f>
        <v>73.416000000000011</v>
      </c>
      <c r="L205" s="457"/>
      <c r="M205" s="457"/>
      <c r="N205" s="457"/>
      <c r="O205" s="457"/>
      <c r="P205" s="457"/>
    </row>
    <row r="206" spans="1:16" ht="12.95" customHeight="1" x14ac:dyDescent="0.25">
      <c r="A206" s="401" t="str">
        <f>_xlfn.CONCAT("Cargo: ",CAPA!B6)</f>
        <v>Cargo: Soybean meal in bulk</v>
      </c>
      <c r="B206" s="403"/>
      <c r="C206" s="403"/>
      <c r="D206" s="403"/>
      <c r="E206" s="403"/>
      <c r="F206" s="402"/>
      <c r="G206" s="361" t="s">
        <v>151</v>
      </c>
      <c r="H206" s="405">
        <f>Draft!$J$53</f>
        <v>943.6</v>
      </c>
      <c r="I206" s="361" t="s">
        <v>151</v>
      </c>
      <c r="J206" s="454">
        <f>Draft!$AB$53</f>
        <v>1143</v>
      </c>
      <c r="L206" s="457"/>
      <c r="M206" s="457"/>
      <c r="N206" s="457"/>
      <c r="O206" s="457"/>
      <c r="P206" s="457"/>
    </row>
    <row r="207" spans="1:16" ht="12.95" customHeight="1" thickBot="1" x14ac:dyDescent="0.3">
      <c r="A207" s="839" t="str">
        <f>CONCATENATE(Draft!$E$5,". ",$L$162)</f>
        <v>Paranaguá, Br - Brazil.  March 25th, 2026</v>
      </c>
      <c r="B207" s="840"/>
      <c r="C207" s="840"/>
      <c r="D207" s="840"/>
      <c r="E207" s="840"/>
      <c r="F207" s="841"/>
      <c r="G207" s="362" t="s">
        <v>152</v>
      </c>
      <c r="H207" s="406">
        <f>Draft!$J$54</f>
        <v>888</v>
      </c>
      <c r="I207" s="362" t="s">
        <v>152</v>
      </c>
      <c r="J207" s="455">
        <f>Draft!$AB$54</f>
        <v>1121.5</v>
      </c>
      <c r="L207" s="457"/>
      <c r="M207" s="457"/>
      <c r="N207" s="457"/>
      <c r="O207" s="457"/>
      <c r="P207" s="457"/>
    </row>
    <row r="208" spans="1:16" ht="3.75" customHeight="1" thickBot="1" x14ac:dyDescent="0.3">
      <c r="A208" s="363"/>
      <c r="B208" s="364"/>
      <c r="C208" s="364"/>
      <c r="D208" s="364"/>
      <c r="E208" s="364"/>
      <c r="F208" s="365"/>
      <c r="G208" s="365"/>
      <c r="H208" s="365"/>
      <c r="I208" s="365"/>
      <c r="J208" s="309"/>
      <c r="L208" s="457"/>
      <c r="M208" s="457"/>
      <c r="N208" s="457"/>
      <c r="O208" s="457"/>
      <c r="P208" s="457"/>
    </row>
    <row r="209" spans="1:16" ht="12.95" customHeight="1" thickTop="1" x14ac:dyDescent="0.25">
      <c r="A209" s="366" t="str">
        <f>IF(I199=0,"",IF(I199&gt;G199,"Total cargo loaded on board as per shore scales","Total manifested cargo"))</f>
        <v>Total cargo loaded on board as per shore scales</v>
      </c>
      <c r="B209" s="367"/>
      <c r="C209" s="367"/>
      <c r="D209" s="367"/>
      <c r="E209" s="367"/>
      <c r="F209" s="367"/>
      <c r="G209" s="368"/>
      <c r="H209" s="369"/>
      <c r="I209" s="842">
        <f>Draft!$Z$78</f>
        <v>62200</v>
      </c>
      <c r="J209" s="843"/>
      <c r="L209" s="457"/>
      <c r="M209" s="457"/>
      <c r="N209" s="457"/>
      <c r="O209" s="457"/>
      <c r="P209" s="457"/>
    </row>
    <row r="210" spans="1:16" ht="12.95" customHeight="1" x14ac:dyDescent="0.25">
      <c r="A210" s="370" t="str">
        <f>A203</f>
        <v>Total cargo loaded on board as per draught survey</v>
      </c>
      <c r="B210" s="619"/>
      <c r="C210" s="619"/>
      <c r="D210" s="619"/>
      <c r="E210" s="619"/>
      <c r="F210" s="619"/>
      <c r="G210" s="620"/>
      <c r="H210" s="621"/>
      <c r="I210" s="844">
        <f>Draft!$Z$77</f>
        <v>62201.107873907233</v>
      </c>
      <c r="J210" s="845"/>
      <c r="L210" s="457"/>
      <c r="M210" s="457"/>
      <c r="N210" s="457"/>
      <c r="O210" s="457"/>
      <c r="P210" s="457"/>
    </row>
    <row r="211" spans="1:16" ht="12.95" customHeight="1" thickBot="1" x14ac:dyDescent="0.3">
      <c r="A211" s="622" t="str">
        <f>IF($G$211&gt;0,"Surplus","Shortage")</f>
        <v>Surplus</v>
      </c>
      <c r="B211" s="371"/>
      <c r="C211" s="371"/>
      <c r="D211" s="371"/>
      <c r="E211" s="371"/>
      <c r="F211" s="371"/>
      <c r="G211" s="848">
        <f>$I$210-$I$209</f>
        <v>1.1078739072327153</v>
      </c>
      <c r="H211" s="848"/>
      <c r="I211" s="846">
        <f>($G$211/$I$209)*100</f>
        <v>1.781147760824301E-3</v>
      </c>
      <c r="J211" s="847"/>
      <c r="L211" s="457"/>
      <c r="M211" s="457"/>
      <c r="N211" s="457"/>
      <c r="O211" s="457"/>
      <c r="P211" s="457"/>
    </row>
    <row r="212" spans="1:16" ht="24.75" customHeight="1" thickTop="1" x14ac:dyDescent="0.25">
      <c r="A212" s="372"/>
      <c r="B212" s="372"/>
      <c r="C212" s="372"/>
      <c r="D212" s="372"/>
      <c r="E212" s="372"/>
      <c r="F212" s="372"/>
      <c r="G212" s="372"/>
      <c r="H212" s="372"/>
      <c r="I212" s="308"/>
      <c r="J212" s="309"/>
      <c r="L212" s="457"/>
      <c r="M212" s="457"/>
      <c r="N212" s="457"/>
      <c r="O212" s="457"/>
      <c r="P212" s="457"/>
    </row>
    <row r="213" spans="1:16" ht="12.75" hidden="1" customHeight="1" x14ac:dyDescent="0.25">
      <c r="A213" s="10"/>
      <c r="B213" s="10"/>
      <c r="C213" s="10"/>
      <c r="D213" s="10"/>
      <c r="E213" s="10"/>
      <c r="F213" s="10"/>
      <c r="G213" s="10"/>
      <c r="H213" s="10"/>
      <c r="I213" s="10"/>
      <c r="L213" s="457"/>
      <c r="M213" s="457"/>
      <c r="N213" s="457"/>
      <c r="O213" s="457"/>
      <c r="P213" s="457"/>
    </row>
    <row r="214" spans="1:16" ht="12.95" customHeight="1" x14ac:dyDescent="0.25">
      <c r="A214" s="414" t="s">
        <v>147</v>
      </c>
      <c r="B214" s="414"/>
      <c r="C214" s="414"/>
      <c r="D214" s="414"/>
      <c r="E214" s="414"/>
      <c r="F214" s="415"/>
      <c r="G214" s="416" t="s">
        <v>148</v>
      </c>
      <c r="H214" s="580">
        <f>Draft!$X$82</f>
        <v>62247</v>
      </c>
      <c r="I214" s="581">
        <f>H214-I209</f>
        <v>47</v>
      </c>
      <c r="J214" s="623">
        <f>IFERROR((I214/I209)*100,"")</f>
        <v>7.5562700964630219E-2</v>
      </c>
      <c r="L214" s="457"/>
      <c r="M214" s="457"/>
      <c r="N214" s="457"/>
      <c r="O214" s="457"/>
      <c r="P214" s="457"/>
    </row>
    <row r="215" spans="1:16" ht="12.95" customHeight="1" x14ac:dyDescent="0.25">
      <c r="A215" s="417" t="str">
        <f>_xlfn.CONCAT("José Antonio Machado Gomes Pereira"," / ",CAPA!A97)</f>
        <v>José Antonio Machado Gomes Pereira / Thiago Henrique Barbosa Verhagen</v>
      </c>
      <c r="B215" s="417"/>
      <c r="C215" s="417"/>
      <c r="D215" s="417"/>
      <c r="E215" s="417"/>
      <c r="F215" s="415"/>
      <c r="G215" s="416" t="s">
        <v>149</v>
      </c>
      <c r="H215" s="580">
        <f>Draft!$X$83</f>
        <v>62172.35</v>
      </c>
      <c r="I215" s="581">
        <f>H215-I209</f>
        <v>-27.650000000001455</v>
      </c>
      <c r="J215" s="623">
        <f>IFERROR((I215/I209)*100,"")</f>
        <v>-4.4453376205790124E-2</v>
      </c>
      <c r="L215" s="457"/>
      <c r="M215" s="457"/>
      <c r="N215" s="457"/>
      <c r="O215" s="457"/>
      <c r="P215" s="457"/>
    </row>
    <row r="216" spans="1:16" ht="12.95" customHeight="1" x14ac:dyDescent="0.25">
      <c r="A216" s="417" t="s">
        <v>150</v>
      </c>
      <c r="B216" s="417"/>
      <c r="C216" s="417"/>
      <c r="D216" s="417"/>
      <c r="E216" s="417"/>
      <c r="F216" s="418"/>
      <c r="G216" s="419" t="str">
        <f>Draft!$U$84</f>
        <v>Owners P&amp;I:</v>
      </c>
      <c r="H216" s="580">
        <f>Draft!$X$84</f>
        <v>62200.430999999997</v>
      </c>
      <c r="I216" s="581">
        <f>H216-I209</f>
        <v>0.43099999999685679</v>
      </c>
      <c r="J216" s="623">
        <f>IFERROR((I216/I209)*100,"")</f>
        <v>6.9292604501102384E-4</v>
      </c>
      <c r="L216" s="457"/>
      <c r="M216" s="457"/>
      <c r="N216" s="457"/>
      <c r="O216" s="457"/>
      <c r="P216" s="457"/>
    </row>
    <row r="217" spans="1:16" ht="12.95" customHeight="1" x14ac:dyDescent="0.25">
      <c r="A217" s="308"/>
      <c r="B217" s="373"/>
      <c r="C217" s="373"/>
      <c r="D217" s="373"/>
      <c r="E217" s="373"/>
      <c r="F217" s="373"/>
      <c r="G217" s="308"/>
      <c r="H217" s="308"/>
      <c r="I217" s="308"/>
      <c r="J217" s="309"/>
      <c r="L217" s="457"/>
      <c r="M217" s="457"/>
      <c r="N217" s="457"/>
      <c r="O217" s="457"/>
      <c r="P217" s="457"/>
    </row>
    <row r="218" spans="1:16" ht="12.95" customHeight="1" x14ac:dyDescent="0.25">
      <c r="A218" s="308"/>
      <c r="B218" s="373"/>
      <c r="C218" s="373"/>
      <c r="D218" s="373"/>
      <c r="E218" s="373"/>
      <c r="F218" s="373"/>
      <c r="G218" s="308"/>
      <c r="H218" s="308"/>
      <c r="I218" s="308"/>
      <c r="J218" s="309"/>
      <c r="L218" s="457"/>
      <c r="M218" s="457"/>
      <c r="N218" s="457"/>
      <c r="O218" s="457"/>
      <c r="P218" s="457"/>
    </row>
    <row r="219" spans="1:16" ht="15.75" x14ac:dyDescent="0.25">
      <c r="A219" s="3" t="s">
        <v>546</v>
      </c>
      <c r="B219" s="16"/>
      <c r="C219" s="16"/>
      <c r="D219" s="16"/>
      <c r="E219" s="16"/>
      <c r="F219" s="292" t="s">
        <v>547</v>
      </c>
      <c r="G219" s="411">
        <f>Draft!$E$4</f>
        <v>46102</v>
      </c>
      <c r="H219" s="378">
        <v>0.72222222222222221</v>
      </c>
      <c r="I219" s="379" t="s">
        <v>548</v>
      </c>
      <c r="J219" s="380">
        <f>IFERROR(ROUND(Draft!$P$29,2),"")</f>
        <v>0.11</v>
      </c>
      <c r="L219" s="457"/>
      <c r="M219" s="457"/>
      <c r="N219" s="457"/>
      <c r="O219" s="457"/>
      <c r="P219" s="457"/>
    </row>
    <row r="220" spans="1:16" x14ac:dyDescent="0.25">
      <c r="A220" s="286" t="s">
        <v>0</v>
      </c>
      <c r="B220" s="286" t="s">
        <v>1</v>
      </c>
      <c r="C220" s="286" t="s">
        <v>2</v>
      </c>
      <c r="D220" s="286" t="s">
        <v>1</v>
      </c>
      <c r="E220" s="758" t="s">
        <v>576</v>
      </c>
      <c r="F220" s="758"/>
      <c r="G220" s="286" t="s">
        <v>3</v>
      </c>
      <c r="H220" s="286" t="s">
        <v>1</v>
      </c>
      <c r="I220" s="286" t="s">
        <v>1</v>
      </c>
      <c r="J220" s="286" t="s">
        <v>4</v>
      </c>
      <c r="L220" s="457"/>
      <c r="M220" s="457"/>
      <c r="N220" s="457"/>
      <c r="O220" s="457"/>
      <c r="P220" s="457"/>
    </row>
    <row r="221" spans="1:16" x14ac:dyDescent="0.25">
      <c r="A221" s="287" t="s">
        <v>718</v>
      </c>
      <c r="B221" s="287" t="s">
        <v>5</v>
      </c>
      <c r="C221" s="287" t="s">
        <v>6</v>
      </c>
      <c r="D221" s="287" t="s">
        <v>7</v>
      </c>
      <c r="E221" s="288" t="s">
        <v>8</v>
      </c>
      <c r="F221" s="288" t="s">
        <v>9</v>
      </c>
      <c r="G221" s="287" t="s">
        <v>7</v>
      </c>
      <c r="H221" s="287" t="s">
        <v>545</v>
      </c>
      <c r="I221" s="287" t="s">
        <v>10</v>
      </c>
      <c r="J221" s="287" t="s">
        <v>11</v>
      </c>
      <c r="L221" s="457"/>
      <c r="M221" s="457"/>
      <c r="N221" s="457"/>
      <c r="O221" s="457"/>
      <c r="P221" s="457"/>
    </row>
    <row r="222" spans="1:16" x14ac:dyDescent="0.25">
      <c r="A222" s="377" t="s">
        <v>12</v>
      </c>
      <c r="B222" s="526">
        <v>24.3</v>
      </c>
      <c r="C222" s="526">
        <v>0</v>
      </c>
      <c r="D222" s="526">
        <v>15.69</v>
      </c>
      <c r="E222" s="849" t="s">
        <v>804</v>
      </c>
      <c r="F222" s="849"/>
      <c r="G222" s="526">
        <f>IFERROR(D222+(E222+F222),D222)</f>
        <v>15.69</v>
      </c>
      <c r="H222" s="526">
        <v>1736.51</v>
      </c>
      <c r="I222" s="527">
        <v>1.022</v>
      </c>
      <c r="J222" s="528">
        <f>ROUND(H222*I222,1)</f>
        <v>1774.7</v>
      </c>
      <c r="L222" s="457"/>
      <c r="M222" s="457"/>
      <c r="N222" s="457"/>
      <c r="O222" s="457"/>
      <c r="P222" s="457"/>
    </row>
    <row r="223" spans="1:16" x14ac:dyDescent="0.25">
      <c r="A223" s="374" t="s">
        <v>13</v>
      </c>
      <c r="B223" s="1">
        <v>24.48</v>
      </c>
      <c r="C223" s="1">
        <v>0.3</v>
      </c>
      <c r="D223" s="1">
        <v>16.38</v>
      </c>
      <c r="E223" s="850"/>
      <c r="F223" s="850"/>
      <c r="G223" s="1">
        <f>IFERROR(D223+(E223+F223),D223)</f>
        <v>16.38</v>
      </c>
      <c r="H223" s="1">
        <v>1023.9</v>
      </c>
      <c r="I223" s="274">
        <v>1.022</v>
      </c>
      <c r="J223" s="529">
        <f>IFERROR(ROUND(H223*I223,1),"")</f>
        <v>1046.4000000000001</v>
      </c>
      <c r="L223" s="457"/>
      <c r="M223" s="457"/>
      <c r="N223" s="457"/>
      <c r="O223" s="457"/>
      <c r="P223" s="457"/>
    </row>
    <row r="224" spans="1:16" x14ac:dyDescent="0.25">
      <c r="A224" s="374" t="s">
        <v>14</v>
      </c>
      <c r="B224" s="1">
        <v>24.34</v>
      </c>
      <c r="C224" s="1">
        <v>0.31</v>
      </c>
      <c r="D224" s="1">
        <v>16.04</v>
      </c>
      <c r="E224" s="850"/>
      <c r="F224" s="850"/>
      <c r="G224" s="1">
        <f t="shared" ref="G224:G237" si="0">IFERROR(D224+(E224+F224),D224)</f>
        <v>16.04</v>
      </c>
      <c r="H224" s="1">
        <v>1023.9</v>
      </c>
      <c r="I224" s="274">
        <v>1.022</v>
      </c>
      <c r="J224" s="529">
        <f t="shared" ref="J224:J238" si="1">IFERROR(ROUND(H224*I224,1),"")</f>
        <v>1046.4000000000001</v>
      </c>
      <c r="L224" s="457"/>
      <c r="M224" s="457"/>
      <c r="N224" s="457"/>
      <c r="O224" s="457"/>
      <c r="P224" s="457"/>
    </row>
    <row r="225" spans="1:16" x14ac:dyDescent="0.25">
      <c r="A225" s="374" t="s">
        <v>15</v>
      </c>
      <c r="B225" s="1">
        <v>24.58</v>
      </c>
      <c r="C225" s="1">
        <v>0.3</v>
      </c>
      <c r="D225" s="1">
        <v>18.59</v>
      </c>
      <c r="E225" s="850"/>
      <c r="F225" s="850"/>
      <c r="G225" s="1">
        <f t="shared" si="0"/>
        <v>18.59</v>
      </c>
      <c r="H225" s="1">
        <v>1142.1500000000001</v>
      </c>
      <c r="I225" s="274">
        <v>1.022</v>
      </c>
      <c r="J225" s="529">
        <f t="shared" si="1"/>
        <v>1167.3</v>
      </c>
      <c r="L225" s="457"/>
      <c r="M225" s="457"/>
      <c r="N225" s="457"/>
      <c r="O225" s="457"/>
      <c r="P225" s="457"/>
    </row>
    <row r="226" spans="1:16" x14ac:dyDescent="0.25">
      <c r="A226" s="374" t="s">
        <v>16</v>
      </c>
      <c r="B226" s="1">
        <v>24.59</v>
      </c>
      <c r="C226" s="1">
        <v>0.31</v>
      </c>
      <c r="D226" s="1">
        <v>18.62</v>
      </c>
      <c r="E226" s="850"/>
      <c r="F226" s="850"/>
      <c r="G226" s="1">
        <f t="shared" si="0"/>
        <v>18.62</v>
      </c>
      <c r="H226" s="1">
        <v>1142.1500000000001</v>
      </c>
      <c r="I226" s="274">
        <v>1.022</v>
      </c>
      <c r="J226" s="529">
        <f t="shared" si="1"/>
        <v>1167.3</v>
      </c>
      <c r="L226" s="457"/>
      <c r="M226" s="457"/>
      <c r="N226" s="457"/>
      <c r="O226" s="457"/>
      <c r="P226" s="457"/>
    </row>
    <row r="227" spans="1:16" x14ac:dyDescent="0.25">
      <c r="A227" s="374" t="s">
        <v>17</v>
      </c>
      <c r="B227" s="1">
        <v>24.48</v>
      </c>
      <c r="C227" s="1">
        <v>0.31</v>
      </c>
      <c r="D227" s="1">
        <v>4.18</v>
      </c>
      <c r="E227" s="850"/>
      <c r="F227" s="850"/>
      <c r="G227" s="1">
        <f t="shared" si="0"/>
        <v>4.18</v>
      </c>
      <c r="H227" s="1">
        <v>888.78</v>
      </c>
      <c r="I227" s="274">
        <v>1.022</v>
      </c>
      <c r="J227" s="529">
        <f t="shared" si="1"/>
        <v>908.3</v>
      </c>
      <c r="L227" s="457"/>
      <c r="M227" s="457"/>
      <c r="N227" s="457"/>
      <c r="O227" s="457"/>
      <c r="P227" s="457"/>
    </row>
    <row r="228" spans="1:16" x14ac:dyDescent="0.25">
      <c r="A228" s="374" t="s">
        <v>18</v>
      </c>
      <c r="B228" s="1">
        <v>24.37</v>
      </c>
      <c r="C228" s="1">
        <v>0.28999999999999998</v>
      </c>
      <c r="D228" s="1">
        <v>6.18</v>
      </c>
      <c r="E228" s="850"/>
      <c r="F228" s="850"/>
      <c r="G228" s="1">
        <f t="shared" si="0"/>
        <v>6.18</v>
      </c>
      <c r="H228" s="1">
        <v>964.2</v>
      </c>
      <c r="I228" s="274">
        <v>1.022</v>
      </c>
      <c r="J228" s="529">
        <f t="shared" si="1"/>
        <v>985.4</v>
      </c>
      <c r="L228" s="457"/>
      <c r="M228" s="457"/>
      <c r="N228" s="457"/>
      <c r="O228" s="457"/>
      <c r="P228" s="457"/>
    </row>
    <row r="229" spans="1:16" x14ac:dyDescent="0.25">
      <c r="A229" s="374" t="s">
        <v>19</v>
      </c>
      <c r="B229" s="1">
        <v>24.32</v>
      </c>
      <c r="C229" s="1">
        <v>0.3</v>
      </c>
      <c r="D229" s="1">
        <v>10.039999999999999</v>
      </c>
      <c r="E229" s="850"/>
      <c r="F229" s="850"/>
      <c r="G229" s="1">
        <f t="shared" si="0"/>
        <v>10.039999999999999</v>
      </c>
      <c r="H229" s="1">
        <v>1099.99</v>
      </c>
      <c r="I229" s="274">
        <v>1.022</v>
      </c>
      <c r="J229" s="529">
        <f t="shared" si="1"/>
        <v>1124.2</v>
      </c>
      <c r="L229" s="457"/>
      <c r="M229" s="457"/>
      <c r="N229" s="457"/>
      <c r="O229" s="457"/>
      <c r="P229" s="457"/>
    </row>
    <row r="230" spans="1:16" x14ac:dyDescent="0.25">
      <c r="A230" s="374" t="s">
        <v>20</v>
      </c>
      <c r="B230" s="1">
        <v>24.3</v>
      </c>
      <c r="C230" s="1">
        <v>0.3</v>
      </c>
      <c r="D230" s="1">
        <v>9.33</v>
      </c>
      <c r="E230" s="850"/>
      <c r="F230" s="850"/>
      <c r="G230" s="1">
        <f t="shared" si="0"/>
        <v>9.33</v>
      </c>
      <c r="H230" s="1">
        <v>1099.99</v>
      </c>
      <c r="I230" s="274">
        <v>1.022</v>
      </c>
      <c r="J230" s="529">
        <f t="shared" si="1"/>
        <v>1124.2</v>
      </c>
      <c r="L230" s="457"/>
      <c r="M230" s="457"/>
      <c r="N230" s="457"/>
      <c r="O230" s="457"/>
      <c r="P230" s="457"/>
    </row>
    <row r="231" spans="1:16" x14ac:dyDescent="0.25">
      <c r="A231" s="374" t="s">
        <v>21</v>
      </c>
      <c r="B231" s="1">
        <v>24.56</v>
      </c>
      <c r="C231" s="1">
        <v>0.28999999999999998</v>
      </c>
      <c r="D231" s="1">
        <v>2.27</v>
      </c>
      <c r="E231" s="850"/>
      <c r="F231" s="850"/>
      <c r="G231" s="1">
        <f t="shared" si="0"/>
        <v>2.27</v>
      </c>
      <c r="H231" s="1">
        <v>789.28</v>
      </c>
      <c r="I231" s="274">
        <v>1.022</v>
      </c>
      <c r="J231" s="529">
        <f t="shared" si="1"/>
        <v>806.6</v>
      </c>
      <c r="L231" s="457"/>
      <c r="M231" s="457"/>
      <c r="N231" s="457"/>
      <c r="O231" s="457"/>
      <c r="P231" s="457"/>
    </row>
    <row r="232" spans="1:16" x14ac:dyDescent="0.25">
      <c r="A232" s="374" t="s">
        <v>22</v>
      </c>
      <c r="B232" s="1">
        <v>24.58</v>
      </c>
      <c r="C232" s="1">
        <v>0.28999999999999998</v>
      </c>
      <c r="D232" s="1">
        <v>6.16</v>
      </c>
      <c r="E232" s="850"/>
      <c r="F232" s="850"/>
      <c r="G232" s="1">
        <f t="shared" si="0"/>
        <v>6.16</v>
      </c>
      <c r="H232" s="1">
        <v>1053.1199999999999</v>
      </c>
      <c r="I232" s="274">
        <v>1.022</v>
      </c>
      <c r="J232" s="529">
        <f t="shared" si="1"/>
        <v>1076.3</v>
      </c>
      <c r="L232" s="457"/>
      <c r="M232" s="457"/>
      <c r="N232" s="457"/>
      <c r="O232" s="457"/>
      <c r="P232" s="457"/>
    </row>
    <row r="233" spans="1:16" x14ac:dyDescent="0.25">
      <c r="A233" s="374" t="s">
        <v>543</v>
      </c>
      <c r="B233" s="1">
        <v>24.45</v>
      </c>
      <c r="C233" s="1">
        <v>0.3</v>
      </c>
      <c r="D233" s="1">
        <v>6.48</v>
      </c>
      <c r="E233" s="850"/>
      <c r="F233" s="850"/>
      <c r="G233" s="1">
        <f t="shared" si="0"/>
        <v>6.48</v>
      </c>
      <c r="H233" s="1">
        <v>863.44</v>
      </c>
      <c r="I233" s="274">
        <v>1.022</v>
      </c>
      <c r="J233" s="529">
        <f t="shared" si="1"/>
        <v>882.4</v>
      </c>
      <c r="L233" s="457"/>
      <c r="M233" s="457"/>
      <c r="N233" s="457"/>
      <c r="O233" s="457"/>
      <c r="P233" s="457"/>
    </row>
    <row r="234" spans="1:16" x14ac:dyDescent="0.25">
      <c r="A234" s="374" t="s">
        <v>544</v>
      </c>
      <c r="B234" s="1">
        <v>24.47</v>
      </c>
      <c r="C234" s="1">
        <v>0.32</v>
      </c>
      <c r="D234" s="1">
        <v>6.84</v>
      </c>
      <c r="E234" s="850"/>
      <c r="F234" s="850"/>
      <c r="G234" s="1">
        <f t="shared" si="0"/>
        <v>6.84</v>
      </c>
      <c r="H234" s="1">
        <v>883.54</v>
      </c>
      <c r="I234" s="274">
        <v>1.022</v>
      </c>
      <c r="J234" s="529">
        <f t="shared" si="1"/>
        <v>903</v>
      </c>
      <c r="L234" s="457"/>
      <c r="M234" s="457"/>
      <c r="N234" s="457"/>
      <c r="O234" s="457"/>
      <c r="P234" s="457"/>
    </row>
    <row r="235" spans="1:16" x14ac:dyDescent="0.25">
      <c r="A235" s="375" t="s">
        <v>784</v>
      </c>
      <c r="B235" s="1">
        <v>24.45</v>
      </c>
      <c r="C235" s="1">
        <v>0.33</v>
      </c>
      <c r="D235" s="1">
        <v>3.8</v>
      </c>
      <c r="E235" s="850"/>
      <c r="F235" s="850"/>
      <c r="G235" s="1">
        <f t="shared" si="0"/>
        <v>3.8</v>
      </c>
      <c r="H235" s="1">
        <v>38.82</v>
      </c>
      <c r="I235" s="274">
        <v>1.022</v>
      </c>
      <c r="J235" s="529">
        <f t="shared" si="1"/>
        <v>39.700000000000003</v>
      </c>
      <c r="L235" s="457"/>
      <c r="M235" s="457"/>
      <c r="N235" s="457"/>
      <c r="O235" s="457"/>
      <c r="P235" s="457"/>
    </row>
    <row r="236" spans="1:16" x14ac:dyDescent="0.25">
      <c r="A236" s="375" t="s">
        <v>785</v>
      </c>
      <c r="B236" s="1">
        <v>24.46</v>
      </c>
      <c r="C236" s="1">
        <v>0.33</v>
      </c>
      <c r="D236" s="1">
        <v>0.57999999999999996</v>
      </c>
      <c r="E236" s="850"/>
      <c r="F236" s="850"/>
      <c r="G236" s="1">
        <f t="shared" si="0"/>
        <v>0.57999999999999996</v>
      </c>
      <c r="H236" s="1">
        <v>3.04</v>
      </c>
      <c r="I236" s="274">
        <v>1.022</v>
      </c>
      <c r="J236" s="529">
        <f t="shared" si="1"/>
        <v>3.1</v>
      </c>
      <c r="L236" s="457"/>
      <c r="M236" s="457"/>
      <c r="N236" s="457"/>
      <c r="O236" s="457"/>
      <c r="P236" s="457"/>
    </row>
    <row r="237" spans="1:16" x14ac:dyDescent="0.25">
      <c r="A237" s="375" t="s">
        <v>786</v>
      </c>
      <c r="B237" s="1">
        <v>25.14</v>
      </c>
      <c r="C237" s="1" t="s">
        <v>787</v>
      </c>
      <c r="D237" s="1">
        <v>3.55</v>
      </c>
      <c r="E237" s="850"/>
      <c r="F237" s="850"/>
      <c r="G237" s="1">
        <f t="shared" si="0"/>
        <v>3.55</v>
      </c>
      <c r="H237" s="1">
        <v>16888.464</v>
      </c>
      <c r="I237" s="274">
        <v>1.022</v>
      </c>
      <c r="J237" s="529">
        <f t="shared" si="1"/>
        <v>17260</v>
      </c>
      <c r="L237" s="457"/>
      <c r="M237" s="457"/>
      <c r="N237" s="457"/>
      <c r="O237" s="457"/>
      <c r="P237" s="457"/>
    </row>
    <row r="238" spans="1:16" x14ac:dyDescent="0.25">
      <c r="A238" s="376" t="s">
        <v>23</v>
      </c>
      <c r="B238" s="2">
        <v>14.12</v>
      </c>
      <c r="C238" s="2">
        <v>0.34</v>
      </c>
      <c r="D238" s="2">
        <v>6.89</v>
      </c>
      <c r="E238" s="851"/>
      <c r="F238" s="851"/>
      <c r="G238" s="2">
        <f>IFERROR(D238+(E238+F238),D238)</f>
        <v>6.89</v>
      </c>
      <c r="H238" s="2">
        <v>1056.95</v>
      </c>
      <c r="I238" s="274">
        <v>1.022</v>
      </c>
      <c r="J238" s="532">
        <f t="shared" si="1"/>
        <v>1080.2</v>
      </c>
      <c r="L238" s="457"/>
      <c r="M238" s="457"/>
      <c r="N238" s="457"/>
      <c r="O238" s="457"/>
      <c r="P238" s="457"/>
    </row>
    <row r="239" spans="1:16" x14ac:dyDescent="0.25">
      <c r="A239" s="289" t="s">
        <v>24</v>
      </c>
      <c r="B239" s="290"/>
      <c r="C239" s="290"/>
      <c r="D239" s="290"/>
      <c r="E239" s="290"/>
      <c r="F239" s="290"/>
      <c r="G239" s="291"/>
      <c r="H239" s="533">
        <f>SUM($H$222:$H$238)</f>
        <v>31698.224000000002</v>
      </c>
      <c r="I239" s="534"/>
      <c r="J239" s="533">
        <f>SUM($J$222:$J$238)</f>
        <v>32395.500000000004</v>
      </c>
      <c r="L239" s="457"/>
      <c r="M239" s="457"/>
      <c r="N239" s="457"/>
      <c r="O239" s="457"/>
      <c r="P239" s="457"/>
    </row>
    <row r="240" spans="1:16" x14ac:dyDescent="0.25">
      <c r="L240" s="457"/>
      <c r="M240" s="457"/>
      <c r="N240" s="457"/>
      <c r="O240" s="457"/>
      <c r="P240" s="457"/>
    </row>
    <row r="241" spans="1:16" x14ac:dyDescent="0.25">
      <c r="L241" s="457"/>
      <c r="M241" s="457"/>
      <c r="N241" s="457"/>
      <c r="O241" s="457"/>
      <c r="P241" s="457"/>
    </row>
    <row r="242" spans="1:16" ht="15.75" x14ac:dyDescent="0.25">
      <c r="A242" s="3" t="s">
        <v>549</v>
      </c>
      <c r="F242" s="292" t="s">
        <v>547</v>
      </c>
      <c r="G242" s="411">
        <f>Draft!$X$4</f>
        <v>46106</v>
      </c>
      <c r="H242" s="378">
        <v>0.27430555555555558</v>
      </c>
      <c r="I242" s="379" t="s">
        <v>548</v>
      </c>
      <c r="J242" s="380">
        <f>IFERROR(ROUND(Draft!$AH$29,2),"")</f>
        <v>0.15</v>
      </c>
      <c r="L242" s="457"/>
      <c r="M242" s="457"/>
      <c r="N242" s="457"/>
      <c r="O242" s="457"/>
      <c r="P242" s="457"/>
    </row>
    <row r="243" spans="1:16" x14ac:dyDescent="0.25">
      <c r="A243" s="286" t="s">
        <v>0</v>
      </c>
      <c r="B243" s="286" t="s">
        <v>1</v>
      </c>
      <c r="C243" s="286" t="s">
        <v>2</v>
      </c>
      <c r="D243" s="286" t="s">
        <v>1</v>
      </c>
      <c r="E243" s="758" t="s">
        <v>576</v>
      </c>
      <c r="F243" s="758"/>
      <c r="G243" s="286" t="s">
        <v>3</v>
      </c>
      <c r="H243" s="286" t="s">
        <v>1</v>
      </c>
      <c r="I243" s="286" t="s">
        <v>1</v>
      </c>
      <c r="J243" s="286" t="s">
        <v>4</v>
      </c>
      <c r="L243" s="457"/>
      <c r="M243" s="457"/>
      <c r="N243" s="457"/>
      <c r="O243" s="457"/>
      <c r="P243" s="457"/>
    </row>
    <row r="244" spans="1:16" x14ac:dyDescent="0.25">
      <c r="A244" s="287" t="s">
        <v>718</v>
      </c>
      <c r="B244" s="287" t="s">
        <v>5</v>
      </c>
      <c r="C244" s="287" t="s">
        <v>6</v>
      </c>
      <c r="D244" s="287" t="s">
        <v>7</v>
      </c>
      <c r="E244" s="288" t="s">
        <v>8</v>
      </c>
      <c r="F244" s="288" t="s">
        <v>9</v>
      </c>
      <c r="G244" s="287" t="s">
        <v>7</v>
      </c>
      <c r="H244" s="287" t="s">
        <v>545</v>
      </c>
      <c r="I244" s="287" t="s">
        <v>10</v>
      </c>
      <c r="J244" s="287" t="s">
        <v>11</v>
      </c>
      <c r="L244" s="457"/>
      <c r="M244" s="457"/>
      <c r="N244" s="457"/>
      <c r="O244" s="457"/>
      <c r="P244" s="457"/>
    </row>
    <row r="245" spans="1:16" x14ac:dyDescent="0.25">
      <c r="A245" s="377" t="str">
        <f t="shared" ref="A245:C259" si="2">A222</f>
        <v>F.PK</v>
      </c>
      <c r="B245" s="526">
        <f t="shared" si="2"/>
        <v>24.3</v>
      </c>
      <c r="C245" s="526">
        <f t="shared" si="2"/>
        <v>0</v>
      </c>
      <c r="D245" s="526">
        <v>0.2</v>
      </c>
      <c r="E245" s="849" t="s">
        <v>804</v>
      </c>
      <c r="F245" s="849"/>
      <c r="G245" s="526">
        <f>IFERROR(D245+(E245+F245),D245)</f>
        <v>0.2</v>
      </c>
      <c r="H245" s="526">
        <v>1.4</v>
      </c>
      <c r="I245" s="527">
        <f t="shared" ref="I245:I257" si="3">I222</f>
        <v>1.022</v>
      </c>
      <c r="J245" s="528">
        <f>ROUND(H245*I245,1)</f>
        <v>1.4</v>
      </c>
      <c r="L245" s="457"/>
      <c r="M245" s="457"/>
      <c r="N245" s="457"/>
      <c r="O245" s="457"/>
      <c r="P245" s="457"/>
    </row>
    <row r="246" spans="1:16" x14ac:dyDescent="0.25">
      <c r="A246" s="374" t="str">
        <f t="shared" si="2"/>
        <v>1 DB (P)</v>
      </c>
      <c r="B246" s="1">
        <f t="shared" si="2"/>
        <v>24.48</v>
      </c>
      <c r="C246" s="1">
        <f t="shared" si="2"/>
        <v>0.3</v>
      </c>
      <c r="D246" s="1">
        <v>0</v>
      </c>
      <c r="E246" s="850"/>
      <c r="F246" s="850"/>
      <c r="G246" s="1">
        <f>IFERROR(D246+(E246+F246),D246)</f>
        <v>0</v>
      </c>
      <c r="H246" s="1">
        <v>5.97</v>
      </c>
      <c r="I246" s="274">
        <f t="shared" si="3"/>
        <v>1.022</v>
      </c>
      <c r="J246" s="529">
        <f>IFERROR(ROUND(H246*I246,1),"")</f>
        <v>6.1</v>
      </c>
      <c r="L246" s="457"/>
      <c r="M246" s="457"/>
      <c r="N246" s="457"/>
      <c r="O246" s="457"/>
      <c r="P246" s="457"/>
    </row>
    <row r="247" spans="1:16" x14ac:dyDescent="0.25">
      <c r="A247" s="374" t="str">
        <f t="shared" si="2"/>
        <v>1 DB (S)</v>
      </c>
      <c r="B247" s="1">
        <f t="shared" si="2"/>
        <v>24.34</v>
      </c>
      <c r="C247" s="1">
        <f t="shared" si="2"/>
        <v>0.31</v>
      </c>
      <c r="D247" s="1">
        <v>0</v>
      </c>
      <c r="E247" s="850"/>
      <c r="F247" s="850"/>
      <c r="G247" s="1">
        <f t="shared" ref="G247:G259" si="4">IFERROR(D247+(E247+F247),D247)</f>
        <v>0</v>
      </c>
      <c r="H247" s="1">
        <v>5.97</v>
      </c>
      <c r="I247" s="274">
        <f t="shared" si="3"/>
        <v>1.022</v>
      </c>
      <c r="J247" s="529">
        <f t="shared" ref="J247:J260" si="5">IFERROR(ROUND(H247*I247,1),"")</f>
        <v>6.1</v>
      </c>
      <c r="L247" s="457"/>
      <c r="M247" s="457"/>
      <c r="N247" s="457"/>
      <c r="O247" s="457"/>
      <c r="P247" s="457"/>
    </row>
    <row r="248" spans="1:16" x14ac:dyDescent="0.25">
      <c r="A248" s="374" t="str">
        <f t="shared" si="2"/>
        <v>2 DB (P)</v>
      </c>
      <c r="B248" s="1">
        <f t="shared" si="2"/>
        <v>24.58</v>
      </c>
      <c r="C248" s="1">
        <f t="shared" si="2"/>
        <v>0.3</v>
      </c>
      <c r="D248" s="1">
        <v>0.02</v>
      </c>
      <c r="E248" s="850"/>
      <c r="F248" s="850"/>
      <c r="G248" s="1">
        <f t="shared" si="4"/>
        <v>0.02</v>
      </c>
      <c r="H248" s="1">
        <v>16.13</v>
      </c>
      <c r="I248" s="274">
        <f t="shared" si="3"/>
        <v>1.022</v>
      </c>
      <c r="J248" s="529">
        <f t="shared" si="5"/>
        <v>16.5</v>
      </c>
      <c r="L248" s="457"/>
      <c r="M248" s="457"/>
      <c r="N248" s="457"/>
      <c r="O248" s="457"/>
      <c r="P248" s="457"/>
    </row>
    <row r="249" spans="1:16" x14ac:dyDescent="0.25">
      <c r="A249" s="374" t="str">
        <f t="shared" si="2"/>
        <v>2 DB (S)</v>
      </c>
      <c r="B249" s="1">
        <f t="shared" si="2"/>
        <v>24.59</v>
      </c>
      <c r="C249" s="1">
        <f t="shared" si="2"/>
        <v>0.31</v>
      </c>
      <c r="D249" s="1">
        <v>0</v>
      </c>
      <c r="E249" s="850"/>
      <c r="F249" s="850"/>
      <c r="G249" s="1">
        <f t="shared" si="4"/>
        <v>0</v>
      </c>
      <c r="H249" s="1">
        <v>7.52</v>
      </c>
      <c r="I249" s="274">
        <f t="shared" si="3"/>
        <v>1.022</v>
      </c>
      <c r="J249" s="529">
        <f t="shared" si="5"/>
        <v>7.7</v>
      </c>
      <c r="L249" s="457"/>
      <c r="M249" s="457"/>
      <c r="N249" s="457"/>
      <c r="O249" s="457"/>
      <c r="P249" s="457"/>
    </row>
    <row r="250" spans="1:16" x14ac:dyDescent="0.25">
      <c r="A250" s="374" t="str">
        <f t="shared" si="2"/>
        <v>3 DB (P)</v>
      </c>
      <c r="B250" s="1">
        <f t="shared" si="2"/>
        <v>24.48</v>
      </c>
      <c r="C250" s="1">
        <f t="shared" si="2"/>
        <v>0.31</v>
      </c>
      <c r="D250" s="1">
        <v>0.02</v>
      </c>
      <c r="E250" s="850"/>
      <c r="F250" s="850"/>
      <c r="G250" s="1">
        <f t="shared" si="4"/>
        <v>0.02</v>
      </c>
      <c r="H250" s="1">
        <v>14.35</v>
      </c>
      <c r="I250" s="274">
        <f t="shared" si="3"/>
        <v>1.022</v>
      </c>
      <c r="J250" s="529">
        <f t="shared" si="5"/>
        <v>14.7</v>
      </c>
      <c r="L250" s="457"/>
      <c r="M250" s="457"/>
      <c r="N250" s="457"/>
      <c r="O250" s="457"/>
      <c r="P250" s="457"/>
    </row>
    <row r="251" spans="1:16" x14ac:dyDescent="0.25">
      <c r="A251" s="374" t="str">
        <f t="shared" si="2"/>
        <v>3 DB (S)</v>
      </c>
      <c r="B251" s="1">
        <f t="shared" si="2"/>
        <v>24.37</v>
      </c>
      <c r="C251" s="1">
        <f t="shared" si="2"/>
        <v>0.28999999999999998</v>
      </c>
      <c r="D251" s="1">
        <v>0</v>
      </c>
      <c r="E251" s="850"/>
      <c r="F251" s="850"/>
      <c r="G251" s="1">
        <f t="shared" si="4"/>
        <v>0</v>
      </c>
      <c r="H251" s="1">
        <v>7.02</v>
      </c>
      <c r="I251" s="274">
        <f t="shared" si="3"/>
        <v>1.022</v>
      </c>
      <c r="J251" s="529">
        <f t="shared" si="5"/>
        <v>7.2</v>
      </c>
      <c r="L251" s="457"/>
      <c r="M251" s="457"/>
      <c r="N251" s="457"/>
      <c r="O251" s="457"/>
      <c r="P251" s="457"/>
    </row>
    <row r="252" spans="1:16" x14ac:dyDescent="0.25">
      <c r="A252" s="374" t="str">
        <f t="shared" si="2"/>
        <v>4 DB (P)</v>
      </c>
      <c r="B252" s="1">
        <f t="shared" si="2"/>
        <v>24.32</v>
      </c>
      <c r="C252" s="1">
        <f t="shared" si="2"/>
        <v>0.3</v>
      </c>
      <c r="D252" s="1">
        <v>0.02</v>
      </c>
      <c r="E252" s="850"/>
      <c r="F252" s="850"/>
      <c r="G252" s="1">
        <f t="shared" si="4"/>
        <v>0.02</v>
      </c>
      <c r="H252" s="1">
        <v>18.850000000000001</v>
      </c>
      <c r="I252" s="274">
        <f t="shared" si="3"/>
        <v>1.022</v>
      </c>
      <c r="J252" s="529">
        <f t="shared" si="5"/>
        <v>19.3</v>
      </c>
      <c r="L252" s="457"/>
      <c r="M252" s="457"/>
      <c r="N252" s="457"/>
      <c r="O252" s="457"/>
      <c r="P252" s="457"/>
    </row>
    <row r="253" spans="1:16" x14ac:dyDescent="0.25">
      <c r="A253" s="374" t="str">
        <f t="shared" si="2"/>
        <v>4 DB (S)</v>
      </c>
      <c r="B253" s="1">
        <f t="shared" si="2"/>
        <v>24.3</v>
      </c>
      <c r="C253" s="1">
        <f t="shared" si="2"/>
        <v>0.3</v>
      </c>
      <c r="D253" s="1">
        <v>0.05</v>
      </c>
      <c r="E253" s="850"/>
      <c r="F253" s="850"/>
      <c r="G253" s="1">
        <f t="shared" si="4"/>
        <v>0.05</v>
      </c>
      <c r="H253" s="1">
        <v>25.36</v>
      </c>
      <c r="I253" s="274">
        <f t="shared" si="3"/>
        <v>1.022</v>
      </c>
      <c r="J253" s="529">
        <f t="shared" si="5"/>
        <v>25.9</v>
      </c>
      <c r="L253" s="457"/>
      <c r="M253" s="457"/>
      <c r="N253" s="457"/>
      <c r="O253" s="457"/>
      <c r="P253" s="457"/>
    </row>
    <row r="254" spans="1:16" x14ac:dyDescent="0.25">
      <c r="A254" s="374" t="str">
        <f t="shared" si="2"/>
        <v>5 DB (P)</v>
      </c>
      <c r="B254" s="1">
        <f t="shared" si="2"/>
        <v>24.56</v>
      </c>
      <c r="C254" s="1">
        <f t="shared" si="2"/>
        <v>0.28999999999999998</v>
      </c>
      <c r="D254" s="1">
        <v>0.01</v>
      </c>
      <c r="E254" s="850"/>
      <c r="F254" s="850"/>
      <c r="G254" s="1">
        <f t="shared" si="4"/>
        <v>0.01</v>
      </c>
      <c r="H254" s="1">
        <v>11.22</v>
      </c>
      <c r="I254" s="274">
        <f t="shared" si="3"/>
        <v>1.022</v>
      </c>
      <c r="J254" s="529">
        <f t="shared" si="5"/>
        <v>11.5</v>
      </c>
      <c r="L254" s="457"/>
      <c r="M254" s="457"/>
      <c r="N254" s="457"/>
      <c r="O254" s="457"/>
      <c r="P254" s="457"/>
    </row>
    <row r="255" spans="1:16" x14ac:dyDescent="0.25">
      <c r="A255" s="374" t="str">
        <f t="shared" si="2"/>
        <v>5 DB (S)</v>
      </c>
      <c r="B255" s="1">
        <f t="shared" si="2"/>
        <v>24.58</v>
      </c>
      <c r="C255" s="1">
        <f t="shared" si="2"/>
        <v>0.28999999999999998</v>
      </c>
      <c r="D255" s="1">
        <v>0.03</v>
      </c>
      <c r="E255" s="850"/>
      <c r="F255" s="850"/>
      <c r="G255" s="1">
        <f t="shared" si="4"/>
        <v>0.03</v>
      </c>
      <c r="H255" s="1">
        <v>17.8</v>
      </c>
      <c r="I255" s="274">
        <f t="shared" si="3"/>
        <v>1.022</v>
      </c>
      <c r="J255" s="529">
        <f t="shared" si="5"/>
        <v>18.2</v>
      </c>
      <c r="L255" s="457"/>
      <c r="M255" s="457"/>
      <c r="N255" s="457"/>
      <c r="O255" s="457"/>
      <c r="P255" s="457"/>
    </row>
    <row r="256" spans="1:16" x14ac:dyDescent="0.25">
      <c r="A256" s="374" t="str">
        <f t="shared" si="2"/>
        <v>6 DB (P)</v>
      </c>
      <c r="B256" s="1">
        <f t="shared" si="2"/>
        <v>24.45</v>
      </c>
      <c r="C256" s="1">
        <f t="shared" si="2"/>
        <v>0.3</v>
      </c>
      <c r="D256" s="1">
        <v>0.01</v>
      </c>
      <c r="E256" s="850"/>
      <c r="F256" s="850"/>
      <c r="G256" s="1">
        <f t="shared" si="4"/>
        <v>0.01</v>
      </c>
      <c r="H256" s="1">
        <v>19.989999999999998</v>
      </c>
      <c r="I256" s="274">
        <f t="shared" si="3"/>
        <v>1.022</v>
      </c>
      <c r="J256" s="529">
        <f t="shared" si="5"/>
        <v>20.399999999999999</v>
      </c>
      <c r="L256" s="457"/>
      <c r="M256" s="457"/>
      <c r="N256" s="457"/>
      <c r="O256" s="457"/>
      <c r="P256" s="457"/>
    </row>
    <row r="257" spans="1:16" x14ac:dyDescent="0.25">
      <c r="A257" s="374" t="str">
        <f t="shared" si="2"/>
        <v>6 DB (S)</v>
      </c>
      <c r="B257" s="1">
        <f t="shared" si="2"/>
        <v>24.47</v>
      </c>
      <c r="C257" s="1">
        <f t="shared" si="2"/>
        <v>0.32</v>
      </c>
      <c r="D257" s="1">
        <v>0.03</v>
      </c>
      <c r="E257" s="850"/>
      <c r="F257" s="850"/>
      <c r="G257" s="1">
        <f t="shared" si="4"/>
        <v>0.03</v>
      </c>
      <c r="H257" s="1">
        <v>21.5</v>
      </c>
      <c r="I257" s="530">
        <f t="shared" si="3"/>
        <v>1.022</v>
      </c>
      <c r="J257" s="529">
        <f t="shared" si="5"/>
        <v>22</v>
      </c>
      <c r="L257" s="457"/>
      <c r="M257" s="457"/>
      <c r="N257" s="457"/>
      <c r="O257" s="457"/>
      <c r="P257" s="457"/>
    </row>
    <row r="258" spans="1:16" x14ac:dyDescent="0.25">
      <c r="A258" s="375" t="str">
        <f t="shared" si="2"/>
        <v>FWWTK (P)</v>
      </c>
      <c r="B258" s="1">
        <f t="shared" si="2"/>
        <v>24.45</v>
      </c>
      <c r="C258" s="1">
        <f t="shared" si="2"/>
        <v>0.33</v>
      </c>
      <c r="D258" s="1">
        <v>3.85</v>
      </c>
      <c r="E258" s="850"/>
      <c r="F258" s="850"/>
      <c r="G258" s="1">
        <f t="shared" si="4"/>
        <v>3.85</v>
      </c>
      <c r="H258" s="1">
        <v>39.58</v>
      </c>
      <c r="I258" s="530">
        <v>1</v>
      </c>
      <c r="J258" s="529">
        <f t="shared" si="5"/>
        <v>39.6</v>
      </c>
      <c r="L258" s="457"/>
      <c r="M258" s="457"/>
      <c r="N258" s="457"/>
      <c r="O258" s="457"/>
      <c r="P258" s="457"/>
    </row>
    <row r="259" spans="1:16" x14ac:dyDescent="0.25">
      <c r="A259" s="375" t="str">
        <f t="shared" si="2"/>
        <v>SLOP (S)</v>
      </c>
      <c r="B259" s="1">
        <f t="shared" si="2"/>
        <v>24.46</v>
      </c>
      <c r="C259" s="1">
        <f t="shared" si="2"/>
        <v>0.33</v>
      </c>
      <c r="D259" s="1">
        <v>0.57999999999999996</v>
      </c>
      <c r="E259" s="850"/>
      <c r="F259" s="850"/>
      <c r="G259" s="1">
        <f t="shared" si="4"/>
        <v>0.57999999999999996</v>
      </c>
      <c r="H259" s="1">
        <v>3.04</v>
      </c>
      <c r="I259" s="530">
        <v>1</v>
      </c>
      <c r="J259" s="529">
        <f t="shared" si="5"/>
        <v>3</v>
      </c>
      <c r="L259" s="457"/>
      <c r="M259" s="457"/>
      <c r="N259" s="457"/>
      <c r="O259" s="457"/>
      <c r="P259" s="457"/>
    </row>
    <row r="260" spans="1:16" x14ac:dyDescent="0.25">
      <c r="A260" s="376" t="str">
        <f>A238</f>
        <v>A.PK</v>
      </c>
      <c r="B260" s="2">
        <f>B238</f>
        <v>14.12</v>
      </c>
      <c r="C260" s="2">
        <f>C238</f>
        <v>0.34</v>
      </c>
      <c r="D260" s="1">
        <v>0.1</v>
      </c>
      <c r="E260" s="851"/>
      <c r="F260" s="851"/>
      <c r="G260" s="2">
        <f>IFERROR(D260+(E260+F260),D260)</f>
        <v>0.1</v>
      </c>
      <c r="H260" s="2">
        <v>0.1</v>
      </c>
      <c r="I260" s="531">
        <f>I238</f>
        <v>1.022</v>
      </c>
      <c r="J260" s="532">
        <f t="shared" si="5"/>
        <v>0.1</v>
      </c>
      <c r="L260" s="457"/>
      <c r="M260" s="457"/>
      <c r="N260" s="457"/>
      <c r="O260" s="457"/>
      <c r="P260" s="457"/>
    </row>
    <row r="261" spans="1:16" x14ac:dyDescent="0.25">
      <c r="A261" s="289" t="s">
        <v>24</v>
      </c>
      <c r="B261" s="290"/>
      <c r="C261" s="290"/>
      <c r="D261" s="290"/>
      <c r="E261" s="290"/>
      <c r="F261" s="290"/>
      <c r="G261" s="291"/>
      <c r="H261" s="533">
        <f>SUM($H$245:$H$260)</f>
        <v>215.8</v>
      </c>
      <c r="I261" s="534"/>
      <c r="J261" s="533">
        <f>SUM($J$245:$J$260)</f>
        <v>219.7</v>
      </c>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ht="15.75" x14ac:dyDescent="0.25">
      <c r="A265" s="381" t="s">
        <v>550</v>
      </c>
      <c r="L265" s="457"/>
      <c r="M265" s="457"/>
      <c r="N265" s="457"/>
      <c r="O265" s="457"/>
      <c r="P265" s="457"/>
    </row>
    <row r="266" spans="1:16" x14ac:dyDescent="0.25">
      <c r="A266" s="286" t="s">
        <v>0</v>
      </c>
      <c r="B266" s="286" t="s">
        <v>1</v>
      </c>
      <c r="C266" s="286" t="s">
        <v>2</v>
      </c>
      <c r="D266" s="286" t="s">
        <v>1</v>
      </c>
      <c r="E266" s="758" t="s">
        <v>576</v>
      </c>
      <c r="F266" s="758"/>
      <c r="G266" s="286" t="s">
        <v>3</v>
      </c>
      <c r="H266" s="286" t="s">
        <v>1</v>
      </c>
      <c r="I266" s="286" t="s">
        <v>1</v>
      </c>
      <c r="J266" s="286" t="s">
        <v>4</v>
      </c>
      <c r="L266" s="457"/>
      <c r="M266" s="457"/>
      <c r="N266" s="457"/>
      <c r="O266" s="457"/>
      <c r="P266" s="457"/>
    </row>
    <row r="267" spans="1:16" x14ac:dyDescent="0.25">
      <c r="A267" s="287" t="s">
        <v>718</v>
      </c>
      <c r="B267" s="413" t="s">
        <v>5</v>
      </c>
      <c r="C267" s="413" t="s">
        <v>6</v>
      </c>
      <c r="D267" s="287" t="s">
        <v>7</v>
      </c>
      <c r="E267" s="288" t="s">
        <v>8</v>
      </c>
      <c r="F267" s="288" t="s">
        <v>9</v>
      </c>
      <c r="G267" s="413" t="s">
        <v>7</v>
      </c>
      <c r="H267" s="287" t="s">
        <v>545</v>
      </c>
      <c r="I267" s="287" t="s">
        <v>10</v>
      </c>
      <c r="J267" s="413" t="s">
        <v>11</v>
      </c>
      <c r="L267" s="457"/>
      <c r="M267" s="457"/>
      <c r="N267" s="457"/>
      <c r="O267" s="457"/>
      <c r="P267" s="457"/>
    </row>
    <row r="268" spans="1:16" x14ac:dyDescent="0.25">
      <c r="A268" s="377" t="s">
        <v>552</v>
      </c>
      <c r="B268" s="852" t="s">
        <v>805</v>
      </c>
      <c r="C268" s="852"/>
      <c r="D268" s="852"/>
      <c r="E268" s="852"/>
      <c r="F268" s="852"/>
      <c r="G268" s="852"/>
      <c r="H268" s="526">
        <v>76</v>
      </c>
      <c r="I268" s="527">
        <v>1</v>
      </c>
      <c r="J268" s="529">
        <f t="shared" ref="J268:J270" si="6">IFERROR(ROUND(H268*I268,1),"")</f>
        <v>76</v>
      </c>
      <c r="L268" s="457"/>
      <c r="M268" s="457"/>
      <c r="N268" s="457"/>
      <c r="O268" s="457"/>
      <c r="P268" s="457"/>
    </row>
    <row r="269" spans="1:16" x14ac:dyDescent="0.25">
      <c r="A269" s="374" t="s">
        <v>553</v>
      </c>
      <c r="B269" s="853"/>
      <c r="C269" s="853"/>
      <c r="D269" s="853"/>
      <c r="E269" s="853"/>
      <c r="F269" s="853"/>
      <c r="G269" s="853"/>
      <c r="H269" s="1">
        <v>59</v>
      </c>
      <c r="I269" s="530">
        <v>1</v>
      </c>
      <c r="J269" s="529">
        <f t="shared" si="6"/>
        <v>59</v>
      </c>
      <c r="L269" s="457"/>
      <c r="M269" s="457"/>
      <c r="N269" s="457"/>
      <c r="O269" s="457"/>
      <c r="P269" s="457"/>
    </row>
    <row r="270" spans="1:16" x14ac:dyDescent="0.25">
      <c r="A270" s="374" t="s">
        <v>554</v>
      </c>
      <c r="B270" s="853"/>
      <c r="C270" s="853"/>
      <c r="D270" s="853"/>
      <c r="E270" s="853"/>
      <c r="F270" s="853"/>
      <c r="G270" s="853"/>
      <c r="H270" s="1">
        <v>65</v>
      </c>
      <c r="I270" s="530">
        <v>1</v>
      </c>
      <c r="J270" s="529">
        <f t="shared" si="6"/>
        <v>65</v>
      </c>
      <c r="L270" s="457"/>
      <c r="M270" s="457"/>
      <c r="N270" s="457"/>
      <c r="O270" s="457"/>
      <c r="P270" s="457"/>
    </row>
    <row r="271" spans="1:16" x14ac:dyDescent="0.25">
      <c r="A271" s="382" t="s">
        <v>24</v>
      </c>
      <c r="B271" s="291"/>
      <c r="C271" s="291"/>
      <c r="D271" s="291"/>
      <c r="E271" s="291"/>
      <c r="F271" s="291"/>
      <c r="G271" s="291"/>
      <c r="H271" s="535">
        <f>SUM($H$268:$H$270)</f>
        <v>200</v>
      </c>
      <c r="I271" s="536"/>
      <c r="J271" s="535">
        <f>SUM($J$268:$J$270)</f>
        <v>200</v>
      </c>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ht="15.75" x14ac:dyDescent="0.25">
      <c r="A274" s="3" t="s">
        <v>551</v>
      </c>
      <c r="L274" s="457"/>
      <c r="M274" s="457"/>
      <c r="N274" s="457"/>
      <c r="O274" s="457"/>
      <c r="P274" s="457"/>
    </row>
    <row r="275" spans="1:16" x14ac:dyDescent="0.25">
      <c r="A275" s="286" t="s">
        <v>0</v>
      </c>
      <c r="B275" s="286" t="s">
        <v>1</v>
      </c>
      <c r="C275" s="286" t="s">
        <v>2</v>
      </c>
      <c r="D275" s="286" t="s">
        <v>1</v>
      </c>
      <c r="E275" s="758" t="s">
        <v>576</v>
      </c>
      <c r="F275" s="758"/>
      <c r="G275" s="286" t="s">
        <v>3</v>
      </c>
      <c r="H275" s="286" t="s">
        <v>1</v>
      </c>
      <c r="I275" s="286" t="s">
        <v>1</v>
      </c>
      <c r="J275" s="286" t="s">
        <v>4</v>
      </c>
      <c r="L275" s="457"/>
      <c r="M275" s="457"/>
      <c r="N275" s="457"/>
      <c r="O275" s="457"/>
      <c r="P275" s="457"/>
    </row>
    <row r="276" spans="1:16" x14ac:dyDescent="0.25">
      <c r="A276" s="287" t="s">
        <v>718</v>
      </c>
      <c r="B276" s="287" t="s">
        <v>5</v>
      </c>
      <c r="C276" s="287" t="s">
        <v>6</v>
      </c>
      <c r="D276" s="287" t="s">
        <v>7</v>
      </c>
      <c r="E276" s="288" t="s">
        <v>8</v>
      </c>
      <c r="F276" s="288" t="s">
        <v>9</v>
      </c>
      <c r="G276" s="413" t="s">
        <v>7</v>
      </c>
      <c r="H276" s="287" t="s">
        <v>545</v>
      </c>
      <c r="I276" s="287" t="s">
        <v>10</v>
      </c>
      <c r="J276" s="413" t="s">
        <v>11</v>
      </c>
      <c r="L276" s="457"/>
      <c r="M276" s="457"/>
      <c r="N276" s="457"/>
      <c r="O276" s="457"/>
      <c r="P276" s="457"/>
    </row>
    <row r="277" spans="1:16" x14ac:dyDescent="0.25">
      <c r="A277" s="377" t="s">
        <v>552</v>
      </c>
      <c r="B277" s="852" t="s">
        <v>805</v>
      </c>
      <c r="C277" s="852"/>
      <c r="D277" s="852"/>
      <c r="E277" s="852"/>
      <c r="F277" s="852"/>
      <c r="G277" s="852"/>
      <c r="H277" s="526">
        <v>60</v>
      </c>
      <c r="I277" s="527">
        <v>1</v>
      </c>
      <c r="J277" s="529">
        <f t="shared" ref="J277:J279" si="7">IFERROR(ROUND(H277*I277,1),"")</f>
        <v>60</v>
      </c>
      <c r="L277" s="457"/>
      <c r="M277" s="457"/>
      <c r="N277" s="457"/>
      <c r="O277" s="457"/>
      <c r="P277" s="457"/>
    </row>
    <row r="278" spans="1:16" x14ac:dyDescent="0.25">
      <c r="A278" s="374" t="s">
        <v>553</v>
      </c>
      <c r="B278" s="853"/>
      <c r="C278" s="853"/>
      <c r="D278" s="853"/>
      <c r="E278" s="853"/>
      <c r="F278" s="853"/>
      <c r="G278" s="853"/>
      <c r="H278" s="1">
        <v>55</v>
      </c>
      <c r="I278" s="530">
        <v>1</v>
      </c>
      <c r="J278" s="529">
        <f t="shared" si="7"/>
        <v>55</v>
      </c>
      <c r="L278" s="457"/>
      <c r="M278" s="457"/>
      <c r="N278" s="457"/>
      <c r="O278" s="457"/>
      <c r="P278" s="457"/>
    </row>
    <row r="279" spans="1:16" x14ac:dyDescent="0.25">
      <c r="A279" s="374" t="s">
        <v>554</v>
      </c>
      <c r="B279" s="853"/>
      <c r="C279" s="853"/>
      <c r="D279" s="853"/>
      <c r="E279" s="853"/>
      <c r="F279" s="853"/>
      <c r="G279" s="853"/>
      <c r="H279" s="1">
        <v>65</v>
      </c>
      <c r="I279" s="530">
        <v>1</v>
      </c>
      <c r="J279" s="529">
        <f t="shared" si="7"/>
        <v>65</v>
      </c>
      <c r="L279" s="457"/>
      <c r="M279" s="457"/>
      <c r="N279" s="457"/>
      <c r="O279" s="457"/>
      <c r="P279" s="457"/>
    </row>
    <row r="280" spans="1:16" x14ac:dyDescent="0.25">
      <c r="A280" s="382" t="s">
        <v>24</v>
      </c>
      <c r="B280" s="291"/>
      <c r="C280" s="291"/>
      <c r="D280" s="291"/>
      <c r="E280" s="291"/>
      <c r="F280" s="291"/>
      <c r="G280" s="291"/>
      <c r="H280" s="535">
        <f>SUM($H$277:$H$279)</f>
        <v>180</v>
      </c>
      <c r="I280" s="536"/>
      <c r="J280" s="535">
        <f>SUM($J$277:$J$279)</f>
        <v>180</v>
      </c>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ht="15.75" x14ac:dyDescent="0.25">
      <c r="A283" s="381" t="s">
        <v>700</v>
      </c>
      <c r="B283" s="7"/>
      <c r="C283" s="7"/>
      <c r="D283" s="7"/>
      <c r="E283" s="7"/>
      <c r="F283" s="7"/>
      <c r="G283" s="7"/>
      <c r="H283" s="7"/>
      <c r="I283" s="7"/>
      <c r="J283" s="7"/>
      <c r="L283" s="457"/>
      <c r="M283" s="457"/>
      <c r="N283" s="457"/>
      <c r="O283" s="457"/>
      <c r="P283" s="457"/>
    </row>
    <row r="284" spans="1:16" x14ac:dyDescent="0.25">
      <c r="A284" s="384"/>
      <c r="B284" s="8"/>
      <c r="C284" s="8"/>
      <c r="D284" s="389"/>
      <c r="E284" s="8"/>
      <c r="F284" s="836" t="s">
        <v>556</v>
      </c>
      <c r="G284" s="836"/>
      <c r="H284" s="385"/>
      <c r="I284" s="837" t="s">
        <v>557</v>
      </c>
      <c r="J284" s="838"/>
      <c r="L284" s="457"/>
      <c r="M284" s="457"/>
      <c r="N284" s="457"/>
      <c r="O284" s="457"/>
      <c r="P284" s="457"/>
    </row>
    <row r="285" spans="1:16" ht="15.75" x14ac:dyDescent="0.25">
      <c r="A285" s="390" t="s">
        <v>558</v>
      </c>
      <c r="B285" s="391"/>
      <c r="C285" s="391"/>
      <c r="D285" s="420"/>
      <c r="E285" s="391"/>
      <c r="F285" s="834">
        <f>Draft!$H$65</f>
        <v>733.77</v>
      </c>
      <c r="G285" s="834"/>
      <c r="H285" s="407"/>
      <c r="I285" s="834">
        <f>Draft!$Z$65</f>
        <v>1071.3</v>
      </c>
      <c r="J285" s="835"/>
      <c r="L285" s="457"/>
      <c r="M285" s="457"/>
      <c r="N285" s="457"/>
      <c r="O285" s="457"/>
      <c r="P285" s="457"/>
    </row>
    <row r="286" spans="1:16" ht="15.75" x14ac:dyDescent="0.25">
      <c r="A286" s="386" t="s">
        <v>559</v>
      </c>
      <c r="D286" s="421"/>
      <c r="F286" s="819">
        <f>Draft!$H$66</f>
        <v>157.51</v>
      </c>
      <c r="G286" s="819"/>
      <c r="H286" s="408"/>
      <c r="I286" s="819">
        <f>Draft!$Z$66</f>
        <v>157.11000000000001</v>
      </c>
      <c r="J286" s="820"/>
      <c r="L286" s="457"/>
      <c r="M286" s="457"/>
      <c r="N286" s="457"/>
      <c r="O286" s="457"/>
      <c r="P286" s="457"/>
    </row>
    <row r="287" spans="1:16" ht="15.75" x14ac:dyDescent="0.25">
      <c r="A287" s="386" t="s">
        <v>560</v>
      </c>
      <c r="D287" s="421"/>
      <c r="F287" s="819" t="str">
        <f>Draft!$H$67</f>
        <v>k</v>
      </c>
      <c r="G287" s="819"/>
      <c r="H287" s="408"/>
      <c r="I287" s="819" t="str">
        <f>Draft!$Z$67</f>
        <v>K</v>
      </c>
      <c r="J287" s="820"/>
      <c r="L287" s="457"/>
      <c r="M287" s="457"/>
      <c r="N287" s="457"/>
      <c r="O287" s="457"/>
      <c r="P287" s="457"/>
    </row>
    <row r="288" spans="1:16" ht="15.75" x14ac:dyDescent="0.25">
      <c r="A288" s="386" t="s">
        <v>561</v>
      </c>
      <c r="D288" s="421"/>
      <c r="F288" s="819">
        <f>$J$271</f>
        <v>200</v>
      </c>
      <c r="G288" s="819"/>
      <c r="H288" s="408"/>
      <c r="I288" s="819">
        <f>$J$280</f>
        <v>180</v>
      </c>
      <c r="J288" s="820"/>
      <c r="L288" s="457"/>
      <c r="M288" s="457"/>
      <c r="N288" s="457"/>
      <c r="O288" s="457"/>
      <c r="P288" s="457"/>
    </row>
    <row r="289" spans="1:16" ht="15.75" x14ac:dyDescent="0.25">
      <c r="A289" s="386" t="s">
        <v>562</v>
      </c>
      <c r="D289" s="421"/>
      <c r="F289" s="819">
        <f>$J$239</f>
        <v>32395.500000000004</v>
      </c>
      <c r="G289" s="819"/>
      <c r="H289" s="408"/>
      <c r="I289" s="819">
        <f>$J$261</f>
        <v>219.7</v>
      </c>
      <c r="J289" s="820"/>
      <c r="L289" s="457"/>
      <c r="M289" s="457"/>
      <c r="N289" s="457"/>
      <c r="O289" s="457"/>
      <c r="P289" s="457"/>
    </row>
    <row r="290" spans="1:16" ht="15.75" x14ac:dyDescent="0.25">
      <c r="A290" s="392" t="s">
        <v>563</v>
      </c>
      <c r="B290" s="393"/>
      <c r="C290" s="393"/>
      <c r="D290" s="422"/>
      <c r="E290" s="393"/>
      <c r="F290" s="821">
        <f>Draft!$H$71</f>
        <v>0</v>
      </c>
      <c r="G290" s="821"/>
      <c r="H290" s="409"/>
      <c r="I290" s="821">
        <f>Draft!$Z$71</f>
        <v>20</v>
      </c>
      <c r="J290" s="822"/>
      <c r="L290" s="457"/>
      <c r="M290" s="457"/>
      <c r="N290" s="457"/>
      <c r="O290" s="457"/>
      <c r="P290" s="457"/>
    </row>
    <row r="291" spans="1:16" ht="15.75" x14ac:dyDescent="0.25">
      <c r="A291" s="387" t="s">
        <v>24</v>
      </c>
      <c r="B291" s="8"/>
      <c r="C291" s="8"/>
      <c r="D291" s="388"/>
      <c r="E291" s="8"/>
      <c r="F291" s="818">
        <f>SUM($F$285:$G$290)</f>
        <v>33486.780000000006</v>
      </c>
      <c r="G291" s="818"/>
      <c r="H291" s="410"/>
      <c r="I291" s="821">
        <f>SUM($I$285:$J$290)</f>
        <v>1648.11</v>
      </c>
      <c r="J291" s="821"/>
      <c r="L291" s="457"/>
      <c r="M291" s="457"/>
      <c r="N291" s="457"/>
      <c r="O291" s="457"/>
      <c r="P291" s="457"/>
    </row>
    <row r="292" spans="1:16" x14ac:dyDescent="0.25">
      <c r="L292" s="457"/>
      <c r="M292" s="457"/>
      <c r="N292" s="457"/>
      <c r="O292" s="457"/>
      <c r="P292" s="457"/>
    </row>
  </sheetData>
  <mergeCells count="170">
    <mergeCell ref="G181:H181"/>
    <mergeCell ref="G182:H182"/>
    <mergeCell ref="E90:J90"/>
    <mergeCell ref="E91:J91"/>
    <mergeCell ref="F70:J70"/>
    <mergeCell ref="E85:F85"/>
    <mergeCell ref="E77:F77"/>
    <mergeCell ref="E73:J73"/>
    <mergeCell ref="E74:F74"/>
    <mergeCell ref="E75:G75"/>
    <mergeCell ref="E76:J76"/>
    <mergeCell ref="E86:J86"/>
    <mergeCell ref="G177:H177"/>
    <mergeCell ref="G178:H178"/>
    <mergeCell ref="G179:H179"/>
    <mergeCell ref="I177:J177"/>
    <mergeCell ref="I178:J178"/>
    <mergeCell ref="I179:J179"/>
    <mergeCell ref="I180:J180"/>
    <mergeCell ref="I181:J181"/>
    <mergeCell ref="G180:H180"/>
    <mergeCell ref="G173:H173"/>
    <mergeCell ref="G183:H183"/>
    <mergeCell ref="G184:H184"/>
    <mergeCell ref="G185:H185"/>
    <mergeCell ref="E243:F243"/>
    <mergeCell ref="E266:F266"/>
    <mergeCell ref="E275:F275"/>
    <mergeCell ref="I285:J285"/>
    <mergeCell ref="F284:G284"/>
    <mergeCell ref="I284:J284"/>
    <mergeCell ref="F285:G285"/>
    <mergeCell ref="A207:F207"/>
    <mergeCell ref="I209:J209"/>
    <mergeCell ref="I210:J210"/>
    <mergeCell ref="I211:J211"/>
    <mergeCell ref="G211:H211"/>
    <mergeCell ref="E222:F238"/>
    <mergeCell ref="E245:F260"/>
    <mergeCell ref="B268:G270"/>
    <mergeCell ref="B277:G279"/>
    <mergeCell ref="G199:H199"/>
    <mergeCell ref="I199:J199"/>
    <mergeCell ref="A164:B164"/>
    <mergeCell ref="G164:H164"/>
    <mergeCell ref="I164:J164"/>
    <mergeCell ref="I176:J176"/>
    <mergeCell ref="G171:H171"/>
    <mergeCell ref="F291:G291"/>
    <mergeCell ref="I286:J286"/>
    <mergeCell ref="I287:J287"/>
    <mergeCell ref="I288:J288"/>
    <mergeCell ref="I289:J289"/>
    <mergeCell ref="I290:J290"/>
    <mergeCell ref="I291:J291"/>
    <mergeCell ref="F286:G286"/>
    <mergeCell ref="F287:G287"/>
    <mergeCell ref="F288:G288"/>
    <mergeCell ref="F289:G289"/>
    <mergeCell ref="F290:G290"/>
    <mergeCell ref="G197:H197"/>
    <mergeCell ref="I182:J182"/>
    <mergeCell ref="I183:J183"/>
    <mergeCell ref="I184:J184"/>
    <mergeCell ref="I185:J185"/>
    <mergeCell ref="G191:H191"/>
    <mergeCell ref="I191:J191"/>
    <mergeCell ref="D102:E102"/>
    <mergeCell ref="F102:I102"/>
    <mergeCell ref="F103:I103"/>
    <mergeCell ref="H157:I157"/>
    <mergeCell ref="H158:I158"/>
    <mergeCell ref="G174:H174"/>
    <mergeCell ref="G175:H175"/>
    <mergeCell ref="G176:H176"/>
    <mergeCell ref="A161:F163"/>
    <mergeCell ref="G161:H161"/>
    <mergeCell ref="I161:J161"/>
    <mergeCell ref="G163:H163"/>
    <mergeCell ref="I163:J163"/>
    <mergeCell ref="E164:F164"/>
    <mergeCell ref="I174:J174"/>
    <mergeCell ref="I175:J175"/>
    <mergeCell ref="G165:H165"/>
    <mergeCell ref="I165:J165"/>
    <mergeCell ref="I169:J169"/>
    <mergeCell ref="I170:J170"/>
    <mergeCell ref="I171:J171"/>
    <mergeCell ref="I172:J172"/>
    <mergeCell ref="I173:J173"/>
    <mergeCell ref="C164:D164"/>
    <mergeCell ref="G119:H119"/>
    <mergeCell ref="E136:J136"/>
    <mergeCell ref="I117:J117"/>
    <mergeCell ref="I118:J118"/>
    <mergeCell ref="I119:J119"/>
    <mergeCell ref="I120:J120"/>
    <mergeCell ref="I121:J121"/>
    <mergeCell ref="G172:H172"/>
    <mergeCell ref="G117:H117"/>
    <mergeCell ref="G168:H168"/>
    <mergeCell ref="I168:J168"/>
    <mergeCell ref="G162:H162"/>
    <mergeCell ref="I162:J162"/>
    <mergeCell ref="G166:H166"/>
    <mergeCell ref="I166:J16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B103:C103"/>
    <mergeCell ref="I116:J116"/>
    <mergeCell ref="G116:H116"/>
    <mergeCell ref="G120:H120"/>
    <mergeCell ref="G121:H121"/>
    <mergeCell ref="E220:F220"/>
    <mergeCell ref="A1:J1"/>
    <mergeCell ref="G160:H160"/>
    <mergeCell ref="I160:J160"/>
    <mergeCell ref="H155:I155"/>
    <mergeCell ref="H156:I156"/>
    <mergeCell ref="H153:I153"/>
    <mergeCell ref="F99:I99"/>
    <mergeCell ref="A36:J36"/>
    <mergeCell ref="A34:J34"/>
    <mergeCell ref="A35:J35"/>
    <mergeCell ref="G3:I3"/>
    <mergeCell ref="G192:H192"/>
    <mergeCell ref="G193:H193"/>
    <mergeCell ref="G194:H194"/>
    <mergeCell ref="G195:H195"/>
    <mergeCell ref="G196:H196"/>
    <mergeCell ref="B95:C95"/>
    <mergeCell ref="B96:C96"/>
    <mergeCell ref="A38:J39"/>
    <mergeCell ref="A40:J40"/>
    <mergeCell ref="A41:J41"/>
    <mergeCell ref="F95:I95"/>
    <mergeCell ref="E82:J82"/>
    <mergeCell ref="E83:J83"/>
    <mergeCell ref="E84:J84"/>
    <mergeCell ref="I203:J203"/>
    <mergeCell ref="G198:H198"/>
    <mergeCell ref="I196:J196"/>
    <mergeCell ref="I192:J192"/>
    <mergeCell ref="I193:J193"/>
    <mergeCell ref="I194:J194"/>
    <mergeCell ref="I195:J195"/>
    <mergeCell ref="I197:J197"/>
    <mergeCell ref="I198:J198"/>
    <mergeCell ref="I202:J202"/>
    <mergeCell ref="G202:H202"/>
    <mergeCell ref="G200:H200"/>
    <mergeCell ref="G201:H201"/>
    <mergeCell ref="G169:H169"/>
    <mergeCell ref="G170:H170"/>
    <mergeCell ref="G118:H118"/>
    <mergeCell ref="B102:C102"/>
  </mergeCells>
  <conditionalFormatting sqref="B97">
    <cfRule type="cellIs" dxfId="68" priority="34" operator="equal">
      <formula>0</formula>
    </cfRule>
  </conditionalFormatting>
  <conditionalFormatting sqref="F97">
    <cfRule type="cellIs" dxfId="67" priority="32" operator="equal">
      <formula>0</formula>
    </cfRule>
  </conditionalFormatting>
  <conditionalFormatting sqref="F98:F102">
    <cfRule type="cellIs" dxfId="66" priority="30" operator="equal">
      <formula>0</formula>
    </cfRule>
  </conditionalFormatting>
  <conditionalFormatting sqref="B98:B102">
    <cfRule type="cellIs" dxfId="65" priority="27" operator="equal">
      <formula>0</formula>
    </cfRule>
  </conditionalFormatting>
  <conditionalFormatting sqref="D97">
    <cfRule type="cellIs" dxfId="64" priority="29" operator="equal">
      <formula>0</formula>
    </cfRule>
  </conditionalFormatting>
  <conditionalFormatting sqref="D98:D102">
    <cfRule type="cellIs" dxfId="63" priority="28" operator="equal">
      <formula>0</formula>
    </cfRule>
  </conditionalFormatting>
  <conditionalFormatting sqref="G216:I216">
    <cfRule type="expression" dxfId="62" priority="15">
      <formula>$G$216=0</formula>
    </cfRule>
  </conditionalFormatting>
  <conditionalFormatting sqref="H158:I158">
    <cfRule type="cellIs" dxfId="61" priority="12" operator="equal">
      <formula>0</formula>
    </cfRule>
  </conditionalFormatting>
  <conditionalFormatting sqref="J158">
    <cfRule type="expression" dxfId="60" priority="10">
      <formula>$D$158=""</formula>
    </cfRule>
  </conditionalFormatting>
  <conditionalFormatting sqref="H219">
    <cfRule type="cellIs" dxfId="59" priority="6" operator="equal">
      <formula>0</formula>
    </cfRule>
  </conditionalFormatting>
  <conditionalFormatting sqref="H242">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&amp;RPGUA/DS/090/26</oddHeader>
    <oddFooter>&amp;C&amp;P</oddFooter>
  </headerFooter>
  <rowBreaks count="6" manualBreakCount="6">
    <brk id="33" max="9" man="1"/>
    <brk id="70" max="9" man="1"/>
    <brk id="113" max="9" man="1"/>
    <brk id="158" max="9" man="1"/>
    <brk id="216" max="9" man="1"/>
    <brk id="26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G169:H185 G187:H189 G202 H205:H207 G160:G166 G192:H198</xm:sqref>
        </x14:conditionalFormatting>
        <x14:conditionalFormatting xmlns:xm="http://schemas.microsoft.com/office/excel/2006/main">
          <x14:cfRule type="expression" priority="3" id="{9812FFDA-1BB7-4138-B278-76AE458E9AC1}">
            <xm:f>Draft!$H$84="SIM"</xm:f>
            <x14:dxf>
              <font>
                <color theme="0"/>
              </font>
            </x14:dxf>
          </x14:cfRule>
          <xm:sqref>G191:H198</xm:sqref>
        </x14:conditionalFormatting>
        <x14:conditionalFormatting xmlns:xm="http://schemas.microsoft.com/office/excel/2006/main">
          <x14:cfRule type="expression" priority="2" id="{991F06B3-7661-425C-8A84-EF499B5BFF2F}">
            <xm:f>Draft!$H$84="SIM"</xm:f>
            <x14:dxf>
              <font>
                <color theme="0"/>
              </font>
            </x14:dxf>
          </x14:cfRule>
          <xm:sqref>I164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17"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9" t="str">
        <f>_xlfn.CONCAT("MV"," """,CAPA!B8,""" ")</f>
        <v xml:space="preserve">MV "SDM QUANZHOU" </v>
      </c>
      <c r="B1" s="759"/>
      <c r="C1" s="759"/>
      <c r="D1" s="759"/>
      <c r="E1" s="759"/>
      <c r="F1" s="759"/>
      <c r="G1" s="759"/>
      <c r="H1" s="759"/>
      <c r="I1" s="759"/>
      <c r="J1" s="75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7" t="str">
        <f>_xlfn.CONCAT(CAPA!A5,CAPA!B5)</f>
        <v>PGUA/DS/090/26</v>
      </c>
      <c r="H3" s="767"/>
      <c r="I3" s="76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701</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703</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707</v>
      </c>
      <c r="B14" s="259"/>
      <c r="C14" s="259"/>
      <c r="D14" s="259"/>
      <c r="E14" s="259"/>
      <c r="F14" s="259"/>
      <c r="G14" s="259"/>
      <c r="H14" s="261"/>
      <c r="I14" s="261" t="s">
        <v>32</v>
      </c>
    </row>
    <row r="15" spans="1:10" ht="19.5" x14ac:dyDescent="0.4">
      <c r="A15" s="260" t="s">
        <v>708</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699</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580</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66" t="str">
        <f>$A$1</f>
        <v xml:space="preserve">MV "SDM QUANZHOU" </v>
      </c>
      <c r="B34" s="766"/>
      <c r="C34" s="766"/>
      <c r="D34" s="766"/>
      <c r="E34" s="766"/>
      <c r="F34" s="766"/>
      <c r="G34" s="766"/>
      <c r="H34" s="766"/>
      <c r="I34" s="766"/>
      <c r="J34" s="766"/>
      <c r="L34" s="461"/>
      <c r="M34" s="461"/>
      <c r="N34" s="461"/>
      <c r="O34" s="461"/>
      <c r="P34" s="461"/>
    </row>
    <row r="35" spans="1:16" ht="15.75" x14ac:dyDescent="0.25">
      <c r="A35" s="727" t="str">
        <f>$G$3</f>
        <v>PGUA/DS/090/26</v>
      </c>
      <c r="B35" s="727"/>
      <c r="C35" s="727"/>
      <c r="D35" s="727"/>
      <c r="E35" s="727"/>
      <c r="F35" s="727"/>
      <c r="G35" s="727"/>
      <c r="H35" s="727"/>
      <c r="I35" s="727"/>
      <c r="J35" s="727"/>
      <c r="L35" s="461"/>
      <c r="M35" s="461"/>
      <c r="N35" s="461"/>
      <c r="O35" s="461"/>
      <c r="P35" s="461"/>
    </row>
    <row r="36" spans="1:16" ht="15.75" x14ac:dyDescent="0.25">
      <c r="A36" s="727" t="str">
        <f>A3</f>
        <v>DRAUGHT SURVEY REPORT</v>
      </c>
      <c r="B36" s="727"/>
      <c r="C36" s="727"/>
      <c r="D36" s="727"/>
      <c r="E36" s="727"/>
      <c r="F36" s="727"/>
      <c r="G36" s="727"/>
      <c r="H36" s="727"/>
      <c r="I36" s="727"/>
      <c r="J36" s="727"/>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4" t="s">
        <v>49</v>
      </c>
      <c r="B38" s="724"/>
      <c r="C38" s="724"/>
      <c r="D38" s="724"/>
      <c r="E38" s="724"/>
      <c r="F38" s="724"/>
      <c r="G38" s="724"/>
      <c r="H38" s="724"/>
      <c r="I38" s="724"/>
      <c r="J38" s="724"/>
      <c r="L38" s="461"/>
      <c r="M38" s="461"/>
      <c r="N38" s="461"/>
      <c r="O38" s="461"/>
      <c r="P38" s="461"/>
    </row>
    <row r="39" spans="1:16" ht="15" customHeight="1" x14ac:dyDescent="0.25">
      <c r="A39" s="724"/>
      <c r="B39" s="724"/>
      <c r="C39" s="724"/>
      <c r="D39" s="724"/>
      <c r="E39" s="724"/>
      <c r="F39" s="724"/>
      <c r="G39" s="724"/>
      <c r="H39" s="724"/>
      <c r="I39" s="724"/>
      <c r="J39" s="724"/>
      <c r="L39" s="461"/>
      <c r="M39" s="461"/>
      <c r="N39" s="461"/>
      <c r="O39" s="461"/>
      <c r="P39" s="461"/>
    </row>
    <row r="40" spans="1:16" ht="31.5" x14ac:dyDescent="0.25">
      <c r="A40" s="724" t="str">
        <f>_xlfn.CONCAT(CAPA!$E$46:$E$55,".")</f>
        <v>Messrs. Interalli Administração e Participações S.A.,  Messrs. Rocha Terminais Portuários e Logística Messrs. BTG Pactual Commodities Sertranding S.A.; .</v>
      </c>
      <c r="B40" s="724"/>
      <c r="C40" s="724"/>
      <c r="D40" s="724"/>
      <c r="E40" s="724"/>
      <c r="F40" s="724"/>
      <c r="G40" s="724"/>
      <c r="H40" s="724"/>
      <c r="I40" s="724"/>
      <c r="J40" s="724"/>
      <c r="L40" s="626" t="str">
        <f>_xlfn.CONCAT(CAPA!$E$46:$E$55,".")</f>
        <v>Messrs. Interalli Administração e Participações S.A.,  Messrs. Rocha Terminais Portuários e Logística Messrs. BTG Pactual Commodities Sertranding S.A.; .</v>
      </c>
      <c r="M40" s="461"/>
      <c r="N40" s="461"/>
      <c r="O40" s="461"/>
      <c r="P40" s="461"/>
    </row>
    <row r="41" spans="1:16" ht="60" x14ac:dyDescent="0.25">
      <c r="A41" s="726" t="str">
        <f>$L$41</f>
        <v>Attend on board the referenced vessel on  March 21st, 2026 from 16:15 until 19:20 hours, whilst she was anchored at inner roads area 9.2, and on  March 25th, 2026 from 6:30 until 8:30 hours, whilst she was berthed alongside wharf 214 at port of Paranaguá, Br - Brazil, with views to perform the initial and final draft surveys, ascertaining the following figures:</v>
      </c>
      <c r="B41" s="726"/>
      <c r="C41" s="726"/>
      <c r="D41" s="726"/>
      <c r="E41" s="726"/>
      <c r="F41" s="726"/>
      <c r="G41" s="726"/>
      <c r="H41" s="726"/>
      <c r="I41" s="726"/>
      <c r="J41" s="726"/>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21st, 2026 from 16:15 until 19:20 hours, whilst she was anchored at inner roads area 9.2, and on  March 25th, 2026 from 6:30 until 8:30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701</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"SDM QUANZHOU" </v>
      </c>
      <c r="B48" s="13"/>
      <c r="C48" s="13"/>
      <c r="D48" s="13"/>
      <c r="E48" s="13"/>
      <c r="F48" s="14" t="str">
        <f>_xlfn.CONCAT("Mr. ",CAPA!$B$30,", ",$L$48)</f>
        <v>Mr. Chengquan Li, the Master</v>
      </c>
      <c r="H48" s="14"/>
      <c r="I48" s="14"/>
      <c r="J48" s="13"/>
      <c r="K48" s="13"/>
      <c r="L48" s="462" t="s">
        <v>564</v>
      </c>
      <c r="M48" s="462"/>
      <c r="N48" s="461"/>
      <c r="O48" s="461"/>
      <c r="P48" s="461"/>
    </row>
    <row r="49" spans="1:16" ht="15.75" x14ac:dyDescent="0.25">
      <c r="A49" s="13"/>
      <c r="B49" s="13"/>
      <c r="C49" s="13"/>
      <c r="D49" s="13"/>
      <c r="E49" s="13"/>
      <c r="F49" s="14" t="str">
        <f>_xlfn.CONCAT("Mr. ",CAPA!$B$31,", ",$L$49)</f>
        <v>Mr. Zicheng Zhao, the Chief Officer</v>
      </c>
      <c r="H49" s="13"/>
      <c r="I49" s="13"/>
      <c r="J49" s="13"/>
      <c r="K49" s="13"/>
      <c r="L49" s="462" t="s">
        <v>565</v>
      </c>
      <c r="M49" s="462"/>
      <c r="N49" s="461"/>
      <c r="O49" s="461"/>
      <c r="P49" s="461"/>
    </row>
    <row r="50" spans="1:16" ht="15.75" x14ac:dyDescent="0.25">
      <c r="A50" s="13"/>
      <c r="B50" s="13"/>
      <c r="C50" s="13"/>
      <c r="D50" s="13"/>
      <c r="E50" s="13"/>
      <c r="F50" s="14" t="str">
        <f>_xlfn.CONCAT("Mr. ",CAPA!$B$32,", ",$L$50)</f>
        <v>Mr. Lianpeng Tai, the Chief Engineer</v>
      </c>
      <c r="H50" s="13"/>
      <c r="I50" s="13"/>
      <c r="J50" s="13"/>
      <c r="K50" s="13"/>
      <c r="L50" s="463" t="s">
        <v>566</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BRAZILIAN PORT AGENTS</v>
      </c>
      <c r="B53" s="6"/>
      <c r="C53" s="6"/>
      <c r="D53" s="6"/>
      <c r="E53" s="6"/>
      <c r="F53" s="442" t="str">
        <f>Clients!$D$50</f>
        <v>Mr. Eduardo da Silva marques</v>
      </c>
      <c r="H53" s="13"/>
      <c r="I53" s="13"/>
      <c r="J53" s="13"/>
      <c r="K53" s="13"/>
      <c r="L53" s="463"/>
      <c r="M53" s="463"/>
      <c r="N53" s="461"/>
      <c r="O53" s="461"/>
      <c r="P53" s="461"/>
    </row>
    <row r="54" spans="1:16" ht="15.75" x14ac:dyDescent="0.25">
      <c r="A54" s="6" t="s">
        <v>52</v>
      </c>
      <c r="B54" s="6"/>
      <c r="C54" s="6"/>
      <c r="D54" s="6"/>
      <c r="E54" s="6"/>
      <c r="F54" s="442" t="str">
        <f>Clients!$D$51</f>
        <v>Mr. Vitor Mendes belo</v>
      </c>
      <c r="H54" s="13"/>
      <c r="I54" s="13"/>
      <c r="J54" s="13"/>
      <c r="K54" s="13"/>
      <c r="L54" s="463"/>
      <c r="M54" s="463"/>
      <c r="N54" s="461"/>
      <c r="O54" s="461"/>
      <c r="P54" s="461"/>
    </row>
    <row r="55" spans="1:16" ht="15.75" x14ac:dyDescent="0.25">
      <c r="A55" s="6"/>
      <c r="B55" s="6"/>
      <c r="C55" s="6"/>
      <c r="D55" s="6"/>
      <c r="E55" s="6"/>
      <c r="F55" s="442">
        <f>Clients!$D$52</f>
        <v>0</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51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(As Owners P&amp;I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t="str">
        <f>CAPA!$A$85</f>
        <v>Mr. Percy Jacobs Filho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577</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857" t="str">
        <f>_xlfn.CONCAT("Mr. ",CAPA!$A$97)</f>
        <v>Mr. Thiago Henrique Barbosa Verhagen</v>
      </c>
      <c r="G89" s="857"/>
      <c r="H89" s="857"/>
      <c r="I89" s="857"/>
      <c r="J89" s="857"/>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858" t="str">
        <f>CAPA!$B$8</f>
        <v>SDM QUANZHOU</v>
      </c>
      <c r="F92" s="858"/>
      <c r="G92" s="858"/>
      <c r="H92" s="858"/>
      <c r="I92" s="858"/>
      <c r="J92" s="858"/>
      <c r="L92" s="461"/>
      <c r="M92" s="461"/>
      <c r="N92" s="461"/>
      <c r="O92" s="461"/>
      <c r="P92" s="461"/>
    </row>
    <row r="93" spans="1:16" ht="15.75" x14ac:dyDescent="0.25">
      <c r="A93" s="266" t="s">
        <v>59</v>
      </c>
      <c r="B93" s="13"/>
      <c r="C93" s="13"/>
      <c r="D93" s="13"/>
      <c r="E93" s="858" t="str">
        <f>CAPA!$B$12</f>
        <v>5LKP7</v>
      </c>
      <c r="F93" s="858"/>
      <c r="G93" s="5"/>
      <c r="H93" s="5"/>
      <c r="I93" s="13"/>
      <c r="L93" s="461"/>
      <c r="M93" s="461"/>
      <c r="N93" s="461"/>
      <c r="O93" s="461"/>
      <c r="P93" s="461"/>
    </row>
    <row r="94" spans="1:16" ht="15.75" x14ac:dyDescent="0.25">
      <c r="A94" s="266" t="s">
        <v>60</v>
      </c>
      <c r="B94" s="13"/>
      <c r="C94" s="13"/>
      <c r="D94" s="13"/>
      <c r="E94" s="858" t="str">
        <f>CAPA!$B$13</f>
        <v>Monrovia</v>
      </c>
      <c r="F94" s="858"/>
      <c r="G94" s="858"/>
      <c r="H94" s="5"/>
      <c r="I94" s="13"/>
      <c r="L94" s="461"/>
      <c r="M94" s="461"/>
      <c r="N94" s="461"/>
      <c r="O94" s="461"/>
      <c r="P94" s="461"/>
    </row>
    <row r="95" spans="1:16" ht="15.75" x14ac:dyDescent="0.25">
      <c r="A95" s="266" t="s">
        <v>61</v>
      </c>
      <c r="B95" s="13"/>
      <c r="C95" s="13"/>
      <c r="D95" s="13"/>
      <c r="E95" s="858" t="str">
        <f>CAPA!$B$14</f>
        <v>Liberian</v>
      </c>
      <c r="F95" s="858"/>
      <c r="G95" s="858"/>
      <c r="H95" s="858"/>
      <c r="I95" s="858"/>
      <c r="J95" s="858"/>
      <c r="L95" s="461"/>
      <c r="M95" s="461"/>
      <c r="N95" s="461"/>
      <c r="O95" s="461"/>
      <c r="P95" s="461"/>
    </row>
    <row r="96" spans="1:16" ht="15.75" x14ac:dyDescent="0.25">
      <c r="A96" s="266" t="s">
        <v>62</v>
      </c>
      <c r="B96" s="13"/>
      <c r="C96" s="13"/>
      <c r="D96" s="13"/>
      <c r="E96" s="858">
        <f>CAPA!$B$10</f>
        <v>9949259</v>
      </c>
      <c r="F96" s="858"/>
      <c r="G96" s="5"/>
      <c r="H96" s="5"/>
      <c r="I96" s="13"/>
      <c r="L96" s="461"/>
      <c r="M96" s="461"/>
      <c r="N96" s="461"/>
      <c r="O96" s="461"/>
      <c r="P96" s="461"/>
    </row>
    <row r="97" spans="1:16" ht="15.75" x14ac:dyDescent="0.25">
      <c r="A97" s="266" t="s">
        <v>63</v>
      </c>
      <c r="B97" s="13"/>
      <c r="C97" s="13"/>
      <c r="D97" s="13"/>
      <c r="E97" s="268">
        <f>CAPA!$B$15</f>
        <v>210</v>
      </c>
      <c r="F97" s="268"/>
      <c r="G97" s="5"/>
      <c r="H97" s="5"/>
      <c r="I97" s="13"/>
      <c r="L97" s="461"/>
      <c r="M97" s="461"/>
      <c r="N97" s="461"/>
      <c r="O97" s="461"/>
      <c r="P97" s="461"/>
    </row>
    <row r="98" spans="1:16" ht="15.75" x14ac:dyDescent="0.25">
      <c r="A98" s="266" t="s">
        <v>64</v>
      </c>
      <c r="B98" s="13"/>
      <c r="C98" s="13"/>
      <c r="D98" s="13"/>
      <c r="E98" s="268">
        <f>CAPA!$B$16</f>
        <v>206.5</v>
      </c>
      <c r="F98" s="268"/>
      <c r="G98" s="5"/>
      <c r="H98" s="5"/>
      <c r="I98" s="13"/>
      <c r="L98" s="461"/>
      <c r="M98" s="461"/>
      <c r="N98" s="461"/>
      <c r="O98" s="461"/>
      <c r="P98" s="461"/>
    </row>
    <row r="99" spans="1:16" ht="15.75" x14ac:dyDescent="0.25">
      <c r="A99" s="266" t="s">
        <v>65</v>
      </c>
      <c r="B99" s="13"/>
      <c r="C99" s="13"/>
      <c r="D99" s="13"/>
      <c r="E99" s="268">
        <f>CAPA!$B$17</f>
        <v>23.5</v>
      </c>
      <c r="F99" s="268"/>
      <c r="G99" s="5"/>
      <c r="H99" s="5"/>
      <c r="I99" s="13"/>
      <c r="L99" s="461"/>
      <c r="M99" s="461"/>
      <c r="N99" s="461"/>
      <c r="O99" s="461"/>
      <c r="P99" s="461"/>
    </row>
    <row r="100" spans="1:16" ht="15.75" x14ac:dyDescent="0.25">
      <c r="A100" s="266" t="s">
        <v>66</v>
      </c>
      <c r="B100" s="13"/>
      <c r="C100" s="13"/>
      <c r="D100" s="13"/>
      <c r="E100" s="268">
        <f>CAPA!$B$18</f>
        <v>37</v>
      </c>
      <c r="F100" s="268"/>
      <c r="G100" s="5"/>
      <c r="H100" s="5"/>
      <c r="I100" s="13"/>
      <c r="L100" s="461"/>
      <c r="M100" s="461"/>
      <c r="N100" s="461"/>
      <c r="O100" s="461"/>
      <c r="P100" s="461"/>
    </row>
    <row r="101" spans="1:16" ht="15.75" x14ac:dyDescent="0.25">
      <c r="A101" s="266" t="s">
        <v>67</v>
      </c>
      <c r="B101" s="13"/>
      <c r="C101" s="13"/>
      <c r="D101" s="13"/>
      <c r="E101" s="728">
        <f>CAPA!$B$20</f>
        <v>53042</v>
      </c>
      <c r="F101" s="728"/>
      <c r="G101" s="728"/>
      <c r="H101" s="728"/>
      <c r="I101" s="728"/>
      <c r="J101" s="728"/>
      <c r="L101" s="461"/>
      <c r="M101" s="461"/>
      <c r="N101" s="461"/>
      <c r="O101" s="461"/>
      <c r="P101" s="461"/>
    </row>
    <row r="102" spans="1:16" ht="15.75" x14ac:dyDescent="0.25">
      <c r="A102" s="266" t="s">
        <v>68</v>
      </c>
      <c r="B102" s="13"/>
      <c r="C102" s="13"/>
      <c r="D102" s="13"/>
      <c r="E102" s="728">
        <f>CAPA!$B$21</f>
        <v>25178</v>
      </c>
      <c r="F102" s="728"/>
      <c r="G102" s="728"/>
      <c r="H102" s="728"/>
      <c r="I102" s="728"/>
      <c r="J102" s="728"/>
      <c r="L102" s="461"/>
      <c r="M102" s="461"/>
      <c r="N102" s="461"/>
      <c r="O102" s="461"/>
      <c r="P102" s="461"/>
    </row>
    <row r="103" spans="1:16" ht="15.75" x14ac:dyDescent="0.25">
      <c r="A103" s="440" t="s">
        <v>69</v>
      </c>
      <c r="B103" s="13"/>
      <c r="C103" s="13"/>
      <c r="D103" s="13"/>
      <c r="E103" s="729" t="str">
        <f>CAPA!$B$23</f>
        <v>CCS</v>
      </c>
      <c r="F103" s="729"/>
      <c r="G103" s="729"/>
      <c r="H103" s="729"/>
      <c r="I103" s="729"/>
      <c r="J103" s="729"/>
      <c r="L103" s="461"/>
      <c r="M103" s="464" t="str">
        <f>CAPA!$B$23</f>
        <v>CCS</v>
      </c>
      <c r="N103" s="461"/>
      <c r="O103" s="461"/>
      <c r="P103" s="461"/>
    </row>
    <row r="104" spans="1:16" ht="15.75" x14ac:dyDescent="0.25">
      <c r="A104" s="266" t="s">
        <v>70</v>
      </c>
      <c r="B104" s="13"/>
      <c r="C104" s="13"/>
      <c r="D104" s="13"/>
      <c r="E104" s="728">
        <f>CAPA!$B$19</f>
        <v>13726.4</v>
      </c>
      <c r="F104" s="728"/>
      <c r="G104" s="5"/>
      <c r="H104" s="5"/>
      <c r="I104" s="13"/>
      <c r="L104" s="461"/>
      <c r="M104" s="465"/>
      <c r="N104" s="461"/>
      <c r="O104" s="461"/>
      <c r="P104" s="461"/>
    </row>
    <row r="105" spans="1:16" ht="15.75" x14ac:dyDescent="0.25">
      <c r="A105" s="266" t="s">
        <v>71</v>
      </c>
      <c r="B105" s="13"/>
      <c r="C105" s="13"/>
      <c r="D105" s="13"/>
      <c r="E105" s="728" t="str">
        <f>_xlfn.CONCAT(TEXT($I$140,"#,##0.0")," on ",TEXT(F140,"#,##0.00")," m")</f>
        <v>64309,00 on 11,95000 m</v>
      </c>
      <c r="F105" s="728"/>
      <c r="G105" s="728"/>
      <c r="H105" s="728"/>
      <c r="I105" s="728"/>
      <c r="J105" s="728"/>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Chengxi Shipyard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857" t="str">
        <f>CAPA!$B$24</f>
        <v>Xiang H33 International Ship Lease Co. Limited</v>
      </c>
      <c r="F109" s="857"/>
      <c r="G109" s="857"/>
      <c r="H109" s="857"/>
      <c r="I109" s="857"/>
      <c r="J109" s="857"/>
      <c r="L109" s="461"/>
      <c r="M109" s="461"/>
      <c r="N109" s="461"/>
      <c r="O109" s="461"/>
      <c r="P109" s="461"/>
    </row>
    <row r="110" spans="1:16" ht="15.75" x14ac:dyDescent="0.25">
      <c r="A110" s="266" t="s">
        <v>74</v>
      </c>
      <c r="B110" s="13"/>
      <c r="C110" s="13"/>
      <c r="D110" s="13"/>
      <c r="E110" s="857" t="str">
        <f>CAPA!$B$25</f>
        <v>Tianjin Cosbulk Ship Management Co., Ltd.</v>
      </c>
      <c r="F110" s="857"/>
      <c r="G110" s="857"/>
      <c r="H110" s="857"/>
      <c r="I110" s="857"/>
      <c r="J110" s="857"/>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772" t="s">
        <v>76</v>
      </c>
      <c r="C114" s="772"/>
      <c r="D114" s="773" t="s">
        <v>77</v>
      </c>
      <c r="E114" s="773"/>
      <c r="F114" s="727" t="s">
        <v>78</v>
      </c>
      <c r="G114" s="727"/>
      <c r="H114" s="727"/>
      <c r="I114" s="727"/>
      <c r="J114" s="270" t="s">
        <v>79</v>
      </c>
      <c r="L114" s="461"/>
      <c r="M114" s="461"/>
      <c r="N114" s="461"/>
      <c r="O114" s="461"/>
      <c r="P114" s="461"/>
    </row>
    <row r="115" spans="1:16" ht="15.75" x14ac:dyDescent="0.25">
      <c r="A115" s="3"/>
      <c r="B115" s="772" t="s">
        <v>80</v>
      </c>
      <c r="C115" s="772"/>
      <c r="D115" s="271"/>
      <c r="F115" s="727" t="s">
        <v>81</v>
      </c>
      <c r="G115" s="727"/>
      <c r="H115" s="727"/>
      <c r="I115" s="727"/>
      <c r="J115" s="13"/>
      <c r="L115" s="461"/>
      <c r="M115" s="461"/>
      <c r="N115" s="461"/>
      <c r="O115" s="461"/>
      <c r="P115" s="461"/>
    </row>
    <row r="116" spans="1:16" ht="15.75" x14ac:dyDescent="0.25">
      <c r="A116" s="265" t="s">
        <v>82</v>
      </c>
      <c r="B116" s="755">
        <f>DCP!$B$28</f>
        <v>777893</v>
      </c>
      <c r="C116" s="755"/>
      <c r="D116" s="774" t="str">
        <f>DCP!$B$15</f>
        <v>SBM</v>
      </c>
      <c r="E116" s="774"/>
      <c r="F116" s="765">
        <f>DCP!$B$27</f>
        <v>10344.744999999999</v>
      </c>
      <c r="G116" s="765"/>
      <c r="H116" s="765"/>
      <c r="I116" s="765"/>
      <c r="J116" s="272" t="str">
        <f>Relato!J97</f>
        <v>SLACK</v>
      </c>
      <c r="L116" s="461"/>
      <c r="M116" s="461"/>
      <c r="N116" s="461"/>
      <c r="O116" s="461"/>
      <c r="P116" s="461"/>
    </row>
    <row r="117" spans="1:16" ht="15.75" x14ac:dyDescent="0.25">
      <c r="A117" s="265" t="s">
        <v>83</v>
      </c>
      <c r="B117" s="755">
        <f>DCP!$C$28</f>
        <v>857277</v>
      </c>
      <c r="C117" s="755"/>
      <c r="D117" s="774" t="str">
        <f>DCP!$C$15</f>
        <v>SBM</v>
      </c>
      <c r="E117" s="774"/>
      <c r="F117" s="765">
        <f>DCP!$C$27</f>
        <v>11849.88</v>
      </c>
      <c r="G117" s="765"/>
      <c r="H117" s="765"/>
      <c r="I117" s="765" t="e">
        <f>C117/H117</f>
        <v>#DIV/0!</v>
      </c>
      <c r="J117" s="272" t="str">
        <f>Relato!J98</f>
        <v>SLACK</v>
      </c>
      <c r="L117" s="461"/>
      <c r="M117" s="461"/>
      <c r="N117" s="461"/>
      <c r="O117" s="461"/>
      <c r="P117" s="461"/>
    </row>
    <row r="118" spans="1:16" ht="15.75" x14ac:dyDescent="0.25">
      <c r="A118" s="265" t="s">
        <v>84</v>
      </c>
      <c r="B118" s="755">
        <f>DCP!$D$28</f>
        <v>635809</v>
      </c>
      <c r="C118" s="755"/>
      <c r="D118" s="774" t="str">
        <f>DCP!$D$15</f>
        <v>SBM</v>
      </c>
      <c r="E118" s="774"/>
      <c r="F118" s="765">
        <f>DCP!$D$27</f>
        <v>8603.0750000000007</v>
      </c>
      <c r="G118" s="765"/>
      <c r="H118" s="765"/>
      <c r="I118" s="765" t="e">
        <f>D118/H118</f>
        <v>#VALUE!</v>
      </c>
      <c r="J118" s="272" t="str">
        <f>Relato!J99</f>
        <v>SLACK</v>
      </c>
      <c r="L118" s="461"/>
      <c r="M118" s="461"/>
      <c r="N118" s="461"/>
      <c r="O118" s="461"/>
      <c r="P118" s="461"/>
    </row>
    <row r="119" spans="1:16" ht="15.75" x14ac:dyDescent="0.25">
      <c r="A119" s="265" t="s">
        <v>85</v>
      </c>
      <c r="B119" s="755">
        <f>DCP!$E$28</f>
        <v>779232</v>
      </c>
      <c r="C119" s="755"/>
      <c r="D119" s="774" t="str">
        <f>DCP!$E$15</f>
        <v>SBM</v>
      </c>
      <c r="E119" s="774"/>
      <c r="F119" s="765">
        <f>DCP!$E$27</f>
        <v>10603.06</v>
      </c>
      <c r="G119" s="765"/>
      <c r="H119" s="765"/>
      <c r="I119" s="765" t="e">
        <f>D119/H119</f>
        <v>#VALUE!</v>
      </c>
      <c r="J119" s="272" t="str">
        <f>Relato!J100</f>
        <v>SLACK</v>
      </c>
      <c r="L119" s="461"/>
      <c r="M119" s="461"/>
      <c r="N119" s="461"/>
      <c r="O119" s="461"/>
      <c r="P119" s="461"/>
    </row>
    <row r="120" spans="1:16" ht="15.75" x14ac:dyDescent="0.25">
      <c r="A120" s="265" t="s">
        <v>86</v>
      </c>
      <c r="B120" s="755">
        <f>DCP!$F$28</f>
        <v>778204</v>
      </c>
      <c r="C120" s="755"/>
      <c r="D120" s="774" t="str">
        <f>DCP!$F$15</f>
        <v>SBM</v>
      </c>
      <c r="E120" s="774"/>
      <c r="F120" s="765">
        <f>DCP!$F$27</f>
        <v>10392.684999999999</v>
      </c>
      <c r="G120" s="765"/>
      <c r="H120" s="765"/>
      <c r="I120" s="765" t="e">
        <f>D120/H120</f>
        <v>#VALUE!</v>
      </c>
      <c r="J120" s="272" t="str">
        <f>Relato!J101</f>
        <v>SLACK</v>
      </c>
      <c r="L120" s="461"/>
      <c r="M120" s="461"/>
      <c r="N120" s="461"/>
      <c r="O120" s="461"/>
      <c r="P120" s="461"/>
    </row>
    <row r="121" spans="1:16" ht="15.75" x14ac:dyDescent="0.25">
      <c r="A121" s="265" t="s">
        <v>87</v>
      </c>
      <c r="B121" s="755">
        <f>DCP!$G$28</f>
        <v>805043</v>
      </c>
      <c r="C121" s="755"/>
      <c r="D121" s="774" t="str">
        <f>DCP!$G$15</f>
        <v>SBM</v>
      </c>
      <c r="E121" s="774"/>
      <c r="F121" s="765">
        <f>DCP!$G$27</f>
        <v>10406.555</v>
      </c>
      <c r="G121" s="765"/>
      <c r="H121" s="765"/>
      <c r="I121" s="765" t="e">
        <f>D121/H121</f>
        <v>#VALUE!</v>
      </c>
      <c r="J121" s="272" t="str">
        <f>Relato!J102</f>
        <v>SLACK</v>
      </c>
      <c r="L121" s="461"/>
      <c r="M121" s="461"/>
      <c r="N121" s="461"/>
      <c r="O121" s="461"/>
      <c r="P121" s="461"/>
    </row>
    <row r="122" spans="1:16" ht="15.75" x14ac:dyDescent="0.25">
      <c r="A122" s="265" t="s">
        <v>88</v>
      </c>
      <c r="B122" s="755" t="e">
        <f>DCP!#REF!</f>
        <v>#REF!</v>
      </c>
      <c r="C122" s="755"/>
      <c r="D122" s="774" t="e">
        <f>DCP!#REF!</f>
        <v>#REF!</v>
      </c>
      <c r="E122" s="774"/>
      <c r="F122" s="765" t="e">
        <f>DCP!#REF!</f>
        <v>#REF!</v>
      </c>
      <c r="G122" s="765"/>
      <c r="H122" s="765"/>
      <c r="I122" s="765" t="e">
        <f>D122/H122</f>
        <v>#REF!</v>
      </c>
      <c r="J122" s="272" t="e">
        <f>Relato!#REF!</f>
        <v>#REF!</v>
      </c>
      <c r="L122" s="461"/>
      <c r="M122" s="461"/>
      <c r="N122" s="461"/>
      <c r="O122" s="461"/>
      <c r="P122" s="461"/>
    </row>
    <row r="123" spans="1:16" ht="15.75" x14ac:dyDescent="0.25">
      <c r="A123" s="3" t="s">
        <v>89</v>
      </c>
      <c r="B123" s="756" t="e">
        <f>SUM(B116:B122)</f>
        <v>#REF!</v>
      </c>
      <c r="C123" s="756"/>
      <c r="D123" s="13"/>
      <c r="F123" s="788" t="e">
        <f>SUM(F116:F122)</f>
        <v>#REF!</v>
      </c>
      <c r="G123" s="788"/>
      <c r="H123" s="788"/>
      <c r="I123" s="788"/>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702</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Issued by SDARI</v>
      </c>
      <c r="G128" s="13"/>
      <c r="H128" s="13"/>
      <c r="I128" s="13"/>
      <c r="L128" s="461"/>
      <c r="M128" s="461"/>
      <c r="N128" s="461"/>
      <c r="O128" s="461"/>
      <c r="P128" s="461"/>
    </row>
    <row r="129" spans="1:16" ht="15.75" x14ac:dyDescent="0.25">
      <c r="A129" s="266"/>
      <c r="B129" s="13"/>
      <c r="C129" s="13"/>
      <c r="D129" s="13"/>
      <c r="E129" s="13" t="str">
        <f>_xlfn.CONCAT("on ",CAPA!$B$68,", Dwg. No. ",CAPA!$B$69)</f>
        <v>on 07.08.2023, Dwg. No. SC4814G2-050-02JS</v>
      </c>
      <c r="G129" s="13"/>
      <c r="H129" s="13"/>
      <c r="I129" s="13"/>
      <c r="L129" s="461"/>
      <c r="M129" s="461"/>
      <c r="N129" s="461"/>
      <c r="O129" s="461"/>
      <c r="P129" s="461"/>
    </row>
    <row r="130" spans="1:16" ht="15.75" x14ac:dyDescent="0.25">
      <c r="A130" s="266"/>
      <c r="B130" s="13"/>
      <c r="C130" s="13"/>
      <c r="D130" s="13"/>
      <c r="E130" s="13" t="str">
        <f>_xlfn.CONCAT("Approved by  ",CAPA!$B$70," on  ",CAPA!$B$71)</f>
        <v>Approved by  CCS on  17.08.2023</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Issued by SDARI</v>
      </c>
      <c r="G132" s="13"/>
      <c r="H132" s="13"/>
      <c r="I132" s="13"/>
      <c r="L132" s="461"/>
      <c r="M132" s="461"/>
      <c r="N132" s="461"/>
      <c r="O132" s="461"/>
      <c r="P132" s="461"/>
    </row>
    <row r="133" spans="1:16" ht="15.75" x14ac:dyDescent="0.25">
      <c r="A133" s="13"/>
      <c r="B133" s="13"/>
      <c r="C133" s="13"/>
      <c r="D133" s="13"/>
      <c r="E133" s="13" t="str">
        <f>_xlfn.CONCAT("on ",CAPA!$B$73," Dwg. no. ",CAPA!$B$74)</f>
        <v>on 01.08.2023 Dwg. no. SC4814G1-050-09</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7" t="s">
        <v>92</v>
      </c>
      <c r="F136" s="708" t="s">
        <v>704</v>
      </c>
      <c r="G136" s="757" t="s">
        <v>94</v>
      </c>
      <c r="H136" s="757"/>
      <c r="I136" s="757" t="s">
        <v>95</v>
      </c>
      <c r="J136" s="757"/>
      <c r="K136" s="276"/>
      <c r="L136" s="466"/>
      <c r="M136" s="467"/>
      <c r="N136" s="461"/>
      <c r="O136" s="461"/>
      <c r="P136" s="461"/>
    </row>
    <row r="137" spans="1:16" ht="15.75" x14ac:dyDescent="0.25">
      <c r="A137" s="266" t="s">
        <v>96</v>
      </c>
      <c r="B137" s="10"/>
      <c r="E137" s="277">
        <f>CAPA!$L$78</f>
        <v>11.058999999999999</v>
      </c>
      <c r="F137" s="277">
        <f>CAPA!$M$78</f>
        <v>12.46</v>
      </c>
      <c r="G137" s="754">
        <f>CAPA!$N$78</f>
        <v>79826.2</v>
      </c>
      <c r="H137" s="754"/>
      <c r="I137" s="754">
        <f>CAPA!$O$78</f>
        <v>66099.8</v>
      </c>
      <c r="J137" s="754"/>
      <c r="K137" s="278"/>
      <c r="L137" s="468"/>
      <c r="M137" s="469"/>
      <c r="N137" s="461"/>
      <c r="O137" s="461"/>
      <c r="P137" s="461"/>
    </row>
    <row r="138" spans="1:16" ht="15.75" x14ac:dyDescent="0.25">
      <c r="A138" s="266" t="s">
        <v>97</v>
      </c>
      <c r="B138" s="10"/>
      <c r="E138" s="277">
        <f>CAPA!$L$79</f>
        <v>11.308</v>
      </c>
      <c r="F138" s="277">
        <f>CAPA!$M$79</f>
        <v>12.22</v>
      </c>
      <c r="G138" s="754">
        <f>CAPA!$N$79</f>
        <v>78038.5</v>
      </c>
      <c r="H138" s="754"/>
      <c r="I138" s="754">
        <f>CAPA!$O$79</f>
        <v>64312.1</v>
      </c>
      <c r="J138" s="754"/>
      <c r="K138" s="278"/>
      <c r="L138" s="468"/>
      <c r="M138" s="469"/>
      <c r="N138" s="461"/>
      <c r="O138" s="461"/>
      <c r="P138" s="461"/>
    </row>
    <row r="139" spans="1:16" ht="15.75" x14ac:dyDescent="0.25">
      <c r="A139" s="266" t="s">
        <v>98</v>
      </c>
      <c r="B139" s="10"/>
      <c r="E139" s="277">
        <f>CAPA!$L$80</f>
        <v>11.324</v>
      </c>
      <c r="F139" s="277">
        <f>CAPA!$M$80</f>
        <v>12.2</v>
      </c>
      <c r="G139" s="754">
        <f>CAPA!$N$80</f>
        <v>79864.5</v>
      </c>
      <c r="H139" s="754"/>
      <c r="I139" s="754">
        <f>CAPA!$O$80</f>
        <v>66138.100000000006</v>
      </c>
      <c r="J139" s="754"/>
      <c r="K139" s="278"/>
      <c r="L139" s="468"/>
      <c r="M139" s="469"/>
      <c r="N139" s="461"/>
      <c r="O139" s="461"/>
      <c r="P139" s="461"/>
    </row>
    <row r="140" spans="1:16" ht="15.75" x14ac:dyDescent="0.25">
      <c r="A140" s="266" t="s">
        <v>99</v>
      </c>
      <c r="B140" s="10"/>
      <c r="E140" s="277">
        <f>CAPA!$L$81</f>
        <v>11.573</v>
      </c>
      <c r="F140" s="277">
        <f>CAPA!$M$81</f>
        <v>11.95</v>
      </c>
      <c r="G140" s="754">
        <f>CAPA!$N$81</f>
        <v>78035.399999999994</v>
      </c>
      <c r="H140" s="754"/>
      <c r="I140" s="754">
        <f>CAPA!$O$81</f>
        <v>64309</v>
      </c>
      <c r="J140" s="754"/>
      <c r="K140" s="278"/>
      <c r="L140" s="468"/>
      <c r="M140" s="469"/>
      <c r="N140" s="461"/>
      <c r="O140" s="461"/>
      <c r="P140" s="461"/>
    </row>
    <row r="141" spans="1:16" ht="15.75" x14ac:dyDescent="0.25">
      <c r="A141" s="266" t="s">
        <v>100</v>
      </c>
      <c r="B141" s="10"/>
      <c r="E141" s="277">
        <f>CAPA!$L$82</f>
        <v>11.821999999999999</v>
      </c>
      <c r="F141" s="277">
        <f>CAPA!$M$82</f>
        <v>11.7</v>
      </c>
      <c r="G141" s="754">
        <f>CAPA!$N$82</f>
        <v>76209.5</v>
      </c>
      <c r="H141" s="754"/>
      <c r="I141" s="754">
        <f>CAPA!$O$82</f>
        <v>62483.1</v>
      </c>
      <c r="J141" s="754"/>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705</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Relato!$E$126</f>
        <v xml:space="preserve"> March 21st, 2026 from 16:15 until 19:20 hrs</v>
      </c>
      <c r="G146" s="280"/>
      <c r="H146" s="280"/>
      <c r="I146" s="10"/>
      <c r="L146" s="461"/>
      <c r="M146" s="461"/>
      <c r="N146" s="461"/>
      <c r="O146" s="461"/>
      <c r="P146" s="461"/>
    </row>
    <row r="147" spans="1:16" ht="15.75" x14ac:dyDescent="0.25">
      <c r="A147" s="266" t="s">
        <v>102</v>
      </c>
      <c r="B147" s="10"/>
      <c r="C147" s="10"/>
      <c r="D147" s="10"/>
      <c r="E147" s="14" t="str">
        <f>Relato!$E$127</f>
        <v>Paranaguá, Br - Brazil (inner roads 9.2)</v>
      </c>
      <c r="G147" s="13"/>
      <c r="H147" s="13"/>
      <c r="I147" s="10"/>
      <c r="L147" s="461"/>
      <c r="M147" s="461"/>
      <c r="N147" s="461"/>
      <c r="O147" s="461"/>
      <c r="P147" s="461"/>
    </row>
    <row r="148" spans="1:16" ht="15.75" x14ac:dyDescent="0.25">
      <c r="A148" s="266" t="s">
        <v>103</v>
      </c>
      <c r="B148" s="10"/>
      <c r="C148" s="10"/>
      <c r="D148" s="10"/>
      <c r="E148" s="396">
        <f>Draft!$O$7</f>
        <v>0.45</v>
      </c>
      <c r="G148" s="13"/>
      <c r="H148" s="13"/>
      <c r="I148" s="10"/>
      <c r="L148" s="461"/>
      <c r="M148" s="461"/>
      <c r="N148" s="461"/>
      <c r="O148" s="461"/>
      <c r="P148" s="461"/>
    </row>
    <row r="149" spans="1:16" ht="15.75" x14ac:dyDescent="0.25">
      <c r="A149" s="266" t="s">
        <v>606</v>
      </c>
      <c r="B149" s="10"/>
      <c r="C149" s="10"/>
      <c r="D149" s="10"/>
      <c r="E149" s="624">
        <f>Draft!$O$8</f>
        <v>3</v>
      </c>
      <c r="F149" s="394"/>
      <c r="G149" s="281"/>
      <c r="H149" s="281"/>
      <c r="I149" s="281"/>
      <c r="L149" s="461"/>
      <c r="M149" s="461"/>
      <c r="N149" s="461"/>
      <c r="O149" s="461"/>
      <c r="P149" s="461"/>
    </row>
    <row r="150" spans="1:16" ht="15.75" x14ac:dyDescent="0.25">
      <c r="A150" s="266" t="s">
        <v>104</v>
      </c>
      <c r="B150" s="10"/>
      <c r="C150" s="10"/>
      <c r="D150" s="10"/>
      <c r="E150" s="14" t="str">
        <f>Draft!$E$8</f>
        <v>Flood tide, &lt; 1 knot</v>
      </c>
      <c r="G150" s="13"/>
      <c r="H150" s="13"/>
      <c r="I150" s="10"/>
      <c r="L150" s="461"/>
      <c r="M150" s="461"/>
      <c r="N150" s="461"/>
      <c r="O150" s="461"/>
      <c r="P150" s="461"/>
    </row>
    <row r="151" spans="1:16" ht="15.75" x14ac:dyDescent="0.25">
      <c r="A151" s="266" t="s">
        <v>105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706</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Relato!$E$136</f>
        <v xml:space="preserve"> March 25th, 2026 from 6:30 until 8:30 hrs</v>
      </c>
      <c r="G156" s="13"/>
      <c r="H156" s="13"/>
      <c r="I156" s="10"/>
      <c r="L156" s="461"/>
      <c r="M156" s="461"/>
      <c r="N156" s="461"/>
      <c r="O156" s="461"/>
      <c r="P156" s="461"/>
    </row>
    <row r="157" spans="1:16" ht="15.75" x14ac:dyDescent="0.25">
      <c r="A157" s="266" t="s">
        <v>102</v>
      </c>
      <c r="B157" s="10"/>
      <c r="C157" s="10"/>
      <c r="D157" s="10"/>
      <c r="E157" s="14" t="str">
        <f>Relato!$E$137</f>
        <v>Paranaguá, Br - Brazil (wharf 214)</v>
      </c>
      <c r="G157" s="13"/>
      <c r="H157" s="13"/>
      <c r="I157" s="10"/>
      <c r="L157" s="461"/>
      <c r="M157" s="461"/>
      <c r="N157" s="461"/>
      <c r="O157" s="461"/>
      <c r="P157" s="461"/>
    </row>
    <row r="158" spans="1:16" ht="15.75" x14ac:dyDescent="0.25">
      <c r="A158" s="266" t="s">
        <v>103</v>
      </c>
      <c r="B158" s="10"/>
      <c r="C158" s="10"/>
      <c r="D158" s="10"/>
      <c r="E158" s="396">
        <f>Draft!$AH$7</f>
        <v>0.2</v>
      </c>
      <c r="G158" s="13"/>
      <c r="H158" s="13"/>
      <c r="I158" s="10"/>
      <c r="L158" s="461"/>
      <c r="M158" s="461"/>
      <c r="N158" s="461"/>
      <c r="O158" s="461"/>
      <c r="P158" s="461"/>
    </row>
    <row r="159" spans="1:16" ht="15.75" x14ac:dyDescent="0.25">
      <c r="A159" s="266" t="s">
        <v>606</v>
      </c>
      <c r="B159" s="10"/>
      <c r="C159" s="10"/>
      <c r="D159" s="10"/>
      <c r="E159" s="624">
        <f>Draft!$AH$8</f>
        <v>1</v>
      </c>
      <c r="G159" s="282"/>
      <c r="H159" s="282"/>
      <c r="I159" s="10"/>
      <c r="L159" s="457"/>
      <c r="M159" s="457"/>
      <c r="N159" s="457"/>
      <c r="O159" s="457"/>
      <c r="P159" s="457"/>
    </row>
    <row r="160" spans="1:16" ht="15.75" x14ac:dyDescent="0.25">
      <c r="A160" s="266" t="s">
        <v>104</v>
      </c>
      <c r="B160" s="10"/>
      <c r="C160" s="10"/>
      <c r="D160" s="10"/>
      <c r="E160" s="14" t="str">
        <f>Draft!$X$8</f>
        <v>Ebb tide, &lt; 1 knot</v>
      </c>
      <c r="G160" s="13"/>
      <c r="H160" s="13"/>
      <c r="I160" s="10"/>
      <c r="L160" s="457"/>
      <c r="M160" s="457"/>
      <c r="N160" s="457"/>
      <c r="O160" s="457"/>
      <c r="P160" s="457"/>
    </row>
    <row r="161" spans="1:21" ht="15.75" x14ac:dyDescent="0.25">
      <c r="A161" s="266" t="s">
        <v>105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Soybean meal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Semarang - Indonesia</v>
      </c>
      <c r="G168" s="13"/>
      <c r="H168" s="13"/>
      <c r="I168" s="10"/>
      <c r="L168" s="457"/>
      <c r="M168" s="457"/>
      <c r="N168" s="457"/>
      <c r="O168" s="457"/>
      <c r="P168" s="457"/>
    </row>
    <row r="169" spans="1:21" ht="15.75" x14ac:dyDescent="0.25">
      <c r="A169" s="266" t="s">
        <v>110</v>
      </c>
      <c r="B169" s="10"/>
      <c r="C169" s="10"/>
      <c r="D169" s="10"/>
      <c r="E169" s="14" t="str">
        <f>CAPA!$B$36</f>
        <v>Wood chip in bulk</v>
      </c>
      <c r="G169" s="13"/>
      <c r="H169" s="13"/>
      <c r="I169" s="10"/>
      <c r="L169" s="457"/>
      <c r="M169" s="458" t="s">
        <v>567</v>
      </c>
      <c r="N169" s="459" t="s">
        <v>323</v>
      </c>
      <c r="O169" s="460"/>
      <c r="P169" s="460"/>
      <c r="Q169" s="10"/>
      <c r="R169" s="10"/>
      <c r="S169" s="10"/>
      <c r="T169" s="10"/>
      <c r="U169" s="10"/>
    </row>
    <row r="170" spans="1:21" ht="15.75" x14ac:dyDescent="0.25">
      <c r="A170" s="266" t="s">
        <v>111</v>
      </c>
      <c r="B170" s="10"/>
      <c r="C170" s="10"/>
      <c r="D170" s="10"/>
      <c r="E170" s="14" t="str">
        <f>CAPA!$B$37</f>
        <v>Yangpu - China</v>
      </c>
      <c r="G170" s="13"/>
      <c r="H170" s="13"/>
      <c r="I170" s="10"/>
      <c r="L170" s="457"/>
      <c r="M170" s="458" t="s">
        <v>568</v>
      </c>
      <c r="N170" s="459" t="s">
        <v>325</v>
      </c>
      <c r="O170" s="460"/>
      <c r="P170" s="460"/>
      <c r="Q170" s="10"/>
      <c r="R170" s="10"/>
      <c r="S170" s="10"/>
      <c r="T170" s="10"/>
      <c r="U170" s="10"/>
    </row>
    <row r="171" spans="1:21" ht="15.75" x14ac:dyDescent="0.25">
      <c r="A171" s="266"/>
      <c r="B171" s="10"/>
      <c r="C171" s="10"/>
      <c r="D171" s="10"/>
      <c r="E171" s="10"/>
      <c r="F171" s="13"/>
      <c r="G171" s="13"/>
      <c r="H171" s="13"/>
      <c r="I171" s="10"/>
      <c r="L171" s="457"/>
      <c r="M171" s="458" t="s">
        <v>569</v>
      </c>
      <c r="N171" s="459" t="s">
        <v>326</v>
      </c>
      <c r="O171" s="460"/>
      <c r="P171" s="460"/>
      <c r="Q171" s="10"/>
      <c r="R171" s="10"/>
      <c r="S171" s="10"/>
      <c r="T171" s="10"/>
      <c r="U171" s="10"/>
    </row>
    <row r="172" spans="1:21" ht="15.75" x14ac:dyDescent="0.25">
      <c r="A172" s="266"/>
      <c r="B172" s="10"/>
      <c r="C172" s="10"/>
      <c r="D172" s="10"/>
      <c r="E172" s="10"/>
      <c r="F172" s="10"/>
      <c r="G172" s="10"/>
      <c r="H172" s="10"/>
      <c r="I172" s="10"/>
      <c r="L172" s="457"/>
      <c r="M172" s="458" t="s">
        <v>570</v>
      </c>
      <c r="N172" s="459" t="s">
        <v>328</v>
      </c>
      <c r="O172" s="460"/>
      <c r="P172" s="460"/>
      <c r="Q172" s="10"/>
      <c r="R172" s="10"/>
      <c r="S172" s="10"/>
      <c r="T172" s="10"/>
      <c r="U172" s="10"/>
    </row>
    <row r="173" spans="1:21" ht="15.75" x14ac:dyDescent="0.25">
      <c r="A173" s="283" t="s">
        <v>112</v>
      </c>
      <c r="B173" s="283"/>
      <c r="C173" s="10"/>
      <c r="D173" s="10"/>
      <c r="E173" s="10"/>
      <c r="F173" s="10"/>
      <c r="G173" s="17"/>
      <c r="H173" s="764">
        <f>$I$234</f>
        <v>62200</v>
      </c>
      <c r="I173" s="764"/>
      <c r="J173" s="10" t="s">
        <v>113</v>
      </c>
      <c r="L173" s="457"/>
      <c r="M173" s="458" t="s">
        <v>571</v>
      </c>
      <c r="N173" s="459" t="s">
        <v>329</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569</v>
      </c>
      <c r="N174" s="459" t="s">
        <v>330</v>
      </c>
      <c r="O174" s="460"/>
      <c r="P174" s="460"/>
      <c r="Q174" s="10"/>
      <c r="R174" s="10"/>
      <c r="S174" s="10"/>
      <c r="T174" s="10"/>
      <c r="U174" s="10"/>
    </row>
    <row r="175" spans="1:21" ht="15.75" x14ac:dyDescent="0.25">
      <c r="A175" s="283" t="s">
        <v>709</v>
      </c>
      <c r="B175" s="283"/>
      <c r="C175" s="13"/>
      <c r="D175" s="13" t="s">
        <v>114</v>
      </c>
      <c r="E175" s="10"/>
      <c r="G175" s="17"/>
      <c r="H175" s="764">
        <f>$I$235</f>
        <v>62132.12496211323</v>
      </c>
      <c r="I175" s="764"/>
      <c r="J175" s="10" t="s">
        <v>113</v>
      </c>
      <c r="L175" s="457"/>
      <c r="M175" s="458" t="s">
        <v>572</v>
      </c>
      <c r="N175" s="459" t="s">
        <v>331</v>
      </c>
      <c r="O175" s="460"/>
      <c r="P175" s="460"/>
      <c r="Q175" s="10"/>
      <c r="R175" s="10"/>
      <c r="S175" s="10"/>
      <c r="T175" s="10"/>
      <c r="U175" s="10"/>
    </row>
    <row r="176" spans="1:21" ht="15.75" x14ac:dyDescent="0.25">
      <c r="A176" s="284"/>
      <c r="B176" s="284"/>
      <c r="C176" s="14"/>
      <c r="D176" s="14" t="s">
        <v>115</v>
      </c>
      <c r="E176" s="10"/>
      <c r="G176" s="17"/>
      <c r="H176" s="764">
        <f>$H$239</f>
        <v>62247</v>
      </c>
      <c r="I176" s="764"/>
      <c r="J176" s="10" t="s">
        <v>113</v>
      </c>
      <c r="L176" s="457"/>
      <c r="M176" s="457"/>
      <c r="N176" s="457"/>
      <c r="O176" s="457"/>
      <c r="P176" s="457"/>
    </row>
    <row r="177" spans="1:16" ht="15.75" x14ac:dyDescent="0.25">
      <c r="A177" s="284"/>
      <c r="B177" s="284"/>
      <c r="C177" s="13"/>
      <c r="D177" s="13" t="s">
        <v>116</v>
      </c>
      <c r="E177" s="13"/>
      <c r="G177" s="17"/>
      <c r="H177" s="764">
        <f>$H$240</f>
        <v>62172.35</v>
      </c>
      <c r="I177" s="764"/>
      <c r="J177" s="10" t="s">
        <v>113</v>
      </c>
      <c r="L177" s="457"/>
      <c r="M177" s="457"/>
      <c r="N177" s="457"/>
      <c r="O177" s="457"/>
      <c r="P177" s="457"/>
    </row>
    <row r="178" spans="1:16" ht="15.75" x14ac:dyDescent="0.25">
      <c r="A178" s="284"/>
      <c r="B178" s="284"/>
      <c r="C178" s="15"/>
      <c r="D178" s="15" t="str">
        <f>Relato!$D$158</f>
        <v>OWNERS P&amp;I SURVEYOR:</v>
      </c>
      <c r="E178" s="15"/>
      <c r="G178" s="17"/>
      <c r="H178" s="764">
        <f>Draft!$X$84</f>
        <v>62200.430999999997</v>
      </c>
      <c r="I178" s="764"/>
      <c r="J178" s="10" t="s">
        <v>113</v>
      </c>
      <c r="L178" s="457"/>
      <c r="M178" s="457"/>
      <c r="N178" s="457"/>
      <c r="O178" s="457"/>
      <c r="P178" s="457"/>
    </row>
    <row r="179" spans="1:16" ht="15.75" x14ac:dyDescent="0.25">
      <c r="A179" s="284"/>
      <c r="B179" s="284"/>
      <c r="C179" s="15"/>
      <c r="D179" s="15" t="e">
        <f>Relato!#REF!</f>
        <v>#REF!</v>
      </c>
      <c r="E179" s="15"/>
      <c r="G179" s="17"/>
      <c r="H179" s="764">
        <f>Draft!$X$85</f>
        <v>0</v>
      </c>
      <c r="I179" s="764"/>
      <c r="J179" s="10" t="s">
        <v>113</v>
      </c>
      <c r="L179" s="457"/>
      <c r="M179" s="457"/>
      <c r="N179" s="457"/>
      <c r="O179" s="457"/>
      <c r="P179" s="457"/>
    </row>
    <row r="180" spans="1:16" ht="15.75" x14ac:dyDescent="0.25">
      <c r="A180" s="284"/>
      <c r="B180" s="284"/>
      <c r="C180" s="15"/>
      <c r="D180" s="15" t="e">
        <f>Relato!#REF!</f>
        <v>#REF!</v>
      </c>
      <c r="E180" s="15"/>
      <c r="G180" s="17"/>
      <c r="H180" s="764">
        <f>Draft!$X$86</f>
        <v>0</v>
      </c>
      <c r="I180" s="764"/>
      <c r="J180" s="10" t="s">
        <v>113</v>
      </c>
      <c r="L180" s="457"/>
      <c r="M180" s="457"/>
      <c r="N180" s="457"/>
      <c r="O180" s="457"/>
      <c r="P180" s="457"/>
    </row>
    <row r="181" spans="1:16" ht="15.75" x14ac:dyDescent="0.25">
      <c r="A181" s="284"/>
      <c r="B181" s="284"/>
      <c r="C181" s="15"/>
      <c r="D181" s="15" t="e">
        <f>Relato!#REF!</f>
        <v>#REF!</v>
      </c>
      <c r="E181" s="15"/>
      <c r="G181" s="17"/>
      <c r="H181" s="764">
        <f>Draft!$X$87</f>
        <v>0</v>
      </c>
      <c r="I181" s="764"/>
      <c r="J181" s="10" t="s">
        <v>113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60" t="s">
        <v>117</v>
      </c>
      <c r="H184" s="761"/>
      <c r="I184" s="762" t="s">
        <v>118</v>
      </c>
      <c r="J184" s="763"/>
      <c r="L184" s="457"/>
      <c r="M184" s="457"/>
      <c r="N184" s="457"/>
      <c r="O184" s="457"/>
      <c r="P184" s="457"/>
    </row>
    <row r="185" spans="1:16" ht="14.1" customHeight="1" x14ac:dyDescent="0.25">
      <c r="A185" s="789" t="str">
        <f>$A$1</f>
        <v xml:space="preserve">MV "SDM QUANZHOU" </v>
      </c>
      <c r="B185" s="790"/>
      <c r="C185" s="790"/>
      <c r="D185" s="790"/>
      <c r="E185" s="790"/>
      <c r="F185" s="791"/>
      <c r="G185" s="798" t="str">
        <f>Relato!$G$161</f>
        <v>Inner roads 9.2</v>
      </c>
      <c r="H185" s="798"/>
      <c r="I185" s="799" t="str">
        <f>Relato!$I$161</f>
        <v>Wharf 214</v>
      </c>
      <c r="J185" s="800"/>
      <c r="L185" s="457"/>
      <c r="M185" s="457"/>
      <c r="N185" s="457"/>
      <c r="O185" s="457"/>
      <c r="P185" s="457"/>
    </row>
    <row r="186" spans="1:16" ht="14.1" customHeight="1" x14ac:dyDescent="0.25">
      <c r="A186" s="792"/>
      <c r="B186" s="793"/>
      <c r="C186" s="793"/>
      <c r="D186" s="793"/>
      <c r="E186" s="793"/>
      <c r="F186" s="794"/>
      <c r="G186" s="782" t="str">
        <f>Relato!$G$162</f>
        <v>21.03.2026 - 16:40 h</v>
      </c>
      <c r="H186" s="783"/>
      <c r="I186" s="782" t="str">
        <f>Relato!$I$162</f>
        <v>25.03.2026 - 07:00 h</v>
      </c>
      <c r="J186" s="784"/>
      <c r="L186" s="457"/>
      <c r="M186" s="457"/>
      <c r="N186" s="457"/>
      <c r="O186" s="457"/>
      <c r="P186" s="457"/>
    </row>
    <row r="187" spans="1:16" ht="14.1" customHeight="1" x14ac:dyDescent="0.25">
      <c r="A187" s="795"/>
      <c r="B187" s="796"/>
      <c r="C187" s="796"/>
      <c r="D187" s="796"/>
      <c r="E187" s="796"/>
      <c r="F187" s="797"/>
      <c r="G187" s="801">
        <f>Relato!$G$163</f>
        <v>0.45</v>
      </c>
      <c r="H187" s="802"/>
      <c r="I187" s="801">
        <f>Relato!$I$163</f>
        <v>0.2</v>
      </c>
      <c r="J187" s="803"/>
      <c r="L187" s="457"/>
      <c r="M187" s="457"/>
      <c r="N187" s="457"/>
      <c r="O187" s="457"/>
      <c r="P187" s="457"/>
    </row>
    <row r="188" spans="1:16" ht="14.1" customHeight="1" x14ac:dyDescent="0.25">
      <c r="A188" s="817" t="str">
        <f>_xlfn.CONCAT("IMO NO.  ",CAPA!$B$10)</f>
        <v>IMO NO.  9949259</v>
      </c>
      <c r="B188" s="804"/>
      <c r="C188" s="804" t="str">
        <f>_xlfn.CONCAT("FLAG:  ",CAPA!$B$14)</f>
        <v>FLAG:  Liberian</v>
      </c>
      <c r="D188" s="804"/>
      <c r="E188" s="804" t="str">
        <f>_xlfn.CONCAT("BUILD:  ",CAPA!$B$9)</f>
        <v>BUILD:  2023</v>
      </c>
      <c r="F188" s="805"/>
      <c r="G188" s="810" t="str">
        <f>CONCATENATE("Wind force ",TEXT(Draft!$O$8,"00"))</f>
        <v>Wind force 03</v>
      </c>
      <c r="H188" s="811"/>
      <c r="I188" s="810" t="str">
        <f>Relato!$I$164</f>
        <v>Wind force 01</v>
      </c>
      <c r="J188" s="812"/>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10" t="str">
        <f>Draft!$E$8</f>
        <v>Flood tide, &lt; 1 knot</v>
      </c>
      <c r="H189" s="811"/>
      <c r="I189" s="810" t="str">
        <f>Relato!$I$165</f>
        <v>Ebb tide, &lt; 1 knot</v>
      </c>
      <c r="J189" s="812"/>
      <c r="L189" s="457"/>
      <c r="M189" s="457"/>
      <c r="N189" s="457"/>
      <c r="O189" s="457"/>
      <c r="P189" s="457"/>
    </row>
    <row r="190" spans="1:16" ht="14.1" customHeight="1" thickBot="1" x14ac:dyDescent="0.3">
      <c r="A190" s="445" t="str">
        <f>$G$3</f>
        <v>PGUA/DS/090/26</v>
      </c>
      <c r="B190" s="304"/>
      <c r="C190" s="304"/>
      <c r="D190" s="304"/>
      <c r="E190" s="304"/>
      <c r="F190" s="305"/>
      <c r="G190" s="785" t="str">
        <f>Relato!$G$166</f>
        <v>Weather:   Fine</v>
      </c>
      <c r="H190" s="786"/>
      <c r="I190" s="1176" t="str">
        <f>Relato!$I$166</f>
        <v>Weather:   Fine</v>
      </c>
      <c r="J190" s="1177"/>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710</v>
      </c>
      <c r="B192" s="336"/>
      <c r="C192" s="336"/>
      <c r="D192" s="336"/>
      <c r="E192" s="336"/>
      <c r="F192" s="337"/>
      <c r="G192" s="778" t="s">
        <v>119</v>
      </c>
      <c r="H192" s="779"/>
      <c r="I192" s="780" t="s">
        <v>120</v>
      </c>
      <c r="J192" s="781"/>
      <c r="L192" s="457"/>
      <c r="M192" s="457"/>
      <c r="N192" s="457"/>
      <c r="O192" s="457"/>
      <c r="P192" s="457"/>
    </row>
    <row r="193" spans="1:16" ht="12.95" customHeight="1" x14ac:dyDescent="0.25">
      <c r="A193" s="338" t="s">
        <v>121</v>
      </c>
      <c r="B193" s="312"/>
      <c r="C193" s="312"/>
      <c r="D193" s="312"/>
      <c r="E193" s="312"/>
      <c r="F193" s="313"/>
      <c r="G193" s="750">
        <f>Draft!$C$25</f>
        <v>7.84</v>
      </c>
      <c r="H193" s="751"/>
      <c r="I193" s="806">
        <f>Draft!$U$25</f>
        <v>11.98</v>
      </c>
      <c r="J193" s="807"/>
      <c r="L193" s="457"/>
      <c r="M193" s="457"/>
      <c r="N193" s="457"/>
      <c r="O193" s="457"/>
      <c r="P193" s="457"/>
    </row>
    <row r="194" spans="1:16" ht="12.95" customHeight="1" x14ac:dyDescent="0.25">
      <c r="A194" s="449" t="s">
        <v>122</v>
      </c>
      <c r="B194" s="315"/>
      <c r="C194" s="315"/>
      <c r="D194" s="315"/>
      <c r="E194" s="315"/>
      <c r="F194" s="316"/>
      <c r="G194" s="752">
        <f>Draft!$G$25</f>
        <v>7.64</v>
      </c>
      <c r="H194" s="753"/>
      <c r="I194" s="808">
        <f>Draft!$Y$25</f>
        <v>11.97</v>
      </c>
      <c r="J194" s="809"/>
      <c r="L194" s="457"/>
      <c r="M194" s="457"/>
      <c r="N194" s="457"/>
      <c r="O194" s="457"/>
      <c r="P194" s="457"/>
    </row>
    <row r="195" spans="1:16" ht="12.95" customHeight="1" x14ac:dyDescent="0.25">
      <c r="A195" s="339" t="s">
        <v>123</v>
      </c>
      <c r="B195" s="315"/>
      <c r="C195" s="315"/>
      <c r="D195" s="315"/>
      <c r="E195" s="315"/>
      <c r="F195" s="316"/>
      <c r="G195" s="752">
        <f>($G$193+$G$194)/2</f>
        <v>7.74</v>
      </c>
      <c r="H195" s="753"/>
      <c r="I195" s="752">
        <f>($I$193+$I$194)/2</f>
        <v>11.975000000000001</v>
      </c>
      <c r="J195" s="809"/>
      <c r="L195" s="457"/>
      <c r="M195" s="457"/>
      <c r="N195" s="457"/>
      <c r="O195" s="457"/>
      <c r="P195" s="457"/>
    </row>
    <row r="196" spans="1:16" ht="12.95" customHeight="1" x14ac:dyDescent="0.25">
      <c r="A196" s="449" t="s">
        <v>124</v>
      </c>
      <c r="B196" s="314"/>
      <c r="C196" s="314"/>
      <c r="D196" s="314"/>
      <c r="E196" s="314"/>
      <c r="F196" s="317"/>
      <c r="G196" s="776">
        <f>Draft!$M$25</f>
        <v>-2.1300000000000985E-2</v>
      </c>
      <c r="H196" s="777"/>
      <c r="I196" s="813">
        <f>Draft!$AE$25</f>
        <v>-2.2900000000001697E-2</v>
      </c>
      <c r="J196" s="814"/>
      <c r="L196" s="457"/>
      <c r="M196" s="457"/>
      <c r="N196" s="457"/>
      <c r="O196" s="457"/>
      <c r="P196" s="457"/>
    </row>
    <row r="197" spans="1:16" ht="12.95" customHeight="1" x14ac:dyDescent="0.25">
      <c r="A197" s="330" t="s">
        <v>711</v>
      </c>
      <c r="B197" s="310"/>
      <c r="C197" s="310"/>
      <c r="D197" s="310"/>
      <c r="E197" s="310"/>
      <c r="F197" s="311"/>
      <c r="G197" s="829">
        <f>Draft!$P$25</f>
        <v>7.7186999999999992</v>
      </c>
      <c r="H197" s="830"/>
      <c r="I197" s="815">
        <f>Draft!$AH$25</f>
        <v>11.9521</v>
      </c>
      <c r="J197" s="816"/>
      <c r="L197" s="457"/>
      <c r="M197" s="457"/>
      <c r="N197" s="457"/>
      <c r="O197" s="457"/>
      <c r="P197" s="457"/>
    </row>
    <row r="198" spans="1:16" ht="12.95" customHeight="1" x14ac:dyDescent="0.25">
      <c r="A198" s="338" t="s">
        <v>125</v>
      </c>
      <c r="B198" s="312"/>
      <c r="C198" s="312"/>
      <c r="D198" s="312"/>
      <c r="E198" s="312"/>
      <c r="F198" s="313"/>
      <c r="G198" s="750">
        <f>Draft!$C$26</f>
        <v>7.89</v>
      </c>
      <c r="H198" s="751"/>
      <c r="I198" s="806">
        <f>Draft!$U$26</f>
        <v>12.09</v>
      </c>
      <c r="J198" s="807"/>
      <c r="L198" s="457"/>
      <c r="M198" s="457"/>
      <c r="N198" s="457"/>
      <c r="O198" s="457"/>
      <c r="P198" s="457"/>
    </row>
    <row r="199" spans="1:16" ht="12.95" customHeight="1" x14ac:dyDescent="0.25">
      <c r="A199" s="449" t="s">
        <v>126</v>
      </c>
      <c r="B199" s="315"/>
      <c r="C199" s="315"/>
      <c r="D199" s="315"/>
      <c r="E199" s="315"/>
      <c r="F199" s="316"/>
      <c r="G199" s="752">
        <f>Draft!$G$26</f>
        <v>7.61</v>
      </c>
      <c r="H199" s="753"/>
      <c r="I199" s="808">
        <f>Draft!$Y$26</f>
        <v>12.08</v>
      </c>
      <c r="J199" s="809"/>
      <c r="L199" s="457"/>
      <c r="M199" s="457"/>
      <c r="N199" s="457"/>
      <c r="O199" s="457"/>
      <c r="P199" s="457"/>
    </row>
    <row r="200" spans="1:16" ht="12.95" customHeight="1" x14ac:dyDescent="0.25">
      <c r="A200" s="339" t="s">
        <v>127</v>
      </c>
      <c r="B200" s="315"/>
      <c r="C200" s="315"/>
      <c r="D200" s="315"/>
      <c r="E200" s="315"/>
      <c r="F200" s="316"/>
      <c r="G200" s="752">
        <f>($G$198+$G$199)/2</f>
        <v>7.75</v>
      </c>
      <c r="H200" s="753"/>
      <c r="I200" s="752">
        <f>($I$198+$I$199)/2</f>
        <v>12.085000000000001</v>
      </c>
      <c r="J200" s="809"/>
      <c r="L200" s="457"/>
      <c r="M200" s="457"/>
      <c r="N200" s="457"/>
      <c r="O200" s="457"/>
      <c r="P200" s="457"/>
    </row>
    <row r="201" spans="1:16" ht="12.95" customHeight="1" x14ac:dyDescent="0.25">
      <c r="A201" s="449" t="s">
        <v>128</v>
      </c>
      <c r="B201" s="314"/>
      <c r="C201" s="314"/>
      <c r="D201" s="314"/>
      <c r="E201" s="314"/>
      <c r="F201" s="317"/>
      <c r="G201" s="776">
        <f>Draft!$M$26</f>
        <v>-1.7600000000000726E-2</v>
      </c>
      <c r="H201" s="777"/>
      <c r="I201" s="813">
        <f>Draft!$AE$26</f>
        <v>-1.7800000000001148E-2</v>
      </c>
      <c r="J201" s="814"/>
      <c r="L201" s="457"/>
      <c r="M201" s="457"/>
      <c r="N201" s="457"/>
      <c r="O201" s="457"/>
      <c r="P201" s="457"/>
    </row>
    <row r="202" spans="1:16" ht="12.95" customHeight="1" x14ac:dyDescent="0.25">
      <c r="A202" s="330" t="s">
        <v>712</v>
      </c>
      <c r="B202" s="310"/>
      <c r="C202" s="310"/>
      <c r="D202" s="310"/>
      <c r="E202" s="310"/>
      <c r="F202" s="311"/>
      <c r="G202" s="829">
        <f>Draft!$P$26</f>
        <v>7.7323999999999993</v>
      </c>
      <c r="H202" s="830"/>
      <c r="I202" s="815">
        <f>Draft!$AH$26</f>
        <v>12.0672</v>
      </c>
      <c r="J202" s="816"/>
      <c r="L202" s="457"/>
      <c r="M202" s="457"/>
      <c r="N202" s="457"/>
      <c r="O202" s="457"/>
      <c r="P202" s="457"/>
    </row>
    <row r="203" spans="1:16" ht="12.95" customHeight="1" x14ac:dyDescent="0.25">
      <c r="A203" s="338" t="s">
        <v>129</v>
      </c>
      <c r="B203" s="312"/>
      <c r="C203" s="312"/>
      <c r="D203" s="312"/>
      <c r="E203" s="312"/>
      <c r="F203" s="313"/>
      <c r="G203" s="750">
        <f>Draft!$C$27</f>
        <v>7.85</v>
      </c>
      <c r="H203" s="751"/>
      <c r="I203" s="806">
        <f>Draft!$U$27</f>
        <v>12.12</v>
      </c>
      <c r="J203" s="807"/>
      <c r="L203" s="457"/>
      <c r="M203" s="457"/>
      <c r="N203" s="457"/>
      <c r="O203" s="457"/>
      <c r="P203" s="457"/>
    </row>
    <row r="204" spans="1:16" ht="12.95" customHeight="1" x14ac:dyDescent="0.25">
      <c r="A204" s="339" t="s">
        <v>130</v>
      </c>
      <c r="B204" s="315"/>
      <c r="C204" s="315"/>
      <c r="D204" s="315"/>
      <c r="E204" s="315"/>
      <c r="F204" s="316"/>
      <c r="G204" s="752">
        <f>Draft!$G$27</f>
        <v>7.85</v>
      </c>
      <c r="H204" s="753"/>
      <c r="I204" s="808">
        <f>Draft!$Y$27</f>
        <v>12.11</v>
      </c>
      <c r="J204" s="809"/>
      <c r="L204" s="457"/>
      <c r="M204" s="457"/>
      <c r="N204" s="457"/>
      <c r="O204" s="457"/>
      <c r="P204" s="457"/>
    </row>
    <row r="205" spans="1:16" ht="12.95" customHeight="1" x14ac:dyDescent="0.25">
      <c r="A205" s="339" t="s">
        <v>131</v>
      </c>
      <c r="B205" s="315"/>
      <c r="C205" s="315"/>
      <c r="D205" s="315"/>
      <c r="E205" s="315"/>
      <c r="F205" s="316"/>
      <c r="G205" s="752">
        <f>($G$203+$G$204)/2</f>
        <v>7.85</v>
      </c>
      <c r="H205" s="753"/>
      <c r="I205" s="752">
        <f>($I$203+$I$204)/2</f>
        <v>12.114999999999998</v>
      </c>
      <c r="J205" s="809"/>
      <c r="L205" s="457"/>
      <c r="M205" s="457"/>
      <c r="N205" s="457"/>
      <c r="O205" s="457"/>
      <c r="P205" s="457"/>
    </row>
    <row r="206" spans="1:16" ht="12.95" customHeight="1" x14ac:dyDescent="0.25">
      <c r="A206" s="449" t="s">
        <v>132</v>
      </c>
      <c r="B206" s="314"/>
      <c r="C206" s="314"/>
      <c r="D206" s="314"/>
      <c r="E206" s="314"/>
      <c r="F206" s="317"/>
      <c r="G206" s="776">
        <f>Draft!$M$27</f>
        <v>-1.780000000000026E-2</v>
      </c>
      <c r="H206" s="777"/>
      <c r="I206" s="813">
        <f>Draft!$AE$27</f>
        <v>-8.1999999999986528E-3</v>
      </c>
      <c r="J206" s="814"/>
      <c r="L206" s="457"/>
      <c r="M206" s="457"/>
      <c r="N206" s="457"/>
      <c r="O206" s="457"/>
      <c r="P206" s="457"/>
    </row>
    <row r="207" spans="1:16" ht="12.95" customHeight="1" x14ac:dyDescent="0.25">
      <c r="A207" s="330" t="s">
        <v>713</v>
      </c>
      <c r="B207" s="310"/>
      <c r="C207" s="310"/>
      <c r="D207" s="310"/>
      <c r="E207" s="310"/>
      <c r="F207" s="311"/>
      <c r="G207" s="829">
        <f>Draft!$P$27</f>
        <v>7.8321999999999994</v>
      </c>
      <c r="H207" s="830"/>
      <c r="I207" s="815">
        <f>Draft!$AH$27</f>
        <v>12.1068</v>
      </c>
      <c r="J207" s="816"/>
      <c r="L207" s="457"/>
      <c r="M207" s="457"/>
      <c r="N207" s="457"/>
      <c r="O207" s="457"/>
      <c r="P207" s="457"/>
    </row>
    <row r="208" spans="1:16" ht="12.95" customHeight="1" thickBot="1" x14ac:dyDescent="0.3">
      <c r="A208" s="450" t="s">
        <v>133</v>
      </c>
      <c r="B208" s="318"/>
      <c r="C208" s="318"/>
      <c r="D208" s="318"/>
      <c r="E208" s="318"/>
      <c r="F208" s="319"/>
      <c r="G208" s="831">
        <f>Draft!$O$20+Draft!$H$18</f>
        <v>1.7000000000000001E-2</v>
      </c>
      <c r="H208" s="832"/>
      <c r="I208" s="823">
        <f>$G$208</f>
        <v>1.7000000000000001E-2</v>
      </c>
      <c r="J208" s="824"/>
      <c r="L208" s="457"/>
      <c r="M208" s="457"/>
      <c r="N208" s="457"/>
      <c r="O208" s="457"/>
      <c r="P208" s="457"/>
    </row>
    <row r="209" spans="1:16" ht="12.95" customHeight="1" thickBot="1" x14ac:dyDescent="0.3">
      <c r="A209" s="340" t="s">
        <v>584</v>
      </c>
      <c r="B209" s="341"/>
      <c r="C209" s="341"/>
      <c r="D209" s="341"/>
      <c r="E209" s="341"/>
      <c r="F209" s="342"/>
      <c r="G209" s="1170">
        <f>Draft!$M$37</f>
        <v>4.5589103987637714E-3</v>
      </c>
      <c r="H209" s="1171"/>
      <c r="I209" s="1170">
        <f>Draft!$AE$37</f>
        <v>-5.2338474530451151E-3</v>
      </c>
      <c r="J209" s="1171"/>
      <c r="L209" s="457"/>
      <c r="M209" s="457"/>
      <c r="N209" s="457"/>
      <c r="O209" s="457"/>
      <c r="P209" s="457"/>
    </row>
    <row r="210" spans="1:16" ht="12.95" customHeight="1" thickBot="1" x14ac:dyDescent="0.3">
      <c r="A210" s="451" t="s">
        <v>585</v>
      </c>
      <c r="B210" s="320"/>
      <c r="C210" s="320"/>
      <c r="D210" s="320"/>
      <c r="E210" s="320"/>
      <c r="F210" s="321"/>
      <c r="G210" s="825">
        <f>Draft!$M$39</f>
        <v>7.7477214103987624</v>
      </c>
      <c r="H210" s="833"/>
      <c r="I210" s="825">
        <f>Draft!$AE$39</f>
        <v>12.052528652546954</v>
      </c>
      <c r="J210" s="826"/>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0.11350000000000016</v>
      </c>
      <c r="I212" s="329" t="str">
        <f>IF(I207=0,"",IF(I207&gt;I197,"BY STERN","BY HEAD"))</f>
        <v>BY STERN</v>
      </c>
      <c r="J212" s="446">
        <f>Draft!$AH$29</f>
        <v>0.15470000000000006</v>
      </c>
      <c r="L212" s="457"/>
      <c r="M212" s="457"/>
      <c r="N212" s="457"/>
      <c r="O212" s="457"/>
      <c r="P212" s="457"/>
    </row>
    <row r="213" spans="1:16" ht="12.95" customHeight="1" x14ac:dyDescent="0.25">
      <c r="A213" s="330" t="s">
        <v>136</v>
      </c>
      <c r="B213" s="331"/>
      <c r="C213" s="331"/>
      <c r="D213" s="331"/>
      <c r="E213" s="331"/>
      <c r="F213" s="332"/>
      <c r="G213" s="333" t="str">
        <f>_xlfn.CONCAT(Draft!$P$35," ",TEXT(Draft!$M$35,"0.00")," º")</f>
        <v>P 000 º</v>
      </c>
      <c r="H213" s="398">
        <f>Draft!$G$35</f>
        <v>28</v>
      </c>
      <c r="I213" s="333" t="str">
        <f>_xlfn.CONCAT(Draft!$AH$35," ",TEXT(Draft!$AE$35,"0.00")," º")</f>
        <v>P 000 º</v>
      </c>
      <c r="J213" s="447">
        <f>Draft!$Y$35</f>
        <v>1</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4.3050000000000033</v>
      </c>
      <c r="I214" s="400" t="str">
        <f>Draft!$AE$33</f>
        <v>SAGGING</v>
      </c>
      <c r="J214" s="448">
        <f>Draft!$Y$33</f>
        <v>3.7749999999999062</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778" t="s">
        <v>119</v>
      </c>
      <c r="H216" s="779"/>
      <c r="I216" s="827" t="s">
        <v>120</v>
      </c>
      <c r="J216" s="828"/>
      <c r="L216" s="457"/>
      <c r="M216" s="457"/>
      <c r="N216" s="457"/>
      <c r="O216" s="457"/>
      <c r="P216" s="457"/>
    </row>
    <row r="217" spans="1:16" ht="12.95" customHeight="1" x14ac:dyDescent="0.25">
      <c r="A217" s="338" t="s">
        <v>140</v>
      </c>
      <c r="B217" s="312"/>
      <c r="C217" s="312"/>
      <c r="D217" s="312"/>
      <c r="E217" s="312"/>
      <c r="F217" s="313"/>
      <c r="G217" s="736">
        <f>Draft!$M$43</f>
        <v>48065.440000000002</v>
      </c>
      <c r="H217" s="768"/>
      <c r="I217" s="736">
        <f>Draft!$AE$43</f>
        <v>78788.170000000013</v>
      </c>
      <c r="J217" s="737"/>
      <c r="L217" s="457"/>
      <c r="M217" s="457"/>
      <c r="N217" s="457"/>
      <c r="O217" s="457"/>
      <c r="P217" s="457"/>
    </row>
    <row r="218" spans="1:16" ht="12.95" customHeight="1" x14ac:dyDescent="0.25">
      <c r="A218" s="339" t="s">
        <v>141</v>
      </c>
      <c r="B218" s="315"/>
      <c r="C218" s="315"/>
      <c r="D218" s="315"/>
      <c r="E218" s="315"/>
      <c r="F218" s="316"/>
      <c r="G218" s="738">
        <f>Draft!$N$57</f>
        <v>-9.8408167176755619</v>
      </c>
      <c r="H218" s="769"/>
      <c r="I218" s="738">
        <f>Draft!$AF$57</f>
        <v>17.542851932372891</v>
      </c>
      <c r="J218" s="739"/>
      <c r="L218" s="457"/>
      <c r="M218" s="457"/>
      <c r="N218" s="457"/>
      <c r="O218" s="457"/>
      <c r="P218" s="457"/>
    </row>
    <row r="219" spans="1:16" ht="12.95" customHeight="1" x14ac:dyDescent="0.25">
      <c r="A219" s="339" t="s">
        <v>142</v>
      </c>
      <c r="B219" s="315"/>
      <c r="C219" s="315"/>
      <c r="D219" s="315"/>
      <c r="E219" s="315"/>
      <c r="F219" s="316"/>
      <c r="G219" s="738">
        <f>Draft!$N$58</f>
        <v>0.1734269007263928</v>
      </c>
      <c r="H219" s="769"/>
      <c r="I219" s="738">
        <f>Draft!$AF$58</f>
        <v>0.12458594067796619</v>
      </c>
      <c r="J219" s="739"/>
      <c r="L219" s="457"/>
      <c r="M219" s="457"/>
      <c r="N219" s="457"/>
      <c r="O219" s="457"/>
      <c r="P219" s="457"/>
    </row>
    <row r="220" spans="1:16" ht="12.95" customHeight="1" x14ac:dyDescent="0.25">
      <c r="A220" s="339" t="s">
        <v>143</v>
      </c>
      <c r="B220" s="315"/>
      <c r="C220" s="315"/>
      <c r="D220" s="315"/>
      <c r="E220" s="315"/>
      <c r="F220" s="316"/>
      <c r="G220" s="740">
        <f>Draft!$N$61</f>
        <v>48055.772610183056</v>
      </c>
      <c r="H220" s="770"/>
      <c r="I220" s="740">
        <f>Draft!$AF$61</f>
        <v>78805.837437873066</v>
      </c>
      <c r="J220" s="741"/>
      <c r="L220" s="457"/>
      <c r="M220" s="457"/>
      <c r="N220" s="457"/>
      <c r="O220" s="457"/>
      <c r="P220" s="457"/>
    </row>
    <row r="221" spans="1:16" ht="12.95" customHeight="1" x14ac:dyDescent="0.25">
      <c r="A221" s="339" t="s">
        <v>144</v>
      </c>
      <c r="B221" s="315"/>
      <c r="C221" s="315"/>
      <c r="D221" s="315"/>
      <c r="E221" s="315"/>
      <c r="F221" s="316"/>
      <c r="G221" s="734">
        <f>Draft!$H$62</f>
        <v>1.0169999999999999</v>
      </c>
      <c r="H221" s="771"/>
      <c r="I221" s="734">
        <f>Draft!$Z$62</f>
        <v>1.0145</v>
      </c>
      <c r="J221" s="735"/>
      <c r="L221" s="457"/>
      <c r="M221" s="457"/>
      <c r="N221" s="457"/>
      <c r="O221" s="457"/>
      <c r="P221" s="457"/>
    </row>
    <row r="222" spans="1:16" ht="12.95" customHeight="1" x14ac:dyDescent="0.25">
      <c r="A222" s="339" t="s">
        <v>714</v>
      </c>
      <c r="B222" s="315"/>
      <c r="C222" s="315"/>
      <c r="D222" s="315"/>
      <c r="E222" s="315"/>
      <c r="F222" s="316"/>
      <c r="G222" s="740">
        <f>Draft!$N$63</f>
        <v>47680.703165420651</v>
      </c>
      <c r="H222" s="770"/>
      <c r="I222" s="740">
        <f>Draft!$AF$63</f>
        <v>77998.558127533877</v>
      </c>
      <c r="J222" s="741"/>
      <c r="L222" s="457"/>
      <c r="M222" s="457"/>
      <c r="N222" s="457"/>
      <c r="O222" s="457"/>
      <c r="P222" s="457"/>
    </row>
    <row r="223" spans="1:16" ht="12.95" customHeight="1" thickBot="1" x14ac:dyDescent="0.3">
      <c r="A223" s="340" t="s">
        <v>715</v>
      </c>
      <c r="B223" s="341"/>
      <c r="C223" s="341"/>
      <c r="D223" s="341"/>
      <c r="E223" s="341"/>
      <c r="F223" s="342"/>
      <c r="G223" s="732">
        <f>Draft!$H$72</f>
        <v>33486.780000000006</v>
      </c>
      <c r="H223" s="733"/>
      <c r="I223" s="732">
        <f>Draft!$AF$72</f>
        <v>1648.11</v>
      </c>
      <c r="J223" s="742"/>
      <c r="L223" s="457"/>
      <c r="M223" s="457"/>
      <c r="N223" s="457"/>
      <c r="O223" s="457"/>
      <c r="P223" s="457"/>
    </row>
    <row r="224" spans="1:16" ht="12.95" customHeight="1" thickBot="1" x14ac:dyDescent="0.3">
      <c r="A224" s="617" t="s">
        <v>716</v>
      </c>
      <c r="B224" s="618"/>
      <c r="C224" s="618"/>
      <c r="D224" s="618"/>
      <c r="E224" s="618"/>
      <c r="F224" s="618"/>
      <c r="G224" s="854">
        <f>Draft!$N$74</f>
        <v>14193.923165420645</v>
      </c>
      <c r="H224" s="855"/>
      <c r="I224" s="854">
        <f>Draft!$AF$74</f>
        <v>76350.448127533877</v>
      </c>
      <c r="J224" s="856"/>
      <c r="K224" s="452"/>
      <c r="L224" s="457"/>
      <c r="M224" s="457"/>
      <c r="N224" s="457"/>
      <c r="O224" s="457"/>
      <c r="P224" s="457"/>
    </row>
    <row r="225" spans="1:16" ht="12.95" customHeight="1" x14ac:dyDescent="0.25">
      <c r="A225" s="343" t="s">
        <v>620</v>
      </c>
      <c r="B225" s="344"/>
      <c r="C225" s="344"/>
      <c r="D225" s="344"/>
      <c r="E225" s="344"/>
      <c r="F225" s="345"/>
      <c r="G225" s="746">
        <f>Draft!$H$75</f>
        <v>13726.4</v>
      </c>
      <c r="H225" s="747"/>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48">
        <f>Draft!$N$77</f>
        <v>491.92316542064509</v>
      </c>
      <c r="H226" s="749"/>
      <c r="I226" s="325"/>
      <c r="J226" s="351"/>
      <c r="L226" s="457"/>
      <c r="M226" s="457"/>
      <c r="N226" s="457"/>
      <c r="O226" s="457"/>
      <c r="P226" s="457"/>
    </row>
    <row r="227" spans="1:16" ht="12.95" customHeight="1" x14ac:dyDescent="0.25">
      <c r="A227" s="352" t="s">
        <v>717</v>
      </c>
      <c r="B227" s="353"/>
      <c r="C227" s="353"/>
      <c r="D227" s="353"/>
      <c r="E227" s="353"/>
      <c r="F227" s="354"/>
      <c r="G227" s="743">
        <f>Draft!$H$76</f>
        <v>24.4</v>
      </c>
      <c r="H227" s="745"/>
      <c r="I227" s="743">
        <f>Draft!$Z$76</f>
        <v>0</v>
      </c>
      <c r="J227" s="744"/>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30">
        <f>Draft!$AF$77</f>
        <v>62132.12496211323</v>
      </c>
      <c r="J228" s="731"/>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BTG 01, IT, RO, .</v>
      </c>
      <c r="B230" s="360"/>
      <c r="C230" s="360"/>
      <c r="D230" s="360"/>
      <c r="E230" s="360"/>
      <c r="F230" s="630"/>
      <c r="G230" s="9" t="s">
        <v>145</v>
      </c>
      <c r="H230" s="404">
        <f>Draft!$M$47</f>
        <v>68.295000000000002</v>
      </c>
      <c r="I230" s="9" t="s">
        <v>145</v>
      </c>
      <c r="J230" s="453">
        <f>Draft!$AE$47</f>
        <v>73.405000000000001</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 meal in bulk</v>
      </c>
      <c r="B231" s="403"/>
      <c r="C231" s="403"/>
      <c r="D231" s="403"/>
      <c r="E231" s="403"/>
      <c r="F231" s="402"/>
      <c r="G231" s="361" t="s">
        <v>151</v>
      </c>
      <c r="H231" s="405">
        <f>Draft!$J$53</f>
        <v>943.6</v>
      </c>
      <c r="I231" s="361" t="s">
        <v>151</v>
      </c>
      <c r="J231" s="454">
        <f>Draft!$AB$53</f>
        <v>1143</v>
      </c>
      <c r="L231" s="457" t="s">
        <v>745</v>
      </c>
      <c r="M231" s="457"/>
      <c r="N231" s="457"/>
      <c r="O231" s="461"/>
      <c r="P231" s="461"/>
    </row>
    <row r="232" spans="1:16" ht="12.95" customHeight="1" thickTop="1" thickBot="1" x14ac:dyDescent="0.3">
      <c r="A232" s="1172" t="str">
        <f>Relato!A207</f>
        <v>Paranaguá, Br - Brazil.  March 25th, 2026</v>
      </c>
      <c r="B232" s="1173"/>
      <c r="C232" s="1173"/>
      <c r="D232" s="1173"/>
      <c r="E232" s="1173"/>
      <c r="F232" s="1174"/>
      <c r="G232" s="362" t="s">
        <v>152</v>
      </c>
      <c r="H232" s="406">
        <f>Draft!$J$54</f>
        <v>888</v>
      </c>
      <c r="I232" s="362" t="s">
        <v>152</v>
      </c>
      <c r="J232" s="455">
        <f>Draft!$AB$54</f>
        <v>1121.5</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42">
        <f>Draft!$Z$78</f>
        <v>62200</v>
      </c>
      <c r="J234" s="843"/>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844">
        <f>Draft!$AF$77</f>
        <v>62132.12496211323</v>
      </c>
      <c r="J235" s="845"/>
      <c r="L235" s="457"/>
      <c r="M235" s="457"/>
      <c r="N235" s="457"/>
      <c r="O235" s="457"/>
      <c r="P235" s="457"/>
    </row>
    <row r="236" spans="1:16" ht="12.95" customHeight="1" thickBot="1" x14ac:dyDescent="0.3">
      <c r="A236" s="622" t="str">
        <f>IF($G$236&gt;0,"Surplus","Shortage")</f>
        <v>Shortage</v>
      </c>
      <c r="B236" s="371"/>
      <c r="C236" s="371"/>
      <c r="D236" s="371"/>
      <c r="E236" s="371"/>
      <c r="F236" s="371"/>
      <c r="G236" s="848">
        <f>$I$235-$I$234</f>
        <v>-67.87503788676986</v>
      </c>
      <c r="H236" s="848"/>
      <c r="I236" s="846">
        <f>($G$236/$I$234)*100</f>
        <v>-0.10912385512342421</v>
      </c>
      <c r="J236" s="847"/>
      <c r="L236" s="457"/>
      <c r="M236" s="457"/>
      <c r="N236" s="457"/>
      <c r="O236" s="457"/>
      <c r="P236" s="457"/>
    </row>
    <row r="237" spans="1:16" ht="39" customHeight="1" thickTop="1" x14ac:dyDescent="0.25">
      <c r="A237" s="1169"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480 t.</v>
      </c>
      <c r="B237" s="1169"/>
      <c r="C237" s="1169"/>
      <c r="D237" s="1169"/>
      <c r="E237" s="1169"/>
      <c r="F237" s="1169"/>
      <c r="G237" s="1169"/>
      <c r="H237" s="1169"/>
      <c r="I237" s="1169"/>
      <c r="J237" s="1169"/>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62247</v>
      </c>
      <c r="I239" s="581">
        <f>H239-I234</f>
        <v>47</v>
      </c>
      <c r="J239" s="623">
        <f>IFERROR((I239/I234)*100,"")</f>
        <v>7.5562700964630219E-2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149</v>
      </c>
      <c r="H240" s="580">
        <f>Draft!$X$83</f>
        <v>62172.35</v>
      </c>
      <c r="I240" s="581">
        <f>H240-I234</f>
        <v>-27.650000000001455</v>
      </c>
      <c r="J240" s="623">
        <f>IFERROR((I240/I234)*100,"")</f>
        <v>-4.4453376205790124E-2</v>
      </c>
    </row>
    <row r="241" spans="1:16" ht="12.95" customHeight="1" x14ac:dyDescent="0.25">
      <c r="A241" s="417" t="s">
        <v>150</v>
      </c>
      <c r="B241" s="417"/>
      <c r="C241" s="417"/>
      <c r="D241" s="417"/>
      <c r="E241" s="417"/>
      <c r="F241" s="418"/>
      <c r="G241" s="419" t="str">
        <f>Draft!$U$84</f>
        <v>Owners P&amp;I:</v>
      </c>
      <c r="H241" s="580">
        <f>Draft!$X$84</f>
        <v>62200.430999999997</v>
      </c>
      <c r="I241" s="581">
        <f>H241-I234</f>
        <v>0.43099999999685679</v>
      </c>
      <c r="J241" s="623">
        <f>IFERROR((I241/I234)*100,"")</f>
        <v>6.9292604501102384E-4</v>
      </c>
    </row>
    <row r="242" spans="1:16" ht="12.95" customHeight="1" x14ac:dyDescent="0.25">
      <c r="A242" s="10"/>
      <c r="B242" s="417"/>
      <c r="C242" s="417"/>
      <c r="D242" s="417"/>
      <c r="E242" s="417"/>
      <c r="F242" s="418"/>
      <c r="G242" s="419">
        <f>Draft!$U$85</f>
        <v>0</v>
      </c>
      <c r="H242" s="580">
        <f>Draft!$X$85</f>
        <v>0</v>
      </c>
      <c r="I242" s="581">
        <f>H242-I234</f>
        <v>-62200</v>
      </c>
      <c r="J242" s="623">
        <f>IFERROR((I242/I234)*100,"")</f>
        <v>-100</v>
      </c>
    </row>
    <row r="243" spans="1:16" ht="12.95" customHeight="1" x14ac:dyDescent="0.25">
      <c r="A243" s="10"/>
      <c r="B243" s="10"/>
      <c r="C243" s="10"/>
      <c r="D243" s="10"/>
      <c r="E243" s="10"/>
      <c r="F243" s="419"/>
      <c r="G243" s="419">
        <f>Draft!$U$86</f>
        <v>0</v>
      </c>
      <c r="H243" s="580">
        <f>Draft!$X$86</f>
        <v>0</v>
      </c>
      <c r="I243" s="581">
        <f>H243-I234</f>
        <v>-62200</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5" t="s">
        <v>148</v>
      </c>
      <c r="E248" s="1175"/>
      <c r="F248" s="1175"/>
      <c r="G248" s="1175"/>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546</v>
      </c>
      <c r="B251" s="16"/>
      <c r="C251" s="16"/>
      <c r="D251" s="16"/>
      <c r="E251" s="16"/>
      <c r="F251" s="292" t="s">
        <v>547</v>
      </c>
      <c r="G251" s="411">
        <f>Draft!$E$4</f>
        <v>46102</v>
      </c>
      <c r="H251" s="378">
        <f>Relato!H219</f>
        <v>0.72222222222222221</v>
      </c>
      <c r="I251" s="379" t="s">
        <v>548</v>
      </c>
      <c r="J251" s="380">
        <f>IFERROR(ROUND(Draft!$P$29,2),"")</f>
        <v>0.11</v>
      </c>
      <c r="L251" s="457"/>
      <c r="M251" s="457"/>
      <c r="N251" s="457"/>
      <c r="O251" s="461"/>
      <c r="P251" s="461"/>
    </row>
    <row r="252" spans="1:16" x14ac:dyDescent="0.25">
      <c r="A252" s="286" t="s">
        <v>0</v>
      </c>
      <c r="B252" s="286" t="s">
        <v>1</v>
      </c>
      <c r="C252" s="286" t="s">
        <v>2</v>
      </c>
      <c r="D252" s="286" t="s">
        <v>1</v>
      </c>
      <c r="E252" s="758" t="s">
        <v>576</v>
      </c>
      <c r="F252" s="758"/>
      <c r="G252" s="286" t="s">
        <v>3</v>
      </c>
      <c r="H252" s="286" t="s">
        <v>1</v>
      </c>
      <c r="I252" s="286" t="s">
        <v>1</v>
      </c>
      <c r="J252" s="286" t="s">
        <v>4</v>
      </c>
      <c r="L252" s="457"/>
      <c r="M252" s="457"/>
      <c r="N252" s="457"/>
      <c r="O252" s="461"/>
      <c r="P252" s="461"/>
    </row>
    <row r="253" spans="1:16" x14ac:dyDescent="0.25">
      <c r="A253" s="287" t="s">
        <v>718</v>
      </c>
      <c r="B253" s="287" t="s">
        <v>5</v>
      </c>
      <c r="C253" s="287" t="s">
        <v>6</v>
      </c>
      <c r="D253" s="287" t="s">
        <v>7</v>
      </c>
      <c r="E253" s="288" t="s">
        <v>8</v>
      </c>
      <c r="F253" s="288" t="s">
        <v>9</v>
      </c>
      <c r="G253" s="287" t="s">
        <v>7</v>
      </c>
      <c r="H253" s="287" t="s">
        <v>545</v>
      </c>
      <c r="I253" s="287" t="s">
        <v>10</v>
      </c>
      <c r="J253" s="287" t="s">
        <v>11</v>
      </c>
      <c r="L253" s="457"/>
      <c r="M253" s="457"/>
      <c r="N253" s="457"/>
      <c r="O253" s="457"/>
      <c r="P253" s="457"/>
    </row>
    <row r="254" spans="1:16" x14ac:dyDescent="0.25">
      <c r="A254" s="377" t="str">
        <f>Relato!$A$222</f>
        <v>F.PK</v>
      </c>
      <c r="B254" s="526">
        <f>Relato!$B$222</f>
        <v>24.3</v>
      </c>
      <c r="C254" s="526">
        <f>Relato!$C$222</f>
        <v>0</v>
      </c>
      <c r="D254" s="526">
        <f>Relato!$D$222</f>
        <v>15.69</v>
      </c>
      <c r="E254" s="526" t="str">
        <f>Relato!$E$222</f>
        <v>Directly applied on volume</v>
      </c>
      <c r="F254" s="526">
        <f>Relato!$F$222</f>
        <v>0</v>
      </c>
      <c r="G254" s="576">
        <f>IFERROR(D254+(E254+F254),D254)</f>
        <v>15.69</v>
      </c>
      <c r="H254" s="526">
        <f>Relato!$H$222</f>
        <v>1736.51</v>
      </c>
      <c r="I254" s="527">
        <f>Relato!$I$222</f>
        <v>1.022</v>
      </c>
      <c r="J254" s="528">
        <f>ROUND(H254*I254,1)</f>
        <v>1774.7</v>
      </c>
      <c r="L254" s="457"/>
      <c r="M254" s="457"/>
      <c r="N254" s="457"/>
      <c r="O254" s="457"/>
      <c r="P254" s="457"/>
    </row>
    <row r="255" spans="1:16" x14ac:dyDescent="0.25">
      <c r="A255" s="374" t="str">
        <f>Relato!$A$223</f>
        <v>1 DB (P)</v>
      </c>
      <c r="B255" s="1">
        <f>Relato!$B$223</f>
        <v>24.48</v>
      </c>
      <c r="C255" s="1">
        <f>Relato!$C$223</f>
        <v>0.3</v>
      </c>
      <c r="D255" s="1">
        <f>Relato!$D$223</f>
        <v>16.38</v>
      </c>
      <c r="E255" s="1">
        <f>Relato!$E$223</f>
        <v>0</v>
      </c>
      <c r="F255" s="1">
        <f>Relato!$F$223</f>
        <v>0</v>
      </c>
      <c r="G255" s="672">
        <f>IFERROR(D255+(E255+F255),D255)</f>
        <v>16.38</v>
      </c>
      <c r="H255" s="1">
        <f>Relato!$H$223</f>
        <v>1023.9</v>
      </c>
      <c r="I255" s="274">
        <f>Relato!$I$223</f>
        <v>1.022</v>
      </c>
      <c r="J255" s="529">
        <f>IFERROR(ROUND(H255*I255,1),"")</f>
        <v>1046.4000000000001</v>
      </c>
      <c r="L255" s="457"/>
      <c r="M255" s="457"/>
      <c r="N255" s="457"/>
      <c r="O255" s="457"/>
      <c r="P255" s="457"/>
    </row>
    <row r="256" spans="1:16" x14ac:dyDescent="0.25">
      <c r="A256" s="374" t="str">
        <f>Relato!$A$224</f>
        <v>1 DB (S)</v>
      </c>
      <c r="B256" s="1">
        <f>Relato!$B$224</f>
        <v>24.34</v>
      </c>
      <c r="C256" s="1">
        <f>Relato!$C$224</f>
        <v>0.31</v>
      </c>
      <c r="D256" s="1">
        <f>Relato!$D$224</f>
        <v>16.04</v>
      </c>
      <c r="E256" s="1">
        <f>Relato!$E$224</f>
        <v>0</v>
      </c>
      <c r="F256" s="1">
        <f>Relato!$F$224</f>
        <v>0</v>
      </c>
      <c r="G256" s="672">
        <f t="shared" ref="G256:G282" si="0">IFERROR(D256+(E256+F256),D256)</f>
        <v>16.04</v>
      </c>
      <c r="H256" s="1">
        <f>Relato!$H$224</f>
        <v>1023.9</v>
      </c>
      <c r="I256" s="274">
        <f>Relato!$I$224</f>
        <v>1.022</v>
      </c>
      <c r="J256" s="529">
        <f t="shared" ref="J256:J283" si="1">IFERROR(ROUND(H256*I256,1),"")</f>
        <v>1046.4000000000001</v>
      </c>
      <c r="L256" s="457"/>
      <c r="M256" s="457"/>
      <c r="N256" s="457"/>
      <c r="O256" s="457"/>
      <c r="P256" s="457"/>
    </row>
    <row r="257" spans="1:16" x14ac:dyDescent="0.25">
      <c r="A257" s="374" t="str">
        <f>Relato!$A$225</f>
        <v>2 DB (P)</v>
      </c>
      <c r="B257" s="1">
        <f>Relato!$B$225</f>
        <v>24.58</v>
      </c>
      <c r="C257" s="1">
        <f>Relato!$C$225</f>
        <v>0.3</v>
      </c>
      <c r="D257" s="1">
        <f>Relato!$D$225</f>
        <v>18.59</v>
      </c>
      <c r="E257" s="1">
        <f>Relato!$E$225</f>
        <v>0</v>
      </c>
      <c r="F257" s="1">
        <f>Relato!$F$225</f>
        <v>0</v>
      </c>
      <c r="G257" s="672">
        <f t="shared" si="0"/>
        <v>18.59</v>
      </c>
      <c r="H257" s="1">
        <f>Relato!$H$225</f>
        <v>1142.1500000000001</v>
      </c>
      <c r="I257" s="274">
        <f>Relato!$I$225</f>
        <v>1.022</v>
      </c>
      <c r="J257" s="529">
        <f t="shared" si="1"/>
        <v>1167.3</v>
      </c>
      <c r="L257" s="457"/>
      <c r="M257" s="457"/>
      <c r="N257" s="457"/>
      <c r="O257" s="457"/>
      <c r="P257" s="457"/>
    </row>
    <row r="258" spans="1:16" x14ac:dyDescent="0.25">
      <c r="A258" s="374" t="str">
        <f>Relato!$A$226</f>
        <v>2 DB (S)</v>
      </c>
      <c r="B258" s="1">
        <f>Relato!$B$226</f>
        <v>24.59</v>
      </c>
      <c r="C258" s="1">
        <f>Relato!$C$226</f>
        <v>0.31</v>
      </c>
      <c r="D258" s="1">
        <f>Relato!$D$226</f>
        <v>18.62</v>
      </c>
      <c r="E258" s="1">
        <f>Relato!$E$226</f>
        <v>0</v>
      </c>
      <c r="F258" s="1">
        <f>Relato!$F$226</f>
        <v>0</v>
      </c>
      <c r="G258" s="672">
        <f t="shared" si="0"/>
        <v>18.62</v>
      </c>
      <c r="H258" s="1">
        <f>Relato!$H$226</f>
        <v>1142.1500000000001</v>
      </c>
      <c r="I258" s="274">
        <f>Relato!$I$226</f>
        <v>1.022</v>
      </c>
      <c r="J258" s="529">
        <f t="shared" si="1"/>
        <v>1167.3</v>
      </c>
      <c r="L258" s="457"/>
      <c r="M258" s="457"/>
      <c r="N258" s="457"/>
      <c r="O258" s="457"/>
      <c r="P258" s="457"/>
    </row>
    <row r="259" spans="1:16" x14ac:dyDescent="0.25">
      <c r="A259" s="374" t="str">
        <f>Relato!$A$227</f>
        <v>3 DB (P)</v>
      </c>
      <c r="B259" s="1">
        <f>Relato!$B$227</f>
        <v>24.48</v>
      </c>
      <c r="C259" s="1">
        <f>Relato!C227</f>
        <v>0.31</v>
      </c>
      <c r="D259" s="1">
        <f>Relato!$D$227</f>
        <v>4.18</v>
      </c>
      <c r="E259" s="1">
        <f>Relato!$E$227</f>
        <v>0</v>
      </c>
      <c r="F259" s="1">
        <f>Relato!$F$227</f>
        <v>0</v>
      </c>
      <c r="G259" s="672">
        <f t="shared" si="0"/>
        <v>4.18</v>
      </c>
      <c r="H259" s="1">
        <f>Relato!$H$227</f>
        <v>888.78</v>
      </c>
      <c r="I259" s="274">
        <f>Relato!$I$227</f>
        <v>1.022</v>
      </c>
      <c r="J259" s="529">
        <f t="shared" si="1"/>
        <v>908.3</v>
      </c>
      <c r="L259" s="457"/>
      <c r="M259" s="457"/>
      <c r="N259" s="457"/>
      <c r="O259" s="457"/>
      <c r="P259" s="457"/>
    </row>
    <row r="260" spans="1:16" x14ac:dyDescent="0.25">
      <c r="A260" s="374" t="str">
        <f>Relato!$A$228</f>
        <v>3 DB (S)</v>
      </c>
      <c r="B260" s="1">
        <f>Relato!$B$228</f>
        <v>24.37</v>
      </c>
      <c r="C260" s="1">
        <f>Relato!$C$228</f>
        <v>0.28999999999999998</v>
      </c>
      <c r="D260" s="1">
        <f>Relato!$D$228</f>
        <v>6.18</v>
      </c>
      <c r="E260" s="1">
        <f>Relato!$E$228</f>
        <v>0</v>
      </c>
      <c r="F260" s="1">
        <f>Relato!$F$228</f>
        <v>0</v>
      </c>
      <c r="G260" s="672">
        <f t="shared" si="0"/>
        <v>6.18</v>
      </c>
      <c r="H260" s="1">
        <f>Relato!$H$228</f>
        <v>964.2</v>
      </c>
      <c r="I260" s="274">
        <f>Relato!$I$228</f>
        <v>1.022</v>
      </c>
      <c r="J260" s="529">
        <f t="shared" si="1"/>
        <v>985.4</v>
      </c>
      <c r="L260" s="457"/>
      <c r="M260" s="457"/>
      <c r="N260" s="457"/>
      <c r="O260" s="457"/>
      <c r="P260" s="457"/>
    </row>
    <row r="261" spans="1:16" x14ac:dyDescent="0.25">
      <c r="A261" s="374" t="str">
        <f>Relato!$A$229</f>
        <v>4 DB (P)</v>
      </c>
      <c r="B261" s="1">
        <f>Relato!$B$229</f>
        <v>24.32</v>
      </c>
      <c r="C261" s="1">
        <f>Relato!$C$229</f>
        <v>0.3</v>
      </c>
      <c r="D261" s="1">
        <f>Relato!$D$229</f>
        <v>10.039999999999999</v>
      </c>
      <c r="E261" s="1">
        <f>Relato!$E$229</f>
        <v>0</v>
      </c>
      <c r="F261" s="1">
        <f>Relato!$F$229</f>
        <v>0</v>
      </c>
      <c r="G261" s="672">
        <f t="shared" si="0"/>
        <v>10.039999999999999</v>
      </c>
      <c r="H261" s="1">
        <f>Relato!$H$229</f>
        <v>1099.99</v>
      </c>
      <c r="I261" s="274">
        <f>Relato!$I$229</f>
        <v>1.022</v>
      </c>
      <c r="J261" s="529">
        <f t="shared" si="1"/>
        <v>1124.2</v>
      </c>
      <c r="L261" s="457"/>
      <c r="M261" s="457"/>
      <c r="N261" s="457"/>
      <c r="O261" s="457"/>
      <c r="P261" s="457"/>
    </row>
    <row r="262" spans="1:16" x14ac:dyDescent="0.25">
      <c r="A262" s="374" t="str">
        <f>Relato!$A$230</f>
        <v>4 DB (S)</v>
      </c>
      <c r="B262" s="1">
        <f>Relato!$B$230</f>
        <v>24.3</v>
      </c>
      <c r="C262" s="1">
        <f>Relato!$C$230</f>
        <v>0.3</v>
      </c>
      <c r="D262" s="1">
        <f>Relato!$D$230</f>
        <v>9.33</v>
      </c>
      <c r="E262" s="1">
        <f>Relato!$E$230</f>
        <v>0</v>
      </c>
      <c r="F262" s="1">
        <f>Relato!$F$230</f>
        <v>0</v>
      </c>
      <c r="G262" s="672">
        <f t="shared" si="0"/>
        <v>9.33</v>
      </c>
      <c r="H262" s="1">
        <f>Relato!$H$230</f>
        <v>1099.99</v>
      </c>
      <c r="I262" s="274">
        <f>Relato!$I$230</f>
        <v>1.022</v>
      </c>
      <c r="J262" s="529">
        <f t="shared" si="1"/>
        <v>1124.2</v>
      </c>
      <c r="L262" s="457"/>
      <c r="M262" s="457"/>
      <c r="N262" s="457"/>
      <c r="O262" s="457"/>
      <c r="P262" s="457"/>
    </row>
    <row r="263" spans="1:16" x14ac:dyDescent="0.25">
      <c r="A263" s="374" t="str">
        <f>Relato!$A$231</f>
        <v>5 DB (P)</v>
      </c>
      <c r="B263" s="1">
        <f>Relato!$B$231</f>
        <v>24.56</v>
      </c>
      <c r="C263" s="1">
        <f>Relato!$C$231</f>
        <v>0.28999999999999998</v>
      </c>
      <c r="D263" s="1">
        <f>Relato!$D$231</f>
        <v>2.27</v>
      </c>
      <c r="E263" s="1">
        <f>Relato!$E$231</f>
        <v>0</v>
      </c>
      <c r="F263" s="1">
        <f>Relato!$F$231</f>
        <v>0</v>
      </c>
      <c r="G263" s="672">
        <f t="shared" si="0"/>
        <v>2.27</v>
      </c>
      <c r="H263" s="1">
        <f>Relato!$H$231</f>
        <v>789.28</v>
      </c>
      <c r="I263" s="274">
        <f>Relato!$I$231</f>
        <v>1.022</v>
      </c>
      <c r="J263" s="529">
        <f t="shared" si="1"/>
        <v>806.6</v>
      </c>
      <c r="L263" s="457"/>
      <c r="M263" s="457"/>
      <c r="N263" s="457"/>
      <c r="O263" s="457"/>
      <c r="P263" s="457"/>
    </row>
    <row r="264" spans="1:16" x14ac:dyDescent="0.25">
      <c r="A264" s="374" t="str">
        <f>Relato!$A$232</f>
        <v>5 DB (S)</v>
      </c>
      <c r="B264" s="1">
        <f>Relato!$B$232</f>
        <v>24.58</v>
      </c>
      <c r="C264" s="1">
        <f>Relato!$C$232</f>
        <v>0.28999999999999998</v>
      </c>
      <c r="D264" s="1">
        <f>Relato!$D$232</f>
        <v>6.16</v>
      </c>
      <c r="E264" s="1">
        <f>Relato!$E$232</f>
        <v>0</v>
      </c>
      <c r="F264" s="1">
        <f>Relato!$F$232</f>
        <v>0</v>
      </c>
      <c r="G264" s="672">
        <f t="shared" si="0"/>
        <v>6.16</v>
      </c>
      <c r="H264" s="1">
        <f>Relato!$H$232</f>
        <v>1053.1199999999999</v>
      </c>
      <c r="I264" s="274">
        <f>Relato!$I$232</f>
        <v>1.022</v>
      </c>
      <c r="J264" s="529">
        <f t="shared" si="1"/>
        <v>1076.3</v>
      </c>
      <c r="L264" s="457"/>
      <c r="M264" s="457"/>
      <c r="N264" s="457"/>
      <c r="O264" s="457"/>
      <c r="P264" s="457"/>
    </row>
    <row r="265" spans="1:16" x14ac:dyDescent="0.25">
      <c r="A265" s="374" t="str">
        <f>Relato!$A$233</f>
        <v>6 DB (P)</v>
      </c>
      <c r="B265" s="1">
        <f>Relato!$B$233</f>
        <v>24.45</v>
      </c>
      <c r="C265" s="1">
        <f>Relato!$C$233</f>
        <v>0.3</v>
      </c>
      <c r="D265" s="1">
        <f>Relato!$D$233</f>
        <v>6.48</v>
      </c>
      <c r="E265" s="1">
        <f>Relato!$E$233</f>
        <v>0</v>
      </c>
      <c r="F265" s="1">
        <f>Relato!$F$233</f>
        <v>0</v>
      </c>
      <c r="G265" s="672">
        <f t="shared" si="0"/>
        <v>6.48</v>
      </c>
      <c r="H265" s="1">
        <f>Relato!$H$233</f>
        <v>863.44</v>
      </c>
      <c r="I265" s="274">
        <f>Relato!$I$233</f>
        <v>1.022</v>
      </c>
      <c r="J265" s="529">
        <f t="shared" si="1"/>
        <v>882.4</v>
      </c>
      <c r="L265" s="457"/>
      <c r="M265" s="457"/>
      <c r="N265" s="457"/>
      <c r="O265" s="457"/>
      <c r="P265" s="457"/>
    </row>
    <row r="266" spans="1:16" x14ac:dyDescent="0.25">
      <c r="A266" s="374" t="str">
        <f>Relato!$A$234</f>
        <v>6 DB (S)</v>
      </c>
      <c r="B266" s="1">
        <f>Relato!$B$234</f>
        <v>24.47</v>
      </c>
      <c r="C266" s="1">
        <f>Relato!$C$234</f>
        <v>0.32</v>
      </c>
      <c r="D266" s="1">
        <f>Relato!$D$234</f>
        <v>6.84</v>
      </c>
      <c r="E266" s="1">
        <f>Relato!$E$234</f>
        <v>0</v>
      </c>
      <c r="F266" s="1">
        <f>Relato!$F$234</f>
        <v>0</v>
      </c>
      <c r="G266" s="672">
        <f t="shared" si="0"/>
        <v>6.84</v>
      </c>
      <c r="H266" s="1">
        <f>Relato!$H$234</f>
        <v>883.54</v>
      </c>
      <c r="I266" s="530">
        <f>Relato!$I$234</f>
        <v>1.022</v>
      </c>
      <c r="J266" s="529">
        <f t="shared" si="1"/>
        <v>903</v>
      </c>
      <c r="L266" s="457"/>
      <c r="M266" s="457"/>
      <c r="N266" s="457"/>
      <c r="O266" s="457"/>
      <c r="P266" s="457"/>
    </row>
    <row r="267" spans="1:16" x14ac:dyDescent="0.25">
      <c r="A267" s="375" t="str">
        <f>Relato!$A$235</f>
        <v>FWWTK (P)</v>
      </c>
      <c r="B267" s="1">
        <f>Relato!$B$235</f>
        <v>24.45</v>
      </c>
      <c r="C267" s="1">
        <f>Relato!$C$235</f>
        <v>0.33</v>
      </c>
      <c r="D267" s="1">
        <f>Relato!$D$235</f>
        <v>3.8</v>
      </c>
      <c r="E267" s="1">
        <f>Relato!$E$235</f>
        <v>0</v>
      </c>
      <c r="F267" s="1">
        <f>Relato!$F$235</f>
        <v>0</v>
      </c>
      <c r="G267" s="672">
        <f t="shared" si="0"/>
        <v>3.8</v>
      </c>
      <c r="H267" s="1">
        <f>Relato!$H$235</f>
        <v>38.82</v>
      </c>
      <c r="I267" s="530">
        <f>Relato!$I$235</f>
        <v>1.022</v>
      </c>
      <c r="J267" s="529">
        <f t="shared" si="1"/>
        <v>39.700000000000003</v>
      </c>
      <c r="L267" s="457"/>
      <c r="M267" s="457"/>
      <c r="N267" s="457"/>
      <c r="O267" s="457"/>
      <c r="P267" s="457"/>
    </row>
    <row r="268" spans="1:16" x14ac:dyDescent="0.25">
      <c r="A268" s="375" t="str">
        <f>Relato!$A$236</f>
        <v>SLOP (S)</v>
      </c>
      <c r="B268" s="1">
        <f>Relato!$B$236</f>
        <v>24.46</v>
      </c>
      <c r="C268" s="1">
        <f>Relato!$C$236</f>
        <v>0.33</v>
      </c>
      <c r="D268" s="1">
        <f>Relato!$D$236</f>
        <v>0.57999999999999996</v>
      </c>
      <c r="E268" s="1">
        <f>Relato!$E$236</f>
        <v>0</v>
      </c>
      <c r="F268" s="1">
        <f>Relato!$F$236</f>
        <v>0</v>
      </c>
      <c r="G268" s="672">
        <f t="shared" si="0"/>
        <v>0.57999999999999996</v>
      </c>
      <c r="H268" s="1">
        <f>Relato!$H$236</f>
        <v>3.04</v>
      </c>
      <c r="I268" s="530">
        <f>Relato!$I$236</f>
        <v>1.022</v>
      </c>
      <c r="J268" s="529">
        <f t="shared" si="1"/>
        <v>3.1</v>
      </c>
      <c r="L268" s="457"/>
      <c r="M268" s="457"/>
      <c r="N268" s="457"/>
      <c r="O268" s="457"/>
      <c r="P268" s="457"/>
    </row>
    <row r="269" spans="1:16" x14ac:dyDescent="0.25">
      <c r="A269" s="375" t="str">
        <f>Relato!$A$237</f>
        <v>CHOLD NO.3</v>
      </c>
      <c r="B269" s="1">
        <f>Relato!$B$237</f>
        <v>25.14</v>
      </c>
      <c r="C269" s="1" t="str">
        <f>Relato!$C$237</f>
        <v>ULL</v>
      </c>
      <c r="D269" s="1">
        <f>Relato!$D$237</f>
        <v>3.55</v>
      </c>
      <c r="E269" s="1">
        <f>Relato!$E$237</f>
        <v>0</v>
      </c>
      <c r="F269" s="1">
        <f>Relato!$F$237</f>
        <v>0</v>
      </c>
      <c r="G269" s="672">
        <f t="shared" si="0"/>
        <v>3.55</v>
      </c>
      <c r="H269" s="1">
        <f>Relato!$H$237</f>
        <v>16888.464</v>
      </c>
      <c r="I269" s="530">
        <f>Relato!$I$237</f>
        <v>1.022</v>
      </c>
      <c r="J269" s="529">
        <f t="shared" si="1"/>
        <v>17260</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Relato!$A$238</f>
        <v>A.PK</v>
      </c>
      <c r="B283" s="1">
        <f>Relato!$B$238</f>
        <v>14.12</v>
      </c>
      <c r="C283" s="2">
        <f>Relato!$C$238</f>
        <v>0.34</v>
      </c>
      <c r="D283" s="2">
        <f>Relato!$D$238</f>
        <v>6.89</v>
      </c>
      <c r="E283" s="2">
        <f>Relato!$E$238</f>
        <v>0</v>
      </c>
      <c r="F283" s="2">
        <f>Relato!$F$238</f>
        <v>0</v>
      </c>
      <c r="G283" s="577">
        <f>IFERROR(D283+(E283+F283),D283)</f>
        <v>6.89</v>
      </c>
      <c r="H283" s="2">
        <f>Relato!$H$238</f>
        <v>1056.95</v>
      </c>
      <c r="I283" s="531">
        <f>Relato!$I$238</f>
        <v>1.022</v>
      </c>
      <c r="J283" s="532">
        <f t="shared" si="1"/>
        <v>1080.2</v>
      </c>
      <c r="L283" s="457"/>
      <c r="M283" s="457"/>
      <c r="N283" s="457"/>
      <c r="O283" s="457"/>
      <c r="P283" s="457"/>
    </row>
    <row r="284" spans="1:16" x14ac:dyDescent="0.25">
      <c r="A284" s="289" t="s">
        <v>24</v>
      </c>
      <c r="B284" s="290"/>
      <c r="C284" s="290"/>
      <c r="D284" s="290"/>
      <c r="E284" s="290"/>
      <c r="F284" s="290"/>
      <c r="G284" s="291"/>
      <c r="H284" s="533" t="e">
        <f>SUM($H$254:$H$283)</f>
        <v>#REF!</v>
      </c>
      <c r="I284" s="534"/>
      <c r="J284" s="533">
        <f>SUM($J$254:$J$283)</f>
        <v>32395.500000000004</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Relato!A242</f>
        <v>11) FINAL BALLAST CONDITION:</v>
      </c>
      <c r="F289" s="292" t="s">
        <v>547</v>
      </c>
      <c r="G289" s="411">
        <f>Draft!$X$4</f>
        <v>46106</v>
      </c>
      <c r="H289" s="378">
        <f>Relato!H242</f>
        <v>0.27430555555555558</v>
      </c>
      <c r="I289" s="379" t="s">
        <v>548</v>
      </c>
      <c r="J289" s="380">
        <f>IFERROR(ROUND(Draft!$AH$29,2),"")</f>
        <v>0.15</v>
      </c>
      <c r="L289" s="457"/>
      <c r="M289" s="457"/>
      <c r="N289" s="457"/>
      <c r="O289" s="457"/>
      <c r="P289" s="457"/>
    </row>
    <row r="290" spans="1:16" x14ac:dyDescent="0.25">
      <c r="A290" s="286" t="str">
        <f>Relato!A243</f>
        <v>Vessel's</v>
      </c>
      <c r="B290" s="286" t="s">
        <v>1</v>
      </c>
      <c r="C290" s="286" t="s">
        <v>2</v>
      </c>
      <c r="D290" s="286" t="s">
        <v>1</v>
      </c>
      <c r="E290" s="758" t="s">
        <v>576</v>
      </c>
      <c r="F290" s="758"/>
      <c r="G290" s="286" t="s">
        <v>3</v>
      </c>
      <c r="H290" s="286" t="s">
        <v>1</v>
      </c>
      <c r="I290" s="286" t="s">
        <v>1</v>
      </c>
      <c r="J290" s="286" t="s">
        <v>4</v>
      </c>
      <c r="L290" s="457"/>
      <c r="M290" s="457"/>
      <c r="N290" s="457"/>
      <c r="O290" s="457"/>
      <c r="P290" s="457"/>
    </row>
    <row r="291" spans="1:16" x14ac:dyDescent="0.25">
      <c r="A291" s="287" t="str">
        <f>Relato!A244</f>
        <v>Tank No.</v>
      </c>
      <c r="B291" s="287" t="s">
        <v>5</v>
      </c>
      <c r="C291" s="287" t="s">
        <v>6</v>
      </c>
      <c r="D291" s="287" t="s">
        <v>7</v>
      </c>
      <c r="E291" s="288" t="s">
        <v>8</v>
      </c>
      <c r="F291" s="288" t="s">
        <v>9</v>
      </c>
      <c r="G291" s="287" t="s">
        <v>7</v>
      </c>
      <c r="H291" s="287" t="s">
        <v>545</v>
      </c>
      <c r="I291" s="287" t="s">
        <v>10</v>
      </c>
      <c r="J291" s="287" t="s">
        <v>11</v>
      </c>
      <c r="L291" s="457"/>
      <c r="M291" s="457"/>
      <c r="N291" s="457"/>
      <c r="O291" s="457"/>
      <c r="P291" s="457"/>
    </row>
    <row r="292" spans="1:16" x14ac:dyDescent="0.25">
      <c r="A292" s="377" t="str">
        <f>Relato!A245</f>
        <v>F.PK</v>
      </c>
      <c r="B292" s="526">
        <f>B254</f>
        <v>24.3</v>
      </c>
      <c r="C292" s="526">
        <f>C254</f>
        <v>0</v>
      </c>
      <c r="D292" s="526">
        <f>Relato!$D$245</f>
        <v>0.2</v>
      </c>
      <c r="E292" s="526" t="str">
        <f>Relato!$E$245</f>
        <v>Directly applied on volume</v>
      </c>
      <c r="F292" s="526">
        <f>Relato!$F$245</f>
        <v>0</v>
      </c>
      <c r="G292" s="576">
        <f>IFERROR(D292+(E292+F292),D292)</f>
        <v>0.2</v>
      </c>
      <c r="H292" s="526">
        <f>Relato!$H$245</f>
        <v>1.4</v>
      </c>
      <c r="I292" s="527">
        <f>Relato!I245</f>
        <v>1.022</v>
      </c>
      <c r="J292" s="528">
        <f>ROUND(H292*I292,1)</f>
        <v>1.4</v>
      </c>
      <c r="L292" s="457"/>
      <c r="M292" s="457"/>
      <c r="N292" s="457"/>
      <c r="O292" s="457"/>
      <c r="P292" s="457"/>
    </row>
    <row r="293" spans="1:16" x14ac:dyDescent="0.25">
      <c r="A293" s="374" t="str">
        <f>Relato!A246</f>
        <v>1 DB (P)</v>
      </c>
      <c r="B293" s="1">
        <f t="shared" ref="A293:C308" si="2">B255</f>
        <v>24.48</v>
      </c>
      <c r="C293" s="1">
        <f t="shared" si="2"/>
        <v>0.3</v>
      </c>
      <c r="D293" s="1">
        <f>Relato!$D$246</f>
        <v>0</v>
      </c>
      <c r="E293" s="1">
        <f>Relato!$E$246</f>
        <v>0</v>
      </c>
      <c r="F293" s="1">
        <f>Relato!$F$246</f>
        <v>0</v>
      </c>
      <c r="G293" s="672">
        <f>IFERROR(D293+(E293+F293),D293)</f>
        <v>0</v>
      </c>
      <c r="H293" s="1">
        <f>Relato!$H$246</f>
        <v>5.97</v>
      </c>
      <c r="I293" s="274">
        <f>Relato!I246</f>
        <v>1.022</v>
      </c>
      <c r="J293" s="529">
        <f>IFERROR(ROUND(H293*I293,1),"")</f>
        <v>6.1</v>
      </c>
      <c r="L293" s="457"/>
      <c r="M293" s="457"/>
      <c r="N293" s="457"/>
      <c r="O293" s="457"/>
      <c r="P293" s="457"/>
    </row>
    <row r="294" spans="1:16" x14ac:dyDescent="0.25">
      <c r="A294" s="374" t="str">
        <f>Relato!A247</f>
        <v>1 DB (S)</v>
      </c>
      <c r="B294" s="1">
        <f t="shared" si="2"/>
        <v>24.34</v>
      </c>
      <c r="C294" s="1">
        <f t="shared" si="2"/>
        <v>0.31</v>
      </c>
      <c r="D294" s="1">
        <f>Relato!$D$247</f>
        <v>0</v>
      </c>
      <c r="E294" s="1">
        <f>Relato!$E$247</f>
        <v>0</v>
      </c>
      <c r="F294" s="1">
        <f>Relato!$F$247</f>
        <v>0</v>
      </c>
      <c r="G294" s="672">
        <f t="shared" ref="G294:G320" si="3">IFERROR(D294+(E294+F294),D294)</f>
        <v>0</v>
      </c>
      <c r="H294" s="1">
        <f>Relato!$H$247</f>
        <v>5.97</v>
      </c>
      <c r="I294" s="274">
        <f>Relato!I247</f>
        <v>1.022</v>
      </c>
      <c r="J294" s="529">
        <f t="shared" ref="J294:J321" si="4">IFERROR(ROUND(H294*I294,1),"")</f>
        <v>6.1</v>
      </c>
      <c r="L294" s="457"/>
      <c r="M294" s="457"/>
      <c r="N294" s="457"/>
      <c r="O294" s="457"/>
      <c r="P294" s="457"/>
    </row>
    <row r="295" spans="1:16" x14ac:dyDescent="0.25">
      <c r="A295" s="374" t="str">
        <f>Relato!A248</f>
        <v>2 DB (P)</v>
      </c>
      <c r="B295" s="1">
        <f t="shared" si="2"/>
        <v>24.58</v>
      </c>
      <c r="C295" s="1">
        <f t="shared" si="2"/>
        <v>0.3</v>
      </c>
      <c r="D295" s="1">
        <f>Relato!$D$248</f>
        <v>0.02</v>
      </c>
      <c r="E295" s="1">
        <f>Relato!$E$248</f>
        <v>0</v>
      </c>
      <c r="F295" s="1">
        <f>Relato!$F$248</f>
        <v>0</v>
      </c>
      <c r="G295" s="672">
        <f t="shared" si="3"/>
        <v>0.02</v>
      </c>
      <c r="H295" s="1">
        <f>Relato!$H$248</f>
        <v>16.13</v>
      </c>
      <c r="I295" s="274">
        <f>Relato!I248</f>
        <v>1.022</v>
      </c>
      <c r="J295" s="529">
        <f t="shared" si="4"/>
        <v>16.5</v>
      </c>
      <c r="L295" s="457"/>
      <c r="M295" s="457"/>
      <c r="N295" s="457"/>
      <c r="O295" s="457"/>
      <c r="P295" s="457"/>
    </row>
    <row r="296" spans="1:16" x14ac:dyDescent="0.25">
      <c r="A296" s="374" t="str">
        <f t="shared" si="2"/>
        <v>2 DB (S)</v>
      </c>
      <c r="B296" s="1">
        <f t="shared" si="2"/>
        <v>24.59</v>
      </c>
      <c r="C296" s="1">
        <f t="shared" si="2"/>
        <v>0.31</v>
      </c>
      <c r="D296" s="1">
        <f>Relato!$D$249</f>
        <v>0</v>
      </c>
      <c r="E296" s="1">
        <f>Relato!$E$249</f>
        <v>0</v>
      </c>
      <c r="F296" s="1">
        <f>Relato!$F$249</f>
        <v>0</v>
      </c>
      <c r="G296" s="672">
        <f t="shared" si="3"/>
        <v>0</v>
      </c>
      <c r="H296" s="1">
        <f>Relato!$H$249</f>
        <v>7.52</v>
      </c>
      <c r="I296" s="274">
        <f>Relato!I249</f>
        <v>1.022</v>
      </c>
      <c r="J296" s="529">
        <f t="shared" si="4"/>
        <v>7.7</v>
      </c>
      <c r="L296" s="457"/>
      <c r="M296" s="457"/>
      <c r="N296" s="457"/>
      <c r="O296" s="457"/>
      <c r="P296" s="457"/>
    </row>
    <row r="297" spans="1:16" x14ac:dyDescent="0.25">
      <c r="A297" s="374" t="str">
        <f t="shared" si="2"/>
        <v>3 DB (P)</v>
      </c>
      <c r="B297" s="1">
        <f t="shared" si="2"/>
        <v>24.48</v>
      </c>
      <c r="C297" s="1">
        <f t="shared" si="2"/>
        <v>0.31</v>
      </c>
      <c r="D297" s="1">
        <f>Relato!$D$250</f>
        <v>0.02</v>
      </c>
      <c r="E297" s="1">
        <f>Relato!$E$250</f>
        <v>0</v>
      </c>
      <c r="F297" s="1">
        <f>Relato!$F$250</f>
        <v>0</v>
      </c>
      <c r="G297" s="672">
        <f t="shared" si="3"/>
        <v>0.02</v>
      </c>
      <c r="H297" s="1">
        <f>Relato!$H$250</f>
        <v>14.35</v>
      </c>
      <c r="I297" s="274">
        <f>Relato!I250</f>
        <v>1.022</v>
      </c>
      <c r="J297" s="529">
        <f t="shared" si="4"/>
        <v>14.7</v>
      </c>
      <c r="L297" s="457"/>
      <c r="M297" s="457"/>
      <c r="N297" s="457"/>
      <c r="O297" s="457"/>
      <c r="P297" s="457"/>
    </row>
    <row r="298" spans="1:16" x14ac:dyDescent="0.25">
      <c r="A298" s="374" t="str">
        <f t="shared" si="2"/>
        <v>3 DB (S)</v>
      </c>
      <c r="B298" s="1">
        <f t="shared" si="2"/>
        <v>24.37</v>
      </c>
      <c r="C298" s="1">
        <f t="shared" si="2"/>
        <v>0.28999999999999998</v>
      </c>
      <c r="D298" s="1">
        <f>Relato!$D$251</f>
        <v>0</v>
      </c>
      <c r="E298" s="1">
        <f>Relato!$E$251</f>
        <v>0</v>
      </c>
      <c r="F298" s="1">
        <f>Relato!$F$251</f>
        <v>0</v>
      </c>
      <c r="G298" s="672">
        <f t="shared" si="3"/>
        <v>0</v>
      </c>
      <c r="H298" s="1">
        <f>Relato!$H$251</f>
        <v>7.02</v>
      </c>
      <c r="I298" s="274">
        <f>Relato!I251</f>
        <v>1.022</v>
      </c>
      <c r="J298" s="529">
        <f t="shared" si="4"/>
        <v>7.2</v>
      </c>
      <c r="L298" s="457"/>
      <c r="M298" s="457"/>
      <c r="N298" s="457"/>
      <c r="O298" s="457"/>
      <c r="P298" s="457"/>
    </row>
    <row r="299" spans="1:16" x14ac:dyDescent="0.25">
      <c r="A299" s="374" t="str">
        <f t="shared" si="2"/>
        <v>4 DB (P)</v>
      </c>
      <c r="B299" s="1">
        <f t="shared" si="2"/>
        <v>24.32</v>
      </c>
      <c r="C299" s="1">
        <f t="shared" si="2"/>
        <v>0.3</v>
      </c>
      <c r="D299" s="1">
        <f>Relato!$D$252</f>
        <v>0.02</v>
      </c>
      <c r="E299" s="1">
        <f>Relato!$E$252</f>
        <v>0</v>
      </c>
      <c r="F299" s="1">
        <f>Relato!$F$252</f>
        <v>0</v>
      </c>
      <c r="G299" s="672">
        <f t="shared" si="3"/>
        <v>0.02</v>
      </c>
      <c r="H299" s="1">
        <f>Relato!$H$252</f>
        <v>18.850000000000001</v>
      </c>
      <c r="I299" s="274">
        <f>Relato!I252</f>
        <v>1.022</v>
      </c>
      <c r="J299" s="529">
        <f t="shared" si="4"/>
        <v>19.3</v>
      </c>
      <c r="L299" s="457"/>
      <c r="M299" s="457"/>
      <c r="N299" s="457"/>
      <c r="O299" s="457"/>
      <c r="P299" s="457"/>
    </row>
    <row r="300" spans="1:16" x14ac:dyDescent="0.25">
      <c r="A300" s="374" t="str">
        <f t="shared" si="2"/>
        <v>4 DB (S)</v>
      </c>
      <c r="B300" s="1">
        <f t="shared" si="2"/>
        <v>24.3</v>
      </c>
      <c r="C300" s="1">
        <f t="shared" si="2"/>
        <v>0.3</v>
      </c>
      <c r="D300" s="1">
        <f>Relato!$D$253</f>
        <v>0.05</v>
      </c>
      <c r="E300" s="1">
        <f>Relato!$E$253</f>
        <v>0</v>
      </c>
      <c r="F300" s="1">
        <f>Relato!$F$253</f>
        <v>0</v>
      </c>
      <c r="G300" s="672">
        <f t="shared" si="3"/>
        <v>0.05</v>
      </c>
      <c r="H300" s="1">
        <f>Relato!$H$253</f>
        <v>25.36</v>
      </c>
      <c r="I300" s="274">
        <f>Relato!I253</f>
        <v>1.022</v>
      </c>
      <c r="J300" s="529">
        <f t="shared" si="4"/>
        <v>25.9</v>
      </c>
      <c r="L300" s="457"/>
      <c r="M300" s="457"/>
      <c r="N300" s="457"/>
      <c r="O300" s="457"/>
      <c r="P300" s="457"/>
    </row>
    <row r="301" spans="1:16" x14ac:dyDescent="0.25">
      <c r="A301" s="374" t="str">
        <f t="shared" si="2"/>
        <v>5 DB (P)</v>
      </c>
      <c r="B301" s="1">
        <f t="shared" si="2"/>
        <v>24.56</v>
      </c>
      <c r="C301" s="1">
        <f t="shared" si="2"/>
        <v>0.28999999999999998</v>
      </c>
      <c r="D301" s="1">
        <f>Relato!$D$254</f>
        <v>0.01</v>
      </c>
      <c r="E301" s="1">
        <f>Relato!$E$254</f>
        <v>0</v>
      </c>
      <c r="F301" s="1">
        <f>Relato!$F$254</f>
        <v>0</v>
      </c>
      <c r="G301" s="672">
        <f t="shared" si="3"/>
        <v>0.01</v>
      </c>
      <c r="H301" s="1">
        <f>Relato!$H$254</f>
        <v>11.22</v>
      </c>
      <c r="I301" s="274">
        <f>Relato!I254</f>
        <v>1.022</v>
      </c>
      <c r="J301" s="529">
        <f t="shared" si="4"/>
        <v>11.5</v>
      </c>
      <c r="L301" s="457"/>
      <c r="M301" s="457"/>
      <c r="N301" s="457"/>
      <c r="O301" s="457"/>
      <c r="P301" s="457"/>
    </row>
    <row r="302" spans="1:16" x14ac:dyDescent="0.25">
      <c r="A302" s="374" t="str">
        <f t="shared" si="2"/>
        <v>5 DB (S)</v>
      </c>
      <c r="B302" s="1">
        <f t="shared" si="2"/>
        <v>24.58</v>
      </c>
      <c r="C302" s="1">
        <f t="shared" si="2"/>
        <v>0.28999999999999998</v>
      </c>
      <c r="D302" s="1">
        <f>Relato!$D$255</f>
        <v>0.03</v>
      </c>
      <c r="E302" s="1">
        <f>Relato!$E$255</f>
        <v>0</v>
      </c>
      <c r="F302" s="1">
        <f>Relato!$F$255</f>
        <v>0</v>
      </c>
      <c r="G302" s="672">
        <f t="shared" si="3"/>
        <v>0.03</v>
      </c>
      <c r="H302" s="1">
        <f>Relato!$H$255</f>
        <v>17.8</v>
      </c>
      <c r="I302" s="274">
        <f>Relato!I255</f>
        <v>1.022</v>
      </c>
      <c r="J302" s="529">
        <f t="shared" si="4"/>
        <v>18.2</v>
      </c>
      <c r="L302" s="457"/>
      <c r="M302" s="457"/>
      <c r="N302" s="457"/>
      <c r="O302" s="457"/>
      <c r="P302" s="457"/>
    </row>
    <row r="303" spans="1:16" x14ac:dyDescent="0.25">
      <c r="A303" s="374" t="str">
        <f t="shared" si="2"/>
        <v>6 DB (P)</v>
      </c>
      <c r="B303" s="1">
        <f t="shared" si="2"/>
        <v>24.45</v>
      </c>
      <c r="C303" s="1">
        <f t="shared" si="2"/>
        <v>0.3</v>
      </c>
      <c r="D303" s="1">
        <f>Relato!$D$256</f>
        <v>0.01</v>
      </c>
      <c r="E303" s="1">
        <f>Relato!$E$256</f>
        <v>0</v>
      </c>
      <c r="F303" s="1">
        <f>Relato!$F$256</f>
        <v>0</v>
      </c>
      <c r="G303" s="672">
        <f t="shared" si="3"/>
        <v>0.01</v>
      </c>
      <c r="H303" s="1">
        <f>Relato!$H$256</f>
        <v>19.989999999999998</v>
      </c>
      <c r="I303" s="274">
        <f>Relato!I256</f>
        <v>1.022</v>
      </c>
      <c r="J303" s="529">
        <f t="shared" si="4"/>
        <v>20.399999999999999</v>
      </c>
      <c r="L303" s="457"/>
      <c r="M303" s="457"/>
      <c r="N303" s="457"/>
      <c r="O303" s="457"/>
      <c r="P303" s="457"/>
    </row>
    <row r="304" spans="1:16" x14ac:dyDescent="0.25">
      <c r="A304" s="374" t="str">
        <f t="shared" si="2"/>
        <v>6 DB (S)</v>
      </c>
      <c r="B304" s="1">
        <f t="shared" si="2"/>
        <v>24.47</v>
      </c>
      <c r="C304" s="1">
        <f t="shared" si="2"/>
        <v>0.32</v>
      </c>
      <c r="D304" s="1">
        <f>Relato!$D$257</f>
        <v>0.03</v>
      </c>
      <c r="E304" s="1">
        <f>Relato!$E$257</f>
        <v>0</v>
      </c>
      <c r="F304" s="1">
        <f>Relato!$F$257</f>
        <v>0</v>
      </c>
      <c r="G304" s="672">
        <f t="shared" si="3"/>
        <v>0.03</v>
      </c>
      <c r="H304" s="1">
        <f>Relato!$H$257</f>
        <v>21.5</v>
      </c>
      <c r="I304" s="274">
        <f>Relato!I257</f>
        <v>1.022</v>
      </c>
      <c r="J304" s="529">
        <f t="shared" si="4"/>
        <v>22</v>
      </c>
      <c r="L304" s="457"/>
      <c r="M304" s="457"/>
      <c r="N304" s="457"/>
      <c r="O304" s="457"/>
      <c r="P304" s="457"/>
    </row>
    <row r="305" spans="1:16" x14ac:dyDescent="0.25">
      <c r="A305" s="375" t="str">
        <f t="shared" si="2"/>
        <v>FWWTK (P)</v>
      </c>
      <c r="B305" s="1">
        <f t="shared" si="2"/>
        <v>24.45</v>
      </c>
      <c r="C305" s="1">
        <f t="shared" si="2"/>
        <v>0.33</v>
      </c>
      <c r="D305" s="1">
        <f>Relato!$D$258</f>
        <v>3.85</v>
      </c>
      <c r="E305" s="1">
        <f>Relato!$E$258</f>
        <v>0</v>
      </c>
      <c r="F305" s="1">
        <f>Relato!$F$258</f>
        <v>0</v>
      </c>
      <c r="G305" s="672">
        <f t="shared" si="3"/>
        <v>3.85</v>
      </c>
      <c r="H305" s="1">
        <f>Relato!$H$258</f>
        <v>39.58</v>
      </c>
      <c r="I305" s="274">
        <f>Relato!I258</f>
        <v>1</v>
      </c>
      <c r="J305" s="529">
        <f t="shared" si="4"/>
        <v>39.6</v>
      </c>
      <c r="L305" s="457"/>
      <c r="M305" s="457"/>
      <c r="N305" s="457"/>
      <c r="O305" s="457"/>
      <c r="P305" s="457"/>
    </row>
    <row r="306" spans="1:16" x14ac:dyDescent="0.25">
      <c r="A306" s="375" t="str">
        <f t="shared" si="2"/>
        <v>SLOP (S)</v>
      </c>
      <c r="B306" s="1">
        <f t="shared" si="2"/>
        <v>24.46</v>
      </c>
      <c r="C306" s="1">
        <f t="shared" si="2"/>
        <v>0.33</v>
      </c>
      <c r="D306" s="1">
        <f>Relato!$D$259</f>
        <v>0.57999999999999996</v>
      </c>
      <c r="E306" s="1">
        <f>Relato!$E$259</f>
        <v>0</v>
      </c>
      <c r="F306" s="1">
        <f>Relato!$F$259</f>
        <v>0</v>
      </c>
      <c r="G306" s="672">
        <f t="shared" si="3"/>
        <v>0.57999999999999996</v>
      </c>
      <c r="H306" s="1">
        <f>Relato!$H$259</f>
        <v>3.04</v>
      </c>
      <c r="I306" s="274">
        <f>Relato!I259</f>
        <v>1</v>
      </c>
      <c r="J306" s="529">
        <f t="shared" si="4"/>
        <v>3</v>
      </c>
      <c r="L306" s="457"/>
      <c r="M306" s="457"/>
      <c r="N306" s="457"/>
      <c r="O306" s="457"/>
      <c r="P306" s="457"/>
    </row>
    <row r="307" spans="1:16" x14ac:dyDescent="0.25">
      <c r="A307" s="375" t="str">
        <f t="shared" si="2"/>
        <v>CHOLD NO.3</v>
      </c>
      <c r="B307" s="1">
        <f t="shared" si="2"/>
        <v>25.14</v>
      </c>
      <c r="C307" s="1" t="str">
        <f t="shared" si="2"/>
        <v>ULL</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14.12</v>
      </c>
      <c r="C321" s="2">
        <f t="shared" si="5"/>
        <v>0.34</v>
      </c>
      <c r="D321" s="2">
        <f>Relato!$D$260</f>
        <v>0.1</v>
      </c>
      <c r="E321" s="2">
        <f>Relato!$E$260</f>
        <v>0</v>
      </c>
      <c r="F321" s="2">
        <f>Relato!$F$260</f>
        <v>0</v>
      </c>
      <c r="G321" s="577">
        <f>IFERROR(D321+(E321+F321),D321)</f>
        <v>0.1</v>
      </c>
      <c r="H321" s="2">
        <f>Relato!$H$260</f>
        <v>0.1</v>
      </c>
      <c r="I321" s="531">
        <f>Relato!I260</f>
        <v>1.022</v>
      </c>
      <c r="J321" s="532">
        <f t="shared" si="4"/>
        <v>0.1</v>
      </c>
      <c r="L321" s="457"/>
      <c r="M321" s="457"/>
      <c r="N321" s="457"/>
      <c r="O321" s="457"/>
      <c r="P321" s="457"/>
    </row>
    <row r="322" spans="1:16" x14ac:dyDescent="0.25">
      <c r="A322" s="289" t="s">
        <v>24</v>
      </c>
      <c r="B322" s="290"/>
      <c r="C322" s="290"/>
      <c r="D322" s="290"/>
      <c r="E322" s="290"/>
      <c r="F322" s="290"/>
      <c r="G322" s="291"/>
      <c r="H322" s="533" t="e">
        <f>SUM($H$292:$H$321)</f>
        <v>#REF!</v>
      </c>
      <c r="I322" s="534"/>
      <c r="J322" s="533">
        <f>SUM($J$292:$J$321)</f>
        <v>219.7</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550</v>
      </c>
      <c r="L326" s="457"/>
      <c r="M326" s="457"/>
      <c r="N326" s="457"/>
      <c r="O326" s="457"/>
      <c r="P326" s="457"/>
    </row>
    <row r="327" spans="1:16" x14ac:dyDescent="0.25">
      <c r="A327" s="286" t="s">
        <v>0</v>
      </c>
      <c r="B327" s="286" t="s">
        <v>1</v>
      </c>
      <c r="C327" s="286" t="s">
        <v>2</v>
      </c>
      <c r="D327" s="286" t="s">
        <v>1</v>
      </c>
      <c r="E327" s="758" t="s">
        <v>576</v>
      </c>
      <c r="F327" s="758"/>
      <c r="G327" s="286" t="s">
        <v>3</v>
      </c>
      <c r="H327" s="286" t="s">
        <v>1</v>
      </c>
      <c r="I327" s="286" t="s">
        <v>1</v>
      </c>
      <c r="J327" s="286" t="s">
        <v>4</v>
      </c>
      <c r="L327" s="457"/>
      <c r="M327" s="457"/>
      <c r="N327" s="457"/>
      <c r="O327" s="457"/>
      <c r="P327" s="457"/>
    </row>
    <row r="328" spans="1:16" x14ac:dyDescent="0.25">
      <c r="A328" s="287" t="s">
        <v>718</v>
      </c>
      <c r="B328" s="413" t="s">
        <v>5</v>
      </c>
      <c r="C328" s="413" t="s">
        <v>6</v>
      </c>
      <c r="D328" s="287" t="s">
        <v>7</v>
      </c>
      <c r="E328" s="288" t="s">
        <v>8</v>
      </c>
      <c r="F328" s="288" t="s">
        <v>9</v>
      </c>
      <c r="G328" s="413" t="s">
        <v>7</v>
      </c>
      <c r="H328" s="287" t="s">
        <v>545</v>
      </c>
      <c r="I328" s="287" t="s">
        <v>10</v>
      </c>
      <c r="J328" s="413" t="s">
        <v>11</v>
      </c>
      <c r="L328" s="457"/>
      <c r="M328" s="457"/>
      <c r="N328" s="457"/>
      <c r="O328" s="457"/>
      <c r="P328" s="457"/>
    </row>
    <row r="329" spans="1:16" x14ac:dyDescent="0.25">
      <c r="A329" s="377" t="s">
        <v>552</v>
      </c>
      <c r="B329" s="1" t="e">
        <f>Relato!#REF!</f>
        <v>#REF!</v>
      </c>
      <c r="C329" s="1">
        <f>Relato!$C$268</f>
        <v>0</v>
      </c>
      <c r="D329" s="526">
        <f>Relato!$D$268</f>
        <v>0</v>
      </c>
      <c r="E329" s="526">
        <f>Relato!$E$268</f>
        <v>0</v>
      </c>
      <c r="F329" s="526">
        <f>Relato!$F$268</f>
        <v>0</v>
      </c>
      <c r="G329" s="1">
        <f>IFERROR(D329+(E329+F329),"GAUGE")</f>
        <v>0</v>
      </c>
      <c r="H329" s="526">
        <f>Relato!$H$268</f>
        <v>76</v>
      </c>
      <c r="I329" s="527">
        <f>Relato!$I$268</f>
        <v>1</v>
      </c>
      <c r="J329" s="529">
        <f t="shared" ref="J329:J332" si="6">IFERROR(ROUND(H329*I329,1),"")</f>
        <v>76</v>
      </c>
      <c r="L329" s="457"/>
      <c r="M329" s="457"/>
      <c r="N329" s="457"/>
      <c r="O329" s="457"/>
      <c r="P329" s="457"/>
    </row>
    <row r="330" spans="1:16" x14ac:dyDescent="0.25">
      <c r="A330" s="374" t="s">
        <v>553</v>
      </c>
      <c r="B330" s="1">
        <f>Relato!$B$269</f>
        <v>0</v>
      </c>
      <c r="C330" s="1">
        <f>Relato!$C$269</f>
        <v>0</v>
      </c>
      <c r="D330" s="1">
        <f>Relato!$D$269</f>
        <v>0</v>
      </c>
      <c r="E330" s="1">
        <f>Relato!$E$269</f>
        <v>0</v>
      </c>
      <c r="F330" s="1">
        <f>Relato!$F$269</f>
        <v>0</v>
      </c>
      <c r="G330" s="1">
        <f t="shared" ref="G330:G332" si="7">IFERROR(D330+(E330+F330),"GAUGE")</f>
        <v>0</v>
      </c>
      <c r="H330" s="1">
        <f>Relato!$H$269</f>
        <v>59</v>
      </c>
      <c r="I330" s="530">
        <f>Relato!$I$269</f>
        <v>1</v>
      </c>
      <c r="J330" s="529">
        <f t="shared" si="6"/>
        <v>59</v>
      </c>
      <c r="L330" s="457"/>
      <c r="M330" s="457"/>
      <c r="N330" s="457"/>
      <c r="O330" s="457"/>
      <c r="P330" s="457"/>
    </row>
    <row r="331" spans="1:16" x14ac:dyDescent="0.25">
      <c r="A331" s="374" t="s">
        <v>554</v>
      </c>
      <c r="B331" s="1">
        <f>Relato!$B$270</f>
        <v>0</v>
      </c>
      <c r="C331" s="1">
        <f>Relato!$C$270</f>
        <v>0</v>
      </c>
      <c r="D331" s="1">
        <f>Relato!$D$270</f>
        <v>0</v>
      </c>
      <c r="E331" s="1">
        <f>Relato!$E$270</f>
        <v>0</v>
      </c>
      <c r="F331" s="1">
        <f>Relato!$F$270</f>
        <v>0</v>
      </c>
      <c r="G331" s="1">
        <f t="shared" si="7"/>
        <v>0</v>
      </c>
      <c r="H331" s="1">
        <f>Relato!$H$270</f>
        <v>65</v>
      </c>
      <c r="I331" s="530">
        <f>Relato!$I$270</f>
        <v>1</v>
      </c>
      <c r="J331" s="529">
        <f t="shared" si="6"/>
        <v>65</v>
      </c>
      <c r="L331" s="457"/>
      <c r="M331" s="457"/>
      <c r="N331" s="457"/>
      <c r="O331" s="457"/>
      <c r="P331" s="457"/>
    </row>
    <row r="332" spans="1:16" x14ac:dyDescent="0.25">
      <c r="A332" s="383" t="s">
        <v>555</v>
      </c>
      <c r="B332" s="2" t="e">
        <f>Relato!#REF!</f>
        <v>#REF!</v>
      </c>
      <c r="C332" s="2" t="e">
        <f>Relato!#REF!</f>
        <v>#REF!</v>
      </c>
      <c r="D332" s="2" t="e">
        <f>Relato!#REF!</f>
        <v>#REF!</v>
      </c>
      <c r="E332" s="2" t="e">
        <f>Relato!#REF!</f>
        <v>#REF!</v>
      </c>
      <c r="F332" s="2" t="e">
        <f>Relato!#REF!</f>
        <v>#REF!</v>
      </c>
      <c r="G332" s="2" t="str">
        <f t="shared" si="7"/>
        <v>GAUGE</v>
      </c>
      <c r="H332" s="2" t="e">
        <f>Relato!#REF!</f>
        <v>#REF!</v>
      </c>
      <c r="I332" s="531" t="e">
        <f>Relato!#REF!</f>
        <v>#REF!</v>
      </c>
      <c r="J332" s="532" t="str">
        <f t="shared" si="6"/>
        <v/>
      </c>
      <c r="L332" s="457"/>
      <c r="M332" s="457"/>
      <c r="N332" s="457"/>
      <c r="O332" s="457"/>
      <c r="P332" s="457"/>
    </row>
    <row r="333" spans="1:16" x14ac:dyDescent="0.25">
      <c r="A333" s="382" t="s">
        <v>24</v>
      </c>
      <c r="B333" s="291"/>
      <c r="C333" s="291"/>
      <c r="D333" s="291"/>
      <c r="E333" s="291"/>
      <c r="F333" s="291"/>
      <c r="G333" s="291"/>
      <c r="H333" s="535" t="e">
        <f>SUM($H$329:$H$332)</f>
        <v>#REF!</v>
      </c>
      <c r="I333" s="536"/>
      <c r="J333" s="535">
        <f>SUM($J$329:$J$332)</f>
        <v>200</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551</v>
      </c>
      <c r="D336" s="537"/>
      <c r="E336" s="537"/>
      <c r="F336" s="537"/>
      <c r="L336" s="457"/>
      <c r="M336" s="457"/>
      <c r="N336" s="457"/>
      <c r="O336" s="457"/>
      <c r="P336" s="457"/>
    </row>
    <row r="337" spans="1:16" x14ac:dyDescent="0.25">
      <c r="A337" s="286" t="s">
        <v>0</v>
      </c>
      <c r="B337" s="286" t="s">
        <v>1</v>
      </c>
      <c r="C337" s="286" t="s">
        <v>2</v>
      </c>
      <c r="D337" s="286" t="s">
        <v>1</v>
      </c>
      <c r="E337" s="758" t="s">
        <v>576</v>
      </c>
      <c r="F337" s="758"/>
      <c r="G337" s="286" t="s">
        <v>3</v>
      </c>
      <c r="H337" s="286" t="s">
        <v>1</v>
      </c>
      <c r="I337" s="286" t="s">
        <v>1</v>
      </c>
      <c r="J337" s="286" t="s">
        <v>4</v>
      </c>
      <c r="L337" s="457"/>
      <c r="M337" s="457"/>
      <c r="N337" s="457"/>
      <c r="O337" s="457"/>
      <c r="P337" s="457"/>
    </row>
    <row r="338" spans="1:16" x14ac:dyDescent="0.25">
      <c r="A338" s="287" t="s">
        <v>718</v>
      </c>
      <c r="B338" s="287" t="s">
        <v>5</v>
      </c>
      <c r="C338" s="287" t="s">
        <v>6</v>
      </c>
      <c r="D338" s="287" t="s">
        <v>7</v>
      </c>
      <c r="E338" s="288" t="s">
        <v>8</v>
      </c>
      <c r="F338" s="288" t="s">
        <v>9</v>
      </c>
      <c r="G338" s="413" t="s">
        <v>7</v>
      </c>
      <c r="H338" s="287" t="s">
        <v>545</v>
      </c>
      <c r="I338" s="287" t="s">
        <v>10</v>
      </c>
      <c r="J338" s="413" t="s">
        <v>11</v>
      </c>
      <c r="L338" s="457"/>
      <c r="M338" s="457"/>
      <c r="N338" s="457"/>
      <c r="O338" s="457"/>
      <c r="P338" s="457"/>
    </row>
    <row r="339" spans="1:16" x14ac:dyDescent="0.25">
      <c r="A339" s="377" t="s">
        <v>552</v>
      </c>
      <c r="B339" s="526" t="e">
        <f>$B$329</f>
        <v>#REF!</v>
      </c>
      <c r="C339" s="526">
        <f>$C$329</f>
        <v>0</v>
      </c>
      <c r="D339" s="526">
        <f>Relato!$D$277</f>
        <v>0</v>
      </c>
      <c r="E339" s="526">
        <f>Relato!$E$277</f>
        <v>0</v>
      </c>
      <c r="F339" s="526">
        <f>Relato!$F$277</f>
        <v>0</v>
      </c>
      <c r="G339" s="1">
        <f>IFERROR(D339+(E339+F339),"GAUGE")</f>
        <v>0</v>
      </c>
      <c r="H339" s="526">
        <f>Relato!$H$277</f>
        <v>60</v>
      </c>
      <c r="I339" s="527">
        <f>I329</f>
        <v>1</v>
      </c>
      <c r="J339" s="529">
        <f t="shared" ref="J339:J342" si="8">IFERROR(ROUND(H339*I339,1),"")</f>
        <v>60</v>
      </c>
      <c r="L339" s="457"/>
      <c r="M339" s="457"/>
      <c r="N339" s="457"/>
      <c r="O339" s="457"/>
      <c r="P339" s="457"/>
    </row>
    <row r="340" spans="1:16" x14ac:dyDescent="0.25">
      <c r="A340" s="374" t="s">
        <v>553</v>
      </c>
      <c r="B340" s="1">
        <f>$B$330</f>
        <v>0</v>
      </c>
      <c r="C340" s="1">
        <f>$C$330</f>
        <v>0</v>
      </c>
      <c r="D340" s="1">
        <f>Relato!$D$278</f>
        <v>0</v>
      </c>
      <c r="E340" s="1">
        <f>Relato!$E$278</f>
        <v>0</v>
      </c>
      <c r="F340" s="1">
        <f>Relato!$F$278</f>
        <v>0</v>
      </c>
      <c r="G340" s="1">
        <f t="shared" ref="G340:G342" si="9">IFERROR(D340+(E340+F340),"GAUGE")</f>
        <v>0</v>
      </c>
      <c r="H340" s="1">
        <f>Relato!$H$278</f>
        <v>55</v>
      </c>
      <c r="I340" s="530">
        <f t="shared" ref="I340:I342" si="10">I330</f>
        <v>1</v>
      </c>
      <c r="J340" s="529">
        <f t="shared" si="8"/>
        <v>55</v>
      </c>
      <c r="L340" s="457"/>
      <c r="M340" s="457"/>
      <c r="N340" s="457"/>
      <c r="O340" s="457"/>
      <c r="P340" s="457"/>
    </row>
    <row r="341" spans="1:16" x14ac:dyDescent="0.25">
      <c r="A341" s="374" t="s">
        <v>554</v>
      </c>
      <c r="B341" s="1">
        <f>$B$331</f>
        <v>0</v>
      </c>
      <c r="C341" s="1">
        <f>$C$331</f>
        <v>0</v>
      </c>
      <c r="D341" s="1">
        <f>Relato!$D$279</f>
        <v>0</v>
      </c>
      <c r="E341" s="1">
        <f>Relato!$E$279</f>
        <v>0</v>
      </c>
      <c r="F341" s="1">
        <f>Relato!$F$279</f>
        <v>0</v>
      </c>
      <c r="G341" s="1">
        <f t="shared" si="9"/>
        <v>0</v>
      </c>
      <c r="H341" s="1">
        <f>Relato!$H$279</f>
        <v>65</v>
      </c>
      <c r="I341" s="530">
        <f t="shared" si="10"/>
        <v>1</v>
      </c>
      <c r="J341" s="529">
        <f t="shared" si="8"/>
        <v>65</v>
      </c>
      <c r="L341" s="457"/>
      <c r="M341" s="457"/>
      <c r="N341" s="457"/>
      <c r="O341" s="457"/>
      <c r="P341" s="457"/>
    </row>
    <row r="342" spans="1:16" x14ac:dyDescent="0.25">
      <c r="A342" s="383" t="s">
        <v>555</v>
      </c>
      <c r="B342" s="2" t="e">
        <f>$B$332</f>
        <v>#REF!</v>
      </c>
      <c r="C342" s="2" t="e">
        <f>$C$332</f>
        <v>#REF!</v>
      </c>
      <c r="D342" s="2" t="e">
        <f>Relato!#REF!</f>
        <v>#REF!</v>
      </c>
      <c r="E342" s="2" t="e">
        <f>Relato!#REF!</f>
        <v>#REF!</v>
      </c>
      <c r="F342" s="2" t="e">
        <f>Relato!#REF!</f>
        <v>#REF!</v>
      </c>
      <c r="G342" s="2" t="str">
        <f t="shared" si="9"/>
        <v>GAUGE</v>
      </c>
      <c r="H342" s="2" t="e">
        <f>Relato!#REF!</f>
        <v>#REF!</v>
      </c>
      <c r="I342" s="531" t="e">
        <f t="shared" si="10"/>
        <v>#REF!</v>
      </c>
      <c r="J342" s="532" t="str">
        <f t="shared" si="8"/>
        <v/>
      </c>
      <c r="L342" s="457"/>
      <c r="M342" s="457"/>
      <c r="N342" s="457"/>
      <c r="O342" s="457"/>
      <c r="P342" s="457"/>
    </row>
    <row r="343" spans="1:16" x14ac:dyDescent="0.25">
      <c r="A343" s="382" t="s">
        <v>24</v>
      </c>
      <c r="B343" s="291"/>
      <c r="C343" s="291"/>
      <c r="D343" s="291"/>
      <c r="E343" s="291"/>
      <c r="F343" s="291"/>
      <c r="G343" s="291"/>
      <c r="H343" s="535" t="e">
        <f>SUM($H$339:$H$342)</f>
        <v>#REF!</v>
      </c>
      <c r="I343" s="536"/>
      <c r="J343" s="535">
        <f>SUM($J$339:$J$342)</f>
        <v>180</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700</v>
      </c>
      <c r="B346" s="7"/>
      <c r="C346" s="7"/>
      <c r="D346" s="7"/>
      <c r="E346" s="7"/>
      <c r="F346" s="7"/>
      <c r="G346" s="7"/>
      <c r="H346" s="7"/>
      <c r="I346" s="7"/>
      <c r="J346" s="7"/>
      <c r="L346" s="457"/>
      <c r="M346" s="457"/>
      <c r="N346" s="457"/>
      <c r="O346" s="457"/>
      <c r="P346" s="457"/>
    </row>
    <row r="347" spans="1:16" x14ac:dyDescent="0.25">
      <c r="A347" s="384"/>
      <c r="B347" s="8"/>
      <c r="C347" s="8"/>
      <c r="D347" s="389"/>
      <c r="E347" s="8"/>
      <c r="F347" s="836" t="s">
        <v>556</v>
      </c>
      <c r="G347" s="836"/>
      <c r="H347" s="385"/>
      <c r="I347" s="837" t="s">
        <v>557</v>
      </c>
      <c r="J347" s="838"/>
      <c r="L347" s="457"/>
      <c r="M347" s="457"/>
      <c r="N347" s="457"/>
      <c r="O347" s="457"/>
      <c r="P347" s="457"/>
    </row>
    <row r="348" spans="1:16" ht="15.75" x14ac:dyDescent="0.25">
      <c r="A348" s="390" t="s">
        <v>558</v>
      </c>
      <c r="B348" s="391"/>
      <c r="C348" s="391"/>
      <c r="D348" s="420"/>
      <c r="E348" s="391"/>
      <c r="F348" s="834">
        <f>Draft!$H$65</f>
        <v>733.77</v>
      </c>
      <c r="G348" s="834"/>
      <c r="H348" s="407"/>
      <c r="I348" s="834">
        <f>Draft!$Z$65</f>
        <v>1071.3</v>
      </c>
      <c r="J348" s="835"/>
      <c r="L348" s="457"/>
      <c r="M348" s="457"/>
      <c r="N348" s="457"/>
      <c r="O348" s="457"/>
      <c r="P348" s="457"/>
    </row>
    <row r="349" spans="1:16" ht="15.75" x14ac:dyDescent="0.25">
      <c r="A349" s="386" t="s">
        <v>559</v>
      </c>
      <c r="D349" s="421"/>
      <c r="F349" s="819">
        <f>Draft!$H$66</f>
        <v>157.51</v>
      </c>
      <c r="G349" s="819"/>
      <c r="H349" s="408"/>
      <c r="I349" s="819">
        <f>Draft!$Z$66</f>
        <v>157.11000000000001</v>
      </c>
      <c r="J349" s="820"/>
      <c r="L349" s="457"/>
      <c r="M349" s="457"/>
      <c r="N349" s="457"/>
      <c r="O349" s="457"/>
      <c r="P349" s="457"/>
    </row>
    <row r="350" spans="1:16" ht="15.75" x14ac:dyDescent="0.25">
      <c r="A350" s="386" t="s">
        <v>560</v>
      </c>
      <c r="D350" s="421"/>
      <c r="F350" s="819" t="str">
        <f>Draft!$H$67</f>
        <v>k</v>
      </c>
      <c r="G350" s="819"/>
      <c r="H350" s="408"/>
      <c r="I350" s="819" t="str">
        <f>Draft!$Z$67</f>
        <v>K</v>
      </c>
      <c r="J350" s="820"/>
      <c r="L350" s="457"/>
      <c r="M350" s="457"/>
      <c r="N350" s="457"/>
      <c r="O350" s="457"/>
      <c r="P350" s="457"/>
    </row>
    <row r="351" spans="1:16" ht="15.75" x14ac:dyDescent="0.25">
      <c r="A351" s="386" t="s">
        <v>561</v>
      </c>
      <c r="D351" s="421"/>
      <c r="F351" s="819">
        <f>$J$333</f>
        <v>200</v>
      </c>
      <c r="G351" s="819"/>
      <c r="H351" s="408"/>
      <c r="I351" s="819">
        <f>$J$343</f>
        <v>180</v>
      </c>
      <c r="J351" s="820"/>
      <c r="L351" s="457"/>
      <c r="M351" s="457"/>
      <c r="N351" s="457"/>
      <c r="O351" s="457"/>
      <c r="P351" s="457"/>
    </row>
    <row r="352" spans="1:16" ht="15.75" x14ac:dyDescent="0.25">
      <c r="A352" s="386" t="s">
        <v>562</v>
      </c>
      <c r="D352" s="421"/>
      <c r="F352" s="819">
        <f>$J$284</f>
        <v>32395.500000000004</v>
      </c>
      <c r="G352" s="819"/>
      <c r="H352" s="408"/>
      <c r="I352" s="819">
        <f>$J$322</f>
        <v>219.7</v>
      </c>
      <c r="J352" s="820"/>
      <c r="L352" s="457"/>
      <c r="M352" s="457"/>
      <c r="N352" s="457"/>
      <c r="O352" s="457"/>
      <c r="P352" s="457"/>
    </row>
    <row r="353" spans="1:16" ht="15.75" x14ac:dyDescent="0.25">
      <c r="A353" s="392" t="s">
        <v>563</v>
      </c>
      <c r="B353" s="393"/>
      <c r="C353" s="393"/>
      <c r="D353" s="422"/>
      <c r="E353" s="393"/>
      <c r="F353" s="821">
        <f>Draft!$H$71</f>
        <v>0</v>
      </c>
      <c r="G353" s="821"/>
      <c r="H353" s="409"/>
      <c r="I353" s="821">
        <f>Draft!$Z$71</f>
        <v>20</v>
      </c>
      <c r="J353" s="822"/>
      <c r="L353" s="457"/>
      <c r="M353" s="457"/>
      <c r="N353" s="457"/>
      <c r="O353" s="457"/>
      <c r="P353" s="457"/>
    </row>
    <row r="354" spans="1:16" ht="15.75" x14ac:dyDescent="0.25">
      <c r="A354" s="387" t="s">
        <v>24</v>
      </c>
      <c r="B354" s="8"/>
      <c r="C354" s="8"/>
      <c r="D354" s="388"/>
      <c r="E354" s="8"/>
      <c r="F354" s="818">
        <f>SUM($F$348:$G$353)</f>
        <v>33486.780000000006</v>
      </c>
      <c r="G354" s="818"/>
      <c r="H354" s="410"/>
      <c r="I354" s="821">
        <f>SUM($I$348:$J$353)</f>
        <v>1648.11</v>
      </c>
      <c r="J354" s="821"/>
      <c r="L354" s="457"/>
      <c r="M354" s="457"/>
      <c r="N354" s="457"/>
      <c r="O354" s="457"/>
      <c r="P354" s="457"/>
    </row>
    <row r="355" spans="1:16" x14ac:dyDescent="0.25">
      <c r="L355" s="457"/>
      <c r="M355" s="457"/>
      <c r="N355" s="457"/>
      <c r="O355" s="457"/>
      <c r="P355"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&amp;RPGUA/DS/090/26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6" zoomScale="80" zoomScaleNormal="80" zoomScalePageLayoutView="10" workbookViewId="0">
      <selection activeCell="H53" sqref="H53:K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SDM QUANZHOU</v>
      </c>
    </row>
    <row r="3" spans="1:14" ht="24" customHeight="1" x14ac:dyDescent="0.3">
      <c r="C3" s="424" t="str">
        <f>_xlfn.CONCAT(N5,N6,"MV ""","",_xlfn.CONCAT(C5),"",""" - Resumo dos números apurados - ","(",TEXT(G36,"#,##0.000")," t"," ou ",TEXT(I36,"#,##0.00"),"%",")")</f>
        <v>MV "SDM QUANZHOU" - Resumo dos números apurados - (1,107874 t ou ,00178%)</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SDM QUANZHOU</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0"/>
      <c r="D16" s="1180"/>
      <c r="E16" s="1180"/>
      <c r="F16" s="1180"/>
      <c r="G16" s="1180"/>
      <c r="H16" s="1180"/>
      <c r="I16" s="1180"/>
      <c r="J16" s="1180"/>
      <c r="K16" s="1180"/>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579</v>
      </c>
      <c r="D19" s="555" t="s">
        <v>524</v>
      </c>
      <c r="E19" s="556">
        <f>Draft!$E$4</f>
        <v>46102</v>
      </c>
      <c r="F19" s="557"/>
      <c r="G19" s="1181" t="str">
        <f>_xlfn.CONCAT(TEXT(Draft!$O$5,"hh:mm")," - ",Draft!$AN$7,Draft!$H$6)</f>
        <v>16:40 - Fundeado - área 9.2</v>
      </c>
      <c r="H19" s="1181"/>
      <c r="I19" s="1181"/>
      <c r="J19" s="1181"/>
      <c r="K19" s="1182"/>
      <c r="L19" s="250"/>
      <c r="M19" s="250"/>
      <c r="N19" s="250"/>
      <c r="O19" s="250" t="e">
        <f>IF(Draft!H6="berthed",Atracado,Fundeado)</f>
        <v>#NAME?</v>
      </c>
      <c r="P19" s="250"/>
      <c r="Q19" s="250"/>
    </row>
    <row r="20" spans="1:17" ht="17.25" x14ac:dyDescent="0.3">
      <c r="A20" s="539"/>
      <c r="B20" s="539"/>
      <c r="C20" s="558" t="s">
        <v>578</v>
      </c>
      <c r="D20" s="544" t="s">
        <v>524</v>
      </c>
      <c r="E20" s="545">
        <f>Draft!$X$4</f>
        <v>46106</v>
      </c>
      <c r="F20" s="546"/>
      <c r="G20" s="1183" t="str">
        <f>_xlfn.CONCAT(TEXT(Draft!$AH$5,"hh:mm")," - ",Draft!$AN$8,Draft!$AA$6)</f>
        <v>07:00 - Atracado - berço 214</v>
      </c>
      <c r="H20" s="1183"/>
      <c r="I20" s="1183"/>
      <c r="J20" s="1183"/>
      <c r="K20" s="1184"/>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622</v>
      </c>
      <c r="D22" s="656" t="s">
        <v>524</v>
      </c>
      <c r="E22" s="657" t="s">
        <v>623</v>
      </c>
      <c r="F22" s="658"/>
      <c r="G22" s="658" t="s">
        <v>624</v>
      </c>
      <c r="H22" s="658"/>
      <c r="I22" s="659"/>
      <c r="J22" s="659"/>
      <c r="K22" s="660"/>
      <c r="L22" s="543"/>
      <c r="M22" s="250"/>
      <c r="N22" s="250"/>
      <c r="O22" s="423">
        <v>3000</v>
      </c>
      <c r="P22" s="250"/>
      <c r="Q22" s="250"/>
    </row>
    <row r="23" spans="1:17" ht="15" customHeight="1" x14ac:dyDescent="0.3">
      <c r="A23" s="539"/>
      <c r="B23" s="539"/>
      <c r="C23" s="661" t="s">
        <v>348</v>
      </c>
      <c r="D23" s="662" t="s">
        <v>524</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349</v>
      </c>
      <c r="D24" s="662" t="s">
        <v>524</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766</v>
      </c>
      <c r="D25" s="662" t="s">
        <v>524</v>
      </c>
      <c r="E25" s="663">
        <v>2200</v>
      </c>
      <c r="F25" s="659"/>
      <c r="G25" s="664">
        <f>IFERROR(E25/E34*100,"")</f>
        <v>3.536977491961415</v>
      </c>
      <c r="H25" s="659"/>
      <c r="I25" s="659"/>
      <c r="J25" s="659"/>
      <c r="K25" s="660"/>
      <c r="L25" s="543"/>
      <c r="M25" s="250"/>
      <c r="N25" s="250"/>
      <c r="O25" s="423"/>
      <c r="P25" s="250"/>
      <c r="Q25" s="250"/>
    </row>
    <row r="26" spans="1:17" ht="15" customHeight="1" x14ac:dyDescent="0.3">
      <c r="A26" s="539"/>
      <c r="B26" s="539"/>
      <c r="C26" s="661" t="s">
        <v>351</v>
      </c>
      <c r="D26" s="662" t="s">
        <v>524</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352</v>
      </c>
      <c r="D27" s="662" t="s">
        <v>524</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769</v>
      </c>
      <c r="D28" s="662" t="s">
        <v>524</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770</v>
      </c>
      <c r="D29" s="662" t="s">
        <v>524</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355</v>
      </c>
      <c r="D30" s="662" t="s">
        <v>524</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356</v>
      </c>
      <c r="D31" s="662" t="s">
        <v>524</v>
      </c>
      <c r="E31" s="663">
        <v>22000</v>
      </c>
      <c r="F31" s="659"/>
      <c r="G31" s="664">
        <f>IFERROR(E31/E34*100,"")</f>
        <v>35.369774919614152</v>
      </c>
      <c r="H31" s="659"/>
      <c r="I31" s="659"/>
      <c r="J31" s="659"/>
      <c r="K31" s="660"/>
      <c r="L31" s="543"/>
      <c r="M31" s="250"/>
      <c r="N31" s="250"/>
      <c r="O31" s="423"/>
      <c r="P31" s="250"/>
      <c r="Q31" s="250"/>
    </row>
    <row r="32" spans="1:17" ht="15" customHeight="1" x14ac:dyDescent="0.3">
      <c r="A32" s="539"/>
      <c r="B32" s="539"/>
      <c r="C32" s="661" t="s">
        <v>765</v>
      </c>
      <c r="D32" s="662" t="s">
        <v>524</v>
      </c>
      <c r="E32" s="663">
        <v>0</v>
      </c>
      <c r="F32" s="665"/>
      <c r="G32" s="664">
        <f>IFERROR(E32/E34*100,"")</f>
        <v>0</v>
      </c>
      <c r="H32" s="665"/>
      <c r="I32" s="665"/>
      <c r="J32" s="665"/>
      <c r="K32" s="666"/>
    </row>
    <row r="33" spans="1:17" ht="15" customHeight="1" x14ac:dyDescent="0.3">
      <c r="A33" s="539"/>
      <c r="B33" s="539"/>
      <c r="C33" s="661" t="s">
        <v>358</v>
      </c>
      <c r="D33" s="662" t="s">
        <v>524</v>
      </c>
      <c r="E33" s="663">
        <v>38000</v>
      </c>
      <c r="F33" s="665"/>
      <c r="G33" s="664">
        <f>IFERROR(E33/E34*100,"")</f>
        <v>61.09324758842444</v>
      </c>
      <c r="H33" s="665"/>
      <c r="I33" s="665"/>
      <c r="J33" s="665"/>
      <c r="K33" s="666"/>
    </row>
    <row r="34" spans="1:17" ht="15" customHeight="1" x14ac:dyDescent="0.3">
      <c r="A34" s="539"/>
      <c r="B34" s="539"/>
      <c r="C34" s="655" t="s">
        <v>621</v>
      </c>
      <c r="D34" s="656" t="s">
        <v>524</v>
      </c>
      <c r="E34" s="667">
        <f>Draft!$Z$78</f>
        <v>62200</v>
      </c>
      <c r="F34" s="667"/>
      <c r="G34" s="668">
        <f>SUM(G23:G33)</f>
        <v>100</v>
      </c>
      <c r="H34" s="669"/>
      <c r="I34" s="669"/>
      <c r="J34" s="669"/>
      <c r="K34" s="670"/>
      <c r="O34" s="248" t="s">
        <v>323</v>
      </c>
      <c r="P34" s="249" t="s">
        <v>525</v>
      </c>
    </row>
    <row r="35" spans="1:17" ht="17.100000000000001" customHeight="1" x14ac:dyDescent="0.3">
      <c r="A35" s="539"/>
      <c r="B35" s="539"/>
      <c r="C35" s="561"/>
      <c r="D35" s="546"/>
      <c r="E35" s="546"/>
      <c r="F35" s="546"/>
      <c r="G35" s="546"/>
      <c r="H35" s="546"/>
      <c r="I35" s="546"/>
      <c r="J35" s="546"/>
      <c r="K35" s="694" t="s">
        <v>687</v>
      </c>
      <c r="O35" s="248" t="s">
        <v>325</v>
      </c>
      <c r="P35" s="249" t="s">
        <v>526</v>
      </c>
    </row>
    <row r="36" spans="1:17" ht="17.100000000000001" customHeight="1" x14ac:dyDescent="0.3">
      <c r="A36" s="547"/>
      <c r="B36" s="547"/>
      <c r="C36" s="562" t="s">
        <v>527</v>
      </c>
      <c r="D36" s="540" t="s">
        <v>524</v>
      </c>
      <c r="E36" s="574">
        <f>IF(K36="SIM",Draft!AF77,Draft!Z77)</f>
        <v>62201.107873907233</v>
      </c>
      <c r="F36" s="541" t="s">
        <v>528</v>
      </c>
      <c r="G36" s="574">
        <f>IF(K36="SIM",Draft!AF79,Draft!Z79)</f>
        <v>1.1078739072327153</v>
      </c>
      <c r="H36" s="542" t="s">
        <v>529</v>
      </c>
      <c r="I36" s="575">
        <f>$G$36/$E$34*100</f>
        <v>1.781147760824301E-3</v>
      </c>
      <c r="J36" s="541" t="s">
        <v>530</v>
      </c>
      <c r="K36" s="693"/>
      <c r="L36" s="249"/>
      <c r="M36" s="250"/>
      <c r="N36" s="250"/>
      <c r="O36" s="248" t="s">
        <v>326</v>
      </c>
      <c r="P36" s="249" t="s">
        <v>531</v>
      </c>
      <c r="Q36" s="250"/>
    </row>
    <row r="37" spans="1:17" ht="17.100000000000001" customHeight="1" x14ac:dyDescent="0.3">
      <c r="A37" s="547"/>
      <c r="B37" s="547"/>
      <c r="C37" s="562" t="s">
        <v>532</v>
      </c>
      <c r="D37" s="540" t="s">
        <v>524</v>
      </c>
      <c r="E37" s="574">
        <f>Draft!$X$82</f>
        <v>62247</v>
      </c>
      <c r="F37" s="541" t="s">
        <v>528</v>
      </c>
      <c r="G37" s="574">
        <f>Draft!$AA$82</f>
        <v>47</v>
      </c>
      <c r="H37" s="542" t="s">
        <v>529</v>
      </c>
      <c r="I37" s="575">
        <f>$G$37/$E$34*100</f>
        <v>7.5562700964630219E-2</v>
      </c>
      <c r="J37" s="541" t="s">
        <v>530</v>
      </c>
      <c r="K37" s="563"/>
      <c r="L37" s="249"/>
      <c r="M37" s="250"/>
      <c r="N37" s="250"/>
      <c r="O37" s="248" t="s">
        <v>328</v>
      </c>
      <c r="P37" s="249" t="s">
        <v>533</v>
      </c>
      <c r="Q37" s="250"/>
    </row>
    <row r="38" spans="1:17" ht="17.100000000000001" customHeight="1" x14ac:dyDescent="0.3">
      <c r="A38" s="547"/>
      <c r="B38" s="547"/>
      <c r="C38" s="562" t="s">
        <v>534</v>
      </c>
      <c r="D38" s="540" t="s">
        <v>524</v>
      </c>
      <c r="E38" s="574">
        <f>Draft!$X$83</f>
        <v>62172.35</v>
      </c>
      <c r="F38" s="541" t="s">
        <v>528</v>
      </c>
      <c r="G38" s="574">
        <f>Draft!$AA$83</f>
        <v>-27.650000000001455</v>
      </c>
      <c r="H38" s="542" t="s">
        <v>529</v>
      </c>
      <c r="I38" s="575">
        <f>$G$38/$E$34*100</f>
        <v>-4.4453376205790124E-2</v>
      </c>
      <c r="J38" s="541" t="s">
        <v>530</v>
      </c>
      <c r="K38" s="563"/>
      <c r="L38" s="249"/>
      <c r="M38" s="250"/>
      <c r="N38" s="250"/>
      <c r="O38" s="248" t="s">
        <v>329</v>
      </c>
      <c r="P38" s="249" t="s">
        <v>535</v>
      </c>
      <c r="Q38" s="250"/>
    </row>
    <row r="39" spans="1:17" ht="17.100000000000001" customHeight="1" x14ac:dyDescent="0.3">
      <c r="A39" s="548"/>
      <c r="B39" s="549" t="str">
        <f>Draft!$U$84</f>
        <v>Owners P&amp;I:</v>
      </c>
      <c r="C39" s="562" t="str">
        <f>IFERROR(_xlfn.IFS(B39=O34,P34,B39=O35,P35,B39=O36,P36,B39=O37,P37,B39=O38,P38,B39=O39,P39,B39=O40,P40,B39=O41,P41,B39=O42,P42),"")</f>
        <v>P&amp;I Armador:</v>
      </c>
      <c r="D39" s="540" t="s">
        <v>524</v>
      </c>
      <c r="E39" s="574">
        <f>Draft!$X$84</f>
        <v>62200.430999999997</v>
      </c>
      <c r="F39" s="541" t="s">
        <v>528</v>
      </c>
      <c r="G39" s="574">
        <f>Draft!$AA$84</f>
        <v>0.43099999999685679</v>
      </c>
      <c r="H39" s="542" t="s">
        <v>529</v>
      </c>
      <c r="I39" s="575">
        <f>Draft!$AC$84</f>
        <v>6.9292604501102384E-4</v>
      </c>
      <c r="J39" s="541" t="s">
        <v>530</v>
      </c>
      <c r="K39" s="563"/>
      <c r="L39" s="249"/>
      <c r="M39" s="250"/>
      <c r="N39" s="250"/>
      <c r="O39" s="248" t="s">
        <v>330</v>
      </c>
      <c r="P39" s="249" t="s">
        <v>536</v>
      </c>
      <c r="Q39" s="250"/>
    </row>
    <row r="40" spans="1:17" ht="17.100000000000001" customHeight="1" x14ac:dyDescent="0.3">
      <c r="A40" s="548"/>
      <c r="B40" s="549">
        <f>Draft!$U$85</f>
        <v>0</v>
      </c>
      <c r="C40" s="562" t="str">
        <f>IFERROR(_xlfn.IFS(B40=O34,P34,B40=O35,P35,B40=O36,P36,B40=O37,P37,B40=O38,P38,B40=O39,P39,B40=O40,P40,B40=O41,P41,B40=O42,P42),"")</f>
        <v/>
      </c>
      <c r="D40" s="540" t="s">
        <v>524</v>
      </c>
      <c r="E40" s="574">
        <f>Draft!$X$85</f>
        <v>0</v>
      </c>
      <c r="F40" s="541" t="s">
        <v>528</v>
      </c>
      <c r="G40" s="574">
        <f>Draft!$AA$85</f>
        <v>-62200</v>
      </c>
      <c r="H40" s="542" t="s">
        <v>529</v>
      </c>
      <c r="I40" s="575">
        <f>Draft!$AC$85</f>
        <v>-100</v>
      </c>
      <c r="J40" s="541" t="s">
        <v>530</v>
      </c>
      <c r="K40" s="563"/>
      <c r="L40" s="249"/>
      <c r="M40" s="250"/>
      <c r="N40" s="250"/>
      <c r="O40" s="248" t="s">
        <v>331</v>
      </c>
      <c r="P40" s="249" t="s">
        <v>537</v>
      </c>
      <c r="Q40" s="250"/>
    </row>
    <row r="41" spans="1:17" ht="17.100000000000001" customHeight="1" x14ac:dyDescent="0.3">
      <c r="A41" s="548"/>
      <c r="B41" s="549">
        <f>Draft!$U$86</f>
        <v>0</v>
      </c>
      <c r="C41" s="562" t="str">
        <f>IFERROR(_xlfn.IFS(B41=O34,P34,B41=O35,P35,B41=O36,P36,B41=O37,P37,B41=O38,P38,B41=O39,P39,B41=O40,P40,B41=O41,P41,B41=O42,P42),"")</f>
        <v/>
      </c>
      <c r="D41" s="540" t="s">
        <v>524</v>
      </c>
      <c r="E41" s="574">
        <f>Draft!$X$86</f>
        <v>0</v>
      </c>
      <c r="F41" s="541" t="s">
        <v>528</v>
      </c>
      <c r="G41" s="574">
        <f>Draft!$AA$86</f>
        <v>-62200</v>
      </c>
      <c r="H41" s="542" t="s">
        <v>529</v>
      </c>
      <c r="I41" s="575">
        <f>Draft!$AC$86</f>
        <v>-100</v>
      </c>
      <c r="J41" s="541" t="s">
        <v>530</v>
      </c>
      <c r="K41" s="563"/>
      <c r="L41" s="249"/>
      <c r="M41" s="250"/>
      <c r="N41" s="250"/>
      <c r="O41" s="75" t="s">
        <v>73</v>
      </c>
      <c r="P41" s="249" t="s">
        <v>533</v>
      </c>
      <c r="Q41" s="250"/>
    </row>
    <row r="42" spans="1:17" ht="17.100000000000001" customHeight="1" x14ac:dyDescent="0.3">
      <c r="A42" s="548"/>
      <c r="B42" s="549">
        <f>Draft!$U$87</f>
        <v>0</v>
      </c>
      <c r="C42" s="562" t="str">
        <f>IFERROR(_xlfn.IFS(B42=O34,P34,B42=O35,P35,B42=O36,P36,B42=O37,P37,B42=O38,P38,B42=O39,P39,B42=O40,P40,B42=O41,P41,B42=O42,P42),"")</f>
        <v/>
      </c>
      <c r="D42" s="540" t="s">
        <v>524</v>
      </c>
      <c r="E42" s="574">
        <f>Draft!$X$87</f>
        <v>0</v>
      </c>
      <c r="F42" s="541" t="s">
        <v>528</v>
      </c>
      <c r="G42" s="574">
        <f>Draft!$AA$87</f>
        <v>-62200</v>
      </c>
      <c r="H42" s="542" t="s">
        <v>529</v>
      </c>
      <c r="I42" s="575">
        <f>Draft!$AC$87</f>
        <v>-100</v>
      </c>
      <c r="J42" s="541" t="s">
        <v>530</v>
      </c>
      <c r="K42" s="563"/>
      <c r="L42" s="249"/>
      <c r="M42" s="250"/>
      <c r="N42" s="250"/>
      <c r="O42" s="75" t="s">
        <v>616</v>
      </c>
      <c r="P42" s="249" t="s">
        <v>619</v>
      </c>
      <c r="Q42" s="250"/>
    </row>
    <row r="43" spans="1:17" ht="17.100000000000001" customHeight="1" x14ac:dyDescent="0.3">
      <c r="A43" s="548"/>
      <c r="B43" s="549">
        <f>Draft!$U$88</f>
        <v>0</v>
      </c>
      <c r="C43" s="562"/>
      <c r="D43" s="541"/>
      <c r="E43" s="574">
        <f>Draft!$X$88</f>
        <v>0</v>
      </c>
      <c r="F43" s="541" t="s">
        <v>528</v>
      </c>
      <c r="G43" s="574">
        <f>Draft!$Z$88</f>
        <v>0</v>
      </c>
      <c r="H43" s="542" t="s">
        <v>529</v>
      </c>
      <c r="I43" s="575">
        <f>Draft!$AC$88</f>
        <v>0</v>
      </c>
      <c r="J43" s="541" t="s">
        <v>530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5" t="s">
        <v>684</v>
      </c>
      <c r="D45" s="1186"/>
      <c r="E45" s="1186"/>
      <c r="F45" s="1186"/>
      <c r="G45" s="1186"/>
      <c r="H45" s="1186"/>
      <c r="I45" s="1186"/>
      <c r="J45" s="1186"/>
      <c r="K45" s="1187"/>
    </row>
    <row r="46" spans="1:17" s="691" customFormat="1" ht="18" customHeight="1" x14ac:dyDescent="0.25">
      <c r="C46" s="692" t="s">
        <v>346</v>
      </c>
      <c r="D46" s="1189" t="s">
        <v>680</v>
      </c>
      <c r="E46" s="1189"/>
      <c r="F46" s="1189" t="s">
        <v>685</v>
      </c>
      <c r="G46" s="1189"/>
      <c r="H46" s="1189" t="s">
        <v>686</v>
      </c>
      <c r="I46" s="1189"/>
      <c r="J46" s="1189" t="s">
        <v>347</v>
      </c>
      <c r="K46" s="1189"/>
    </row>
    <row r="47" spans="1:17" ht="12.75" customHeight="1" x14ac:dyDescent="0.2">
      <c r="C47" s="690">
        <v>1</v>
      </c>
      <c r="D47" s="1178">
        <v>10344.745000000001</v>
      </c>
      <c r="E47" s="1179"/>
      <c r="F47" s="1190">
        <f>DCP!B28</f>
        <v>777893</v>
      </c>
      <c r="G47" s="1188"/>
      <c r="H47" s="1188" t="s">
        <v>801</v>
      </c>
      <c r="I47" s="1188"/>
      <c r="J47" s="1188" t="s">
        <v>802</v>
      </c>
      <c r="K47" s="1188"/>
    </row>
    <row r="48" spans="1:17" ht="12.75" customHeight="1" x14ac:dyDescent="0.2">
      <c r="C48" s="690">
        <v>2</v>
      </c>
      <c r="D48" s="1178">
        <v>11849.88</v>
      </c>
      <c r="E48" s="1179"/>
      <c r="F48" s="1190">
        <f>DCP!C28</f>
        <v>857277</v>
      </c>
      <c r="G48" s="1188"/>
      <c r="H48" s="1188" t="s">
        <v>801</v>
      </c>
      <c r="I48" s="1188"/>
      <c r="J48" s="1188" t="s">
        <v>802</v>
      </c>
      <c r="K48" s="1188"/>
    </row>
    <row r="49" spans="3:11" ht="12.75" customHeight="1" x14ac:dyDescent="0.2">
      <c r="C49" s="690">
        <v>3</v>
      </c>
      <c r="D49" s="1178">
        <v>8603.0750000000007</v>
      </c>
      <c r="E49" s="1179"/>
      <c r="F49" s="1190">
        <f>DCP!D28</f>
        <v>635809</v>
      </c>
      <c r="G49" s="1188"/>
      <c r="H49" s="1188" t="s">
        <v>801</v>
      </c>
      <c r="I49" s="1188"/>
      <c r="J49" s="1188" t="s">
        <v>802</v>
      </c>
      <c r="K49" s="1188"/>
    </row>
    <row r="50" spans="3:11" ht="12.75" customHeight="1" x14ac:dyDescent="0.2">
      <c r="C50" s="690">
        <v>4</v>
      </c>
      <c r="D50" s="1178">
        <v>10603.06</v>
      </c>
      <c r="E50" s="1179"/>
      <c r="F50" s="1190">
        <f>DCP!E28</f>
        <v>779232</v>
      </c>
      <c r="G50" s="1188"/>
      <c r="H50" s="1188" t="s">
        <v>801</v>
      </c>
      <c r="I50" s="1188"/>
      <c r="J50" s="1188" t="s">
        <v>802</v>
      </c>
      <c r="K50" s="1188"/>
    </row>
    <row r="51" spans="3:11" ht="12.75" customHeight="1" x14ac:dyDescent="0.2">
      <c r="C51" s="690">
        <v>5</v>
      </c>
      <c r="D51" s="1178">
        <v>10392.684999999999</v>
      </c>
      <c r="E51" s="1179"/>
      <c r="F51" s="1190">
        <f>DCP!F28</f>
        <v>778204</v>
      </c>
      <c r="G51" s="1188"/>
      <c r="H51" s="1188" t="s">
        <v>801</v>
      </c>
      <c r="I51" s="1188"/>
      <c r="J51" s="1188" t="s">
        <v>802</v>
      </c>
      <c r="K51" s="1188"/>
    </row>
    <row r="52" spans="3:11" ht="12.75" customHeight="1" x14ac:dyDescent="0.2">
      <c r="C52" s="690">
        <v>6</v>
      </c>
      <c r="D52" s="1178">
        <v>10406.555</v>
      </c>
      <c r="E52" s="1179"/>
      <c r="F52" s="1190">
        <f>DCP!G28</f>
        <v>805043</v>
      </c>
      <c r="G52" s="1188"/>
      <c r="H52" s="1188" t="s">
        <v>801</v>
      </c>
      <c r="I52" s="1188"/>
      <c r="J52" s="1188" t="s">
        <v>802</v>
      </c>
      <c r="K52" s="1188"/>
    </row>
    <row r="53" spans="3:11" ht="12.75" customHeight="1" x14ac:dyDescent="0.2">
      <c r="C53" s="690">
        <v>7</v>
      </c>
      <c r="D53" s="1188"/>
      <c r="E53" s="1188"/>
      <c r="F53" s="1190" t="e">
        <f>DCP!#REF!</f>
        <v>#REF!</v>
      </c>
      <c r="G53" s="1188"/>
      <c r="H53" s="1188"/>
      <c r="I53" s="1188"/>
      <c r="J53" s="1188"/>
      <c r="K53" s="118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disablePrompts="1"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1" t="s">
        <v>538</v>
      </c>
      <c r="C8" s="1191"/>
      <c r="D8" s="1191"/>
      <c r="E8" s="1191"/>
    </row>
    <row r="9" spans="2:7" ht="15" x14ac:dyDescent="0.25">
      <c r="B9" s="251" t="s">
        <v>539</v>
      </c>
      <c r="C9" s="251" t="s">
        <v>540</v>
      </c>
      <c r="D9" s="251" t="s">
        <v>541</v>
      </c>
      <c r="E9" s="251" t="s">
        <v>542</v>
      </c>
    </row>
    <row r="10" spans="2:7" x14ac:dyDescent="0.2">
      <c r="B10" s="252" t="str">
        <f>'DADOS E-MAIL '!$C$36</f>
        <v>Standard Brazil</v>
      </c>
      <c r="C10" s="253">
        <f>'DADOS E-MAIL '!$E$36</f>
        <v>62201.107873907233</v>
      </c>
      <c r="D10" s="254">
        <f>C10-$G$10</f>
        <v>1.1078739072327153</v>
      </c>
      <c r="E10" s="255">
        <f>$D$10/$G$10*100</f>
        <v>1.781147760824301E-3</v>
      </c>
      <c r="G10" s="246">
        <f>'DADOS E-MAIL '!$E$34</f>
        <v>62200</v>
      </c>
    </row>
    <row r="11" spans="2:7" x14ac:dyDescent="0.2">
      <c r="B11" s="252" t="str">
        <f>'DADOS E-MAIL '!$C$37</f>
        <v>Comando do navio:</v>
      </c>
      <c r="C11" s="253">
        <f>'DADOS E-MAIL '!$E$37</f>
        <v>62247</v>
      </c>
      <c r="D11" s="254">
        <f>C11-$G$11</f>
        <v>47</v>
      </c>
      <c r="E11" s="255">
        <f>$D$11/$G$11*100</f>
        <v>7.5562700964630219E-2</v>
      </c>
      <c r="G11" s="246">
        <f>'DADOS E-MAIL '!$E$34</f>
        <v>62200</v>
      </c>
    </row>
    <row r="12" spans="2:7" x14ac:dyDescent="0.2">
      <c r="B12" s="252" t="str">
        <f>'DADOS E-MAIL '!$C$38</f>
        <v>Receita Federal:</v>
      </c>
      <c r="C12" s="253">
        <f>'DADOS E-MAIL '!$E$38</f>
        <v>62172.35</v>
      </c>
      <c r="D12" s="254">
        <f>C12-$G$12</f>
        <v>-27.650000000001455</v>
      </c>
      <c r="E12" s="255">
        <f>$D$12/$G$12*100</f>
        <v>-4.4453376205790124E-2</v>
      </c>
      <c r="G12" s="246">
        <f>'DADOS E-MAIL '!$E$34</f>
        <v>62200</v>
      </c>
    </row>
    <row r="14" spans="2:7" x14ac:dyDescent="0.2">
      <c r="B14" s="1191" t="s">
        <v>291</v>
      </c>
      <c r="C14" s="1191"/>
      <c r="D14" s="1191"/>
      <c r="E14" s="1191"/>
    </row>
    <row r="15" spans="2:7" ht="15" x14ac:dyDescent="0.25">
      <c r="B15" s="251" t="s">
        <v>539</v>
      </c>
      <c r="C15" s="251" t="s">
        <v>540</v>
      </c>
      <c r="D15" s="251" t="s">
        <v>541</v>
      </c>
      <c r="E15" s="251" t="s">
        <v>542</v>
      </c>
    </row>
    <row r="16" spans="2:7" x14ac:dyDescent="0.2">
      <c r="B16" s="252" t="str">
        <f>'DADOS E-MAIL '!$C$36</f>
        <v>Standard Brazil</v>
      </c>
      <c r="C16" s="253">
        <f>Draft!$AF$77</f>
        <v>62132.12496211323</v>
      </c>
      <c r="D16" s="254">
        <f>$C$16-$G$16</f>
        <v>-67.87503788676986</v>
      </c>
      <c r="E16" s="255">
        <f>$D$16/$G$16*100</f>
        <v>-0.10912385512342421</v>
      </c>
      <c r="G16" s="246">
        <f>'DADOS E-MAIL '!$E$34</f>
        <v>62200</v>
      </c>
    </row>
    <row r="17" spans="2:7" x14ac:dyDescent="0.2">
      <c r="B17" s="252" t="str">
        <f>'DADOS E-MAIL '!$C$37</f>
        <v>Comando do navio:</v>
      </c>
      <c r="C17" s="253">
        <f>'DADOS E-MAIL '!$E$37</f>
        <v>62247</v>
      </c>
      <c r="D17" s="254">
        <f>C17-$G$11</f>
        <v>47</v>
      </c>
      <c r="E17" s="255">
        <f>$D$11/$G$11*100</f>
        <v>7.5562700964630219E-2</v>
      </c>
      <c r="G17" s="246">
        <f>'DADOS E-MAIL '!$E$34</f>
        <v>62200</v>
      </c>
    </row>
    <row r="18" spans="2:7" x14ac:dyDescent="0.2">
      <c r="B18" s="252" t="str">
        <f>'DADOS E-MAIL '!$C$38</f>
        <v>Receita Federal:</v>
      </c>
      <c r="C18" s="253">
        <f>'DADOS E-MAIL '!$E$38</f>
        <v>62172.35</v>
      </c>
      <c r="D18" s="254">
        <f>C18-$G$12</f>
        <v>-27.650000000001455</v>
      </c>
      <c r="E18" s="255">
        <f>$D$12/$G$12*100</f>
        <v>-4.4453376205790124E-2</v>
      </c>
      <c r="G18" s="246">
        <f>'DADOS E-MAIL '!$E$34</f>
        <v>62200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5" zoomScaleNormal="100" zoomScaleSheetLayoutView="100" workbookViewId="0">
      <selection sqref="A1:U8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9" t="str">
        <f>(_xlfn.CONCAT("MV ",CAPA!B8))</f>
        <v>MV SDM QUANZHOU</v>
      </c>
      <c r="I2" s="1249"/>
      <c r="J2" s="1249"/>
      <c r="K2" s="1249"/>
      <c r="L2" s="1249"/>
      <c r="M2" s="1249"/>
      <c r="N2" s="1249"/>
      <c r="O2" s="1249"/>
      <c r="P2" s="309"/>
      <c r="Q2" s="309"/>
      <c r="R2" s="1250" t="s">
        <v>676</v>
      </c>
      <c r="S2" s="1250"/>
      <c r="T2" s="1250"/>
      <c r="U2" s="1250"/>
      <c r="V2" s="309"/>
    </row>
    <row r="3" spans="1:22" x14ac:dyDescent="0.25">
      <c r="A3" s="309"/>
      <c r="B3" s="309"/>
      <c r="C3" s="309"/>
      <c r="D3" s="309"/>
      <c r="E3" s="309"/>
      <c r="F3" s="309"/>
      <c r="G3" s="309"/>
      <c r="H3" s="1249"/>
      <c r="I3" s="1249"/>
      <c r="J3" s="1249"/>
      <c r="K3" s="1249"/>
      <c r="L3" s="1249"/>
      <c r="M3" s="1249"/>
      <c r="N3" s="1249"/>
      <c r="O3" s="1249"/>
      <c r="P3" s="309"/>
      <c r="Q3" s="309"/>
      <c r="R3" s="1251">
        <f>Draft!Z78</f>
        <v>62200</v>
      </c>
      <c r="S3" s="1251"/>
      <c r="T3" s="1251"/>
      <c r="U3" s="1251"/>
      <c r="V3" s="309"/>
    </row>
    <row r="4" spans="1:22" x14ac:dyDescent="0.25">
      <c r="A4" s="309"/>
      <c r="B4" s="309"/>
      <c r="C4" s="309"/>
      <c r="D4" s="309"/>
      <c r="E4" s="309"/>
      <c r="F4" s="309"/>
      <c r="G4" s="309"/>
      <c r="H4" s="309"/>
      <c r="I4" s="309"/>
      <c r="J4" s="309"/>
      <c r="K4" s="309"/>
      <c r="L4" s="309"/>
      <c r="M4" s="309"/>
      <c r="N4" s="309"/>
      <c r="O4" s="309"/>
      <c r="P4" s="309"/>
      <c r="Q4" s="309"/>
      <c r="R4" s="1250"/>
      <c r="S4" s="1250"/>
      <c r="T4" s="1250"/>
      <c r="U4" s="1250"/>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52" t="s">
        <v>675</v>
      </c>
      <c r="I6" s="1252"/>
      <c r="J6" s="1252"/>
      <c r="K6" s="1253"/>
      <c r="L6" s="1254" t="s">
        <v>674</v>
      </c>
      <c r="M6" s="1252"/>
      <c r="N6" s="1252"/>
      <c r="O6" s="125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5" t="s">
        <v>673</v>
      </c>
      <c r="D10" s="1255"/>
      <c r="E10" s="1255"/>
      <c r="F10" s="1255"/>
      <c r="G10" s="1255"/>
      <c r="H10" s="1255"/>
      <c r="I10" s="1255"/>
      <c r="J10" s="1255"/>
      <c r="K10" s="1255"/>
      <c r="L10" s="1255"/>
      <c r="M10" s="1255"/>
      <c r="N10" s="1255"/>
      <c r="O10" s="1255"/>
      <c r="P10" s="1255"/>
      <c r="Q10" s="1255"/>
      <c r="R10" s="1255"/>
      <c r="S10" s="1255"/>
      <c r="T10" s="1255"/>
      <c r="U10" s="309"/>
      <c r="V10" s="309"/>
    </row>
    <row r="11" spans="1:22" ht="15" customHeight="1" x14ac:dyDescent="0.25">
      <c r="A11" s="309"/>
      <c r="B11" s="309"/>
      <c r="C11" s="1255"/>
      <c r="D11" s="1255"/>
      <c r="E11" s="1255"/>
      <c r="F11" s="1255"/>
      <c r="G11" s="1255"/>
      <c r="H11" s="1255"/>
      <c r="I11" s="1255"/>
      <c r="J11" s="1255"/>
      <c r="K11" s="1255"/>
      <c r="L11" s="1255"/>
      <c r="M11" s="1255"/>
      <c r="N11" s="1255"/>
      <c r="O11" s="1255"/>
      <c r="P11" s="1255"/>
      <c r="Q11" s="1255"/>
      <c r="R11" s="1255"/>
      <c r="S11" s="1255"/>
      <c r="T11" s="1255"/>
      <c r="U11" s="309"/>
      <c r="V11" s="309"/>
    </row>
    <row r="12" spans="1:22" ht="15" customHeight="1" x14ac:dyDescent="0.25">
      <c r="A12" s="309"/>
      <c r="B12" s="309"/>
      <c r="C12" s="1255"/>
      <c r="D12" s="1255"/>
      <c r="E12" s="1255"/>
      <c r="F12" s="1255"/>
      <c r="G12" s="1255"/>
      <c r="H12" s="1255"/>
      <c r="I12" s="1255"/>
      <c r="J12" s="1255"/>
      <c r="K12" s="1255"/>
      <c r="L12" s="1255"/>
      <c r="M12" s="1255"/>
      <c r="N12" s="1255"/>
      <c r="O12" s="1255"/>
      <c r="P12" s="1255"/>
      <c r="Q12" s="1255"/>
      <c r="R12" s="1255"/>
      <c r="S12" s="1255"/>
      <c r="T12" s="1255"/>
      <c r="U12" s="309"/>
      <c r="V12" s="309"/>
    </row>
    <row r="13" spans="1:22" ht="18" customHeight="1" x14ac:dyDescent="0.25">
      <c r="A13" s="309"/>
      <c r="B13" s="309"/>
      <c r="C13" s="1255"/>
      <c r="D13" s="1255"/>
      <c r="E13" s="1255"/>
      <c r="F13" s="1255"/>
      <c r="G13" s="1255"/>
      <c r="H13" s="1255"/>
      <c r="I13" s="1255"/>
      <c r="J13" s="1255"/>
      <c r="K13" s="1255"/>
      <c r="L13" s="1255"/>
      <c r="M13" s="1255"/>
      <c r="N13" s="1255"/>
      <c r="O13" s="1255"/>
      <c r="P13" s="1255"/>
      <c r="Q13" s="1255"/>
      <c r="R13" s="1255"/>
      <c r="S13" s="1255"/>
      <c r="T13" s="1255"/>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1" t="s">
        <v>672</v>
      </c>
      <c r="C18" s="1231"/>
      <c r="D18" s="1231"/>
      <c r="E18" s="1231"/>
      <c r="F18" s="1231"/>
      <c r="G18" s="1231"/>
      <c r="H18" s="1231"/>
      <c r="I18" s="1231"/>
      <c r="J18" s="1231"/>
      <c r="K18" s="309"/>
      <c r="L18" s="681"/>
      <c r="M18" s="1231" t="s">
        <v>671</v>
      </c>
      <c r="N18" s="1231"/>
      <c r="O18" s="1231"/>
      <c r="P18" s="1231"/>
      <c r="Q18" s="1231"/>
      <c r="R18" s="1231"/>
      <c r="S18" s="1231"/>
      <c r="T18" s="1231"/>
      <c r="U18" s="1231"/>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6" t="s">
        <v>670</v>
      </c>
      <c r="C20" s="1256"/>
      <c r="D20" s="1256" t="s">
        <v>669</v>
      </c>
      <c r="E20" s="1256"/>
      <c r="F20" s="1256" t="s">
        <v>668</v>
      </c>
      <c r="G20" s="1256"/>
      <c r="H20" s="1256"/>
      <c r="I20" s="1256"/>
      <c r="J20" s="1256"/>
      <c r="K20" s="309"/>
      <c r="L20" s="309"/>
      <c r="M20" s="1256" t="s">
        <v>670</v>
      </c>
      <c r="N20" s="1256"/>
      <c r="O20" s="1256" t="s">
        <v>669</v>
      </c>
      <c r="P20" s="1256"/>
      <c r="Q20" s="1256" t="s">
        <v>668</v>
      </c>
      <c r="R20" s="1256"/>
      <c r="S20" s="1256"/>
      <c r="T20" s="1256"/>
      <c r="U20" s="1256"/>
      <c r="V20" s="309"/>
    </row>
    <row r="21" spans="1:22" x14ac:dyDescent="0.25">
      <c r="A21" s="309"/>
      <c r="B21" s="1246"/>
      <c r="C21" s="1247"/>
      <c r="D21" s="1247"/>
      <c r="E21" s="1247"/>
      <c r="F21" s="1248"/>
      <c r="G21" s="1248"/>
      <c r="H21" s="1248"/>
      <c r="I21" s="1248"/>
      <c r="J21" s="1248"/>
      <c r="K21" s="309"/>
      <c r="L21" s="309"/>
      <c r="M21" s="1246"/>
      <c r="N21" s="1247"/>
      <c r="O21" s="1247"/>
      <c r="P21" s="1247"/>
      <c r="Q21" s="1248"/>
      <c r="R21" s="1248"/>
      <c r="S21" s="1248"/>
      <c r="T21" s="1248"/>
      <c r="U21" s="1248"/>
      <c r="V21" s="309"/>
    </row>
    <row r="22" spans="1:22" ht="15.75" x14ac:dyDescent="0.25">
      <c r="A22" s="309"/>
      <c r="B22" s="1242">
        <f>Draft!E4</f>
        <v>46102</v>
      </c>
      <c r="C22" s="1243"/>
      <c r="D22" s="1244" t="str">
        <f>_xlfn.CONCAT(TEXT(Draft!O4,"hh:mm")," - ",TEXT(Draft!O6,"hh:mm")," h")</f>
        <v>16:15 - 19:20 h</v>
      </c>
      <c r="E22" s="1243"/>
      <c r="F22" s="1245" t="s">
        <v>667</v>
      </c>
      <c r="G22" s="1245"/>
      <c r="H22" s="1245"/>
      <c r="I22" s="1245"/>
      <c r="J22" s="1245"/>
      <c r="K22" s="697"/>
      <c r="L22" s="697"/>
      <c r="M22" s="1242">
        <v>46103</v>
      </c>
      <c r="N22" s="1243"/>
      <c r="O22" s="1244">
        <v>0.67708333333333337</v>
      </c>
      <c r="P22" s="1243"/>
      <c r="Q22" s="1245" t="s">
        <v>666</v>
      </c>
      <c r="R22" s="1245"/>
      <c r="S22" s="1245"/>
      <c r="T22" s="1245"/>
      <c r="U22" s="1245"/>
      <c r="V22" s="309"/>
    </row>
    <row r="23" spans="1:22" ht="15.75" x14ac:dyDescent="0.25">
      <c r="A23" s="309"/>
      <c r="B23" s="1242">
        <f>Draft!X4</f>
        <v>46106</v>
      </c>
      <c r="C23" s="1243"/>
      <c r="D23" s="1244" t="str">
        <f>_xlfn.CONCAT(TEXT(Draft!AH4,"hh:mm")," - ",TEXT(Draft!AH6,"hh:mm")," h")</f>
        <v>06:30 - 08:30 h</v>
      </c>
      <c r="E23" s="1243"/>
      <c r="F23" s="1245" t="s">
        <v>665</v>
      </c>
      <c r="G23" s="1245"/>
      <c r="H23" s="1245"/>
      <c r="I23" s="1245"/>
      <c r="J23" s="1245"/>
      <c r="K23" s="697"/>
      <c r="L23" s="697"/>
      <c r="M23" s="1242">
        <v>46106</v>
      </c>
      <c r="N23" s="1243"/>
      <c r="O23" s="1244">
        <v>0.28472222222222221</v>
      </c>
      <c r="P23" s="1243"/>
      <c r="Q23" s="1245" t="s">
        <v>664</v>
      </c>
      <c r="R23" s="1245"/>
      <c r="S23" s="1245"/>
      <c r="T23" s="1245"/>
      <c r="U23" s="1245"/>
      <c r="V23" s="309"/>
    </row>
    <row r="24" spans="1:22" x14ac:dyDescent="0.25">
      <c r="A24" s="309"/>
      <c r="B24" s="1236"/>
      <c r="C24" s="1237"/>
      <c r="D24" s="1238"/>
      <c r="E24" s="1237"/>
      <c r="F24" s="1239"/>
      <c r="G24" s="1239"/>
      <c r="H24" s="1239"/>
      <c r="I24" s="1239"/>
      <c r="J24" s="1239"/>
      <c r="K24" s="309"/>
      <c r="L24" s="309"/>
      <c r="M24" s="1236"/>
      <c r="N24" s="1237"/>
      <c r="O24" s="1238"/>
      <c r="P24" s="1237"/>
      <c r="Q24" s="1239"/>
      <c r="R24" s="1239"/>
      <c r="S24" s="1239"/>
      <c r="T24" s="1239"/>
      <c r="U24" s="1239"/>
      <c r="V24" s="309"/>
    </row>
    <row r="25" spans="1:22" x14ac:dyDescent="0.25">
      <c r="A25" s="309"/>
      <c r="B25" s="1236"/>
      <c r="C25" s="1237"/>
      <c r="D25" s="1238"/>
      <c r="E25" s="1237"/>
      <c r="F25" s="1239"/>
      <c r="G25" s="1239"/>
      <c r="H25" s="1239"/>
      <c r="I25" s="1239"/>
      <c r="J25" s="1239"/>
      <c r="K25" s="309"/>
      <c r="L25" s="309"/>
      <c r="M25" s="1236"/>
      <c r="N25" s="1237"/>
      <c r="O25" s="1238"/>
      <c r="P25" s="1237"/>
      <c r="Q25" s="1239"/>
      <c r="R25" s="1239"/>
      <c r="S25" s="1239"/>
      <c r="T25" s="1239"/>
      <c r="U25" s="123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1" t="s">
        <v>663</v>
      </c>
      <c r="E29" s="1231"/>
      <c r="F29" s="1231"/>
      <c r="G29" s="1231"/>
      <c r="H29" s="1231"/>
      <c r="I29" s="1231"/>
      <c r="J29" s="1231"/>
      <c r="K29" s="1231"/>
      <c r="L29" s="1231"/>
      <c r="M29" s="1231"/>
      <c r="N29" s="1231"/>
      <c r="O29" s="1231"/>
      <c r="P29" s="1231"/>
      <c r="Q29" s="1231"/>
      <c r="R29" s="1231"/>
      <c r="S29" s="1231"/>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40">
        <f>H70</f>
        <v>62200</v>
      </c>
      <c r="H32" s="1241"/>
      <c r="I32" s="1241"/>
      <c r="J32" s="1241"/>
      <c r="K32" s="1241"/>
      <c r="L32" s="1241"/>
      <c r="M32" s="1241"/>
      <c r="N32" s="1241"/>
      <c r="O32" s="1241"/>
      <c r="P32" s="1241"/>
      <c r="Q32" s="1241"/>
      <c r="R32" s="1241"/>
      <c r="S32" s="685"/>
      <c r="T32" s="685"/>
      <c r="U32" s="685"/>
      <c r="V32" s="309"/>
    </row>
    <row r="33" spans="1:22" ht="18.75" x14ac:dyDescent="0.3">
      <c r="A33" s="309"/>
      <c r="B33" s="686"/>
      <c r="C33" s="680"/>
      <c r="D33" s="699"/>
      <c r="E33" s="701"/>
      <c r="F33" s="701"/>
      <c r="G33" s="1211" t="s">
        <v>623</v>
      </c>
      <c r="H33" s="1212"/>
      <c r="I33" s="1212"/>
      <c r="J33" s="1212"/>
      <c r="K33" s="1213" t="s">
        <v>662</v>
      </c>
      <c r="L33" s="1214"/>
      <c r="M33" s="1214"/>
      <c r="N33" s="1214"/>
      <c r="O33" s="1213" t="s">
        <v>662</v>
      </c>
      <c r="P33" s="1214"/>
      <c r="Q33" s="1214"/>
      <c r="R33" s="1214"/>
      <c r="S33" s="680"/>
      <c r="T33" s="680"/>
      <c r="U33" s="686"/>
      <c r="V33" s="309"/>
    </row>
    <row r="34" spans="1:22" ht="18.75" x14ac:dyDescent="0.3">
      <c r="A34" s="309"/>
      <c r="B34" s="309"/>
      <c r="C34" s="680"/>
      <c r="D34" s="700" t="s">
        <v>661</v>
      </c>
      <c r="E34" s="700"/>
      <c r="F34" s="700"/>
      <c r="G34" s="1211" t="s">
        <v>660</v>
      </c>
      <c r="H34" s="1212"/>
      <c r="I34" s="1212"/>
      <c r="J34" s="1212"/>
      <c r="K34" s="1211" t="s">
        <v>660</v>
      </c>
      <c r="L34" s="1212"/>
      <c r="M34" s="1212"/>
      <c r="N34" s="1212"/>
      <c r="O34" s="1213" t="s">
        <v>659</v>
      </c>
      <c r="P34" s="1214"/>
      <c r="Q34" s="1214"/>
      <c r="R34" s="1214"/>
      <c r="S34" s="1229"/>
      <c r="T34" s="1229"/>
      <c r="U34" s="309"/>
      <c r="V34" s="309"/>
    </row>
    <row r="35" spans="1:22" ht="18.75" x14ac:dyDescent="0.3">
      <c r="A35" s="309"/>
      <c r="B35" s="309"/>
      <c r="C35" s="698"/>
      <c r="D35" s="699" t="str">
        <f>'DADOS E-MAIL '!C36</f>
        <v>Standard Brazil</v>
      </c>
      <c r="E35" s="701"/>
      <c r="F35" s="701"/>
      <c r="G35" s="1204">
        <f>'DADOS E-MAIL '!E36</f>
        <v>62201.107873907233</v>
      </c>
      <c r="H35" s="1205"/>
      <c r="I35" s="1205"/>
      <c r="J35" s="1205"/>
      <c r="K35" s="1206">
        <f>'DADOS E-MAIL '!G36</f>
        <v>1.1078739072327153</v>
      </c>
      <c r="L35" s="1207"/>
      <c r="M35" s="1207"/>
      <c r="N35" s="1208"/>
      <c r="O35" s="1209">
        <f>IFERROR('DADOS E-MAIL '!I36,"")</f>
        <v>1.781147760824301E-3</v>
      </c>
      <c r="P35" s="1210"/>
      <c r="Q35" s="1210"/>
      <c r="R35" s="1210"/>
      <c r="S35" s="1228"/>
      <c r="T35" s="1228"/>
      <c r="U35" s="309"/>
      <c r="V35" s="309"/>
    </row>
    <row r="36" spans="1:22" ht="18.75" x14ac:dyDescent="0.3">
      <c r="A36" s="309"/>
      <c r="B36" s="309"/>
      <c r="C36" s="698"/>
      <c r="D36" s="699" t="str">
        <f>'DADOS E-MAIL '!C37</f>
        <v>Comando do navio:</v>
      </c>
      <c r="E36" s="701"/>
      <c r="F36" s="701"/>
      <c r="G36" s="1204">
        <f>'DADOS E-MAIL '!E37</f>
        <v>62247</v>
      </c>
      <c r="H36" s="1205"/>
      <c r="I36" s="1205"/>
      <c r="J36" s="1205"/>
      <c r="K36" s="1206">
        <f>'DADOS E-MAIL '!G37</f>
        <v>47</v>
      </c>
      <c r="L36" s="1207"/>
      <c r="M36" s="1207"/>
      <c r="N36" s="1208"/>
      <c r="O36" s="1209">
        <f>IFERROR('DADOS E-MAIL '!I37,"")</f>
        <v>7.5562700964630219E-2</v>
      </c>
      <c r="P36" s="1210"/>
      <c r="Q36" s="1210"/>
      <c r="R36" s="1210"/>
      <c r="S36" s="1228"/>
      <c r="T36" s="1228"/>
      <c r="U36" s="309"/>
      <c r="V36" s="309"/>
    </row>
    <row r="37" spans="1:22" ht="18.75" x14ac:dyDescent="0.3">
      <c r="A37" s="309"/>
      <c r="B37" s="309"/>
      <c r="C37" s="698"/>
      <c r="D37" s="699" t="str">
        <f>'DADOS E-MAIL '!C38</f>
        <v>Receita Federal:</v>
      </c>
      <c r="E37" s="701"/>
      <c r="F37" s="701"/>
      <c r="G37" s="1204">
        <f>'DADOS E-MAIL '!E38</f>
        <v>62172.35</v>
      </c>
      <c r="H37" s="1205"/>
      <c r="I37" s="1205"/>
      <c r="J37" s="1205"/>
      <c r="K37" s="1206">
        <f>'DADOS E-MAIL '!G38</f>
        <v>-27.650000000001455</v>
      </c>
      <c r="L37" s="1207"/>
      <c r="M37" s="1207"/>
      <c r="N37" s="1208"/>
      <c r="O37" s="1209">
        <f>IFERROR('DADOS E-MAIL '!I38,"")</f>
        <v>-4.4453376205790124E-2</v>
      </c>
      <c r="P37" s="1210"/>
      <c r="Q37" s="1210"/>
      <c r="R37" s="1210"/>
      <c r="S37" s="1228"/>
      <c r="T37" s="1228"/>
      <c r="U37" s="309"/>
      <c r="V37" s="309"/>
    </row>
    <row r="38" spans="1:22" ht="18.75" x14ac:dyDescent="0.3">
      <c r="A38" s="309"/>
      <c r="B38" s="309"/>
      <c r="C38" s="679"/>
      <c r="D38" s="699" t="str">
        <f>'DADOS E-MAIL '!C39</f>
        <v>P&amp;I Armador:</v>
      </c>
      <c r="E38" s="701"/>
      <c r="F38" s="701"/>
      <c r="G38" s="1204">
        <f>IF(D38="","",'DADOS E-MAIL '!E39)</f>
        <v>62200.430999999997</v>
      </c>
      <c r="H38" s="1205"/>
      <c r="I38" s="1205"/>
      <c r="J38" s="1205"/>
      <c r="K38" s="1206">
        <f>IF(D38="","",'DADOS E-MAIL '!G39)</f>
        <v>0.43099999999685679</v>
      </c>
      <c r="L38" s="1207"/>
      <c r="M38" s="1207"/>
      <c r="N38" s="1207"/>
      <c r="O38" s="1209">
        <f>IF(D38="","",'DADOS E-MAIL '!I39)</f>
        <v>6.9292604501102384E-4</v>
      </c>
      <c r="P38" s="1210"/>
      <c r="Q38" s="1210"/>
      <c r="R38" s="1210"/>
      <c r="S38" s="1234"/>
      <c r="T38" s="1234"/>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31" t="s">
        <v>622</v>
      </c>
      <c r="E41" s="1231"/>
      <c r="F41" s="1231"/>
      <c r="G41" s="1231"/>
      <c r="H41" s="1231"/>
      <c r="I41" s="1231"/>
      <c r="J41" s="1231"/>
      <c r="K41" s="1231"/>
      <c r="L41" s="1231"/>
      <c r="M41" s="1231"/>
      <c r="N41" s="1231"/>
      <c r="O41" s="1231"/>
      <c r="P41" s="1231"/>
      <c r="Q41" s="1231"/>
      <c r="R41" s="1231"/>
      <c r="S41" s="1231"/>
      <c r="T41" s="681"/>
      <c r="U41" s="309"/>
      <c r="V41" s="309"/>
    </row>
    <row r="42" spans="1:22" x14ac:dyDescent="0.25">
      <c r="A42" s="309"/>
      <c r="B42" s="309"/>
      <c r="C42" s="309"/>
      <c r="D42" s="685"/>
      <c r="E42" s="685"/>
      <c r="F42" s="685"/>
      <c r="G42" s="685"/>
      <c r="H42" s="685"/>
      <c r="I42" s="685"/>
      <c r="J42" s="685"/>
      <c r="K42" s="685"/>
      <c r="L42" s="685"/>
      <c r="M42" s="685"/>
      <c r="N42" s="685"/>
      <c r="O42" s="685"/>
      <c r="P42" s="685"/>
      <c r="Q42" s="685"/>
      <c r="R42" s="685"/>
      <c r="S42" s="685"/>
      <c r="T42" s="681"/>
      <c r="U42" s="309"/>
      <c r="V42" s="309"/>
    </row>
    <row r="43" spans="1:22" x14ac:dyDescent="0.25">
      <c r="A43" s="309"/>
      <c r="B43" s="309"/>
      <c r="C43" s="309"/>
      <c r="D43" s="685"/>
      <c r="E43" s="685"/>
      <c r="F43" s="685"/>
      <c r="G43" s="685"/>
      <c r="H43" s="685"/>
      <c r="I43" s="685"/>
      <c r="J43" s="685"/>
      <c r="K43" s="685"/>
      <c r="L43" s="685"/>
      <c r="M43" s="685"/>
      <c r="N43" s="685"/>
      <c r="O43" s="685"/>
      <c r="P43" s="685"/>
      <c r="Q43" s="685"/>
      <c r="R43" s="685"/>
      <c r="S43" s="685"/>
      <c r="T43" s="681"/>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30"/>
      <c r="D61" s="1230"/>
      <c r="E61" s="1230"/>
      <c r="F61" s="1230"/>
      <c r="G61" s="1230"/>
      <c r="H61" s="1230"/>
      <c r="I61" s="1230"/>
      <c r="J61" s="1230"/>
      <c r="K61" s="681"/>
      <c r="L61" s="681"/>
      <c r="M61" s="1230"/>
      <c r="N61" s="1230"/>
      <c r="O61" s="1230"/>
      <c r="P61" s="1230"/>
      <c r="Q61" s="1230"/>
      <c r="R61" s="1230"/>
      <c r="S61" s="1230"/>
      <c r="T61" s="1230"/>
      <c r="U61" s="309"/>
      <c r="V61" s="309"/>
    </row>
    <row r="62" spans="1:22" x14ac:dyDescent="0.25">
      <c r="A62" s="309"/>
      <c r="B62" s="309"/>
      <c r="C62" s="1229"/>
      <c r="D62" s="1229"/>
      <c r="E62" s="1229"/>
      <c r="F62" s="1229"/>
      <c r="G62" s="1229"/>
      <c r="H62" s="1229"/>
      <c r="I62" s="1229"/>
      <c r="J62" s="1229"/>
      <c r="K62" s="680"/>
      <c r="L62" s="680"/>
      <c r="M62" s="1229"/>
      <c r="N62" s="1229"/>
      <c r="O62" s="1229"/>
      <c r="P62" s="1229"/>
      <c r="Q62" s="1229"/>
      <c r="R62" s="1229"/>
      <c r="S62" s="1229"/>
      <c r="T62" s="1229"/>
      <c r="U62" s="309"/>
      <c r="V62" s="309"/>
    </row>
    <row r="63" spans="1:22" x14ac:dyDescent="0.25">
      <c r="A63" s="309"/>
      <c r="B63" s="309"/>
      <c r="C63" s="1235"/>
      <c r="D63" s="1235"/>
      <c r="E63" s="1235"/>
      <c r="F63" s="1235"/>
      <c r="G63" s="1235"/>
      <c r="H63" s="1235"/>
      <c r="I63" s="1235"/>
      <c r="J63" s="1235"/>
      <c r="K63" s="309"/>
      <c r="L63" s="309"/>
      <c r="M63" s="309"/>
      <c r="N63" s="309"/>
      <c r="O63" s="309"/>
      <c r="P63" s="309"/>
      <c r="Q63" s="309"/>
      <c r="R63" s="309"/>
      <c r="S63" s="309"/>
      <c r="T63" s="309"/>
      <c r="U63" s="309"/>
      <c r="V63" s="309"/>
    </row>
    <row r="64" spans="1:22" x14ac:dyDescent="0.25">
      <c r="A64" s="309"/>
      <c r="B64" s="309"/>
      <c r="C64" s="309"/>
      <c r="D64" s="1231" t="s">
        <v>658</v>
      </c>
      <c r="E64" s="1231"/>
      <c r="F64" s="1231"/>
      <c r="G64" s="1231"/>
      <c r="H64" s="1231"/>
      <c r="I64" s="1231"/>
      <c r="J64" s="1231"/>
      <c r="K64" s="1231"/>
      <c r="L64" s="1231"/>
      <c r="M64" s="1231"/>
      <c r="N64" s="1231"/>
      <c r="O64" s="1231"/>
      <c r="P64" s="1231"/>
      <c r="Q64" s="1231"/>
      <c r="R64" s="1231"/>
      <c r="S64" s="1231"/>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192" t="s">
        <v>688</v>
      </c>
      <c r="G66" s="1192"/>
      <c r="H66" s="1192"/>
      <c r="I66" s="705"/>
      <c r="J66" s="705"/>
      <c r="K66" s="705"/>
      <c r="L66" s="705"/>
      <c r="M66" s="705"/>
      <c r="N66" s="705"/>
      <c r="O66" s="706" t="s">
        <v>689</v>
      </c>
      <c r="P66" s="706"/>
      <c r="Q66" s="706"/>
      <c r="R66" s="309"/>
      <c r="S66" s="309"/>
      <c r="T66" s="309"/>
      <c r="U66" s="309"/>
      <c r="V66" s="309"/>
    </row>
    <row r="67" spans="1:22" ht="18.75" x14ac:dyDescent="0.3">
      <c r="A67" s="309"/>
      <c r="B67" s="309"/>
      <c r="C67" s="309"/>
      <c r="D67" s="309"/>
      <c r="E67" s="309"/>
      <c r="F67" s="1193" t="str">
        <f>Draft!E5</f>
        <v>Paranaguá, Br - Brazil</v>
      </c>
      <c r="G67" s="1193"/>
      <c r="H67" s="1193"/>
      <c r="I67" s="704"/>
      <c r="J67" s="704"/>
      <c r="K67" s="704"/>
      <c r="L67" s="704"/>
      <c r="M67" s="704"/>
      <c r="N67" s="704"/>
      <c r="O67" s="1193" t="str">
        <f>CAPA!B38</f>
        <v>Semarang - Indonesia</v>
      </c>
      <c r="P67" s="1193"/>
      <c r="Q67" s="1193"/>
      <c r="R67" s="309"/>
      <c r="S67" s="309"/>
      <c r="T67" s="309"/>
      <c r="U67" s="309"/>
      <c r="V67" s="309"/>
    </row>
    <row r="68" spans="1:22" ht="15" customHeight="1" x14ac:dyDescent="0.25">
      <c r="A68" s="309"/>
      <c r="B68" s="309"/>
      <c r="C68" s="309"/>
      <c r="D68" s="309"/>
      <c r="E68" s="309"/>
      <c r="F68" s="309"/>
      <c r="G68" s="309"/>
      <c r="H68" s="684"/>
      <c r="I68" s="684"/>
      <c r="J68" s="684"/>
      <c r="K68" s="684"/>
      <c r="L68" s="684"/>
      <c r="M68" s="684"/>
      <c r="N68" s="684"/>
      <c r="O68" s="684"/>
      <c r="P68" s="309"/>
      <c r="Q68" s="309"/>
      <c r="R68" s="309"/>
      <c r="S68" s="309"/>
      <c r="T68" s="309"/>
      <c r="U68" s="309"/>
      <c r="V68" s="309"/>
    </row>
    <row r="69" spans="1:22" ht="15" customHeight="1" x14ac:dyDescent="0.25">
      <c r="A69" s="309"/>
      <c r="B69" s="309"/>
      <c r="C69" s="309"/>
      <c r="D69" s="309"/>
      <c r="E69" s="309"/>
      <c r="F69" s="309"/>
      <c r="G69" s="309"/>
      <c r="H69" s="1233" t="s">
        <v>655</v>
      </c>
      <c r="I69" s="1233"/>
      <c r="J69" s="1233"/>
      <c r="K69" s="1233"/>
      <c r="L69" s="1233"/>
      <c r="M69" s="1233"/>
      <c r="N69" s="1233"/>
      <c r="O69" s="1233"/>
      <c r="P69" s="309"/>
      <c r="Q69" s="309"/>
      <c r="R69" s="309"/>
      <c r="S69" s="309"/>
      <c r="T69" s="309"/>
      <c r="U69" s="309"/>
      <c r="V69" s="309"/>
    </row>
    <row r="70" spans="1:22" x14ac:dyDescent="0.25">
      <c r="A70" s="309"/>
      <c r="B70" s="309"/>
      <c r="C70" s="309"/>
      <c r="D70" s="309"/>
      <c r="E70" s="309"/>
      <c r="F70" s="309"/>
      <c r="G70" s="309"/>
      <c r="H70" s="1232">
        <f>SUM(E78:R79)</f>
        <v>62200</v>
      </c>
      <c r="I70" s="1232"/>
      <c r="J70" s="1232"/>
      <c r="K70" s="1232"/>
      <c r="L70" s="1232"/>
      <c r="M70" s="1232"/>
      <c r="N70" s="1232"/>
      <c r="O70" s="1232"/>
      <c r="P70" s="309"/>
      <c r="Q70" s="309"/>
      <c r="R70" s="309"/>
      <c r="S70" s="309"/>
      <c r="T70" s="309"/>
      <c r="U70" s="309"/>
      <c r="V70" s="309"/>
    </row>
    <row r="71" spans="1:22" ht="15" customHeight="1" x14ac:dyDescent="0.25">
      <c r="A71" s="309"/>
      <c r="B71" s="309"/>
      <c r="C71" s="309"/>
      <c r="D71" s="309"/>
      <c r="E71" s="309"/>
      <c r="F71" s="309"/>
      <c r="G71" s="309"/>
      <c r="H71" s="1232"/>
      <c r="I71" s="1232"/>
      <c r="J71" s="1232"/>
      <c r="K71" s="1232"/>
      <c r="L71" s="1232"/>
      <c r="M71" s="1232"/>
      <c r="N71" s="1232"/>
      <c r="O71" s="1232"/>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00" t="s">
        <v>524</v>
      </c>
      <c r="F73" s="1201"/>
      <c r="G73" s="1200" t="str">
        <f>IF(G78=0,"-","PORÃO 6")</f>
        <v>PORÃO 6</v>
      </c>
      <c r="H73" s="1201"/>
      <c r="I73" s="1200" t="str">
        <f>IF(I78=0,"-","PORÃO 5")</f>
        <v>PORÃO 5</v>
      </c>
      <c r="J73" s="1201"/>
      <c r="K73" s="1200" t="str">
        <f>IF(K78=0,"-","PORÃO 4")</f>
        <v>PORÃO 4</v>
      </c>
      <c r="L73" s="1201"/>
      <c r="M73" s="1200" t="str">
        <f>IF(M78=0,"-","PORÃO 3")</f>
        <v>PORÃO 3</v>
      </c>
      <c r="N73" s="1201"/>
      <c r="O73" s="1200" t="str">
        <f>IF(O78=0,"-","PORÃO 2")</f>
        <v>PORÃO 2</v>
      </c>
      <c r="P73" s="1201"/>
      <c r="Q73" s="1200" t="str">
        <f>IF(Q78=0,"-","PORÃO 1")</f>
        <v>PORÃO 1</v>
      </c>
      <c r="R73" s="1201"/>
      <c r="S73" s="309"/>
      <c r="T73" s="309"/>
      <c r="U73" s="309"/>
      <c r="V73" s="309"/>
    </row>
    <row r="74" spans="1:22" x14ac:dyDescent="0.25">
      <c r="A74" s="309"/>
      <c r="B74" s="309"/>
      <c r="C74" s="309"/>
      <c r="D74" s="309"/>
      <c r="E74" s="1202" t="str">
        <f t="shared" ref="E74" si="0">IF(E78=0,"-","PRODUTO")</f>
        <v>-</v>
      </c>
      <c r="F74" s="1203"/>
      <c r="G74" s="1202" t="str">
        <f t="shared" ref="G74" si="1">IF(G78=0,"-","PRODUTO")</f>
        <v>PRODUTO</v>
      </c>
      <c r="H74" s="1203"/>
      <c r="I74" s="1202" t="str">
        <f t="shared" ref="I74" si="2">IF(I78=0,"-","PRODUTO")</f>
        <v>PRODUTO</v>
      </c>
      <c r="J74" s="1203"/>
      <c r="K74" s="1202" t="str">
        <f t="shared" ref="K74" si="3">IF(K78=0,"-","PRODUTO")</f>
        <v>PRODUTO</v>
      </c>
      <c r="L74" s="1203"/>
      <c r="M74" s="1202" t="str">
        <f t="shared" ref="M74" si="4">IF(M78=0,"-","PRODUTO")</f>
        <v>PRODUTO</v>
      </c>
      <c r="N74" s="1203"/>
      <c r="O74" s="1202" t="str">
        <f t="shared" ref="O74" si="5">IF(O78=0,"-","PRODUTO")</f>
        <v>PRODUTO</v>
      </c>
      <c r="P74" s="1203"/>
      <c r="Q74" s="1202" t="str">
        <f>IF(Q78=0,"-","PRODUTO")</f>
        <v>PRODUTO</v>
      </c>
      <c r="R74" s="1203"/>
      <c r="S74" s="309"/>
      <c r="T74" s="309"/>
      <c r="U74" s="309"/>
      <c r="V74" s="309"/>
    </row>
    <row r="75" spans="1:22" x14ac:dyDescent="0.25">
      <c r="A75" s="309"/>
      <c r="B75" s="309"/>
      <c r="C75" s="309"/>
      <c r="D75" s="309"/>
      <c r="E75" s="1225">
        <f>'DADOS E-MAIL '!J53</f>
        <v>0</v>
      </c>
      <c r="F75" s="1226"/>
      <c r="G75" s="1225" t="str">
        <f>'DADOS E-MAIL '!J52</f>
        <v>SBMP</v>
      </c>
      <c r="H75" s="1226"/>
      <c r="I75" s="1225" t="str">
        <f>'DADOS E-MAIL '!J51</f>
        <v>SBMP</v>
      </c>
      <c r="J75" s="1226"/>
      <c r="K75" s="1225" t="str">
        <f>'DADOS E-MAIL '!J50</f>
        <v>SBMP</v>
      </c>
      <c r="L75" s="1226"/>
      <c r="M75" s="1225" t="str">
        <f>'DADOS E-MAIL '!J49</f>
        <v>SBMP</v>
      </c>
      <c r="N75" s="1226"/>
      <c r="O75" s="1225" t="str">
        <f>'DADOS E-MAIL '!J48</f>
        <v>SBMP</v>
      </c>
      <c r="P75" s="1226"/>
      <c r="Q75" s="1225" t="str">
        <f>'DADOS E-MAIL '!J47</f>
        <v>SBMP</v>
      </c>
      <c r="R75" s="1226"/>
      <c r="S75" s="309"/>
      <c r="T75" s="309"/>
      <c r="U75" s="309"/>
      <c r="V75" s="309"/>
    </row>
    <row r="76" spans="1:22" x14ac:dyDescent="0.25">
      <c r="A76" s="309"/>
      <c r="B76" s="309"/>
      <c r="C76" s="309"/>
      <c r="D76" s="309"/>
      <c r="E76" s="702"/>
      <c r="F76" s="703"/>
      <c r="G76" s="702"/>
      <c r="H76" s="703"/>
      <c r="I76" s="702"/>
      <c r="J76" s="703"/>
      <c r="K76" s="702"/>
      <c r="L76" s="703"/>
      <c r="M76" s="702"/>
      <c r="N76" s="703"/>
      <c r="O76" s="702"/>
      <c r="P76" s="703"/>
      <c r="Q76" s="702"/>
      <c r="R76" s="703"/>
      <c r="S76" s="309"/>
      <c r="T76" s="309"/>
      <c r="U76" s="309"/>
      <c r="V76" s="309"/>
    </row>
    <row r="77" spans="1:22" x14ac:dyDescent="0.25">
      <c r="A77" s="309"/>
      <c r="B77" s="309"/>
      <c r="C77" s="309"/>
      <c r="D77" s="309"/>
      <c r="E77" s="1198" t="str">
        <f>IF(E78=0,"-","TOTAL")</f>
        <v>-</v>
      </c>
      <c r="F77" s="1199"/>
      <c r="G77" s="1198" t="str">
        <f>IF(G78=0,"-","TOTAL")</f>
        <v>TOTAL</v>
      </c>
      <c r="H77" s="1199"/>
      <c r="I77" s="1198" t="str">
        <f>IF(I78=0,"-","TOTAL")</f>
        <v>TOTAL</v>
      </c>
      <c r="J77" s="1199"/>
      <c r="K77" s="1198" t="str">
        <f>IF(K78=0,"-","TOTAL")</f>
        <v>TOTAL</v>
      </c>
      <c r="L77" s="1199"/>
      <c r="M77" s="1198" t="str">
        <f>IF(M78=0,"-","TOTAL")</f>
        <v>TOTAL</v>
      </c>
      <c r="N77" s="1199"/>
      <c r="O77" s="1198" t="str">
        <f>IF(O78=0,"-","TOTAL")</f>
        <v>TOTAL</v>
      </c>
      <c r="P77" s="1199"/>
      <c r="Q77" s="1198" t="str">
        <f>IF(Q78=0,"-","TOTAL")</f>
        <v>TOTAL</v>
      </c>
      <c r="R77" s="1199"/>
      <c r="S77" s="309"/>
      <c r="T77" s="309"/>
      <c r="U77" s="309"/>
      <c r="V77" s="309"/>
    </row>
    <row r="78" spans="1:22" x14ac:dyDescent="0.25">
      <c r="A78" s="309"/>
      <c r="B78" s="309"/>
      <c r="C78" s="309"/>
      <c r="D78" s="309"/>
      <c r="E78" s="1194">
        <f>'DADOS E-MAIL '!D53</f>
        <v>0</v>
      </c>
      <c r="F78" s="1195"/>
      <c r="G78" s="1194">
        <f>'DADOS E-MAIL '!D52</f>
        <v>10406.555</v>
      </c>
      <c r="H78" s="1195"/>
      <c r="I78" s="1194">
        <f>'DADOS E-MAIL '!D51</f>
        <v>10392.684999999999</v>
      </c>
      <c r="J78" s="1195"/>
      <c r="K78" s="1194">
        <f>'DADOS E-MAIL '!D50</f>
        <v>10603.06</v>
      </c>
      <c r="L78" s="1195"/>
      <c r="M78" s="1194">
        <f>'DADOS E-MAIL '!D49</f>
        <v>8603.0750000000007</v>
      </c>
      <c r="N78" s="1195"/>
      <c r="O78" s="1194">
        <f>'DADOS E-MAIL '!D48</f>
        <v>11849.88</v>
      </c>
      <c r="P78" s="1195"/>
      <c r="Q78" s="1194">
        <f>'DADOS E-MAIL '!D47</f>
        <v>10344.745000000001</v>
      </c>
      <c r="R78" s="1195"/>
      <c r="S78" s="309"/>
      <c r="T78" s="309"/>
      <c r="U78" s="309"/>
      <c r="V78" s="309"/>
    </row>
    <row r="79" spans="1:22" ht="15.75" customHeight="1" x14ac:dyDescent="0.25">
      <c r="A79" s="309"/>
      <c r="B79" s="309"/>
      <c r="C79" s="309"/>
      <c r="D79" s="309"/>
      <c r="E79" s="1196"/>
      <c r="F79" s="1197"/>
      <c r="G79" s="1196"/>
      <c r="H79" s="1197"/>
      <c r="I79" s="1196"/>
      <c r="J79" s="1197"/>
      <c r="K79" s="1196"/>
      <c r="L79" s="1197"/>
      <c r="M79" s="1196"/>
      <c r="N79" s="1197"/>
      <c r="O79" s="1196"/>
      <c r="P79" s="1197"/>
      <c r="Q79" s="1196"/>
      <c r="R79" s="1197"/>
      <c r="S79" s="309"/>
      <c r="T79" s="309"/>
      <c r="U79" s="309"/>
      <c r="V79" s="309"/>
    </row>
    <row r="80" spans="1:22" x14ac:dyDescent="0.25">
      <c r="A80" s="309"/>
      <c r="B80" s="309"/>
      <c r="C80" s="309"/>
      <c r="D80" s="309"/>
      <c r="E80" s="1227">
        <f>'DADOS E-MAIL '!H53</f>
        <v>0</v>
      </c>
      <c r="F80" s="1223"/>
      <c r="G80" s="1227" t="str">
        <f>'DADOS E-MAIL '!H52</f>
        <v>SLACK</v>
      </c>
      <c r="H80" s="1223"/>
      <c r="I80" s="1227" t="str">
        <f>'DADOS E-MAIL '!H51</f>
        <v>SLACK</v>
      </c>
      <c r="J80" s="1223"/>
      <c r="K80" s="1227" t="str">
        <f>'DADOS E-MAIL '!H50</f>
        <v>SLACK</v>
      </c>
      <c r="L80" s="1223"/>
      <c r="M80" s="1227" t="str">
        <f>'DADOS E-MAIL '!H49</f>
        <v>SLACK</v>
      </c>
      <c r="N80" s="1223"/>
      <c r="O80" s="1227" t="str">
        <f>'DADOS E-MAIL '!H48</f>
        <v>SLACK</v>
      </c>
      <c r="P80" s="1223"/>
      <c r="Q80" s="1227" t="str">
        <f>'DADOS E-MAIL '!H47</f>
        <v>SLACK</v>
      </c>
      <c r="R80" s="1223"/>
      <c r="S80" s="309"/>
      <c r="T80" s="309"/>
      <c r="U80" s="309"/>
      <c r="V80" s="309"/>
    </row>
    <row r="81" spans="1:22" x14ac:dyDescent="0.25">
      <c r="A81" s="309"/>
      <c r="B81" s="309"/>
      <c r="C81" s="309"/>
      <c r="D81" s="309"/>
      <c r="E81" s="1222" t="str">
        <f>IF(E78=0,"-","FATOR DE ESTIVA")</f>
        <v>-</v>
      </c>
      <c r="F81" s="1223"/>
      <c r="G81" s="1222" t="str">
        <f>IF(G78=0,"-","FATOR DE ESTIVA")</f>
        <v>FATOR DE ESTIVA</v>
      </c>
      <c r="H81" s="1223"/>
      <c r="I81" s="1222" t="str">
        <f>IF(I78=0,"-","FATOR DE ESTIVA")</f>
        <v>FATOR DE ESTIVA</v>
      </c>
      <c r="J81" s="1223"/>
      <c r="K81" s="1222" t="str">
        <f>IF(K78=0,"-","FATOR DE ESTIVA")</f>
        <v>FATOR DE ESTIVA</v>
      </c>
      <c r="L81" s="1223"/>
      <c r="M81" s="1222" t="str">
        <f>IF(M78=0,"-","FATOR DE ESTIVA")</f>
        <v>FATOR DE ESTIVA</v>
      </c>
      <c r="N81" s="1223"/>
      <c r="O81" s="1222" t="str">
        <f>IF(O78=0,"-","FATOR DE ESTIVA")</f>
        <v>FATOR DE ESTIVA</v>
      </c>
      <c r="P81" s="1223"/>
      <c r="Q81" s="1222" t="str">
        <f>IF(Q78=0,"-","FATOR DE ESTIVA")</f>
        <v>FATOR DE ESTIVA</v>
      </c>
      <c r="R81" s="1223"/>
      <c r="S81" s="309"/>
      <c r="T81" s="309"/>
      <c r="U81" s="309"/>
      <c r="V81" s="309"/>
    </row>
    <row r="82" spans="1:22" x14ac:dyDescent="0.25">
      <c r="A82" s="309"/>
      <c r="B82" s="309"/>
      <c r="C82" s="309"/>
      <c r="D82" s="309"/>
      <c r="E82" s="1224" t="str">
        <f>IFERROR((E85/E78),"")</f>
        <v/>
      </c>
      <c r="F82" s="1223"/>
      <c r="G82" s="1224">
        <f>IFERROR((G85/G78),"")</f>
        <v>77.359222144119741</v>
      </c>
      <c r="H82" s="1223"/>
      <c r="I82" s="1224">
        <f>IFERROR((I85/I78),"")</f>
        <v>74.879975675198466</v>
      </c>
      <c r="J82" s="1223"/>
      <c r="K82" s="1224">
        <f>IFERROR((K85/K78),"")</f>
        <v>73.491237435230971</v>
      </c>
      <c r="L82" s="1223"/>
      <c r="M82" s="1224">
        <f>IFERROR((M85/M78),"")</f>
        <v>73.904853787744486</v>
      </c>
      <c r="N82" s="1223"/>
      <c r="O82" s="1224">
        <f>IFERROR((O85/O78),"")</f>
        <v>72.34478323831128</v>
      </c>
      <c r="P82" s="1223"/>
      <c r="Q82" s="1224">
        <f>IFERROR((Q85/Q78),"")</f>
        <v>75.196923655440514</v>
      </c>
      <c r="R82" s="1223"/>
      <c r="S82" s="309"/>
      <c r="T82" s="309"/>
      <c r="U82" s="309"/>
      <c r="V82" s="309"/>
    </row>
    <row r="83" spans="1:22" x14ac:dyDescent="0.25">
      <c r="A83" s="309"/>
      <c r="B83" s="309"/>
      <c r="C83" s="309"/>
      <c r="D83" s="309"/>
      <c r="E83" s="702"/>
      <c r="F83" s="703"/>
      <c r="G83" s="702"/>
      <c r="H83" s="703"/>
      <c r="I83" s="702"/>
      <c r="J83" s="703"/>
      <c r="K83" s="702"/>
      <c r="L83" s="703"/>
      <c r="M83" s="702"/>
      <c r="N83" s="703"/>
      <c r="O83" s="702"/>
      <c r="P83" s="703"/>
      <c r="Q83" s="702"/>
      <c r="R83" s="703"/>
      <c r="S83" s="309"/>
      <c r="T83" s="309"/>
      <c r="U83" s="309"/>
      <c r="V83" s="309"/>
    </row>
    <row r="84" spans="1:22" x14ac:dyDescent="0.25">
      <c r="A84" s="309"/>
      <c r="B84" s="309"/>
      <c r="C84" s="309"/>
      <c r="D84" s="309"/>
      <c r="E84" s="1217" t="str">
        <f>IF(E78=0,"-","CUBAGEM")</f>
        <v>-</v>
      </c>
      <c r="F84" s="1218"/>
      <c r="G84" s="1217" t="str">
        <f>IF(G78=0,"-","CUBAGEM")</f>
        <v>CUBAGEM</v>
      </c>
      <c r="H84" s="1218"/>
      <c r="I84" s="1217" t="str">
        <f>IF(I78=0,"-","CUBAGEM")</f>
        <v>CUBAGEM</v>
      </c>
      <c r="J84" s="1218"/>
      <c r="K84" s="1217" t="str">
        <f>IF(K78=0,"-","CUBAGEM")</f>
        <v>CUBAGEM</v>
      </c>
      <c r="L84" s="1218"/>
      <c r="M84" s="1217" t="str">
        <f>IF(M78=0,"-","CUBAGEM")</f>
        <v>CUBAGEM</v>
      </c>
      <c r="N84" s="1218"/>
      <c r="O84" s="1217" t="str">
        <f>IF(O78=0,"-","CUBAGEM")</f>
        <v>CUBAGEM</v>
      </c>
      <c r="P84" s="1218"/>
      <c r="Q84" s="1217" t="str">
        <f>IF(Q78=0,"-","CUBAGEM")</f>
        <v>CUBAGEM</v>
      </c>
      <c r="R84" s="1218"/>
      <c r="S84" s="309"/>
      <c r="T84" s="309"/>
      <c r="U84" s="309"/>
      <c r="V84" s="309"/>
    </row>
    <row r="85" spans="1:22" x14ac:dyDescent="0.25">
      <c r="A85" s="309"/>
      <c r="B85" s="309"/>
      <c r="C85" s="309"/>
      <c r="D85" s="309"/>
      <c r="E85" s="1220" t="s">
        <v>524</v>
      </c>
      <c r="F85" s="1221"/>
      <c r="G85" s="1220">
        <f>'DADOS E-MAIL '!F52</f>
        <v>805043</v>
      </c>
      <c r="H85" s="1221"/>
      <c r="I85" s="1220">
        <f>'DADOS E-MAIL '!F51</f>
        <v>778204</v>
      </c>
      <c r="J85" s="1221"/>
      <c r="K85" s="1220">
        <f>'DADOS E-MAIL '!F50</f>
        <v>779232</v>
      </c>
      <c r="L85" s="1221"/>
      <c r="M85" s="1220">
        <f>'DADOS E-MAIL '!F49</f>
        <v>635809</v>
      </c>
      <c r="N85" s="1221"/>
      <c r="O85" s="1220">
        <f>'DADOS E-MAIL '!F48</f>
        <v>857277</v>
      </c>
      <c r="P85" s="1221"/>
      <c r="Q85" s="1220">
        <f>'DADOS E-MAIL '!F47</f>
        <v>777893</v>
      </c>
      <c r="R85" s="1221"/>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19" t="s">
        <v>657</v>
      </c>
      <c r="E91" s="1219"/>
      <c r="F91" s="1219"/>
      <c r="G91" s="1219"/>
      <c r="H91" s="1219"/>
      <c r="I91" s="1219"/>
      <c r="J91" s="1219"/>
      <c r="K91" s="1219"/>
      <c r="L91" s="1219"/>
      <c r="M91" s="1219"/>
      <c r="N91" s="1219"/>
      <c r="O91" s="1219"/>
      <c r="P91" s="1219"/>
      <c r="Q91" s="1219"/>
      <c r="R91" s="1219"/>
      <c r="S91" s="1219"/>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80"/>
      <c r="E93" s="680"/>
      <c r="F93" s="680"/>
      <c r="G93" s="683"/>
      <c r="H93" s="683"/>
      <c r="I93" s="680"/>
      <c r="J93" s="680"/>
      <c r="K93" s="309"/>
      <c r="L93" s="680"/>
      <c r="M93" s="680"/>
      <c r="N93" s="680"/>
      <c r="O93" s="680"/>
      <c r="P93" s="680"/>
      <c r="Q93" s="680"/>
      <c r="R93" s="680"/>
      <c r="S93" s="680"/>
      <c r="T93" s="309"/>
      <c r="U93" s="309"/>
      <c r="V93" s="309"/>
    </row>
    <row r="94" spans="1:22" x14ac:dyDescent="0.25">
      <c r="A94" s="309"/>
      <c r="B94" s="1215">
        <v>1</v>
      </c>
      <c r="C94" s="1216" t="s">
        <v>656</v>
      </c>
      <c r="D94" s="1216"/>
      <c r="E94" s="1216"/>
      <c r="F94" s="1216"/>
      <c r="G94" s="1216"/>
      <c r="H94" s="1216"/>
      <c r="I94" s="1216"/>
      <c r="J94" s="1216"/>
      <c r="K94" s="1216"/>
      <c r="L94" s="1216"/>
      <c r="M94" s="1216"/>
      <c r="N94" s="1216"/>
      <c r="O94" s="1216"/>
      <c r="P94" s="1216"/>
      <c r="Q94" s="1216"/>
      <c r="R94" s="1216"/>
      <c r="S94" s="1216"/>
      <c r="T94" s="1216"/>
      <c r="U94" s="309"/>
      <c r="V94" s="309"/>
    </row>
    <row r="95" spans="1:22" x14ac:dyDescent="0.25">
      <c r="A95" s="309"/>
      <c r="B95" s="1215"/>
      <c r="C95" s="1216"/>
      <c r="D95" s="1216"/>
      <c r="E95" s="1216"/>
      <c r="F95" s="1216"/>
      <c r="G95" s="1216"/>
      <c r="H95" s="1216"/>
      <c r="I95" s="1216"/>
      <c r="J95" s="1216"/>
      <c r="K95" s="1216"/>
      <c r="L95" s="1216"/>
      <c r="M95" s="1216"/>
      <c r="N95" s="1216"/>
      <c r="O95" s="1216"/>
      <c r="P95" s="1216"/>
      <c r="Q95" s="1216"/>
      <c r="R95" s="1216"/>
      <c r="S95" s="1216"/>
      <c r="T95" s="1216"/>
      <c r="U95" s="309"/>
      <c r="V95" s="309"/>
    </row>
    <row r="96" spans="1:22" x14ac:dyDescent="0.25">
      <c r="A96" s="309"/>
      <c r="B96" s="309"/>
      <c r="C96" s="309"/>
      <c r="D96" s="681"/>
      <c r="E96" s="681"/>
      <c r="F96" s="682"/>
      <c r="G96" s="682"/>
      <c r="H96" s="682"/>
      <c r="I96" s="682"/>
      <c r="J96" s="681"/>
      <c r="K96" s="681"/>
      <c r="L96" s="309"/>
      <c r="M96" s="309"/>
      <c r="N96" s="309"/>
      <c r="O96" s="309"/>
      <c r="P96" s="309"/>
      <c r="Q96" s="309"/>
      <c r="R96" s="309"/>
      <c r="S96" s="309"/>
      <c r="T96" s="309"/>
      <c r="U96" s="309"/>
      <c r="V96" s="309"/>
    </row>
    <row r="97" spans="1:22" x14ac:dyDescent="0.25">
      <c r="A97" s="309"/>
      <c r="B97" s="1215">
        <v>2</v>
      </c>
      <c r="C97" s="1216"/>
      <c r="D97" s="1216"/>
      <c r="E97" s="1216"/>
      <c r="F97" s="1216"/>
      <c r="G97" s="1216"/>
      <c r="H97" s="1216"/>
      <c r="I97" s="1216"/>
      <c r="J97" s="1216"/>
      <c r="K97" s="1216"/>
      <c r="L97" s="1216"/>
      <c r="M97" s="1216"/>
      <c r="N97" s="1216"/>
      <c r="O97" s="1216"/>
      <c r="P97" s="1216"/>
      <c r="Q97" s="1216"/>
      <c r="R97" s="1216"/>
      <c r="S97" s="1216"/>
      <c r="T97" s="1216"/>
      <c r="U97" s="309"/>
      <c r="V97" s="309"/>
    </row>
    <row r="98" spans="1:22" ht="15" customHeight="1" x14ac:dyDescent="0.25">
      <c r="A98" s="309"/>
      <c r="B98" s="1215"/>
      <c r="C98" s="1216"/>
      <c r="D98" s="1216"/>
      <c r="E98" s="1216"/>
      <c r="F98" s="1216"/>
      <c r="G98" s="1216"/>
      <c r="H98" s="1216"/>
      <c r="I98" s="1216"/>
      <c r="J98" s="1216"/>
      <c r="K98" s="1216"/>
      <c r="L98" s="1216"/>
      <c r="M98" s="1216"/>
      <c r="N98" s="1216"/>
      <c r="O98" s="1216"/>
      <c r="P98" s="1216"/>
      <c r="Q98" s="1216"/>
      <c r="R98" s="1216"/>
      <c r="S98" s="1216"/>
      <c r="T98" s="1216"/>
      <c r="U98" s="309"/>
      <c r="V98" s="309"/>
    </row>
    <row r="99" spans="1:22" ht="15" customHeight="1" x14ac:dyDescent="0.25">
      <c r="A99" s="309"/>
      <c r="B99" s="309"/>
      <c r="C99" s="309"/>
      <c r="D99" s="681"/>
      <c r="E99" s="681"/>
      <c r="F99" s="682"/>
      <c r="G99" s="682"/>
      <c r="H99" s="682"/>
      <c r="I99" s="682"/>
      <c r="J99" s="681"/>
      <c r="K99" s="681"/>
      <c r="L99" s="309"/>
      <c r="M99" s="309"/>
      <c r="N99" s="309"/>
      <c r="O99" s="309"/>
      <c r="P99" s="309"/>
      <c r="Q99" s="309"/>
      <c r="R99" s="309"/>
      <c r="S99" s="309"/>
      <c r="T99" s="309"/>
      <c r="U99" s="309"/>
      <c r="V99" s="309"/>
    </row>
    <row r="100" spans="1:22" x14ac:dyDescent="0.25">
      <c r="A100" s="309"/>
      <c r="B100" s="1215">
        <v>3</v>
      </c>
      <c r="C100" s="1216"/>
      <c r="D100" s="1216"/>
      <c r="E100" s="1216"/>
      <c r="F100" s="1216"/>
      <c r="G100" s="1216"/>
      <c r="H100" s="1216"/>
      <c r="I100" s="1216"/>
      <c r="J100" s="1216"/>
      <c r="K100" s="1216"/>
      <c r="L100" s="1216"/>
      <c r="M100" s="1216"/>
      <c r="N100" s="1216"/>
      <c r="O100" s="1216"/>
      <c r="P100" s="1216"/>
      <c r="Q100" s="1216"/>
      <c r="R100" s="1216"/>
      <c r="S100" s="1216"/>
      <c r="T100" s="1216"/>
      <c r="U100" s="309"/>
      <c r="V100" s="309"/>
    </row>
    <row r="101" spans="1:22" x14ac:dyDescent="0.25">
      <c r="A101" s="309"/>
      <c r="B101" s="1215"/>
      <c r="C101" s="1216"/>
      <c r="D101" s="1216"/>
      <c r="E101" s="1216"/>
      <c r="F101" s="1216"/>
      <c r="G101" s="1216"/>
      <c r="H101" s="1216"/>
      <c r="I101" s="1216"/>
      <c r="J101" s="1216"/>
      <c r="K101" s="1216"/>
      <c r="L101" s="1216"/>
      <c r="M101" s="1216"/>
      <c r="N101" s="1216"/>
      <c r="O101" s="1216"/>
      <c r="P101" s="1216"/>
      <c r="Q101" s="1216"/>
      <c r="R101" s="1216"/>
      <c r="S101" s="1216"/>
      <c r="T101" s="1216"/>
      <c r="U101" s="309"/>
      <c r="V101" s="309"/>
    </row>
    <row r="102" spans="1:22" x14ac:dyDescent="0.25">
      <c r="A102" s="309"/>
      <c r="B102" s="309"/>
      <c r="C102" s="309"/>
      <c r="D102" s="681"/>
      <c r="E102" s="681"/>
      <c r="F102" s="682"/>
      <c r="G102" s="682"/>
      <c r="H102" s="682"/>
      <c r="I102" s="682"/>
      <c r="J102" s="681"/>
      <c r="K102" s="681"/>
      <c r="L102" s="309"/>
      <c r="M102" s="309"/>
      <c r="N102" s="309"/>
      <c r="O102" s="309"/>
      <c r="P102" s="309"/>
      <c r="Q102" s="309"/>
      <c r="R102" s="309"/>
      <c r="S102" s="309"/>
      <c r="T102" s="309"/>
      <c r="U102" s="309"/>
      <c r="V102" s="309"/>
    </row>
    <row r="103" spans="1:22" x14ac:dyDescent="0.25">
      <c r="A103" s="309"/>
      <c r="B103" s="1215">
        <v>4</v>
      </c>
      <c r="C103" s="1216"/>
      <c r="D103" s="1216"/>
      <c r="E103" s="1216"/>
      <c r="F103" s="1216"/>
      <c r="G103" s="1216"/>
      <c r="H103" s="1216"/>
      <c r="I103" s="1216"/>
      <c r="J103" s="1216"/>
      <c r="K103" s="1216"/>
      <c r="L103" s="1216"/>
      <c r="M103" s="1216"/>
      <c r="N103" s="1216"/>
      <c r="O103" s="1216"/>
      <c r="P103" s="1216"/>
      <c r="Q103" s="1216"/>
      <c r="R103" s="1216"/>
      <c r="S103" s="1216"/>
      <c r="T103" s="1216"/>
      <c r="U103" s="309"/>
      <c r="V103" s="309"/>
    </row>
    <row r="104" spans="1:22" x14ac:dyDescent="0.25">
      <c r="A104" s="309"/>
      <c r="B104" s="1215"/>
      <c r="C104" s="1216"/>
      <c r="D104" s="1216"/>
      <c r="E104" s="1216"/>
      <c r="F104" s="1216"/>
      <c r="G104" s="1216"/>
      <c r="H104" s="1216"/>
      <c r="I104" s="1216"/>
      <c r="J104" s="1216"/>
      <c r="K104" s="1216"/>
      <c r="L104" s="1216"/>
      <c r="M104" s="1216"/>
      <c r="N104" s="1216"/>
      <c r="O104" s="1216"/>
      <c r="P104" s="1216"/>
      <c r="Q104" s="1216"/>
      <c r="R104" s="1216"/>
      <c r="S104" s="1216"/>
      <c r="T104" s="1216"/>
      <c r="U104" s="309"/>
      <c r="V104" s="309"/>
    </row>
    <row r="105" spans="1:22" x14ac:dyDescent="0.25">
      <c r="A105" s="309"/>
      <c r="B105" s="309"/>
      <c r="C105" s="309"/>
      <c r="D105" s="681"/>
      <c r="E105" s="681"/>
      <c r="F105" s="682"/>
      <c r="G105" s="682"/>
      <c r="H105" s="682"/>
      <c r="I105" s="682"/>
      <c r="J105" s="681"/>
      <c r="K105" s="681"/>
      <c r="L105" s="309"/>
      <c r="M105" s="309"/>
      <c r="N105" s="309"/>
      <c r="O105" s="309"/>
      <c r="P105" s="309"/>
      <c r="Q105" s="309"/>
      <c r="R105" s="309"/>
      <c r="S105" s="309"/>
      <c r="T105" s="309"/>
      <c r="U105" s="309"/>
      <c r="V105" s="309"/>
    </row>
    <row r="106" spans="1:22" x14ac:dyDescent="0.25">
      <c r="A106" s="309"/>
      <c r="B106" s="1215">
        <v>5</v>
      </c>
      <c r="C106" s="1216"/>
      <c r="D106" s="1216"/>
      <c r="E106" s="1216"/>
      <c r="F106" s="1216"/>
      <c r="G106" s="1216"/>
      <c r="H106" s="1216"/>
      <c r="I106" s="1216"/>
      <c r="J106" s="1216"/>
      <c r="K106" s="1216"/>
      <c r="L106" s="1216"/>
      <c r="M106" s="1216"/>
      <c r="N106" s="1216"/>
      <c r="O106" s="1216"/>
      <c r="P106" s="1216"/>
      <c r="Q106" s="1216"/>
      <c r="R106" s="1216"/>
      <c r="S106" s="1216"/>
      <c r="T106" s="1216"/>
      <c r="U106" s="309"/>
      <c r="V106" s="309"/>
    </row>
    <row r="107" spans="1:22" x14ac:dyDescent="0.25">
      <c r="A107" s="309"/>
      <c r="B107" s="1215"/>
      <c r="C107" s="1216"/>
      <c r="D107" s="1216"/>
      <c r="E107" s="1216"/>
      <c r="F107" s="1216"/>
      <c r="G107" s="1216"/>
      <c r="H107" s="1216"/>
      <c r="I107" s="1216"/>
      <c r="J107" s="1216"/>
      <c r="K107" s="1216"/>
      <c r="L107" s="1216"/>
      <c r="M107" s="1216"/>
      <c r="N107" s="1216"/>
      <c r="O107" s="1216"/>
      <c r="P107" s="1216"/>
      <c r="Q107" s="1216"/>
      <c r="R107" s="1216"/>
      <c r="S107" s="1216"/>
      <c r="T107" s="1216"/>
      <c r="U107" s="309"/>
      <c r="V107" s="309"/>
    </row>
    <row r="108" spans="1:22" x14ac:dyDescent="0.25">
      <c r="A108" s="309"/>
      <c r="B108" s="309"/>
      <c r="C108" s="309"/>
      <c r="D108" s="681"/>
      <c r="E108" s="681"/>
      <c r="F108" s="682"/>
      <c r="G108" s="682"/>
      <c r="H108" s="682"/>
      <c r="I108" s="682"/>
      <c r="J108" s="681"/>
      <c r="K108" s="681"/>
      <c r="L108" s="309"/>
      <c r="M108" s="309"/>
      <c r="N108" s="309"/>
      <c r="O108" s="309"/>
      <c r="P108" s="309"/>
      <c r="Q108" s="309"/>
      <c r="R108" s="309"/>
      <c r="S108" s="309"/>
      <c r="T108" s="309"/>
      <c r="U108" s="309"/>
      <c r="V108" s="309"/>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683</v>
      </c>
      <c r="C2" t="s">
        <v>682</v>
      </c>
      <c r="J2" t="s">
        <v>681</v>
      </c>
      <c r="K2" t="s">
        <v>680</v>
      </c>
      <c r="L2" t="s">
        <v>624</v>
      </c>
      <c r="M2" t="s">
        <v>680</v>
      </c>
    </row>
    <row r="3" spans="2:13" x14ac:dyDescent="0.25">
      <c r="B3" t="s">
        <v>679</v>
      </c>
      <c r="C3" s="689">
        <v>0</v>
      </c>
      <c r="J3" t="s">
        <v>348</v>
      </c>
      <c r="K3">
        <f>'DADOS E-MAIL '!E23</f>
        <v>0</v>
      </c>
      <c r="L3" s="687">
        <f>'DADOS E-MAIL '!G23</f>
        <v>0</v>
      </c>
      <c r="M3">
        <f>'DADOS E-MAIL '!E23</f>
        <v>0</v>
      </c>
    </row>
    <row r="4" spans="2:13" x14ac:dyDescent="0.25">
      <c r="B4" t="s">
        <v>678</v>
      </c>
      <c r="C4" s="689">
        <v>0</v>
      </c>
      <c r="D4">
        <v>17.683333000000001</v>
      </c>
      <c r="J4" t="s">
        <v>349</v>
      </c>
      <c r="K4">
        <f>'DADOS E-MAIL '!E24</f>
        <v>0</v>
      </c>
      <c r="L4" s="687">
        <f>'DADOS E-MAIL '!G24</f>
        <v>0</v>
      </c>
      <c r="M4">
        <f>'DADOS E-MAIL '!E24</f>
        <v>0</v>
      </c>
    </row>
    <row r="5" spans="2:13" x14ac:dyDescent="0.25">
      <c r="B5" t="s">
        <v>677</v>
      </c>
      <c r="C5" s="689">
        <v>0</v>
      </c>
      <c r="J5" t="s">
        <v>350</v>
      </c>
      <c r="K5">
        <f>'DADOS E-MAIL '!E25</f>
        <v>2200</v>
      </c>
      <c r="L5" s="687">
        <f>'DADOS E-MAIL '!G25</f>
        <v>3.536977491961415</v>
      </c>
      <c r="M5">
        <f>'DADOS E-MAIL '!E25</f>
        <v>2200</v>
      </c>
    </row>
    <row r="6" spans="2:13" x14ac:dyDescent="0.25">
      <c r="J6" t="s">
        <v>351</v>
      </c>
      <c r="K6">
        <f>'DADOS E-MAIL '!E26</f>
        <v>0</v>
      </c>
      <c r="L6" s="687">
        <f>'DADOS E-MAIL '!G26</f>
        <v>0</v>
      </c>
      <c r="M6">
        <f>'DADOS E-MAIL '!E26</f>
        <v>0</v>
      </c>
    </row>
    <row r="7" spans="2:13" x14ac:dyDescent="0.25">
      <c r="J7" t="s">
        <v>352</v>
      </c>
      <c r="K7">
        <f>'DADOS E-MAIL '!E27</f>
        <v>0</v>
      </c>
      <c r="L7" s="687">
        <f>'DADOS E-MAIL '!G27</f>
        <v>0</v>
      </c>
      <c r="M7">
        <f>'DADOS E-MAIL '!E27</f>
        <v>0</v>
      </c>
    </row>
    <row r="8" spans="2:13" x14ac:dyDescent="0.25">
      <c r="J8" t="s">
        <v>353</v>
      </c>
      <c r="K8">
        <f>'DADOS E-MAIL '!E28</f>
        <v>0</v>
      </c>
      <c r="L8" s="687">
        <f>'DADOS E-MAIL '!G28</f>
        <v>0</v>
      </c>
      <c r="M8">
        <f>'DADOS E-MAIL '!E28</f>
        <v>0</v>
      </c>
    </row>
    <row r="9" spans="2:13" x14ac:dyDescent="0.25">
      <c r="J9" t="s">
        <v>354</v>
      </c>
      <c r="K9">
        <f>'DADOS E-MAIL '!E29</f>
        <v>0</v>
      </c>
      <c r="L9" s="687">
        <f>'DADOS E-MAIL '!G29</f>
        <v>0</v>
      </c>
      <c r="M9">
        <f>'DADOS E-MAIL '!E29</f>
        <v>0</v>
      </c>
    </row>
    <row r="10" spans="2:13" x14ac:dyDescent="0.25">
      <c r="J10" t="s">
        <v>355</v>
      </c>
      <c r="K10">
        <f>'DADOS E-MAIL '!E30</f>
        <v>0</v>
      </c>
      <c r="L10" s="687">
        <f>'DADOS E-MAIL '!G30</f>
        <v>0</v>
      </c>
      <c r="M10">
        <f>'DADOS E-MAIL '!E30</f>
        <v>0</v>
      </c>
    </row>
    <row r="11" spans="2:13" x14ac:dyDescent="0.25">
      <c r="J11" t="s">
        <v>356</v>
      </c>
      <c r="K11">
        <f>'DADOS E-MAIL '!E31</f>
        <v>22000</v>
      </c>
      <c r="L11" s="687">
        <f>'DADOS E-MAIL '!G31</f>
        <v>35.369774919614152</v>
      </c>
      <c r="M11">
        <f>'DADOS E-MAIL '!E31</f>
        <v>22000</v>
      </c>
    </row>
    <row r="12" spans="2:13" x14ac:dyDescent="0.25">
      <c r="J12" t="s">
        <v>357</v>
      </c>
      <c r="K12">
        <f>'DADOS E-MAIL '!E32</f>
        <v>0</v>
      </c>
      <c r="L12" s="687">
        <f>'DADOS E-MAIL '!G32</f>
        <v>0</v>
      </c>
      <c r="M12">
        <f>'DADOS E-MAIL '!E32</f>
        <v>0</v>
      </c>
    </row>
    <row r="13" spans="2:13" x14ac:dyDescent="0.25">
      <c r="J13" t="s">
        <v>358</v>
      </c>
      <c r="K13">
        <f>'DADOS E-MAIL '!E33</f>
        <v>38000</v>
      </c>
      <c r="L13" s="687">
        <f>'DADOS E-MAIL '!G33</f>
        <v>61.09324758842444</v>
      </c>
      <c r="M13">
        <f>'DADOS E-MAIL '!E33</f>
        <v>38000</v>
      </c>
    </row>
    <row r="14" spans="2:13" x14ac:dyDescent="0.25">
      <c r="J14" s="688" t="s">
        <v>621</v>
      </c>
      <c r="K14">
        <f>'DADOS E-MAIL '!E34</f>
        <v>62200</v>
      </c>
      <c r="L14" s="687">
        <f>'DADOS E-MAIL '!G34</f>
        <v>100</v>
      </c>
      <c r="M14">
        <f>'DADOS E-MAIL '!E34</f>
        <v>62200</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2026-03-31T12:40:00Z</cp:lastPrinted>
  <dcterms:created xsi:type="dcterms:W3CDTF">2015-06-05T18:19:34Z</dcterms:created>
  <dcterms:modified xsi:type="dcterms:W3CDTF">2026-03-31T12:40:12Z</dcterms:modified>
</cp:coreProperties>
</file>